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Asus\Documents\nifty_project_excel\"/>
    </mc:Choice>
  </mc:AlternateContent>
  <xr:revisionPtr revIDLastSave="0" documentId="13_ncr:1_{0E665E24-3353-4D22-BC3D-F4E67D36F793}" xr6:coauthVersionLast="47" xr6:coauthVersionMax="47" xr10:uidLastSave="{00000000-0000-0000-0000-000000000000}"/>
  <bookViews>
    <workbookView xWindow="-108" yWindow="-108" windowWidth="23256" windowHeight="12456" firstSheet="3" activeTab="3" xr2:uid="{D8F889F0-EA88-499E-9AB8-FDD225681B1C}"/>
  </bookViews>
  <sheets>
    <sheet name="Raw_Data_Analysis" sheetId="1" state="hidden" r:id="rId1"/>
    <sheet name="Raw_data_annual_summary" sheetId="4" state="hidden" r:id="rId2"/>
    <sheet name="Annual_Summary_data" sheetId="5" state="hidden" r:id="rId3"/>
    <sheet name="Annual_Summary" sheetId="6" r:id="rId4"/>
    <sheet name="sector_analysis" sheetId="10" r:id="rId5"/>
    <sheet name="monthly_closing_value" sheetId="11" state="hidden" r:id="rId6"/>
  </sheets>
  <definedNames>
    <definedName name="Slicer_sector_wise">#N/A</definedName>
    <definedName name="Slicer_Stock_name">#N/A</definedName>
  </definedNames>
  <calcPr calcId="191029"/>
  <pivotCaches>
    <pivotCache cacheId="0" r:id="rId7"/>
    <pivotCache cacheId="25"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4" l="1"/>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T1353" i="4"/>
  <c r="T1354" i="4"/>
  <c r="T1355" i="4"/>
  <c r="T1356" i="4"/>
  <c r="T1357" i="4"/>
  <c r="T1358" i="4"/>
  <c r="T1359" i="4"/>
  <c r="T1360" i="4"/>
  <c r="T1361" i="4"/>
  <c r="T1362" i="4"/>
  <c r="T1363" i="4"/>
  <c r="T1364" i="4"/>
  <c r="T1365" i="4"/>
  <c r="T1366" i="4"/>
  <c r="T1367" i="4"/>
  <c r="T1368" i="4"/>
  <c r="T1369" i="4"/>
  <c r="T1370" i="4"/>
  <c r="T1371" i="4"/>
  <c r="T1372" i="4"/>
  <c r="T1373" i="4"/>
  <c r="T1374" i="4"/>
  <c r="T1375" i="4"/>
  <c r="T1376" i="4"/>
  <c r="T1377" i="4"/>
  <c r="T1378" i="4"/>
  <c r="T1379" i="4"/>
  <c r="T1380" i="4"/>
  <c r="T1381" i="4"/>
  <c r="T1382" i="4"/>
  <c r="T1383" i="4"/>
  <c r="T1384" i="4"/>
  <c r="T1385" i="4"/>
  <c r="T1386" i="4"/>
  <c r="T1387" i="4"/>
  <c r="T1388" i="4"/>
  <c r="T1389" i="4"/>
  <c r="T1390" i="4"/>
  <c r="T1391" i="4"/>
  <c r="T1392" i="4"/>
  <c r="T1393" i="4"/>
  <c r="T1394" i="4"/>
  <c r="T1395" i="4"/>
  <c r="T1396" i="4"/>
  <c r="T1397" i="4"/>
  <c r="T1398" i="4"/>
  <c r="T1399" i="4"/>
  <c r="T1400" i="4"/>
  <c r="T1401" i="4"/>
  <c r="T1402" i="4"/>
  <c r="T1403" i="4"/>
  <c r="T1404" i="4"/>
  <c r="T1405" i="4"/>
  <c r="T1406" i="4"/>
  <c r="T1407" i="4"/>
  <c r="T1408" i="4"/>
  <c r="T1409" i="4"/>
  <c r="T1410" i="4"/>
  <c r="T1411" i="4"/>
  <c r="T1412" i="4"/>
  <c r="T1413" i="4"/>
  <c r="T1414" i="4"/>
  <c r="T1415" i="4"/>
  <c r="T1416" i="4"/>
  <c r="T1417" i="4"/>
  <c r="T1418" i="4"/>
  <c r="T1419" i="4"/>
  <c r="T1420" i="4"/>
  <c r="T1421" i="4"/>
  <c r="T1422" i="4"/>
  <c r="T1423" i="4"/>
  <c r="T1424" i="4"/>
  <c r="T1425" i="4"/>
  <c r="T1426" i="4"/>
  <c r="T1427" i="4"/>
  <c r="T1428" i="4"/>
  <c r="T1429" i="4"/>
  <c r="T1430" i="4"/>
  <c r="T1431" i="4"/>
  <c r="T1432" i="4"/>
  <c r="T1433" i="4"/>
  <c r="T1434" i="4"/>
  <c r="T1435" i="4"/>
  <c r="T1436" i="4"/>
  <c r="T1437" i="4"/>
  <c r="T1438" i="4"/>
  <c r="T1439" i="4"/>
  <c r="T1440" i="4"/>
  <c r="T1441" i="4"/>
  <c r="T1442" i="4"/>
  <c r="T1443" i="4"/>
  <c r="T1444" i="4"/>
  <c r="T1445" i="4"/>
  <c r="T1446" i="4"/>
  <c r="T1447" i="4"/>
  <c r="T1448" i="4"/>
  <c r="T1449" i="4"/>
  <c r="T1450" i="4"/>
  <c r="T1451" i="4"/>
  <c r="T1452" i="4"/>
  <c r="T1453" i="4"/>
  <c r="T1454" i="4"/>
  <c r="T1455" i="4"/>
  <c r="T1456" i="4"/>
  <c r="T1457" i="4"/>
  <c r="T1458" i="4"/>
  <c r="T1459" i="4"/>
  <c r="T1460" i="4"/>
  <c r="T1461" i="4"/>
  <c r="T1462" i="4"/>
  <c r="T1463" i="4"/>
  <c r="T1464" i="4"/>
  <c r="T1465" i="4"/>
  <c r="T1466" i="4"/>
  <c r="T1467" i="4"/>
  <c r="T1468" i="4"/>
  <c r="T1469" i="4"/>
  <c r="T1470" i="4"/>
  <c r="T1471" i="4"/>
  <c r="T1472" i="4"/>
  <c r="T1473" i="4"/>
  <c r="T1474" i="4"/>
  <c r="T1475" i="4"/>
  <c r="T1476" i="4"/>
  <c r="T1477" i="4"/>
  <c r="T1478" i="4"/>
  <c r="T1479" i="4"/>
  <c r="T1480" i="4"/>
  <c r="T1481" i="4"/>
  <c r="T1482" i="4"/>
  <c r="T1483" i="4"/>
  <c r="T1484" i="4"/>
  <c r="T1485" i="4"/>
  <c r="T1486" i="4"/>
  <c r="T1487" i="4"/>
  <c r="T1488" i="4"/>
  <c r="T1489" i="4"/>
  <c r="T1490" i="4"/>
  <c r="T1491" i="4"/>
  <c r="T1492" i="4"/>
  <c r="T1493" i="4"/>
  <c r="T1494" i="4"/>
  <c r="T1495" i="4"/>
  <c r="T1496" i="4"/>
  <c r="T1497" i="4"/>
  <c r="T1498" i="4"/>
  <c r="T1499" i="4"/>
  <c r="T1500" i="4"/>
  <c r="T1501" i="4"/>
  <c r="T1502" i="4"/>
  <c r="T1503" i="4"/>
  <c r="T1504" i="4"/>
  <c r="T1505" i="4"/>
  <c r="T1506" i="4"/>
  <c r="T1507" i="4"/>
  <c r="T1508" i="4"/>
  <c r="T1509" i="4"/>
  <c r="T1510" i="4"/>
  <c r="T1511" i="4"/>
  <c r="T1512" i="4"/>
  <c r="T1513" i="4"/>
  <c r="T1514" i="4"/>
  <c r="T1515" i="4"/>
  <c r="T1516" i="4"/>
  <c r="T1517" i="4"/>
  <c r="T1518" i="4"/>
  <c r="T1519" i="4"/>
  <c r="T1520" i="4"/>
  <c r="T1521" i="4"/>
  <c r="T1522" i="4"/>
  <c r="T1523" i="4"/>
  <c r="T1524" i="4"/>
  <c r="T1525" i="4"/>
  <c r="T1526" i="4"/>
  <c r="T1527" i="4"/>
  <c r="T1528" i="4"/>
  <c r="T1529" i="4"/>
  <c r="T1530" i="4"/>
  <c r="T1531" i="4"/>
  <c r="T1532" i="4"/>
  <c r="T1533" i="4"/>
  <c r="T1534" i="4"/>
  <c r="T1535" i="4"/>
  <c r="T1536" i="4"/>
  <c r="T1537" i="4"/>
  <c r="T1538" i="4"/>
  <c r="T1539" i="4"/>
  <c r="T1540" i="4"/>
  <c r="T1541" i="4"/>
  <c r="T1542" i="4"/>
  <c r="T1543" i="4"/>
  <c r="T1544" i="4"/>
  <c r="T1545" i="4"/>
  <c r="T1546" i="4"/>
  <c r="T1547" i="4"/>
  <c r="T1548" i="4"/>
  <c r="T1549" i="4"/>
  <c r="T1550" i="4"/>
  <c r="T1551" i="4"/>
  <c r="T1552" i="4"/>
  <c r="T1553" i="4"/>
  <c r="T1554" i="4"/>
  <c r="T1555" i="4"/>
  <c r="T1556" i="4"/>
  <c r="T1557" i="4"/>
  <c r="T1558" i="4"/>
  <c r="T1559" i="4"/>
  <c r="T1560" i="4"/>
  <c r="T1561" i="4"/>
  <c r="T1562" i="4"/>
  <c r="T1563" i="4"/>
  <c r="T1564" i="4"/>
  <c r="T1565" i="4"/>
  <c r="T1566" i="4"/>
  <c r="T1567" i="4"/>
  <c r="T1568" i="4"/>
  <c r="T1569" i="4"/>
  <c r="T1570" i="4"/>
  <c r="T1571" i="4"/>
  <c r="T1572" i="4"/>
  <c r="T1573" i="4"/>
  <c r="T1574" i="4"/>
  <c r="T1575" i="4"/>
  <c r="T1576" i="4"/>
  <c r="T1577" i="4"/>
  <c r="T1578" i="4"/>
  <c r="T1579" i="4"/>
  <c r="T1580" i="4"/>
  <c r="T1581" i="4"/>
  <c r="T1582" i="4"/>
  <c r="T1583" i="4"/>
  <c r="T1584" i="4"/>
  <c r="T1585" i="4"/>
  <c r="T1586" i="4"/>
  <c r="T1587" i="4"/>
  <c r="T1588" i="4"/>
  <c r="T1589" i="4"/>
  <c r="T1590" i="4"/>
  <c r="T1591" i="4"/>
  <c r="T1592" i="4"/>
  <c r="T1593" i="4"/>
  <c r="T1594" i="4"/>
  <c r="T1595" i="4"/>
  <c r="T1596" i="4"/>
  <c r="T1597" i="4"/>
  <c r="T1598" i="4"/>
  <c r="T1599" i="4"/>
  <c r="T1600" i="4"/>
  <c r="T1601" i="4"/>
  <c r="T1602" i="4"/>
  <c r="T1603" i="4"/>
  <c r="T1604" i="4"/>
  <c r="T1605" i="4"/>
  <c r="T1606" i="4"/>
  <c r="T1607" i="4"/>
  <c r="T1608" i="4"/>
  <c r="T1609" i="4"/>
  <c r="T1610" i="4"/>
  <c r="T1611" i="4"/>
  <c r="T1612" i="4"/>
  <c r="T1613" i="4"/>
  <c r="T1614" i="4"/>
  <c r="T1615" i="4"/>
  <c r="T1616" i="4"/>
  <c r="T1617" i="4"/>
  <c r="T1618" i="4"/>
  <c r="T1619" i="4"/>
  <c r="T1620" i="4"/>
  <c r="T1621" i="4"/>
  <c r="T1622" i="4"/>
  <c r="T1623" i="4"/>
  <c r="T1624" i="4"/>
  <c r="T1625" i="4"/>
  <c r="T1626" i="4"/>
  <c r="T1627" i="4"/>
  <c r="T1628" i="4"/>
  <c r="T1629" i="4"/>
  <c r="T1630" i="4"/>
  <c r="T1631" i="4"/>
  <c r="T1632" i="4"/>
  <c r="T1633" i="4"/>
  <c r="T1634" i="4"/>
  <c r="T1635" i="4"/>
  <c r="T1636" i="4"/>
  <c r="T1637" i="4"/>
  <c r="T1638" i="4"/>
  <c r="T1639" i="4"/>
  <c r="T1640" i="4"/>
  <c r="T1641" i="4"/>
  <c r="T1642" i="4"/>
  <c r="T1643" i="4"/>
  <c r="T1644" i="4"/>
  <c r="T1645" i="4"/>
  <c r="T1646" i="4"/>
  <c r="T1647" i="4"/>
  <c r="T1648" i="4"/>
  <c r="T1649" i="4"/>
  <c r="T1650" i="4"/>
  <c r="T1651" i="4"/>
  <c r="T1652" i="4"/>
  <c r="T1653" i="4"/>
  <c r="T1654" i="4"/>
  <c r="T1655" i="4"/>
  <c r="T1656" i="4"/>
  <c r="T1657" i="4"/>
  <c r="T1658" i="4"/>
  <c r="T1659" i="4"/>
  <c r="T1660" i="4"/>
  <c r="T1661" i="4"/>
  <c r="T1662" i="4"/>
  <c r="T1663" i="4"/>
  <c r="T1664" i="4"/>
  <c r="T1665" i="4"/>
  <c r="T1666" i="4"/>
  <c r="T1667" i="4"/>
  <c r="T1668" i="4"/>
  <c r="T1669" i="4"/>
  <c r="T1670" i="4"/>
  <c r="T1671" i="4"/>
  <c r="T1672" i="4"/>
  <c r="T1673" i="4"/>
  <c r="T1674" i="4"/>
  <c r="T1675" i="4"/>
  <c r="T1676" i="4"/>
  <c r="T1677" i="4"/>
  <c r="T1678" i="4"/>
  <c r="T1679" i="4"/>
  <c r="T1680" i="4"/>
  <c r="T1681" i="4"/>
  <c r="T1682" i="4"/>
  <c r="T1683" i="4"/>
  <c r="T1684" i="4"/>
  <c r="T1685" i="4"/>
  <c r="T1686" i="4"/>
  <c r="T1687" i="4"/>
  <c r="T1688" i="4"/>
  <c r="T1689" i="4"/>
  <c r="T1690" i="4"/>
  <c r="T1691" i="4"/>
  <c r="T1692" i="4"/>
  <c r="T1693" i="4"/>
  <c r="T1694" i="4"/>
  <c r="T1695" i="4"/>
  <c r="T1696" i="4"/>
  <c r="T1697" i="4"/>
  <c r="T1698" i="4"/>
  <c r="T1699" i="4"/>
  <c r="T1700" i="4"/>
  <c r="T1701" i="4"/>
  <c r="T1702" i="4"/>
  <c r="T1703" i="4"/>
  <c r="T1704" i="4"/>
  <c r="T1705" i="4"/>
  <c r="T1706" i="4"/>
  <c r="T1707" i="4"/>
  <c r="T1708" i="4"/>
  <c r="T1709" i="4"/>
  <c r="T1710" i="4"/>
  <c r="T1711" i="4"/>
  <c r="T1712" i="4"/>
  <c r="T1713" i="4"/>
  <c r="T1714" i="4"/>
  <c r="T1715" i="4"/>
  <c r="T1716" i="4"/>
  <c r="T1717" i="4"/>
  <c r="T1718" i="4"/>
  <c r="T1719" i="4"/>
  <c r="T1720" i="4"/>
  <c r="T1721" i="4"/>
  <c r="T1722" i="4"/>
  <c r="T1723" i="4"/>
  <c r="T1724" i="4"/>
  <c r="T1725" i="4"/>
  <c r="T1726" i="4"/>
  <c r="T1727" i="4"/>
  <c r="T1728" i="4"/>
  <c r="T1729" i="4"/>
  <c r="T1730" i="4"/>
  <c r="T1731" i="4"/>
  <c r="T1732" i="4"/>
  <c r="T1733" i="4"/>
  <c r="T1734" i="4"/>
  <c r="T1735" i="4"/>
  <c r="T1736" i="4"/>
  <c r="T1737" i="4"/>
  <c r="T1738" i="4"/>
  <c r="T1739" i="4"/>
  <c r="T1740" i="4"/>
  <c r="T1741" i="4"/>
  <c r="T1742" i="4"/>
  <c r="T1743" i="4"/>
  <c r="T1744" i="4"/>
  <c r="T1745" i="4"/>
  <c r="T1746" i="4"/>
  <c r="T1747" i="4"/>
  <c r="T1748" i="4"/>
  <c r="T1749" i="4"/>
  <c r="T1750" i="4"/>
  <c r="T1751" i="4"/>
  <c r="T1752" i="4"/>
  <c r="T1753" i="4"/>
  <c r="T1754" i="4"/>
  <c r="T1755" i="4"/>
  <c r="T1756" i="4"/>
  <c r="T1757" i="4"/>
  <c r="T1758" i="4"/>
  <c r="T1759" i="4"/>
  <c r="T1760" i="4"/>
  <c r="T1761" i="4"/>
  <c r="T1762" i="4"/>
  <c r="T1763" i="4"/>
  <c r="T1764" i="4"/>
  <c r="T1765" i="4"/>
  <c r="T1766" i="4"/>
  <c r="T1767" i="4"/>
  <c r="T1768" i="4"/>
  <c r="T1769" i="4"/>
  <c r="T1770" i="4"/>
  <c r="T1771" i="4"/>
  <c r="T1772" i="4"/>
  <c r="T1773" i="4"/>
  <c r="T1774" i="4"/>
  <c r="T1775" i="4"/>
  <c r="T1776" i="4"/>
  <c r="T1777" i="4"/>
  <c r="T1778" i="4"/>
  <c r="T1779" i="4"/>
  <c r="T1780" i="4"/>
  <c r="T1781" i="4"/>
  <c r="T1782" i="4"/>
  <c r="T1783" i="4"/>
  <c r="T1784" i="4"/>
  <c r="T1785" i="4"/>
  <c r="T1786" i="4"/>
  <c r="T1787" i="4"/>
  <c r="T1788" i="4"/>
  <c r="T1789" i="4"/>
  <c r="T1790" i="4"/>
  <c r="T1791" i="4"/>
  <c r="T1792" i="4"/>
  <c r="T1793" i="4"/>
  <c r="T1794" i="4"/>
  <c r="T1795" i="4"/>
  <c r="T1796" i="4"/>
  <c r="T1797" i="4"/>
  <c r="T1798" i="4"/>
  <c r="T1799" i="4"/>
  <c r="T1800" i="4"/>
  <c r="T1801" i="4"/>
  <c r="T1802" i="4"/>
  <c r="T1803" i="4"/>
  <c r="T1804" i="4"/>
  <c r="T1805" i="4"/>
  <c r="T1806" i="4"/>
  <c r="T1807" i="4"/>
  <c r="T1808" i="4"/>
  <c r="T1809" i="4"/>
  <c r="T1810" i="4"/>
  <c r="T1811" i="4"/>
  <c r="T1812" i="4"/>
  <c r="T1813" i="4"/>
  <c r="T1814" i="4"/>
  <c r="T1815" i="4"/>
  <c r="T1816" i="4"/>
  <c r="T1817" i="4"/>
  <c r="T1818" i="4"/>
  <c r="T1819" i="4"/>
  <c r="T1820" i="4"/>
  <c r="T1821" i="4"/>
  <c r="T1822" i="4"/>
  <c r="T1823" i="4"/>
  <c r="T1824" i="4"/>
  <c r="T1825" i="4"/>
  <c r="T1826" i="4"/>
  <c r="T1827" i="4"/>
  <c r="T1828" i="4"/>
  <c r="T1829" i="4"/>
  <c r="T1830" i="4"/>
  <c r="T1831" i="4"/>
  <c r="T1832" i="4"/>
  <c r="T1833" i="4"/>
  <c r="T1834" i="4"/>
  <c r="T1835" i="4"/>
  <c r="T1836" i="4"/>
  <c r="T1837" i="4"/>
  <c r="T1838" i="4"/>
  <c r="T1839" i="4"/>
  <c r="T1840" i="4"/>
  <c r="T1841" i="4"/>
  <c r="T1842" i="4"/>
  <c r="T1843" i="4"/>
  <c r="T1844" i="4"/>
  <c r="T1845" i="4"/>
  <c r="T1846" i="4"/>
  <c r="T1847" i="4"/>
  <c r="T1848" i="4"/>
  <c r="T1849" i="4"/>
  <c r="T1850" i="4"/>
  <c r="T1851" i="4"/>
  <c r="T1852" i="4"/>
  <c r="T1853" i="4"/>
  <c r="T1854" i="4"/>
  <c r="T1855" i="4"/>
  <c r="T1856" i="4"/>
  <c r="T1857" i="4"/>
  <c r="T1858" i="4"/>
  <c r="T1859" i="4"/>
  <c r="T1860" i="4"/>
  <c r="T1861" i="4"/>
  <c r="T1862" i="4"/>
  <c r="T1863" i="4"/>
  <c r="T1864" i="4"/>
  <c r="T1865" i="4"/>
  <c r="T1866" i="4"/>
  <c r="T1867" i="4"/>
  <c r="T1868" i="4"/>
  <c r="T1869" i="4"/>
  <c r="T1870" i="4"/>
  <c r="T1871" i="4"/>
  <c r="T1872" i="4"/>
  <c r="T1873" i="4"/>
  <c r="T1874" i="4"/>
  <c r="T1875" i="4"/>
  <c r="T1876" i="4"/>
  <c r="T1877" i="4"/>
  <c r="T1878" i="4"/>
  <c r="T1879" i="4"/>
  <c r="T1880" i="4"/>
  <c r="T1881" i="4"/>
  <c r="T1882" i="4"/>
  <c r="T1883" i="4"/>
  <c r="T1884" i="4"/>
  <c r="T1885" i="4"/>
  <c r="T1886" i="4"/>
  <c r="T1887" i="4"/>
  <c r="T1888" i="4"/>
  <c r="T1889" i="4"/>
  <c r="T1890" i="4"/>
  <c r="T1891" i="4"/>
  <c r="T1892" i="4"/>
  <c r="T1893" i="4"/>
  <c r="T1894" i="4"/>
  <c r="T1895" i="4"/>
  <c r="T1896" i="4"/>
  <c r="T1897" i="4"/>
  <c r="T1898" i="4"/>
  <c r="T1899" i="4"/>
  <c r="T1900" i="4"/>
  <c r="T1901" i="4"/>
  <c r="T1902" i="4"/>
  <c r="T1903" i="4"/>
  <c r="T1904" i="4"/>
  <c r="T1905" i="4"/>
  <c r="T1906" i="4"/>
  <c r="T1907" i="4"/>
  <c r="T1908" i="4"/>
  <c r="T1909" i="4"/>
  <c r="T1910" i="4"/>
  <c r="T1911" i="4"/>
  <c r="T1912" i="4"/>
  <c r="T1913" i="4"/>
  <c r="T1914" i="4"/>
  <c r="T1915" i="4"/>
  <c r="T1916" i="4"/>
  <c r="T1917" i="4"/>
  <c r="T1918" i="4"/>
  <c r="T1919" i="4"/>
  <c r="T1920" i="4"/>
  <c r="T1921" i="4"/>
  <c r="T1922" i="4"/>
  <c r="T1923" i="4"/>
  <c r="T1924" i="4"/>
  <c r="T1925" i="4"/>
  <c r="T1926" i="4"/>
  <c r="T1927" i="4"/>
  <c r="T1928" i="4"/>
  <c r="T1929" i="4"/>
  <c r="T1930" i="4"/>
  <c r="T1931" i="4"/>
  <c r="T1932" i="4"/>
  <c r="T1933" i="4"/>
  <c r="T1934" i="4"/>
  <c r="T1935" i="4"/>
  <c r="T1936" i="4"/>
  <c r="T1937" i="4"/>
  <c r="T1938" i="4"/>
  <c r="T1939" i="4"/>
  <c r="T1940" i="4"/>
  <c r="T1941" i="4"/>
  <c r="T1942" i="4"/>
  <c r="T1943" i="4"/>
  <c r="T1944" i="4"/>
  <c r="T1945" i="4"/>
  <c r="T1946" i="4"/>
  <c r="T1947" i="4"/>
  <c r="T1948" i="4"/>
  <c r="T1949" i="4"/>
  <c r="T1950" i="4"/>
  <c r="T1951" i="4"/>
  <c r="T1952" i="4"/>
  <c r="T1953" i="4"/>
  <c r="T1954" i="4"/>
  <c r="T1955" i="4"/>
  <c r="T1956" i="4"/>
  <c r="T1957" i="4"/>
  <c r="T1958" i="4"/>
  <c r="T1959" i="4"/>
  <c r="T1960" i="4"/>
  <c r="T1961" i="4"/>
  <c r="T1962" i="4"/>
  <c r="T1963" i="4"/>
  <c r="T1964" i="4"/>
  <c r="T1965" i="4"/>
  <c r="T1966" i="4"/>
  <c r="T1967" i="4"/>
  <c r="T1968" i="4"/>
  <c r="T1969" i="4"/>
  <c r="T1970" i="4"/>
  <c r="T1971" i="4"/>
  <c r="T1972" i="4"/>
  <c r="T1973" i="4"/>
  <c r="T1974" i="4"/>
  <c r="T1975" i="4"/>
  <c r="T1976" i="4"/>
  <c r="T1977" i="4"/>
  <c r="T1978" i="4"/>
  <c r="T1979" i="4"/>
  <c r="T1980" i="4"/>
  <c r="T1981" i="4"/>
  <c r="T1982" i="4"/>
  <c r="T1983" i="4"/>
  <c r="T1984" i="4"/>
  <c r="T1985" i="4"/>
  <c r="T1986" i="4"/>
  <c r="T1987" i="4"/>
  <c r="T1988" i="4"/>
  <c r="T1989" i="4"/>
  <c r="T1990" i="4"/>
  <c r="T1991" i="4"/>
  <c r="T1992" i="4"/>
  <c r="T1993" i="4"/>
  <c r="T1994" i="4"/>
  <c r="T1995" i="4"/>
  <c r="T1996" i="4"/>
  <c r="T1997" i="4"/>
  <c r="T1998" i="4"/>
  <c r="T1999" i="4"/>
  <c r="T2000" i="4"/>
  <c r="T2001" i="4"/>
  <c r="T2002" i="4"/>
  <c r="T2003" i="4"/>
  <c r="T2004" i="4"/>
  <c r="T2005" i="4"/>
  <c r="T2006" i="4"/>
  <c r="T2007" i="4"/>
  <c r="T2008" i="4"/>
  <c r="T2009" i="4"/>
  <c r="T2010" i="4"/>
  <c r="T2011" i="4"/>
  <c r="T2012" i="4"/>
  <c r="T2013" i="4"/>
  <c r="T2014" i="4"/>
  <c r="T2015" i="4"/>
  <c r="T2016" i="4"/>
  <c r="T2017" i="4"/>
  <c r="T2018" i="4"/>
  <c r="T2019" i="4"/>
  <c r="T2020" i="4"/>
  <c r="T2021" i="4"/>
  <c r="T2022" i="4"/>
  <c r="T2023" i="4"/>
  <c r="T2024" i="4"/>
  <c r="T2025" i="4"/>
  <c r="T2026" i="4"/>
  <c r="T2027" i="4"/>
  <c r="T2028" i="4"/>
  <c r="T2029" i="4"/>
  <c r="T2030" i="4"/>
  <c r="T2031" i="4"/>
  <c r="T2032" i="4"/>
  <c r="T2033" i="4"/>
  <c r="T2034" i="4"/>
  <c r="T2035" i="4"/>
  <c r="T2036" i="4"/>
  <c r="T2037" i="4"/>
  <c r="T2038" i="4"/>
  <c r="T2039" i="4"/>
  <c r="T2040" i="4"/>
  <c r="T2041" i="4"/>
  <c r="T2042" i="4"/>
  <c r="T2043" i="4"/>
  <c r="T2044" i="4"/>
  <c r="T2045" i="4"/>
  <c r="T2046" i="4"/>
  <c r="T2047" i="4"/>
  <c r="T2048" i="4"/>
  <c r="T2049" i="4"/>
  <c r="T2050" i="4"/>
  <c r="T2051" i="4"/>
  <c r="T2052" i="4"/>
  <c r="T2053" i="4"/>
  <c r="T2054" i="4"/>
  <c r="T2055" i="4"/>
  <c r="T2056" i="4"/>
  <c r="T2057" i="4"/>
  <c r="T2058" i="4"/>
  <c r="T2059" i="4"/>
  <c r="T2060" i="4"/>
  <c r="T2061" i="4"/>
  <c r="T2062" i="4"/>
  <c r="T2063" i="4"/>
  <c r="T2064" i="4"/>
  <c r="T2065" i="4"/>
  <c r="T2066" i="4"/>
  <c r="T2067" i="4"/>
  <c r="T2068" i="4"/>
  <c r="T2069" i="4"/>
  <c r="T2070" i="4"/>
  <c r="T2071" i="4"/>
  <c r="T2072" i="4"/>
  <c r="T2073" i="4"/>
  <c r="T2074" i="4"/>
  <c r="T2075" i="4"/>
  <c r="T2076" i="4"/>
  <c r="T2077" i="4"/>
  <c r="T2078" i="4"/>
  <c r="T2079" i="4"/>
  <c r="T2080" i="4"/>
  <c r="T2081" i="4"/>
  <c r="T2082" i="4"/>
  <c r="T2083" i="4"/>
  <c r="T2084" i="4"/>
  <c r="T2085" i="4"/>
  <c r="T2086" i="4"/>
  <c r="T2087" i="4"/>
  <c r="T2088" i="4"/>
  <c r="T2089" i="4"/>
  <c r="T2090" i="4"/>
  <c r="T2091" i="4"/>
  <c r="T2092" i="4"/>
  <c r="T2093" i="4"/>
  <c r="T2094" i="4"/>
  <c r="T2095" i="4"/>
  <c r="T2096" i="4"/>
  <c r="T2097" i="4"/>
  <c r="T2098" i="4"/>
  <c r="T2099" i="4"/>
  <c r="T2100" i="4"/>
  <c r="T2101" i="4"/>
  <c r="T2102" i="4"/>
  <c r="T2103" i="4"/>
  <c r="T2104" i="4"/>
  <c r="T2105" i="4"/>
  <c r="T2106" i="4"/>
  <c r="T2107" i="4"/>
  <c r="T2108" i="4"/>
  <c r="T2109" i="4"/>
  <c r="T2110" i="4"/>
  <c r="T2111" i="4"/>
  <c r="T2112" i="4"/>
  <c r="T2113" i="4"/>
  <c r="T2114" i="4"/>
  <c r="T2115" i="4"/>
  <c r="T2116" i="4"/>
  <c r="T2117" i="4"/>
  <c r="T2118" i="4"/>
  <c r="T2119" i="4"/>
  <c r="T2120" i="4"/>
  <c r="T2121" i="4"/>
  <c r="T2122" i="4"/>
  <c r="T2123" i="4"/>
  <c r="T2124" i="4"/>
  <c r="T2125" i="4"/>
  <c r="T2126" i="4"/>
  <c r="T2127" i="4"/>
  <c r="T2128" i="4"/>
  <c r="T2129" i="4"/>
  <c r="T2130" i="4"/>
  <c r="T2131" i="4"/>
  <c r="T2132" i="4"/>
  <c r="T2133" i="4"/>
  <c r="T2134" i="4"/>
  <c r="T2135" i="4"/>
  <c r="T2136" i="4"/>
  <c r="T2137" i="4"/>
  <c r="T2138" i="4"/>
  <c r="T2139" i="4"/>
  <c r="T2140" i="4"/>
  <c r="T2141" i="4"/>
  <c r="T2142" i="4"/>
  <c r="T2143" i="4"/>
  <c r="T2144" i="4"/>
  <c r="T2145" i="4"/>
  <c r="T2146" i="4"/>
  <c r="T2147" i="4"/>
  <c r="T2148" i="4"/>
  <c r="T2149" i="4"/>
  <c r="T2150" i="4"/>
  <c r="T2151" i="4"/>
  <c r="T2152" i="4"/>
  <c r="T2153" i="4"/>
  <c r="T2154" i="4"/>
  <c r="T2155" i="4"/>
  <c r="T2156" i="4"/>
  <c r="T2157" i="4"/>
  <c r="T2158" i="4"/>
  <c r="T2159" i="4"/>
  <c r="T2160" i="4"/>
  <c r="T2161" i="4"/>
  <c r="T2162" i="4"/>
  <c r="T2163" i="4"/>
  <c r="T2164" i="4"/>
  <c r="T2165" i="4"/>
  <c r="T2166" i="4"/>
  <c r="T2167" i="4"/>
  <c r="T2168" i="4"/>
  <c r="T2169" i="4"/>
  <c r="T2170" i="4"/>
  <c r="T2171" i="4"/>
  <c r="T2172" i="4"/>
  <c r="T2173" i="4"/>
  <c r="T2174" i="4"/>
  <c r="T2175" i="4"/>
  <c r="T2176" i="4"/>
  <c r="T2177" i="4"/>
  <c r="T2178" i="4"/>
  <c r="T2179" i="4"/>
  <c r="T2180" i="4"/>
  <c r="T2181" i="4"/>
  <c r="T2182" i="4"/>
  <c r="T2183" i="4"/>
  <c r="T2184" i="4"/>
  <c r="T2185" i="4"/>
  <c r="T2186" i="4"/>
  <c r="T2187" i="4"/>
  <c r="T2188" i="4"/>
  <c r="T2189" i="4"/>
  <c r="T2190" i="4"/>
  <c r="T2191" i="4"/>
  <c r="T2192" i="4"/>
  <c r="T2193" i="4"/>
  <c r="T2194" i="4"/>
  <c r="T2195" i="4"/>
  <c r="T2196" i="4"/>
  <c r="T2197" i="4"/>
  <c r="T2198" i="4"/>
  <c r="T2199" i="4"/>
  <c r="T2200" i="4"/>
  <c r="T2201" i="4"/>
  <c r="T2202" i="4"/>
  <c r="T2203" i="4"/>
  <c r="T2204" i="4"/>
  <c r="T2205" i="4"/>
  <c r="T2206" i="4"/>
  <c r="T2207" i="4"/>
  <c r="T2208" i="4"/>
  <c r="T2209" i="4"/>
  <c r="T2210" i="4"/>
  <c r="T2211" i="4"/>
  <c r="T2212" i="4"/>
  <c r="T2213" i="4"/>
  <c r="T2214" i="4"/>
  <c r="T2215" i="4"/>
  <c r="T2216" i="4"/>
  <c r="T2217" i="4"/>
  <c r="T2218" i="4"/>
  <c r="T2219" i="4"/>
  <c r="T2220" i="4"/>
  <c r="T2221" i="4"/>
  <c r="T2222" i="4"/>
  <c r="T2223" i="4"/>
  <c r="T2224" i="4"/>
  <c r="T2225" i="4"/>
  <c r="T2226" i="4"/>
  <c r="T2227" i="4"/>
  <c r="T2228" i="4"/>
  <c r="T2229" i="4"/>
  <c r="T2230" i="4"/>
  <c r="T2231" i="4"/>
  <c r="T2232" i="4"/>
  <c r="T2233" i="4"/>
  <c r="T2234" i="4"/>
  <c r="T2235" i="4"/>
  <c r="T2236" i="4"/>
  <c r="T2237" i="4"/>
  <c r="T2238" i="4"/>
  <c r="T2239" i="4"/>
  <c r="T2240" i="4"/>
  <c r="T2241" i="4"/>
  <c r="T2242" i="4"/>
  <c r="T2243" i="4"/>
  <c r="T2244" i="4"/>
  <c r="T2245" i="4"/>
  <c r="T2246" i="4"/>
  <c r="T2247" i="4"/>
  <c r="T2248" i="4"/>
  <c r="T2249" i="4"/>
  <c r="T2250" i="4"/>
  <c r="T2251" i="4"/>
  <c r="T2252" i="4"/>
  <c r="T2253" i="4"/>
  <c r="T2254" i="4"/>
  <c r="T2255" i="4"/>
  <c r="T2256" i="4"/>
  <c r="T2257" i="4"/>
  <c r="T2258" i="4"/>
  <c r="T2259" i="4"/>
  <c r="T2260" i="4"/>
  <c r="T2261" i="4"/>
  <c r="T2262" i="4"/>
  <c r="T2263" i="4"/>
  <c r="T2264" i="4"/>
  <c r="T2265" i="4"/>
  <c r="T2266" i="4"/>
  <c r="T2267" i="4"/>
  <c r="T2268" i="4"/>
  <c r="T2269" i="4"/>
  <c r="T2270" i="4"/>
  <c r="T2271" i="4"/>
  <c r="T2272" i="4"/>
  <c r="T2273" i="4"/>
  <c r="T2274" i="4"/>
  <c r="T2275" i="4"/>
  <c r="T2276" i="4"/>
  <c r="T2277" i="4"/>
  <c r="T2278" i="4"/>
  <c r="T2279" i="4"/>
  <c r="T2280" i="4"/>
  <c r="T2281" i="4"/>
  <c r="T2282" i="4"/>
  <c r="T2283" i="4"/>
  <c r="T2284" i="4"/>
  <c r="T2285" i="4"/>
  <c r="T2286" i="4"/>
  <c r="T2287" i="4"/>
  <c r="T2288" i="4"/>
  <c r="T2289" i="4"/>
  <c r="T2290" i="4"/>
  <c r="T2291" i="4"/>
  <c r="T2292" i="4"/>
  <c r="T2293" i="4"/>
  <c r="T2294" i="4"/>
  <c r="T2295" i="4"/>
  <c r="T2296" i="4"/>
  <c r="T2297" i="4"/>
  <c r="T2298" i="4"/>
  <c r="T2299" i="4"/>
  <c r="T2300" i="4"/>
  <c r="T2301" i="4"/>
  <c r="T2302" i="4"/>
  <c r="T2303" i="4"/>
  <c r="T2304" i="4"/>
  <c r="T2305" i="4"/>
  <c r="T2306" i="4"/>
  <c r="T2307" i="4"/>
  <c r="T2308" i="4"/>
  <c r="T2309" i="4"/>
  <c r="T2310" i="4"/>
  <c r="T2311" i="4"/>
  <c r="T2312" i="4"/>
  <c r="T2313" i="4"/>
  <c r="T2314" i="4"/>
  <c r="T2315" i="4"/>
  <c r="T2316" i="4"/>
  <c r="T2317" i="4"/>
  <c r="T2318" i="4"/>
  <c r="T2319" i="4"/>
  <c r="T2320" i="4"/>
  <c r="T2321" i="4"/>
  <c r="T2322" i="4"/>
  <c r="T2323" i="4"/>
  <c r="T2324" i="4"/>
  <c r="T2325" i="4"/>
  <c r="T2326" i="4"/>
  <c r="T2327" i="4"/>
  <c r="T2328" i="4"/>
  <c r="T2329" i="4"/>
  <c r="T2330" i="4"/>
  <c r="T2331" i="4"/>
  <c r="T2332" i="4"/>
  <c r="T2333" i="4"/>
  <c r="T2334" i="4"/>
  <c r="T2335" i="4"/>
  <c r="T2336" i="4"/>
  <c r="T2337" i="4"/>
  <c r="T2338" i="4"/>
  <c r="T2339" i="4"/>
  <c r="T2340" i="4"/>
  <c r="T2341" i="4"/>
  <c r="T2342" i="4"/>
  <c r="T2343" i="4"/>
  <c r="T2344" i="4"/>
  <c r="T2345" i="4"/>
  <c r="T2346" i="4"/>
  <c r="T2347" i="4"/>
  <c r="T2348" i="4"/>
  <c r="T2349" i="4"/>
  <c r="T2350" i="4"/>
  <c r="T2351" i="4"/>
  <c r="T2352" i="4"/>
  <c r="T2353" i="4"/>
  <c r="T2354" i="4"/>
  <c r="T2355" i="4"/>
  <c r="T2356" i="4"/>
  <c r="T2357" i="4"/>
  <c r="T2358" i="4"/>
  <c r="T2359" i="4"/>
  <c r="T2360" i="4"/>
  <c r="T2361" i="4"/>
  <c r="T2362" i="4"/>
  <c r="T2363" i="4"/>
  <c r="T2364" i="4"/>
  <c r="T2365" i="4"/>
  <c r="T2366" i="4"/>
  <c r="T2367" i="4"/>
  <c r="T2368" i="4"/>
  <c r="T2369" i="4"/>
  <c r="T2370" i="4"/>
  <c r="T2371" i="4"/>
  <c r="T2372" i="4"/>
  <c r="T2373" i="4"/>
  <c r="T2374" i="4"/>
  <c r="T2375" i="4"/>
  <c r="T2376" i="4"/>
  <c r="T2377" i="4"/>
  <c r="T2378" i="4"/>
  <c r="T2379" i="4"/>
  <c r="T2380" i="4"/>
  <c r="T2381" i="4"/>
  <c r="T2382" i="4"/>
  <c r="T2383" i="4"/>
  <c r="T2384" i="4"/>
  <c r="T2385" i="4"/>
  <c r="T2386" i="4"/>
  <c r="T2387" i="4"/>
  <c r="T2388" i="4"/>
  <c r="T2389" i="4"/>
  <c r="T2390" i="4"/>
  <c r="T2391" i="4"/>
  <c r="T2392" i="4"/>
  <c r="T2393" i="4"/>
  <c r="T2394" i="4"/>
  <c r="T2395" i="4"/>
  <c r="T2396" i="4"/>
  <c r="T2397" i="4"/>
  <c r="T2398" i="4"/>
  <c r="T2399" i="4"/>
  <c r="T2400" i="4"/>
  <c r="T2401" i="4"/>
  <c r="T2402" i="4"/>
  <c r="T2403" i="4"/>
  <c r="T2404" i="4"/>
  <c r="T2405" i="4"/>
  <c r="T2406" i="4"/>
  <c r="T2407" i="4"/>
  <c r="T2408" i="4"/>
  <c r="T2409" i="4"/>
  <c r="T2410" i="4"/>
  <c r="T2411" i="4"/>
  <c r="T2412" i="4"/>
  <c r="T2413" i="4"/>
  <c r="T2414" i="4"/>
  <c r="T2415" i="4"/>
  <c r="T2416" i="4"/>
  <c r="T2417" i="4"/>
  <c r="T2418" i="4"/>
  <c r="T2419" i="4"/>
  <c r="T2420" i="4"/>
  <c r="T2421" i="4"/>
  <c r="T2422" i="4"/>
  <c r="T2423" i="4"/>
  <c r="T2424" i="4"/>
  <c r="T2425" i="4"/>
  <c r="T2426" i="4"/>
  <c r="T2427" i="4"/>
  <c r="T2428" i="4"/>
  <c r="T2429" i="4"/>
  <c r="T2430" i="4"/>
  <c r="T2431" i="4"/>
  <c r="T2432" i="4"/>
  <c r="T2433" i="4"/>
  <c r="T2434" i="4"/>
  <c r="T2435" i="4"/>
  <c r="T2436" i="4"/>
  <c r="T2437" i="4"/>
  <c r="T2438" i="4"/>
  <c r="T2439" i="4"/>
  <c r="T2440" i="4"/>
  <c r="T2441" i="4"/>
  <c r="T2442" i="4"/>
  <c r="T2443" i="4"/>
  <c r="T2444" i="4"/>
  <c r="T2445" i="4"/>
  <c r="T2446" i="4"/>
  <c r="T2447" i="4"/>
  <c r="T2448" i="4"/>
  <c r="T2449" i="4"/>
  <c r="T2450" i="4"/>
  <c r="T2451" i="4"/>
  <c r="T2452" i="4"/>
  <c r="T2453" i="4"/>
  <c r="T2454" i="4"/>
  <c r="T2455" i="4"/>
  <c r="T2456" i="4"/>
  <c r="T2457" i="4"/>
  <c r="T2458" i="4"/>
  <c r="T2459" i="4"/>
  <c r="T2460" i="4"/>
  <c r="T2461" i="4"/>
  <c r="T2462" i="4"/>
  <c r="T2463" i="4"/>
  <c r="T2464" i="4"/>
  <c r="T2465" i="4"/>
  <c r="T2466" i="4"/>
  <c r="T2467" i="4"/>
  <c r="T2468" i="4"/>
  <c r="T2469" i="4"/>
  <c r="T2470" i="4"/>
  <c r="T2471" i="4"/>
  <c r="T2472" i="4"/>
  <c r="T2473" i="4"/>
  <c r="T2474" i="4"/>
  <c r="T2475" i="4"/>
  <c r="T2476" i="4"/>
  <c r="T2477" i="4"/>
  <c r="T2478" i="4"/>
  <c r="T2479" i="4"/>
  <c r="T2480" i="4"/>
  <c r="T2481" i="4"/>
  <c r="T2482" i="4"/>
  <c r="T2483" i="4"/>
  <c r="T2484" i="4"/>
  <c r="T2485" i="4"/>
  <c r="T2486" i="4"/>
  <c r="T2487" i="4"/>
  <c r="T2488" i="4"/>
  <c r="T2489" i="4"/>
  <c r="T2490" i="4"/>
  <c r="T2491" i="4"/>
  <c r="T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S1295" i="4"/>
  <c r="S1296" i="4"/>
  <c r="S1297" i="4"/>
  <c r="S1298" i="4"/>
  <c r="S1299" i="4"/>
  <c r="S1300" i="4"/>
  <c r="S1301" i="4"/>
  <c r="S1302" i="4"/>
  <c r="S1303" i="4"/>
  <c r="S1304" i="4"/>
  <c r="S1305" i="4"/>
  <c r="S1306" i="4"/>
  <c r="S1307" i="4"/>
  <c r="S1308" i="4"/>
  <c r="S1309" i="4"/>
  <c r="S1310" i="4"/>
  <c r="S1311" i="4"/>
  <c r="S1312" i="4"/>
  <c r="S1313" i="4"/>
  <c r="S1314" i="4"/>
  <c r="S1315" i="4"/>
  <c r="S1316" i="4"/>
  <c r="S1317" i="4"/>
  <c r="S1318" i="4"/>
  <c r="S1319" i="4"/>
  <c r="S1320" i="4"/>
  <c r="S1321" i="4"/>
  <c r="S1322" i="4"/>
  <c r="S1323" i="4"/>
  <c r="S1324" i="4"/>
  <c r="S1325" i="4"/>
  <c r="S1326" i="4"/>
  <c r="S1327" i="4"/>
  <c r="S1328" i="4"/>
  <c r="S1329" i="4"/>
  <c r="S1330" i="4"/>
  <c r="S1331" i="4"/>
  <c r="S1332" i="4"/>
  <c r="S1333" i="4"/>
  <c r="S1334" i="4"/>
  <c r="S1335" i="4"/>
  <c r="S1336" i="4"/>
  <c r="S1337" i="4"/>
  <c r="S1338" i="4"/>
  <c r="S1339" i="4"/>
  <c r="S1340" i="4"/>
  <c r="S1341" i="4"/>
  <c r="S1342" i="4"/>
  <c r="S1343" i="4"/>
  <c r="S1344" i="4"/>
  <c r="S1345" i="4"/>
  <c r="S1346" i="4"/>
  <c r="S1347" i="4"/>
  <c r="S1348" i="4"/>
  <c r="S1349" i="4"/>
  <c r="S1350" i="4"/>
  <c r="S1351" i="4"/>
  <c r="S1352" i="4"/>
  <c r="S1353" i="4"/>
  <c r="S1354" i="4"/>
  <c r="S1355" i="4"/>
  <c r="S1356" i="4"/>
  <c r="S1357" i="4"/>
  <c r="S1358" i="4"/>
  <c r="S1359" i="4"/>
  <c r="S1360" i="4"/>
  <c r="S1361" i="4"/>
  <c r="S1362" i="4"/>
  <c r="S1363" i="4"/>
  <c r="S1364" i="4"/>
  <c r="S1365" i="4"/>
  <c r="S1366" i="4"/>
  <c r="S1367" i="4"/>
  <c r="S1368" i="4"/>
  <c r="S1369" i="4"/>
  <c r="S1370" i="4"/>
  <c r="S1371" i="4"/>
  <c r="S1372" i="4"/>
  <c r="S1373" i="4"/>
  <c r="S1374" i="4"/>
  <c r="S1375" i="4"/>
  <c r="S1376" i="4"/>
  <c r="S1377" i="4"/>
  <c r="S1378" i="4"/>
  <c r="S1379" i="4"/>
  <c r="S1380" i="4"/>
  <c r="S1381" i="4"/>
  <c r="S1382" i="4"/>
  <c r="S1383" i="4"/>
  <c r="S1384" i="4"/>
  <c r="S1385" i="4"/>
  <c r="S1386" i="4"/>
  <c r="S1387" i="4"/>
  <c r="S1388" i="4"/>
  <c r="S1389" i="4"/>
  <c r="S1390" i="4"/>
  <c r="S1391" i="4"/>
  <c r="S1392" i="4"/>
  <c r="S1393" i="4"/>
  <c r="S1394" i="4"/>
  <c r="S1395" i="4"/>
  <c r="S1396" i="4"/>
  <c r="S1397" i="4"/>
  <c r="S1398" i="4"/>
  <c r="S1399" i="4"/>
  <c r="S1400" i="4"/>
  <c r="S1401" i="4"/>
  <c r="S1402" i="4"/>
  <c r="S1403" i="4"/>
  <c r="S1404" i="4"/>
  <c r="S1405" i="4"/>
  <c r="S1406" i="4"/>
  <c r="S1407" i="4"/>
  <c r="S1408" i="4"/>
  <c r="S1409" i="4"/>
  <c r="S1410" i="4"/>
  <c r="S1411" i="4"/>
  <c r="S1412" i="4"/>
  <c r="S1413" i="4"/>
  <c r="S1414" i="4"/>
  <c r="S1415" i="4"/>
  <c r="S1416" i="4"/>
  <c r="S1417" i="4"/>
  <c r="S1418" i="4"/>
  <c r="S1419" i="4"/>
  <c r="S1420" i="4"/>
  <c r="S1421" i="4"/>
  <c r="S1422" i="4"/>
  <c r="S1423" i="4"/>
  <c r="S1424" i="4"/>
  <c r="S1425" i="4"/>
  <c r="S1426" i="4"/>
  <c r="S1427" i="4"/>
  <c r="S1428" i="4"/>
  <c r="S1429" i="4"/>
  <c r="S1430" i="4"/>
  <c r="S1431" i="4"/>
  <c r="S1432" i="4"/>
  <c r="S1433" i="4"/>
  <c r="S1434" i="4"/>
  <c r="S1435" i="4"/>
  <c r="S1436" i="4"/>
  <c r="S1437" i="4"/>
  <c r="S1438" i="4"/>
  <c r="S1439" i="4"/>
  <c r="S1440" i="4"/>
  <c r="S1441" i="4"/>
  <c r="S1442" i="4"/>
  <c r="S1443" i="4"/>
  <c r="S1444" i="4"/>
  <c r="S1445" i="4"/>
  <c r="S1446" i="4"/>
  <c r="S1447" i="4"/>
  <c r="S1448" i="4"/>
  <c r="S1449" i="4"/>
  <c r="S1450" i="4"/>
  <c r="S1451" i="4"/>
  <c r="S1452" i="4"/>
  <c r="S1453" i="4"/>
  <c r="S1454" i="4"/>
  <c r="S1455" i="4"/>
  <c r="S1456" i="4"/>
  <c r="S1457" i="4"/>
  <c r="S1458" i="4"/>
  <c r="S1459" i="4"/>
  <c r="S1460" i="4"/>
  <c r="S1461" i="4"/>
  <c r="S1462" i="4"/>
  <c r="S1463" i="4"/>
  <c r="S1464" i="4"/>
  <c r="S1465" i="4"/>
  <c r="S1466" i="4"/>
  <c r="S1467" i="4"/>
  <c r="S1468" i="4"/>
  <c r="S1469" i="4"/>
  <c r="S1470" i="4"/>
  <c r="S1471" i="4"/>
  <c r="S1472" i="4"/>
  <c r="S1473" i="4"/>
  <c r="S1474" i="4"/>
  <c r="S1475" i="4"/>
  <c r="S1476" i="4"/>
  <c r="S1477" i="4"/>
  <c r="S1478" i="4"/>
  <c r="S1479" i="4"/>
  <c r="S1480" i="4"/>
  <c r="S1481" i="4"/>
  <c r="S1482" i="4"/>
  <c r="S1483" i="4"/>
  <c r="S1484" i="4"/>
  <c r="S1485" i="4"/>
  <c r="S1486" i="4"/>
  <c r="S1487" i="4"/>
  <c r="S1488" i="4"/>
  <c r="S1489" i="4"/>
  <c r="S1490" i="4"/>
  <c r="S1491" i="4"/>
  <c r="S1492" i="4"/>
  <c r="S1493" i="4"/>
  <c r="S1494" i="4"/>
  <c r="S1495" i="4"/>
  <c r="S1496" i="4"/>
  <c r="S1497" i="4"/>
  <c r="S1498" i="4"/>
  <c r="S1499" i="4"/>
  <c r="S1500" i="4"/>
  <c r="S1501" i="4"/>
  <c r="S1502" i="4"/>
  <c r="S1503" i="4"/>
  <c r="S1504" i="4"/>
  <c r="S1505" i="4"/>
  <c r="S1506" i="4"/>
  <c r="S1507" i="4"/>
  <c r="S1508" i="4"/>
  <c r="S1509" i="4"/>
  <c r="S1510" i="4"/>
  <c r="S1511" i="4"/>
  <c r="S1512" i="4"/>
  <c r="S1513" i="4"/>
  <c r="S1514" i="4"/>
  <c r="S1515" i="4"/>
  <c r="S1516" i="4"/>
  <c r="S1517" i="4"/>
  <c r="S1518" i="4"/>
  <c r="S1519" i="4"/>
  <c r="S1520" i="4"/>
  <c r="S1521" i="4"/>
  <c r="S1522" i="4"/>
  <c r="S1523" i="4"/>
  <c r="S1524" i="4"/>
  <c r="S1525" i="4"/>
  <c r="S1526" i="4"/>
  <c r="S1527" i="4"/>
  <c r="S1528" i="4"/>
  <c r="S1529" i="4"/>
  <c r="S1530" i="4"/>
  <c r="S1531" i="4"/>
  <c r="S1532" i="4"/>
  <c r="S1533" i="4"/>
  <c r="S1534" i="4"/>
  <c r="S1535" i="4"/>
  <c r="S1536" i="4"/>
  <c r="S1537" i="4"/>
  <c r="S1538" i="4"/>
  <c r="S1539" i="4"/>
  <c r="S1540" i="4"/>
  <c r="S1541" i="4"/>
  <c r="S1542" i="4"/>
  <c r="S1543" i="4"/>
  <c r="S1544" i="4"/>
  <c r="S1545" i="4"/>
  <c r="S1546" i="4"/>
  <c r="S1547" i="4"/>
  <c r="S1548" i="4"/>
  <c r="S1549" i="4"/>
  <c r="S1550" i="4"/>
  <c r="S1551" i="4"/>
  <c r="S1552" i="4"/>
  <c r="S1553" i="4"/>
  <c r="S1554" i="4"/>
  <c r="S1555" i="4"/>
  <c r="S1556" i="4"/>
  <c r="S1557" i="4"/>
  <c r="S1558" i="4"/>
  <c r="S1559" i="4"/>
  <c r="S1560" i="4"/>
  <c r="S1561" i="4"/>
  <c r="S1562" i="4"/>
  <c r="S1563" i="4"/>
  <c r="S1564" i="4"/>
  <c r="S1565" i="4"/>
  <c r="S1566" i="4"/>
  <c r="S1567" i="4"/>
  <c r="S1568" i="4"/>
  <c r="S1569" i="4"/>
  <c r="S1570" i="4"/>
  <c r="S1571" i="4"/>
  <c r="S1572" i="4"/>
  <c r="S1573" i="4"/>
  <c r="S1574" i="4"/>
  <c r="S1575" i="4"/>
  <c r="S1576" i="4"/>
  <c r="S1577" i="4"/>
  <c r="S1578" i="4"/>
  <c r="S1579" i="4"/>
  <c r="S1580" i="4"/>
  <c r="S1581" i="4"/>
  <c r="S1582" i="4"/>
  <c r="S1583" i="4"/>
  <c r="S1584" i="4"/>
  <c r="S1585" i="4"/>
  <c r="S1586" i="4"/>
  <c r="S1587" i="4"/>
  <c r="S1588" i="4"/>
  <c r="S1589" i="4"/>
  <c r="S1590" i="4"/>
  <c r="S1591" i="4"/>
  <c r="S1592" i="4"/>
  <c r="S1593" i="4"/>
  <c r="S1594" i="4"/>
  <c r="S1595" i="4"/>
  <c r="S1596" i="4"/>
  <c r="S1597" i="4"/>
  <c r="S1598" i="4"/>
  <c r="S1599" i="4"/>
  <c r="S1600" i="4"/>
  <c r="S1601" i="4"/>
  <c r="S1602" i="4"/>
  <c r="S1603" i="4"/>
  <c r="S1604" i="4"/>
  <c r="S1605" i="4"/>
  <c r="S1606" i="4"/>
  <c r="S1607" i="4"/>
  <c r="S1608" i="4"/>
  <c r="S1609" i="4"/>
  <c r="S1610" i="4"/>
  <c r="S1611" i="4"/>
  <c r="S1612" i="4"/>
  <c r="S1613" i="4"/>
  <c r="S1614" i="4"/>
  <c r="S1615" i="4"/>
  <c r="S1616" i="4"/>
  <c r="S1617" i="4"/>
  <c r="S1618" i="4"/>
  <c r="S1619" i="4"/>
  <c r="S1620" i="4"/>
  <c r="S1621" i="4"/>
  <c r="S1622" i="4"/>
  <c r="S1623" i="4"/>
  <c r="S1624" i="4"/>
  <c r="S1625" i="4"/>
  <c r="S1626" i="4"/>
  <c r="S1627" i="4"/>
  <c r="S1628" i="4"/>
  <c r="S1629" i="4"/>
  <c r="S1630" i="4"/>
  <c r="S1631" i="4"/>
  <c r="S1632" i="4"/>
  <c r="S1633" i="4"/>
  <c r="S1634" i="4"/>
  <c r="S1635" i="4"/>
  <c r="S1636" i="4"/>
  <c r="S1637" i="4"/>
  <c r="S1638" i="4"/>
  <c r="S1639" i="4"/>
  <c r="S1640" i="4"/>
  <c r="S1641" i="4"/>
  <c r="S1642" i="4"/>
  <c r="S1643" i="4"/>
  <c r="S1644" i="4"/>
  <c r="S1645" i="4"/>
  <c r="S1646" i="4"/>
  <c r="S1647" i="4"/>
  <c r="S1648" i="4"/>
  <c r="S1649" i="4"/>
  <c r="S1650" i="4"/>
  <c r="S1651" i="4"/>
  <c r="S1652" i="4"/>
  <c r="S1653" i="4"/>
  <c r="S1654" i="4"/>
  <c r="S1655" i="4"/>
  <c r="S1656" i="4"/>
  <c r="S1657" i="4"/>
  <c r="S1658" i="4"/>
  <c r="S1659" i="4"/>
  <c r="S1660" i="4"/>
  <c r="S1661" i="4"/>
  <c r="S1662" i="4"/>
  <c r="S1663" i="4"/>
  <c r="S1664" i="4"/>
  <c r="S1665" i="4"/>
  <c r="S1666" i="4"/>
  <c r="S1667" i="4"/>
  <c r="S1668" i="4"/>
  <c r="S1669" i="4"/>
  <c r="S1670" i="4"/>
  <c r="S1671" i="4"/>
  <c r="S1672" i="4"/>
  <c r="S1673" i="4"/>
  <c r="S1674" i="4"/>
  <c r="S1675" i="4"/>
  <c r="S1676" i="4"/>
  <c r="S1677" i="4"/>
  <c r="S1678" i="4"/>
  <c r="S1679" i="4"/>
  <c r="S1680" i="4"/>
  <c r="S1681" i="4"/>
  <c r="S1682" i="4"/>
  <c r="S1683" i="4"/>
  <c r="S1684" i="4"/>
  <c r="S1685" i="4"/>
  <c r="S1686" i="4"/>
  <c r="S1687" i="4"/>
  <c r="S1688" i="4"/>
  <c r="S1689" i="4"/>
  <c r="S1690" i="4"/>
  <c r="S1691" i="4"/>
  <c r="S1692" i="4"/>
  <c r="S1693" i="4"/>
  <c r="S1694" i="4"/>
  <c r="S1695" i="4"/>
  <c r="S1696" i="4"/>
  <c r="S1697" i="4"/>
  <c r="S1698" i="4"/>
  <c r="S1699" i="4"/>
  <c r="S1700" i="4"/>
  <c r="S1701" i="4"/>
  <c r="S1702" i="4"/>
  <c r="S1703" i="4"/>
  <c r="S1704" i="4"/>
  <c r="S1705" i="4"/>
  <c r="S1706" i="4"/>
  <c r="S1707" i="4"/>
  <c r="S1708" i="4"/>
  <c r="S1709" i="4"/>
  <c r="S1710" i="4"/>
  <c r="S1711" i="4"/>
  <c r="S1712" i="4"/>
  <c r="S1713" i="4"/>
  <c r="S1714" i="4"/>
  <c r="S1715" i="4"/>
  <c r="S1716" i="4"/>
  <c r="S1717" i="4"/>
  <c r="S1718" i="4"/>
  <c r="S1719" i="4"/>
  <c r="S1720" i="4"/>
  <c r="S1721" i="4"/>
  <c r="S1722" i="4"/>
  <c r="S1723" i="4"/>
  <c r="S1724" i="4"/>
  <c r="S1725" i="4"/>
  <c r="S1726" i="4"/>
  <c r="S1727" i="4"/>
  <c r="S1728" i="4"/>
  <c r="S1729" i="4"/>
  <c r="S1730" i="4"/>
  <c r="S1731" i="4"/>
  <c r="S1732" i="4"/>
  <c r="S1733" i="4"/>
  <c r="S1734" i="4"/>
  <c r="S1735" i="4"/>
  <c r="S1736" i="4"/>
  <c r="S1737" i="4"/>
  <c r="S1738" i="4"/>
  <c r="S1739" i="4"/>
  <c r="S1740" i="4"/>
  <c r="S1741" i="4"/>
  <c r="S1742" i="4"/>
  <c r="S1743" i="4"/>
  <c r="S1744" i="4"/>
  <c r="S1745" i="4"/>
  <c r="S1746" i="4"/>
  <c r="S1747" i="4"/>
  <c r="S1748" i="4"/>
  <c r="S1749" i="4"/>
  <c r="S1750" i="4"/>
  <c r="S1751" i="4"/>
  <c r="S1752" i="4"/>
  <c r="S1753" i="4"/>
  <c r="S1754" i="4"/>
  <c r="S1755" i="4"/>
  <c r="S1756" i="4"/>
  <c r="S1757" i="4"/>
  <c r="S1758" i="4"/>
  <c r="S1759" i="4"/>
  <c r="S1760" i="4"/>
  <c r="S1761" i="4"/>
  <c r="S1762" i="4"/>
  <c r="S1763" i="4"/>
  <c r="S1764" i="4"/>
  <c r="S1765" i="4"/>
  <c r="S1766" i="4"/>
  <c r="S1767" i="4"/>
  <c r="S1768" i="4"/>
  <c r="S1769" i="4"/>
  <c r="S1770" i="4"/>
  <c r="S1771" i="4"/>
  <c r="S1772" i="4"/>
  <c r="S1773" i="4"/>
  <c r="S1774" i="4"/>
  <c r="S1775" i="4"/>
  <c r="S1776" i="4"/>
  <c r="S1777" i="4"/>
  <c r="S1778" i="4"/>
  <c r="S1779" i="4"/>
  <c r="S1780" i="4"/>
  <c r="S1781" i="4"/>
  <c r="S1782" i="4"/>
  <c r="S1783" i="4"/>
  <c r="S1784" i="4"/>
  <c r="S1785" i="4"/>
  <c r="S1786" i="4"/>
  <c r="S1787" i="4"/>
  <c r="S1788" i="4"/>
  <c r="S1789" i="4"/>
  <c r="S1790" i="4"/>
  <c r="S1791" i="4"/>
  <c r="S1792" i="4"/>
  <c r="S1793" i="4"/>
  <c r="S1794" i="4"/>
  <c r="S1795" i="4"/>
  <c r="S1796" i="4"/>
  <c r="S1797" i="4"/>
  <c r="S1798" i="4"/>
  <c r="S1799" i="4"/>
  <c r="S1800" i="4"/>
  <c r="S1801" i="4"/>
  <c r="S1802" i="4"/>
  <c r="S1803" i="4"/>
  <c r="S1804" i="4"/>
  <c r="S1805" i="4"/>
  <c r="S1806" i="4"/>
  <c r="S1807" i="4"/>
  <c r="S1808" i="4"/>
  <c r="S1809" i="4"/>
  <c r="S1810" i="4"/>
  <c r="S1811" i="4"/>
  <c r="S1812" i="4"/>
  <c r="S1813" i="4"/>
  <c r="S1814" i="4"/>
  <c r="S1815" i="4"/>
  <c r="S1816" i="4"/>
  <c r="S1817" i="4"/>
  <c r="S1818" i="4"/>
  <c r="S1819" i="4"/>
  <c r="S1820" i="4"/>
  <c r="S1821" i="4"/>
  <c r="S1822" i="4"/>
  <c r="S1823" i="4"/>
  <c r="S1824" i="4"/>
  <c r="S1825" i="4"/>
  <c r="S1826" i="4"/>
  <c r="S1827" i="4"/>
  <c r="S1828" i="4"/>
  <c r="S1829" i="4"/>
  <c r="S1830" i="4"/>
  <c r="S1831" i="4"/>
  <c r="S1832" i="4"/>
  <c r="S1833" i="4"/>
  <c r="S1834" i="4"/>
  <c r="S1835" i="4"/>
  <c r="S1836" i="4"/>
  <c r="S1837" i="4"/>
  <c r="S1838" i="4"/>
  <c r="S1839" i="4"/>
  <c r="S1840" i="4"/>
  <c r="S1841" i="4"/>
  <c r="S1842" i="4"/>
  <c r="S1843" i="4"/>
  <c r="S1844" i="4"/>
  <c r="S1845" i="4"/>
  <c r="S1846" i="4"/>
  <c r="S1847" i="4"/>
  <c r="S1848" i="4"/>
  <c r="S1849" i="4"/>
  <c r="S1850" i="4"/>
  <c r="S1851" i="4"/>
  <c r="S1852" i="4"/>
  <c r="S1853" i="4"/>
  <c r="S1854" i="4"/>
  <c r="S1855" i="4"/>
  <c r="S1856" i="4"/>
  <c r="S1857" i="4"/>
  <c r="S1858" i="4"/>
  <c r="S1859" i="4"/>
  <c r="S1860" i="4"/>
  <c r="S1861" i="4"/>
  <c r="S1862" i="4"/>
  <c r="S1863" i="4"/>
  <c r="S1864" i="4"/>
  <c r="S1865" i="4"/>
  <c r="S1866" i="4"/>
  <c r="S1867" i="4"/>
  <c r="S1868" i="4"/>
  <c r="S1869" i="4"/>
  <c r="S1870" i="4"/>
  <c r="S1871" i="4"/>
  <c r="S1872" i="4"/>
  <c r="S1873" i="4"/>
  <c r="S1874" i="4"/>
  <c r="S1875" i="4"/>
  <c r="S1876" i="4"/>
  <c r="S1877" i="4"/>
  <c r="S1878" i="4"/>
  <c r="S1879" i="4"/>
  <c r="S1880" i="4"/>
  <c r="S1881" i="4"/>
  <c r="S1882" i="4"/>
  <c r="S1883" i="4"/>
  <c r="S1884" i="4"/>
  <c r="S1885" i="4"/>
  <c r="S1886" i="4"/>
  <c r="S1887" i="4"/>
  <c r="S1888" i="4"/>
  <c r="S1889" i="4"/>
  <c r="S1890" i="4"/>
  <c r="S1891" i="4"/>
  <c r="S1892" i="4"/>
  <c r="S1893" i="4"/>
  <c r="S1894" i="4"/>
  <c r="S1895" i="4"/>
  <c r="S1896" i="4"/>
  <c r="S1897" i="4"/>
  <c r="S1898" i="4"/>
  <c r="S1899" i="4"/>
  <c r="S1900" i="4"/>
  <c r="S1901" i="4"/>
  <c r="S1902" i="4"/>
  <c r="S1903" i="4"/>
  <c r="S1904" i="4"/>
  <c r="S1905" i="4"/>
  <c r="S1906" i="4"/>
  <c r="S1907" i="4"/>
  <c r="S1908" i="4"/>
  <c r="S1909" i="4"/>
  <c r="S1910" i="4"/>
  <c r="S1911" i="4"/>
  <c r="S1912" i="4"/>
  <c r="S1913" i="4"/>
  <c r="S1914" i="4"/>
  <c r="S1915" i="4"/>
  <c r="S1916" i="4"/>
  <c r="S1917" i="4"/>
  <c r="S1918" i="4"/>
  <c r="S1919" i="4"/>
  <c r="S1920" i="4"/>
  <c r="S1921" i="4"/>
  <c r="S1922" i="4"/>
  <c r="S1923" i="4"/>
  <c r="S1924" i="4"/>
  <c r="S1925" i="4"/>
  <c r="S1926" i="4"/>
  <c r="S1927" i="4"/>
  <c r="S1928" i="4"/>
  <c r="S1929" i="4"/>
  <c r="S1930" i="4"/>
  <c r="S1931" i="4"/>
  <c r="S1932" i="4"/>
  <c r="S1933" i="4"/>
  <c r="S1934" i="4"/>
  <c r="S1935" i="4"/>
  <c r="S1936" i="4"/>
  <c r="S1937" i="4"/>
  <c r="S1938" i="4"/>
  <c r="S1939" i="4"/>
  <c r="S1940" i="4"/>
  <c r="S1941" i="4"/>
  <c r="S1942" i="4"/>
  <c r="S1943" i="4"/>
  <c r="S1944" i="4"/>
  <c r="S1945" i="4"/>
  <c r="S1946" i="4"/>
  <c r="S1947" i="4"/>
  <c r="S1948" i="4"/>
  <c r="S1949" i="4"/>
  <c r="S1950" i="4"/>
  <c r="S1951" i="4"/>
  <c r="S1952" i="4"/>
  <c r="S1953" i="4"/>
  <c r="S1954" i="4"/>
  <c r="S1955" i="4"/>
  <c r="S1956" i="4"/>
  <c r="S1957" i="4"/>
  <c r="S1958" i="4"/>
  <c r="S1959" i="4"/>
  <c r="S1960" i="4"/>
  <c r="S1961" i="4"/>
  <c r="S1962" i="4"/>
  <c r="S1963" i="4"/>
  <c r="S1964" i="4"/>
  <c r="S1965" i="4"/>
  <c r="S1966" i="4"/>
  <c r="S1967" i="4"/>
  <c r="S1968" i="4"/>
  <c r="S1969" i="4"/>
  <c r="S1970" i="4"/>
  <c r="S1971" i="4"/>
  <c r="S1972" i="4"/>
  <c r="S1973" i="4"/>
  <c r="S1974" i="4"/>
  <c r="S1975" i="4"/>
  <c r="S1976" i="4"/>
  <c r="S1977" i="4"/>
  <c r="S1978" i="4"/>
  <c r="S1979" i="4"/>
  <c r="S1980" i="4"/>
  <c r="S1981" i="4"/>
  <c r="S1982" i="4"/>
  <c r="S1983" i="4"/>
  <c r="S1984" i="4"/>
  <c r="S1985" i="4"/>
  <c r="S1986" i="4"/>
  <c r="S1987" i="4"/>
  <c r="S1988" i="4"/>
  <c r="S1989" i="4"/>
  <c r="S1990" i="4"/>
  <c r="S1991" i="4"/>
  <c r="S1992" i="4"/>
  <c r="S1993" i="4"/>
  <c r="S1994" i="4"/>
  <c r="S1995" i="4"/>
  <c r="S1996" i="4"/>
  <c r="S1997" i="4"/>
  <c r="S1998" i="4"/>
  <c r="S1999" i="4"/>
  <c r="S2000" i="4"/>
  <c r="S2001" i="4"/>
  <c r="S2002" i="4"/>
  <c r="S2003" i="4"/>
  <c r="S2004" i="4"/>
  <c r="S2005" i="4"/>
  <c r="S2006" i="4"/>
  <c r="S2007" i="4"/>
  <c r="S2008" i="4"/>
  <c r="S2009" i="4"/>
  <c r="S2010" i="4"/>
  <c r="S2011" i="4"/>
  <c r="S2012" i="4"/>
  <c r="S2013" i="4"/>
  <c r="S2014" i="4"/>
  <c r="S2015" i="4"/>
  <c r="S2016" i="4"/>
  <c r="S2017" i="4"/>
  <c r="S2018" i="4"/>
  <c r="S2019" i="4"/>
  <c r="S2020" i="4"/>
  <c r="S2021" i="4"/>
  <c r="S2022" i="4"/>
  <c r="S2023" i="4"/>
  <c r="S2024" i="4"/>
  <c r="S2025" i="4"/>
  <c r="S2026" i="4"/>
  <c r="S2027" i="4"/>
  <c r="S2028" i="4"/>
  <c r="S2029" i="4"/>
  <c r="S2030" i="4"/>
  <c r="S2031" i="4"/>
  <c r="S2032" i="4"/>
  <c r="S2033" i="4"/>
  <c r="S2034" i="4"/>
  <c r="S2035" i="4"/>
  <c r="S2036" i="4"/>
  <c r="S2037" i="4"/>
  <c r="S2038" i="4"/>
  <c r="S2039" i="4"/>
  <c r="S2040" i="4"/>
  <c r="S2041" i="4"/>
  <c r="S2042" i="4"/>
  <c r="S2043" i="4"/>
  <c r="S2044" i="4"/>
  <c r="S2045" i="4"/>
  <c r="S2046" i="4"/>
  <c r="S2047" i="4"/>
  <c r="S2048" i="4"/>
  <c r="S2049" i="4"/>
  <c r="S2050" i="4"/>
  <c r="S2051" i="4"/>
  <c r="S2052" i="4"/>
  <c r="S2053" i="4"/>
  <c r="S2054" i="4"/>
  <c r="S2055" i="4"/>
  <c r="S2056" i="4"/>
  <c r="S2057" i="4"/>
  <c r="S2058" i="4"/>
  <c r="S2059" i="4"/>
  <c r="S2060" i="4"/>
  <c r="S2061" i="4"/>
  <c r="S2062" i="4"/>
  <c r="S2063" i="4"/>
  <c r="S2064" i="4"/>
  <c r="S2065" i="4"/>
  <c r="S2066" i="4"/>
  <c r="S2067" i="4"/>
  <c r="S2068" i="4"/>
  <c r="S2069" i="4"/>
  <c r="S2070" i="4"/>
  <c r="S2071" i="4"/>
  <c r="S2072" i="4"/>
  <c r="S2073" i="4"/>
  <c r="S2074" i="4"/>
  <c r="S2075" i="4"/>
  <c r="S2076" i="4"/>
  <c r="S2077" i="4"/>
  <c r="S2078" i="4"/>
  <c r="S2079" i="4"/>
  <c r="S2080" i="4"/>
  <c r="S2081" i="4"/>
  <c r="S2082" i="4"/>
  <c r="S2083" i="4"/>
  <c r="S2084" i="4"/>
  <c r="S2085" i="4"/>
  <c r="S2086" i="4"/>
  <c r="S2087" i="4"/>
  <c r="S2088" i="4"/>
  <c r="S2089" i="4"/>
  <c r="S2090" i="4"/>
  <c r="S2091" i="4"/>
  <c r="S2092" i="4"/>
  <c r="S2093" i="4"/>
  <c r="S2094" i="4"/>
  <c r="S2095" i="4"/>
  <c r="S2096" i="4"/>
  <c r="S2097" i="4"/>
  <c r="S2098" i="4"/>
  <c r="S2099" i="4"/>
  <c r="S2100" i="4"/>
  <c r="S2101" i="4"/>
  <c r="S2102" i="4"/>
  <c r="S2103" i="4"/>
  <c r="S2104" i="4"/>
  <c r="S2105" i="4"/>
  <c r="S2106" i="4"/>
  <c r="S2107" i="4"/>
  <c r="S2108" i="4"/>
  <c r="S2109" i="4"/>
  <c r="S2110" i="4"/>
  <c r="S2111" i="4"/>
  <c r="S2112" i="4"/>
  <c r="S2113" i="4"/>
  <c r="S2114" i="4"/>
  <c r="S2115" i="4"/>
  <c r="S2116" i="4"/>
  <c r="S2117" i="4"/>
  <c r="S2118" i="4"/>
  <c r="S2119" i="4"/>
  <c r="S2120" i="4"/>
  <c r="S2121" i="4"/>
  <c r="S2122" i="4"/>
  <c r="S2123" i="4"/>
  <c r="S2124" i="4"/>
  <c r="S2125" i="4"/>
  <c r="S2126" i="4"/>
  <c r="S2127" i="4"/>
  <c r="S2128" i="4"/>
  <c r="S2129" i="4"/>
  <c r="S2130" i="4"/>
  <c r="S2131" i="4"/>
  <c r="S2132" i="4"/>
  <c r="S2133" i="4"/>
  <c r="S2134" i="4"/>
  <c r="S2135" i="4"/>
  <c r="S2136" i="4"/>
  <c r="S2137" i="4"/>
  <c r="S2138" i="4"/>
  <c r="S2139" i="4"/>
  <c r="S2140" i="4"/>
  <c r="S2141" i="4"/>
  <c r="S2142" i="4"/>
  <c r="S2143" i="4"/>
  <c r="S2144" i="4"/>
  <c r="S2145" i="4"/>
  <c r="S2146" i="4"/>
  <c r="S2147" i="4"/>
  <c r="S2148" i="4"/>
  <c r="S2149" i="4"/>
  <c r="S2150" i="4"/>
  <c r="S2151" i="4"/>
  <c r="S2152" i="4"/>
  <c r="S2153" i="4"/>
  <c r="S2154" i="4"/>
  <c r="S2155" i="4"/>
  <c r="S2156" i="4"/>
  <c r="S2157" i="4"/>
  <c r="S2158" i="4"/>
  <c r="S2159" i="4"/>
  <c r="S2160" i="4"/>
  <c r="S2161" i="4"/>
  <c r="S2162" i="4"/>
  <c r="S2163" i="4"/>
  <c r="S2164" i="4"/>
  <c r="S2165" i="4"/>
  <c r="S2166" i="4"/>
  <c r="S2167" i="4"/>
  <c r="S2168" i="4"/>
  <c r="S2169" i="4"/>
  <c r="S2170" i="4"/>
  <c r="S2171" i="4"/>
  <c r="S2172" i="4"/>
  <c r="S2173" i="4"/>
  <c r="S2174" i="4"/>
  <c r="S2175" i="4"/>
  <c r="S2176" i="4"/>
  <c r="S2177" i="4"/>
  <c r="S2178" i="4"/>
  <c r="S2179" i="4"/>
  <c r="S2180" i="4"/>
  <c r="S2181" i="4"/>
  <c r="S2182" i="4"/>
  <c r="S2183" i="4"/>
  <c r="S2184" i="4"/>
  <c r="S2185" i="4"/>
  <c r="S2186" i="4"/>
  <c r="S2187" i="4"/>
  <c r="S2188" i="4"/>
  <c r="S2189" i="4"/>
  <c r="S2190" i="4"/>
  <c r="S2191" i="4"/>
  <c r="S2192" i="4"/>
  <c r="S2193" i="4"/>
  <c r="S2194" i="4"/>
  <c r="S2195" i="4"/>
  <c r="S2196" i="4"/>
  <c r="S2197" i="4"/>
  <c r="S2198" i="4"/>
  <c r="S2199" i="4"/>
  <c r="S2200" i="4"/>
  <c r="S2201" i="4"/>
  <c r="S2202" i="4"/>
  <c r="S2203" i="4"/>
  <c r="S2204" i="4"/>
  <c r="S2205" i="4"/>
  <c r="S2206" i="4"/>
  <c r="S2207" i="4"/>
  <c r="S2208" i="4"/>
  <c r="S2209" i="4"/>
  <c r="S2210" i="4"/>
  <c r="S2211" i="4"/>
  <c r="S2212" i="4"/>
  <c r="S2213" i="4"/>
  <c r="S2214" i="4"/>
  <c r="S2215" i="4"/>
  <c r="S2216" i="4"/>
  <c r="S2217" i="4"/>
  <c r="S2218" i="4"/>
  <c r="S2219" i="4"/>
  <c r="S2220" i="4"/>
  <c r="S2221" i="4"/>
  <c r="S2222" i="4"/>
  <c r="S2223" i="4"/>
  <c r="S2224" i="4"/>
  <c r="S2225" i="4"/>
  <c r="S2226" i="4"/>
  <c r="S2227" i="4"/>
  <c r="S2228" i="4"/>
  <c r="S2229" i="4"/>
  <c r="S2230" i="4"/>
  <c r="S2231" i="4"/>
  <c r="S2232" i="4"/>
  <c r="S2233" i="4"/>
  <c r="S2234" i="4"/>
  <c r="S2235" i="4"/>
  <c r="S2236" i="4"/>
  <c r="S2237" i="4"/>
  <c r="S2238" i="4"/>
  <c r="S2239" i="4"/>
  <c r="S2240" i="4"/>
  <c r="S2241" i="4"/>
  <c r="S2242" i="4"/>
  <c r="S2243" i="4"/>
  <c r="S2244" i="4"/>
  <c r="S2245" i="4"/>
  <c r="S2246" i="4"/>
  <c r="S2247" i="4"/>
  <c r="S2248" i="4"/>
  <c r="S2249" i="4"/>
  <c r="S2250" i="4"/>
  <c r="S2251" i="4"/>
  <c r="S2252" i="4"/>
  <c r="S2253" i="4"/>
  <c r="S2254" i="4"/>
  <c r="S2255" i="4"/>
  <c r="S2256" i="4"/>
  <c r="S2257" i="4"/>
  <c r="S2258" i="4"/>
  <c r="S2259" i="4"/>
  <c r="S2260" i="4"/>
  <c r="S2261" i="4"/>
  <c r="S2262" i="4"/>
  <c r="S2263" i="4"/>
  <c r="S2264" i="4"/>
  <c r="S2265" i="4"/>
  <c r="S2266" i="4"/>
  <c r="S2267" i="4"/>
  <c r="S2268" i="4"/>
  <c r="S2269" i="4"/>
  <c r="S2270" i="4"/>
  <c r="S2271" i="4"/>
  <c r="S2272" i="4"/>
  <c r="S2273" i="4"/>
  <c r="S2274" i="4"/>
  <c r="S2275" i="4"/>
  <c r="S2276" i="4"/>
  <c r="S2277" i="4"/>
  <c r="S2278" i="4"/>
  <c r="S2279" i="4"/>
  <c r="S2280" i="4"/>
  <c r="S2281" i="4"/>
  <c r="S2282" i="4"/>
  <c r="S2283" i="4"/>
  <c r="S2284" i="4"/>
  <c r="S2285" i="4"/>
  <c r="S2286" i="4"/>
  <c r="S2287" i="4"/>
  <c r="S2288" i="4"/>
  <c r="S2289" i="4"/>
  <c r="S2290" i="4"/>
  <c r="S2291" i="4"/>
  <c r="S2292" i="4"/>
  <c r="S2293" i="4"/>
  <c r="S2294" i="4"/>
  <c r="S2295" i="4"/>
  <c r="S2296" i="4"/>
  <c r="S2297" i="4"/>
  <c r="S2298" i="4"/>
  <c r="S2299" i="4"/>
  <c r="S2300" i="4"/>
  <c r="S2301" i="4"/>
  <c r="S2302" i="4"/>
  <c r="S2303" i="4"/>
  <c r="S2304" i="4"/>
  <c r="S2305" i="4"/>
  <c r="S2306" i="4"/>
  <c r="S2307" i="4"/>
  <c r="S2308" i="4"/>
  <c r="S2309" i="4"/>
  <c r="S2310" i="4"/>
  <c r="S2311" i="4"/>
  <c r="S2312" i="4"/>
  <c r="S2313" i="4"/>
  <c r="S2314" i="4"/>
  <c r="S2315" i="4"/>
  <c r="S2316" i="4"/>
  <c r="S2317" i="4"/>
  <c r="S2318" i="4"/>
  <c r="S2319" i="4"/>
  <c r="S2320" i="4"/>
  <c r="S2321" i="4"/>
  <c r="S2322" i="4"/>
  <c r="S2323" i="4"/>
  <c r="S2324" i="4"/>
  <c r="S2325" i="4"/>
  <c r="S2326" i="4"/>
  <c r="S2327" i="4"/>
  <c r="S2328" i="4"/>
  <c r="S2329" i="4"/>
  <c r="S2330" i="4"/>
  <c r="S2331" i="4"/>
  <c r="S2332" i="4"/>
  <c r="S2333" i="4"/>
  <c r="S2334" i="4"/>
  <c r="S2335" i="4"/>
  <c r="S2336" i="4"/>
  <c r="S2337" i="4"/>
  <c r="S2338" i="4"/>
  <c r="S2339" i="4"/>
  <c r="S2340" i="4"/>
  <c r="S2341" i="4"/>
  <c r="S2342" i="4"/>
  <c r="S2343" i="4"/>
  <c r="S2344" i="4"/>
  <c r="S2345" i="4"/>
  <c r="S2346" i="4"/>
  <c r="S2347" i="4"/>
  <c r="S2348" i="4"/>
  <c r="S2349" i="4"/>
  <c r="S2350" i="4"/>
  <c r="S2351" i="4"/>
  <c r="S2352" i="4"/>
  <c r="S2353" i="4"/>
  <c r="S2354" i="4"/>
  <c r="S2355" i="4"/>
  <c r="S2356" i="4"/>
  <c r="S2357" i="4"/>
  <c r="S2358" i="4"/>
  <c r="S2359" i="4"/>
  <c r="S2360" i="4"/>
  <c r="S2361" i="4"/>
  <c r="S2362" i="4"/>
  <c r="S2363" i="4"/>
  <c r="S2364" i="4"/>
  <c r="S2365" i="4"/>
  <c r="S2366" i="4"/>
  <c r="S2367" i="4"/>
  <c r="S2368" i="4"/>
  <c r="S2369" i="4"/>
  <c r="S2370" i="4"/>
  <c r="S2371" i="4"/>
  <c r="S2372" i="4"/>
  <c r="S2373" i="4"/>
  <c r="S2374" i="4"/>
  <c r="S2375" i="4"/>
  <c r="S2376" i="4"/>
  <c r="S2377" i="4"/>
  <c r="S2378" i="4"/>
  <c r="S2379" i="4"/>
  <c r="S2380" i="4"/>
  <c r="S2381" i="4"/>
  <c r="S2382" i="4"/>
  <c r="S2383" i="4"/>
  <c r="S2384" i="4"/>
  <c r="S2385" i="4"/>
  <c r="S2386" i="4"/>
  <c r="S2387" i="4"/>
  <c r="S2388" i="4"/>
  <c r="S2389" i="4"/>
  <c r="S2390" i="4"/>
  <c r="S2391" i="4"/>
  <c r="S2392" i="4"/>
  <c r="S2393" i="4"/>
  <c r="S2394" i="4"/>
  <c r="S2395" i="4"/>
  <c r="S2396" i="4"/>
  <c r="S2397" i="4"/>
  <c r="S2398" i="4"/>
  <c r="S2399" i="4"/>
  <c r="S2400" i="4"/>
  <c r="S2401" i="4"/>
  <c r="S2402" i="4"/>
  <c r="S2403" i="4"/>
  <c r="S2404" i="4"/>
  <c r="S2405" i="4"/>
  <c r="S2406" i="4"/>
  <c r="S2407" i="4"/>
  <c r="S2408" i="4"/>
  <c r="S2409" i="4"/>
  <c r="S2410" i="4"/>
  <c r="S2411" i="4"/>
  <c r="S2412" i="4"/>
  <c r="S2413" i="4"/>
  <c r="S2414" i="4"/>
  <c r="S2415" i="4"/>
  <c r="S2416" i="4"/>
  <c r="S2417" i="4"/>
  <c r="S2418" i="4"/>
  <c r="S2419" i="4"/>
  <c r="S2420" i="4"/>
  <c r="S2421" i="4"/>
  <c r="S2422" i="4"/>
  <c r="S2423" i="4"/>
  <c r="S2424" i="4"/>
  <c r="S2425" i="4"/>
  <c r="S2426" i="4"/>
  <c r="S2427" i="4"/>
  <c r="S2428" i="4"/>
  <c r="S2429" i="4"/>
  <c r="S2430" i="4"/>
  <c r="S2431" i="4"/>
  <c r="S2432" i="4"/>
  <c r="S2433" i="4"/>
  <c r="S2434" i="4"/>
  <c r="S2435" i="4"/>
  <c r="S2436" i="4"/>
  <c r="S2437" i="4"/>
  <c r="S2438" i="4"/>
  <c r="S2439" i="4"/>
  <c r="S2440" i="4"/>
  <c r="S2441" i="4"/>
  <c r="S2442" i="4"/>
  <c r="S2443" i="4"/>
  <c r="S2444" i="4"/>
  <c r="S2445" i="4"/>
  <c r="S2446" i="4"/>
  <c r="S2447" i="4"/>
  <c r="S2448" i="4"/>
  <c r="S2449" i="4"/>
  <c r="S2450" i="4"/>
  <c r="S2451" i="4"/>
  <c r="S2452" i="4"/>
  <c r="S2453" i="4"/>
  <c r="S2454" i="4"/>
  <c r="S2455" i="4"/>
  <c r="S2456" i="4"/>
  <c r="S2457" i="4"/>
  <c r="S2458" i="4"/>
  <c r="S2459" i="4"/>
  <c r="S2460" i="4"/>
  <c r="S2461" i="4"/>
  <c r="S2462" i="4"/>
  <c r="S2463" i="4"/>
  <c r="S2464" i="4"/>
  <c r="S2465" i="4"/>
  <c r="S2466" i="4"/>
  <c r="S2467" i="4"/>
  <c r="S2468" i="4"/>
  <c r="S2469" i="4"/>
  <c r="S2470" i="4"/>
  <c r="S2471" i="4"/>
  <c r="S2472" i="4"/>
  <c r="S2473" i="4"/>
  <c r="S2474" i="4"/>
  <c r="S2475" i="4"/>
  <c r="S2476" i="4"/>
  <c r="S2477" i="4"/>
  <c r="S2478" i="4"/>
  <c r="S2479" i="4"/>
  <c r="S2480" i="4"/>
  <c r="S2481" i="4"/>
  <c r="S2482" i="4"/>
  <c r="S2483" i="4"/>
  <c r="S2484" i="4"/>
  <c r="S2485" i="4"/>
  <c r="S2486" i="4"/>
  <c r="S2487" i="4"/>
  <c r="S2488" i="4"/>
  <c r="S2489" i="4"/>
  <c r="S2490" i="4"/>
  <c r="S2491" i="4"/>
  <c r="S2" i="4"/>
  <c r="R2491" i="4"/>
  <c r="R2490" i="4"/>
  <c r="R2489" i="4"/>
  <c r="R2488" i="4"/>
  <c r="R2487" i="4"/>
  <c r="R2486" i="4"/>
  <c r="R2485" i="4"/>
  <c r="R2484" i="4"/>
  <c r="R2483" i="4"/>
  <c r="R2482" i="4"/>
  <c r="R2481" i="4"/>
  <c r="R2480" i="4"/>
  <c r="R2479" i="4"/>
  <c r="R2478" i="4"/>
  <c r="R2477" i="4"/>
  <c r="R2476" i="4"/>
  <c r="R2475" i="4"/>
  <c r="R2474" i="4"/>
  <c r="R2473" i="4"/>
  <c r="R2472" i="4"/>
  <c r="R2471" i="4"/>
  <c r="R2470" i="4"/>
  <c r="R2469" i="4"/>
  <c r="R2468" i="4"/>
  <c r="R2467" i="4"/>
  <c r="R2466" i="4"/>
  <c r="R2465" i="4"/>
  <c r="R2464" i="4"/>
  <c r="R2463" i="4"/>
  <c r="R2462" i="4"/>
  <c r="R2461" i="4"/>
  <c r="R2460" i="4"/>
  <c r="R2459" i="4"/>
  <c r="R2458" i="4"/>
  <c r="R2457" i="4"/>
  <c r="R2456" i="4"/>
  <c r="R2455" i="4"/>
  <c r="R2454" i="4"/>
  <c r="R2453" i="4"/>
  <c r="R2452" i="4"/>
  <c r="R2451" i="4"/>
  <c r="R2450" i="4"/>
  <c r="R2449" i="4"/>
  <c r="R2448" i="4"/>
  <c r="R2447" i="4"/>
  <c r="R2446" i="4"/>
  <c r="R2445" i="4"/>
  <c r="R2444" i="4"/>
  <c r="R2443" i="4"/>
  <c r="R2442" i="4"/>
  <c r="R2441" i="4"/>
  <c r="R2440" i="4"/>
  <c r="R2439" i="4"/>
  <c r="R2438" i="4"/>
  <c r="R2437" i="4"/>
  <c r="R2436" i="4"/>
  <c r="R2435" i="4"/>
  <c r="R2434" i="4"/>
  <c r="R2433" i="4"/>
  <c r="R2432" i="4"/>
  <c r="R2431" i="4"/>
  <c r="R2430" i="4"/>
  <c r="R2429" i="4"/>
  <c r="R2428" i="4"/>
  <c r="R2427" i="4"/>
  <c r="R2426" i="4"/>
  <c r="R2425" i="4"/>
  <c r="R2424" i="4"/>
  <c r="R2423" i="4"/>
  <c r="R2422" i="4"/>
  <c r="R2421" i="4"/>
  <c r="R2420" i="4"/>
  <c r="R2419" i="4"/>
  <c r="R2418" i="4"/>
  <c r="R2417" i="4"/>
  <c r="R2416" i="4"/>
  <c r="R2415" i="4"/>
  <c r="R2414" i="4"/>
  <c r="R2413" i="4"/>
  <c r="R2412" i="4"/>
  <c r="R2411" i="4"/>
  <c r="R2410" i="4"/>
  <c r="R2409" i="4"/>
  <c r="R2408" i="4"/>
  <c r="R2407" i="4"/>
  <c r="R2406" i="4"/>
  <c r="R2405" i="4"/>
  <c r="R2404" i="4"/>
  <c r="R2403" i="4"/>
  <c r="R2402" i="4"/>
  <c r="R2401" i="4"/>
  <c r="R2400" i="4"/>
  <c r="R2399" i="4"/>
  <c r="R2398" i="4"/>
  <c r="R2397" i="4"/>
  <c r="R2396" i="4"/>
  <c r="R2395" i="4"/>
  <c r="R2394" i="4"/>
  <c r="R2393" i="4"/>
  <c r="R2392" i="4"/>
  <c r="R2391" i="4"/>
  <c r="R2390" i="4"/>
  <c r="R2389" i="4"/>
  <c r="R2388" i="4"/>
  <c r="R2387" i="4"/>
  <c r="R2386" i="4"/>
  <c r="R2385" i="4"/>
  <c r="R2384" i="4"/>
  <c r="R2383" i="4"/>
  <c r="R2382" i="4"/>
  <c r="R2381" i="4"/>
  <c r="R2380" i="4"/>
  <c r="R2379" i="4"/>
  <c r="R2378" i="4"/>
  <c r="R2377" i="4"/>
  <c r="R2376" i="4"/>
  <c r="R2375" i="4"/>
  <c r="R2374" i="4"/>
  <c r="R2373" i="4"/>
  <c r="R2372" i="4"/>
  <c r="R2371" i="4"/>
  <c r="R2370" i="4"/>
  <c r="R2369" i="4"/>
  <c r="R2368" i="4"/>
  <c r="R2367" i="4"/>
  <c r="R2366" i="4"/>
  <c r="R2365" i="4"/>
  <c r="R2364" i="4"/>
  <c r="R2363" i="4"/>
  <c r="R2362" i="4"/>
  <c r="R2361" i="4"/>
  <c r="R2360" i="4"/>
  <c r="R2359" i="4"/>
  <c r="R2358" i="4"/>
  <c r="R2357" i="4"/>
  <c r="R2356" i="4"/>
  <c r="R2355" i="4"/>
  <c r="R2354" i="4"/>
  <c r="R2353" i="4"/>
  <c r="R2352" i="4"/>
  <c r="R2351" i="4"/>
  <c r="R2350" i="4"/>
  <c r="R2349" i="4"/>
  <c r="R2348" i="4"/>
  <c r="R2347" i="4"/>
  <c r="R2346" i="4"/>
  <c r="R2345" i="4"/>
  <c r="R2344" i="4"/>
  <c r="R2343" i="4"/>
  <c r="R2342" i="4"/>
  <c r="R2341" i="4"/>
  <c r="R2340" i="4"/>
  <c r="R2339" i="4"/>
  <c r="R2338" i="4"/>
  <c r="R2337" i="4"/>
  <c r="R2336" i="4"/>
  <c r="R2335" i="4"/>
  <c r="R2334" i="4"/>
  <c r="R2333" i="4"/>
  <c r="R2332" i="4"/>
  <c r="R2331" i="4"/>
  <c r="R2330" i="4"/>
  <c r="R2329" i="4"/>
  <c r="R2328" i="4"/>
  <c r="R2327" i="4"/>
  <c r="R2326" i="4"/>
  <c r="R2325" i="4"/>
  <c r="R2324" i="4"/>
  <c r="R2323" i="4"/>
  <c r="R2322" i="4"/>
  <c r="R2321" i="4"/>
  <c r="R2320" i="4"/>
  <c r="R2319" i="4"/>
  <c r="R2318" i="4"/>
  <c r="R2317" i="4"/>
  <c r="R2316" i="4"/>
  <c r="R2315" i="4"/>
  <c r="R2314" i="4"/>
  <c r="R2313" i="4"/>
  <c r="R2312" i="4"/>
  <c r="R2311" i="4"/>
  <c r="R2310" i="4"/>
  <c r="R2309" i="4"/>
  <c r="R2308" i="4"/>
  <c r="R2307" i="4"/>
  <c r="R2306" i="4"/>
  <c r="R2305" i="4"/>
  <c r="R2304" i="4"/>
  <c r="R2303" i="4"/>
  <c r="R2302" i="4"/>
  <c r="R2301" i="4"/>
  <c r="R2300" i="4"/>
  <c r="R2299" i="4"/>
  <c r="R2298" i="4"/>
  <c r="R2297" i="4"/>
  <c r="R2296" i="4"/>
  <c r="R2295" i="4"/>
  <c r="R2294" i="4"/>
  <c r="R2293" i="4"/>
  <c r="R2292" i="4"/>
  <c r="R2291" i="4"/>
  <c r="R2290" i="4"/>
  <c r="R2289" i="4"/>
  <c r="R2288" i="4"/>
  <c r="R2287" i="4"/>
  <c r="R2286" i="4"/>
  <c r="R2285" i="4"/>
  <c r="R2284" i="4"/>
  <c r="R2283" i="4"/>
  <c r="R2282" i="4"/>
  <c r="R2281" i="4"/>
  <c r="R2280" i="4"/>
  <c r="R2279" i="4"/>
  <c r="R2278" i="4"/>
  <c r="R2277" i="4"/>
  <c r="R2276" i="4"/>
  <c r="R2275" i="4"/>
  <c r="R2274" i="4"/>
  <c r="R2273" i="4"/>
  <c r="R2272" i="4"/>
  <c r="R2271" i="4"/>
  <c r="R2270" i="4"/>
  <c r="R2269" i="4"/>
  <c r="R2268" i="4"/>
  <c r="R2267" i="4"/>
  <c r="R2266" i="4"/>
  <c r="R2265" i="4"/>
  <c r="R2264" i="4"/>
  <c r="R2263" i="4"/>
  <c r="R2262" i="4"/>
  <c r="R2261" i="4"/>
  <c r="R2260" i="4"/>
  <c r="R2259" i="4"/>
  <c r="R2258" i="4"/>
  <c r="R2257" i="4"/>
  <c r="R2256" i="4"/>
  <c r="R2255" i="4"/>
  <c r="R2254" i="4"/>
  <c r="R2253" i="4"/>
  <c r="R2252" i="4"/>
  <c r="R2251" i="4"/>
  <c r="R2250" i="4"/>
  <c r="R2249" i="4"/>
  <c r="R2248" i="4"/>
  <c r="R2247" i="4"/>
  <c r="R2246" i="4"/>
  <c r="R2245" i="4"/>
  <c r="R2244" i="4"/>
  <c r="R2243" i="4"/>
  <c r="R2242" i="4"/>
  <c r="R2241" i="4"/>
  <c r="R2240" i="4"/>
  <c r="R2239" i="4"/>
  <c r="R2238" i="4"/>
  <c r="R2237" i="4"/>
  <c r="R2236" i="4"/>
  <c r="R2235" i="4"/>
  <c r="R2234" i="4"/>
  <c r="R2233" i="4"/>
  <c r="R2232" i="4"/>
  <c r="R2231" i="4"/>
  <c r="R2230" i="4"/>
  <c r="R2229" i="4"/>
  <c r="R2228" i="4"/>
  <c r="R2227" i="4"/>
  <c r="R2226" i="4"/>
  <c r="R2225" i="4"/>
  <c r="R2224" i="4"/>
  <c r="R2223" i="4"/>
  <c r="R2222" i="4"/>
  <c r="R2221" i="4"/>
  <c r="R2220" i="4"/>
  <c r="R2219" i="4"/>
  <c r="R2218" i="4"/>
  <c r="R2217" i="4"/>
  <c r="R2216" i="4"/>
  <c r="R2215" i="4"/>
  <c r="R2214" i="4"/>
  <c r="R2213" i="4"/>
  <c r="R2212" i="4"/>
  <c r="R2211" i="4"/>
  <c r="R2210" i="4"/>
  <c r="R2209" i="4"/>
  <c r="R2208" i="4"/>
  <c r="R2207" i="4"/>
  <c r="R2206" i="4"/>
  <c r="R2205" i="4"/>
  <c r="R2204" i="4"/>
  <c r="R2203" i="4"/>
  <c r="R2202" i="4"/>
  <c r="R2201" i="4"/>
  <c r="R2200" i="4"/>
  <c r="R2199" i="4"/>
  <c r="R2198" i="4"/>
  <c r="R2197" i="4"/>
  <c r="R2196" i="4"/>
  <c r="R2195" i="4"/>
  <c r="R2194" i="4"/>
  <c r="R2193" i="4"/>
  <c r="R2192" i="4"/>
  <c r="R2191" i="4"/>
  <c r="R2190" i="4"/>
  <c r="R2189" i="4"/>
  <c r="R2188" i="4"/>
  <c r="R2187" i="4"/>
  <c r="R2186" i="4"/>
  <c r="R2185" i="4"/>
  <c r="R2184" i="4"/>
  <c r="R2183" i="4"/>
  <c r="R2182" i="4"/>
  <c r="R2181" i="4"/>
  <c r="R2180" i="4"/>
  <c r="R2179" i="4"/>
  <c r="R2178" i="4"/>
  <c r="R2177" i="4"/>
  <c r="R2176" i="4"/>
  <c r="R2175" i="4"/>
  <c r="R2174" i="4"/>
  <c r="R2173" i="4"/>
  <c r="R2172" i="4"/>
  <c r="R2171" i="4"/>
  <c r="R2170" i="4"/>
  <c r="R2169" i="4"/>
  <c r="R2168" i="4"/>
  <c r="R2167" i="4"/>
  <c r="R2166" i="4"/>
  <c r="R2165" i="4"/>
  <c r="R2164" i="4"/>
  <c r="R2163" i="4"/>
  <c r="R2162" i="4"/>
  <c r="R2161" i="4"/>
  <c r="R2160" i="4"/>
  <c r="R2159" i="4"/>
  <c r="R2158" i="4"/>
  <c r="R2157" i="4"/>
  <c r="R2156" i="4"/>
  <c r="R2155" i="4"/>
  <c r="R2154" i="4"/>
  <c r="R2153" i="4"/>
  <c r="R2152" i="4"/>
  <c r="R2151" i="4"/>
  <c r="R2150" i="4"/>
  <c r="R2149" i="4"/>
  <c r="R2148" i="4"/>
  <c r="R2147" i="4"/>
  <c r="R2146" i="4"/>
  <c r="R2145" i="4"/>
  <c r="R2144" i="4"/>
  <c r="R2143" i="4"/>
  <c r="R2142" i="4"/>
  <c r="R2141" i="4"/>
  <c r="R2140" i="4"/>
  <c r="R2139" i="4"/>
  <c r="R2138" i="4"/>
  <c r="R2137" i="4"/>
  <c r="R2136" i="4"/>
  <c r="R2135" i="4"/>
  <c r="R2134" i="4"/>
  <c r="R2133" i="4"/>
  <c r="R2132" i="4"/>
  <c r="R2131" i="4"/>
  <c r="R2130" i="4"/>
  <c r="R2129" i="4"/>
  <c r="R2128" i="4"/>
  <c r="R2127" i="4"/>
  <c r="R2126" i="4"/>
  <c r="R2125" i="4"/>
  <c r="R2124" i="4"/>
  <c r="R2123" i="4"/>
  <c r="R2122" i="4"/>
  <c r="R2121" i="4"/>
  <c r="R2120" i="4"/>
  <c r="R2119" i="4"/>
  <c r="R2118" i="4"/>
  <c r="R2117" i="4"/>
  <c r="R2116" i="4"/>
  <c r="R2115" i="4"/>
  <c r="R2114" i="4"/>
  <c r="R2113" i="4"/>
  <c r="R2112" i="4"/>
  <c r="R2111" i="4"/>
  <c r="R2110" i="4"/>
  <c r="R2109" i="4"/>
  <c r="R2108" i="4"/>
  <c r="R2107" i="4"/>
  <c r="R2106" i="4"/>
  <c r="R2105" i="4"/>
  <c r="R2104" i="4"/>
  <c r="R2103" i="4"/>
  <c r="R2102" i="4"/>
  <c r="R2101" i="4"/>
  <c r="R2100" i="4"/>
  <c r="R2099" i="4"/>
  <c r="R2098" i="4"/>
  <c r="R2097" i="4"/>
  <c r="R2096" i="4"/>
  <c r="R2095" i="4"/>
  <c r="R2094" i="4"/>
  <c r="R2093" i="4"/>
  <c r="R2092" i="4"/>
  <c r="R2091" i="4"/>
  <c r="R2090" i="4"/>
  <c r="R2089" i="4"/>
  <c r="R2088" i="4"/>
  <c r="R2087" i="4"/>
  <c r="R2086" i="4"/>
  <c r="R2085" i="4"/>
  <c r="R2084" i="4"/>
  <c r="R2083" i="4"/>
  <c r="R2082" i="4"/>
  <c r="R2081" i="4"/>
  <c r="R2080" i="4"/>
  <c r="R2079" i="4"/>
  <c r="R2078" i="4"/>
  <c r="R2077" i="4"/>
  <c r="R2076" i="4"/>
  <c r="R2075" i="4"/>
  <c r="R2074" i="4"/>
  <c r="R2073" i="4"/>
  <c r="R2072" i="4"/>
  <c r="R2071" i="4"/>
  <c r="R2070" i="4"/>
  <c r="R2069" i="4"/>
  <c r="R2068" i="4"/>
  <c r="R2067" i="4"/>
  <c r="R2066" i="4"/>
  <c r="R2065" i="4"/>
  <c r="R2064" i="4"/>
  <c r="R2063" i="4"/>
  <c r="R2062" i="4"/>
  <c r="R2061" i="4"/>
  <c r="R2060" i="4"/>
  <c r="R2059" i="4"/>
  <c r="R2058" i="4"/>
  <c r="R2057" i="4"/>
  <c r="R2056" i="4"/>
  <c r="R2055" i="4"/>
  <c r="R2054" i="4"/>
  <c r="R2053" i="4"/>
  <c r="R2052" i="4"/>
  <c r="R2051" i="4"/>
  <c r="R2050" i="4"/>
  <c r="R2049" i="4"/>
  <c r="R2048" i="4"/>
  <c r="R2047" i="4"/>
  <c r="R2046" i="4"/>
  <c r="R2045" i="4"/>
  <c r="R2044" i="4"/>
  <c r="R2043" i="4"/>
  <c r="R2042" i="4"/>
  <c r="R2041" i="4"/>
  <c r="R2040" i="4"/>
  <c r="R2039" i="4"/>
  <c r="R2038" i="4"/>
  <c r="R2037" i="4"/>
  <c r="R2036" i="4"/>
  <c r="R2035" i="4"/>
  <c r="R2034" i="4"/>
  <c r="R2033" i="4"/>
  <c r="R2032" i="4"/>
  <c r="R2031" i="4"/>
  <c r="R2030" i="4"/>
  <c r="R2029" i="4"/>
  <c r="R2028" i="4"/>
  <c r="R2027" i="4"/>
  <c r="R2026" i="4"/>
  <c r="R2025" i="4"/>
  <c r="R2024" i="4"/>
  <c r="R2023" i="4"/>
  <c r="R2022" i="4"/>
  <c r="R2021" i="4"/>
  <c r="R2020" i="4"/>
  <c r="R2019" i="4"/>
  <c r="R2018" i="4"/>
  <c r="R2017" i="4"/>
  <c r="R2016" i="4"/>
  <c r="R2015" i="4"/>
  <c r="R2014" i="4"/>
  <c r="R2013" i="4"/>
  <c r="R2012" i="4"/>
  <c r="R2011" i="4"/>
  <c r="R2010" i="4"/>
  <c r="R2009" i="4"/>
  <c r="R2008" i="4"/>
  <c r="R2007" i="4"/>
  <c r="R2006" i="4"/>
  <c r="R2005" i="4"/>
  <c r="R2004" i="4"/>
  <c r="R2003" i="4"/>
  <c r="R2002" i="4"/>
  <c r="R2001" i="4"/>
  <c r="R2000" i="4"/>
  <c r="R1999" i="4"/>
  <c r="R1998" i="4"/>
  <c r="R1997" i="4"/>
  <c r="R1996" i="4"/>
  <c r="R1995" i="4"/>
  <c r="R1994" i="4"/>
  <c r="R1993" i="4"/>
  <c r="R1992" i="4"/>
  <c r="R1991" i="4"/>
  <c r="R1990" i="4"/>
  <c r="R1989" i="4"/>
  <c r="R1988" i="4"/>
  <c r="R1987" i="4"/>
  <c r="R1986" i="4"/>
  <c r="R1985" i="4"/>
  <c r="R1984" i="4"/>
  <c r="R1983" i="4"/>
  <c r="R1982" i="4"/>
  <c r="R1981" i="4"/>
  <c r="R1980" i="4"/>
  <c r="R1979" i="4"/>
  <c r="R1978" i="4"/>
  <c r="R1977" i="4"/>
  <c r="R1976" i="4"/>
  <c r="R1975" i="4"/>
  <c r="R1974" i="4"/>
  <c r="R1973" i="4"/>
  <c r="R1972" i="4"/>
  <c r="R1971" i="4"/>
  <c r="R1970" i="4"/>
  <c r="R1969" i="4"/>
  <c r="R1968" i="4"/>
  <c r="R1967" i="4"/>
  <c r="R1966" i="4"/>
  <c r="R1965" i="4"/>
  <c r="R1964" i="4"/>
  <c r="R1963" i="4"/>
  <c r="R1962" i="4"/>
  <c r="R1961" i="4"/>
  <c r="R1960" i="4"/>
  <c r="R1959" i="4"/>
  <c r="R1958" i="4"/>
  <c r="R1957" i="4"/>
  <c r="R1956" i="4"/>
  <c r="R1955" i="4"/>
  <c r="R1954" i="4"/>
  <c r="R1953" i="4"/>
  <c r="R1952" i="4"/>
  <c r="R1951" i="4"/>
  <c r="R1950" i="4"/>
  <c r="R1949" i="4"/>
  <c r="R1948" i="4"/>
  <c r="R1947" i="4"/>
  <c r="R1946" i="4"/>
  <c r="R1945" i="4"/>
  <c r="R1944" i="4"/>
  <c r="R1943" i="4"/>
  <c r="R1942" i="4"/>
  <c r="R1941" i="4"/>
  <c r="R1940" i="4"/>
  <c r="R1939" i="4"/>
  <c r="R1938" i="4"/>
  <c r="R1937" i="4"/>
  <c r="R1936" i="4"/>
  <c r="R1935" i="4"/>
  <c r="R1934" i="4"/>
  <c r="R1933" i="4"/>
  <c r="R1932" i="4"/>
  <c r="R1931" i="4"/>
  <c r="R1930" i="4"/>
  <c r="R1929" i="4"/>
  <c r="R1928" i="4"/>
  <c r="R1927" i="4"/>
  <c r="R1926" i="4"/>
  <c r="R1925" i="4"/>
  <c r="R1924" i="4"/>
  <c r="R1923" i="4"/>
  <c r="R1922" i="4"/>
  <c r="R1921" i="4"/>
  <c r="R1920" i="4"/>
  <c r="R1919" i="4"/>
  <c r="R1918" i="4"/>
  <c r="R1917" i="4"/>
  <c r="R1916" i="4"/>
  <c r="R1915" i="4"/>
  <c r="R1914" i="4"/>
  <c r="R1913" i="4"/>
  <c r="R1912" i="4"/>
  <c r="R1911" i="4"/>
  <c r="R1910" i="4"/>
  <c r="R1909" i="4"/>
  <c r="R1908" i="4"/>
  <c r="R1907" i="4"/>
  <c r="R1906" i="4"/>
  <c r="R1905" i="4"/>
  <c r="R1904" i="4"/>
  <c r="R1903" i="4"/>
  <c r="R1902" i="4"/>
  <c r="R1901" i="4"/>
  <c r="R1900" i="4"/>
  <c r="R1899" i="4"/>
  <c r="R1898" i="4"/>
  <c r="R1897" i="4"/>
  <c r="R1896" i="4"/>
  <c r="R1895" i="4"/>
  <c r="R1894" i="4"/>
  <c r="R1893" i="4"/>
  <c r="R1892" i="4"/>
  <c r="R1891" i="4"/>
  <c r="R1890" i="4"/>
  <c r="R1889" i="4"/>
  <c r="R1888" i="4"/>
  <c r="R1887" i="4"/>
  <c r="R1886" i="4"/>
  <c r="R1885" i="4"/>
  <c r="R1884" i="4"/>
  <c r="R1883" i="4"/>
  <c r="R1882" i="4"/>
  <c r="R1881" i="4"/>
  <c r="R1880" i="4"/>
  <c r="R1879" i="4"/>
  <c r="R1878" i="4"/>
  <c r="R1877" i="4"/>
  <c r="R1876" i="4"/>
  <c r="R1875" i="4"/>
  <c r="R1874" i="4"/>
  <c r="R1873" i="4"/>
  <c r="R1872" i="4"/>
  <c r="R1871" i="4"/>
  <c r="R1870" i="4"/>
  <c r="R1869" i="4"/>
  <c r="R1868" i="4"/>
  <c r="R1867" i="4"/>
  <c r="R1866" i="4"/>
  <c r="R1865" i="4"/>
  <c r="R1864" i="4"/>
  <c r="R1863" i="4"/>
  <c r="R1862" i="4"/>
  <c r="R1861" i="4"/>
  <c r="R1860" i="4"/>
  <c r="R1859" i="4"/>
  <c r="R1858" i="4"/>
  <c r="R1857" i="4"/>
  <c r="R1856" i="4"/>
  <c r="R1855" i="4"/>
  <c r="R1854" i="4"/>
  <c r="R1853" i="4"/>
  <c r="R1852" i="4"/>
  <c r="R1851" i="4"/>
  <c r="R1850" i="4"/>
  <c r="R1849" i="4"/>
  <c r="R1848" i="4"/>
  <c r="R1847" i="4"/>
  <c r="R1846" i="4"/>
  <c r="R1845" i="4"/>
  <c r="R1844" i="4"/>
  <c r="R1843" i="4"/>
  <c r="R1842" i="4"/>
  <c r="R1841" i="4"/>
  <c r="R1840" i="4"/>
  <c r="R1839" i="4"/>
  <c r="R1838" i="4"/>
  <c r="R1837" i="4"/>
  <c r="R1836" i="4"/>
  <c r="R1835" i="4"/>
  <c r="R1834" i="4"/>
  <c r="R1833" i="4"/>
  <c r="R1832" i="4"/>
  <c r="R1831" i="4"/>
  <c r="R1830" i="4"/>
  <c r="R1829" i="4"/>
  <c r="R1828" i="4"/>
  <c r="R1827" i="4"/>
  <c r="R1826" i="4"/>
  <c r="R1825" i="4"/>
  <c r="R1824" i="4"/>
  <c r="R1823" i="4"/>
  <c r="R1822" i="4"/>
  <c r="R1821" i="4"/>
  <c r="R1820" i="4"/>
  <c r="R1819" i="4"/>
  <c r="R1818" i="4"/>
  <c r="R1817" i="4"/>
  <c r="R1816" i="4"/>
  <c r="R1815" i="4"/>
  <c r="R1814" i="4"/>
  <c r="R1813" i="4"/>
  <c r="R1812" i="4"/>
  <c r="R1811" i="4"/>
  <c r="R1810" i="4"/>
  <c r="R1809" i="4"/>
  <c r="R1808" i="4"/>
  <c r="R1807" i="4"/>
  <c r="R1806" i="4"/>
  <c r="R1805" i="4"/>
  <c r="R1804" i="4"/>
  <c r="R1803" i="4"/>
  <c r="R1802" i="4"/>
  <c r="R1801" i="4"/>
  <c r="R1800" i="4"/>
  <c r="R1799" i="4"/>
  <c r="R1798" i="4"/>
  <c r="R1797" i="4"/>
  <c r="R1796" i="4"/>
  <c r="R1795" i="4"/>
  <c r="R1794" i="4"/>
  <c r="R1793" i="4"/>
  <c r="R1792" i="4"/>
  <c r="R1791" i="4"/>
  <c r="R1790" i="4"/>
  <c r="R1789" i="4"/>
  <c r="R1788" i="4"/>
  <c r="R1787" i="4"/>
  <c r="R1786" i="4"/>
  <c r="R1785" i="4"/>
  <c r="R1784" i="4"/>
  <c r="R1783" i="4"/>
  <c r="R1782" i="4"/>
  <c r="R1781" i="4"/>
  <c r="R1780" i="4"/>
  <c r="R1779" i="4"/>
  <c r="R1778" i="4"/>
  <c r="R1777" i="4"/>
  <c r="R1776" i="4"/>
  <c r="R1775" i="4"/>
  <c r="R1774" i="4"/>
  <c r="R1773" i="4"/>
  <c r="R1772" i="4"/>
  <c r="R1771" i="4"/>
  <c r="R1770" i="4"/>
  <c r="R1769" i="4"/>
  <c r="R1768" i="4"/>
  <c r="R1767" i="4"/>
  <c r="R1766" i="4"/>
  <c r="R1765" i="4"/>
  <c r="R1764" i="4"/>
  <c r="R1763" i="4"/>
  <c r="R1762" i="4"/>
  <c r="R1761" i="4"/>
  <c r="R1760" i="4"/>
  <c r="R1759" i="4"/>
  <c r="R1758" i="4"/>
  <c r="R1757" i="4"/>
  <c r="R1756" i="4"/>
  <c r="R1755" i="4"/>
  <c r="R1754" i="4"/>
  <c r="R1753" i="4"/>
  <c r="R1752" i="4"/>
  <c r="R1751" i="4"/>
  <c r="R1750" i="4"/>
  <c r="R1749" i="4"/>
  <c r="R1748" i="4"/>
  <c r="R1747" i="4"/>
  <c r="R1746" i="4"/>
  <c r="R1745" i="4"/>
  <c r="R1744" i="4"/>
  <c r="R1743" i="4"/>
  <c r="R1742" i="4"/>
  <c r="R1741" i="4"/>
  <c r="R1740" i="4"/>
  <c r="R1739" i="4"/>
  <c r="R1738" i="4"/>
  <c r="R1737" i="4"/>
  <c r="R1736" i="4"/>
  <c r="R1735" i="4"/>
  <c r="R1734" i="4"/>
  <c r="R1733" i="4"/>
  <c r="R1732" i="4"/>
  <c r="R1731" i="4"/>
  <c r="R1730" i="4"/>
  <c r="R1729" i="4"/>
  <c r="R1728" i="4"/>
  <c r="R1727" i="4"/>
  <c r="R1726" i="4"/>
  <c r="R1725" i="4"/>
  <c r="R1724" i="4"/>
  <c r="R1723" i="4"/>
  <c r="R1722" i="4"/>
  <c r="R1721" i="4"/>
  <c r="R1720" i="4"/>
  <c r="R1719" i="4"/>
  <c r="R1718" i="4"/>
  <c r="R1717" i="4"/>
  <c r="R1716" i="4"/>
  <c r="R1715" i="4"/>
  <c r="R1714" i="4"/>
  <c r="R1713" i="4"/>
  <c r="R1712" i="4"/>
  <c r="R1711" i="4"/>
  <c r="R1710" i="4"/>
  <c r="R1709" i="4"/>
  <c r="R1708" i="4"/>
  <c r="R1707" i="4"/>
  <c r="R1706" i="4"/>
  <c r="R1705" i="4"/>
  <c r="R1704" i="4"/>
  <c r="R1703" i="4"/>
  <c r="R1702" i="4"/>
  <c r="R1701" i="4"/>
  <c r="R1700" i="4"/>
  <c r="R1699" i="4"/>
  <c r="R1698" i="4"/>
  <c r="R1697" i="4"/>
  <c r="R1696" i="4"/>
  <c r="R1695" i="4"/>
  <c r="R1694" i="4"/>
  <c r="R1693" i="4"/>
  <c r="R1692" i="4"/>
  <c r="R1691" i="4"/>
  <c r="R1690" i="4"/>
  <c r="R1689" i="4"/>
  <c r="R1688" i="4"/>
  <c r="R1687" i="4"/>
  <c r="R1686" i="4"/>
  <c r="R1685" i="4"/>
  <c r="R1684" i="4"/>
  <c r="R1683" i="4"/>
  <c r="R1682" i="4"/>
  <c r="R1681" i="4"/>
  <c r="R1680" i="4"/>
  <c r="R1679" i="4"/>
  <c r="R1678" i="4"/>
  <c r="R1677" i="4"/>
  <c r="R1676" i="4"/>
  <c r="R1675" i="4"/>
  <c r="R1674" i="4"/>
  <c r="R1673" i="4"/>
  <c r="R1672" i="4"/>
  <c r="R1671" i="4"/>
  <c r="R1670" i="4"/>
  <c r="R1669" i="4"/>
  <c r="R1668" i="4"/>
  <c r="R1667" i="4"/>
  <c r="R1666" i="4"/>
  <c r="R1665" i="4"/>
  <c r="R1664" i="4"/>
  <c r="R1663" i="4"/>
  <c r="R1662" i="4"/>
  <c r="R1661" i="4"/>
  <c r="R1660" i="4"/>
  <c r="R1659" i="4"/>
  <c r="R1658" i="4"/>
  <c r="R1657" i="4"/>
  <c r="R1656" i="4"/>
  <c r="R1655" i="4"/>
  <c r="R1654" i="4"/>
  <c r="R1653" i="4"/>
  <c r="R1652" i="4"/>
  <c r="R1651" i="4"/>
  <c r="R1650" i="4"/>
  <c r="R1649" i="4"/>
  <c r="R1648" i="4"/>
  <c r="R1647" i="4"/>
  <c r="R1646" i="4"/>
  <c r="R1645" i="4"/>
  <c r="R1644" i="4"/>
  <c r="R1643" i="4"/>
  <c r="R1642" i="4"/>
  <c r="R1641" i="4"/>
  <c r="R1640" i="4"/>
  <c r="R1639" i="4"/>
  <c r="R1638" i="4"/>
  <c r="R1637" i="4"/>
  <c r="R1636" i="4"/>
  <c r="R1635" i="4"/>
  <c r="R1634" i="4"/>
  <c r="R1633" i="4"/>
  <c r="R1632" i="4"/>
  <c r="R1631" i="4"/>
  <c r="R1630" i="4"/>
  <c r="R1629" i="4"/>
  <c r="R1628" i="4"/>
  <c r="R1627" i="4"/>
  <c r="R1626" i="4"/>
  <c r="R1625" i="4"/>
  <c r="R1624" i="4"/>
  <c r="R1623" i="4"/>
  <c r="R1622" i="4"/>
  <c r="R1621" i="4"/>
  <c r="R1620" i="4"/>
  <c r="R1619" i="4"/>
  <c r="R1618" i="4"/>
  <c r="R1617" i="4"/>
  <c r="R1616" i="4"/>
  <c r="R1615" i="4"/>
  <c r="R1614" i="4"/>
  <c r="R1613" i="4"/>
  <c r="R1612" i="4"/>
  <c r="R1611" i="4"/>
  <c r="R1610" i="4"/>
  <c r="R1609" i="4"/>
  <c r="R1608" i="4"/>
  <c r="R1607" i="4"/>
  <c r="R1606" i="4"/>
  <c r="R1605" i="4"/>
  <c r="R1604" i="4"/>
  <c r="R1603" i="4"/>
  <c r="R1602" i="4"/>
  <c r="R1601" i="4"/>
  <c r="R1600" i="4"/>
  <c r="R1599" i="4"/>
  <c r="R1598" i="4"/>
  <c r="R1597" i="4"/>
  <c r="R1596" i="4"/>
  <c r="R1595" i="4"/>
  <c r="R1594" i="4"/>
  <c r="R1593" i="4"/>
  <c r="R1592" i="4"/>
  <c r="R1591" i="4"/>
  <c r="R1590" i="4"/>
  <c r="R1589" i="4"/>
  <c r="R1588" i="4"/>
  <c r="R1587" i="4"/>
  <c r="R1586" i="4"/>
  <c r="R1585" i="4"/>
  <c r="R1584" i="4"/>
  <c r="R1583" i="4"/>
  <c r="R1582" i="4"/>
  <c r="R1581" i="4"/>
  <c r="R1580" i="4"/>
  <c r="R1579" i="4"/>
  <c r="R1578" i="4"/>
  <c r="R1577" i="4"/>
  <c r="R1576" i="4"/>
  <c r="R1575" i="4"/>
  <c r="R1574" i="4"/>
  <c r="R1573" i="4"/>
  <c r="R1572" i="4"/>
  <c r="R1571" i="4"/>
  <c r="R1570" i="4"/>
  <c r="R1569" i="4"/>
  <c r="R1568" i="4"/>
  <c r="R1567" i="4"/>
  <c r="R1566" i="4"/>
  <c r="R1565" i="4"/>
  <c r="R1564" i="4"/>
  <c r="R1563" i="4"/>
  <c r="R1562" i="4"/>
  <c r="R1561" i="4"/>
  <c r="R1560" i="4"/>
  <c r="R1559" i="4"/>
  <c r="R1558" i="4"/>
  <c r="R1557" i="4"/>
  <c r="R1556" i="4"/>
  <c r="R1555" i="4"/>
  <c r="R1554" i="4"/>
  <c r="R1553" i="4"/>
  <c r="R1552" i="4"/>
  <c r="R1551" i="4"/>
  <c r="R1550" i="4"/>
  <c r="R1549" i="4"/>
  <c r="R1548" i="4"/>
  <c r="R1547" i="4"/>
  <c r="R1546" i="4"/>
  <c r="R1545" i="4"/>
  <c r="R1544" i="4"/>
  <c r="R1543" i="4"/>
  <c r="R1542" i="4"/>
  <c r="R1541" i="4"/>
  <c r="R1540" i="4"/>
  <c r="R1539" i="4"/>
  <c r="R1538" i="4"/>
  <c r="R1537" i="4"/>
  <c r="R1536" i="4"/>
  <c r="R1535" i="4"/>
  <c r="R1534" i="4"/>
  <c r="R1533" i="4"/>
  <c r="R1532" i="4"/>
  <c r="R1531" i="4"/>
  <c r="R1530" i="4"/>
  <c r="R1529" i="4"/>
  <c r="R1528" i="4"/>
  <c r="R1527" i="4"/>
  <c r="R1526" i="4"/>
  <c r="R1525" i="4"/>
  <c r="R1524" i="4"/>
  <c r="R1523" i="4"/>
  <c r="R1522" i="4"/>
  <c r="R1521" i="4"/>
  <c r="R1520" i="4"/>
  <c r="R1519" i="4"/>
  <c r="R1518" i="4"/>
  <c r="R1517" i="4"/>
  <c r="R1516" i="4"/>
  <c r="R1515" i="4"/>
  <c r="R1514" i="4"/>
  <c r="R1513" i="4"/>
  <c r="R1512" i="4"/>
  <c r="R1511" i="4"/>
  <c r="R1510" i="4"/>
  <c r="R1509" i="4"/>
  <c r="R1508" i="4"/>
  <c r="R1507" i="4"/>
  <c r="R1506" i="4"/>
  <c r="R1505" i="4"/>
  <c r="R1504" i="4"/>
  <c r="R1503" i="4"/>
  <c r="R1502" i="4"/>
  <c r="R1501" i="4"/>
  <c r="R1500" i="4"/>
  <c r="R1499" i="4"/>
  <c r="R1498" i="4"/>
  <c r="R1497" i="4"/>
  <c r="R1496" i="4"/>
  <c r="R1495" i="4"/>
  <c r="R1494" i="4"/>
  <c r="R1493" i="4"/>
  <c r="R1492" i="4"/>
  <c r="R1491" i="4"/>
  <c r="R1490" i="4"/>
  <c r="R1489" i="4"/>
  <c r="R1488" i="4"/>
  <c r="R1487" i="4"/>
  <c r="R1486" i="4"/>
  <c r="R1485" i="4"/>
  <c r="R1484" i="4"/>
  <c r="R1483" i="4"/>
  <c r="R1482" i="4"/>
  <c r="R1481" i="4"/>
  <c r="R1480" i="4"/>
  <c r="R1479" i="4"/>
  <c r="R1478" i="4"/>
  <c r="R1477" i="4"/>
  <c r="R1476" i="4"/>
  <c r="R1475" i="4"/>
  <c r="R1474" i="4"/>
  <c r="R1473" i="4"/>
  <c r="R1472" i="4"/>
  <c r="R1471" i="4"/>
  <c r="R1470" i="4"/>
  <c r="R1469" i="4"/>
  <c r="R1468" i="4"/>
  <c r="R1467" i="4"/>
  <c r="R1466" i="4"/>
  <c r="R1465" i="4"/>
  <c r="R1464" i="4"/>
  <c r="R1463" i="4"/>
  <c r="R1462" i="4"/>
  <c r="R1461" i="4"/>
  <c r="R1460" i="4"/>
  <c r="R1459" i="4"/>
  <c r="R1458" i="4"/>
  <c r="R1457" i="4"/>
  <c r="R1456" i="4"/>
  <c r="R1455" i="4"/>
  <c r="R1454" i="4"/>
  <c r="R1453" i="4"/>
  <c r="R1452" i="4"/>
  <c r="R1451" i="4"/>
  <c r="R1450" i="4"/>
  <c r="R1449" i="4"/>
  <c r="R1448" i="4"/>
  <c r="R1447" i="4"/>
  <c r="R1446" i="4"/>
  <c r="R1445" i="4"/>
  <c r="R1444" i="4"/>
  <c r="R1443" i="4"/>
  <c r="R1442" i="4"/>
  <c r="R1441" i="4"/>
  <c r="R1440" i="4"/>
  <c r="R1439" i="4"/>
  <c r="R1438" i="4"/>
  <c r="R1437" i="4"/>
  <c r="R1436" i="4"/>
  <c r="R1435" i="4"/>
  <c r="R1434" i="4"/>
  <c r="R1433" i="4"/>
  <c r="R1432" i="4"/>
  <c r="R1431" i="4"/>
  <c r="R1430" i="4"/>
  <c r="R1429" i="4"/>
  <c r="R1428" i="4"/>
  <c r="R1427" i="4"/>
  <c r="R1426" i="4"/>
  <c r="R1425" i="4"/>
  <c r="R1424" i="4"/>
  <c r="R1423" i="4"/>
  <c r="R1422" i="4"/>
  <c r="R1421" i="4"/>
  <c r="R1420" i="4"/>
  <c r="R1419" i="4"/>
  <c r="R1418" i="4"/>
  <c r="R1417" i="4"/>
  <c r="R1416" i="4"/>
  <c r="R1415" i="4"/>
  <c r="R1414" i="4"/>
  <c r="R1413" i="4"/>
  <c r="R1412" i="4"/>
  <c r="R1411" i="4"/>
  <c r="R1410" i="4"/>
  <c r="R1409" i="4"/>
  <c r="R1408" i="4"/>
  <c r="R1407" i="4"/>
  <c r="R1406" i="4"/>
  <c r="R1405" i="4"/>
  <c r="R1404" i="4"/>
  <c r="R1403" i="4"/>
  <c r="R1402" i="4"/>
  <c r="R1401" i="4"/>
  <c r="R1400" i="4"/>
  <c r="R1399" i="4"/>
  <c r="R1398" i="4"/>
  <c r="R1397" i="4"/>
  <c r="R1396" i="4"/>
  <c r="R1395" i="4"/>
  <c r="R1394" i="4"/>
  <c r="R1393" i="4"/>
  <c r="R1392" i="4"/>
  <c r="R1391" i="4"/>
  <c r="R1390" i="4"/>
  <c r="R1389" i="4"/>
  <c r="R1388" i="4"/>
  <c r="R1387" i="4"/>
  <c r="R1386" i="4"/>
  <c r="R1385" i="4"/>
  <c r="R1384" i="4"/>
  <c r="R1383" i="4"/>
  <c r="R1382" i="4"/>
  <c r="R1381" i="4"/>
  <c r="R1380" i="4"/>
  <c r="R1379" i="4"/>
  <c r="R1378" i="4"/>
  <c r="R1377" i="4"/>
  <c r="R1376" i="4"/>
  <c r="R1375" i="4"/>
  <c r="R1374" i="4"/>
  <c r="R1373" i="4"/>
  <c r="R1372" i="4"/>
  <c r="R1371" i="4"/>
  <c r="R1370" i="4"/>
  <c r="R1369" i="4"/>
  <c r="R1368" i="4"/>
  <c r="R1367" i="4"/>
  <c r="R1366" i="4"/>
  <c r="R1365" i="4"/>
  <c r="R1364" i="4"/>
  <c r="R1363" i="4"/>
  <c r="R1362" i="4"/>
  <c r="R1361" i="4"/>
  <c r="R1360" i="4"/>
  <c r="R1359" i="4"/>
  <c r="R1358" i="4"/>
  <c r="R1357" i="4"/>
  <c r="R1356" i="4"/>
  <c r="R1355" i="4"/>
  <c r="R1354" i="4"/>
  <c r="R1353" i="4"/>
  <c r="R1352" i="4"/>
  <c r="R1351" i="4"/>
  <c r="R1350" i="4"/>
  <c r="R1349" i="4"/>
  <c r="R1348" i="4"/>
  <c r="R1347" i="4"/>
  <c r="R1346" i="4"/>
  <c r="R1345" i="4"/>
  <c r="R1344" i="4"/>
  <c r="R1343" i="4"/>
  <c r="R1342" i="4"/>
  <c r="R1341" i="4"/>
  <c r="R1340" i="4"/>
  <c r="R1339" i="4"/>
  <c r="R1338" i="4"/>
  <c r="R1337" i="4"/>
  <c r="R1336" i="4"/>
  <c r="R1335" i="4"/>
  <c r="R1334" i="4"/>
  <c r="R1333" i="4"/>
  <c r="R1332" i="4"/>
  <c r="R1331" i="4"/>
  <c r="R1330" i="4"/>
  <c r="R1329" i="4"/>
  <c r="R1328" i="4"/>
  <c r="R1327" i="4"/>
  <c r="R1326" i="4"/>
  <c r="R1325" i="4"/>
  <c r="R1324" i="4"/>
  <c r="R1323" i="4"/>
  <c r="R1322" i="4"/>
  <c r="R1321" i="4"/>
  <c r="R1320" i="4"/>
  <c r="R1319" i="4"/>
  <c r="R1318" i="4"/>
  <c r="R1317" i="4"/>
  <c r="R1316" i="4"/>
  <c r="R1315" i="4"/>
  <c r="R1314" i="4"/>
  <c r="R1313" i="4"/>
  <c r="R1312" i="4"/>
  <c r="R1311" i="4"/>
  <c r="R1310" i="4"/>
  <c r="R1309" i="4"/>
  <c r="R1308" i="4"/>
  <c r="R1307" i="4"/>
  <c r="R1306" i="4"/>
  <c r="R1305" i="4"/>
  <c r="R1304" i="4"/>
  <c r="R1303" i="4"/>
  <c r="R1302" i="4"/>
  <c r="R1301" i="4"/>
  <c r="R1300" i="4"/>
  <c r="R1299" i="4"/>
  <c r="R1298" i="4"/>
  <c r="R1297" i="4"/>
  <c r="R1296" i="4"/>
  <c r="R1295" i="4"/>
  <c r="R1294" i="4"/>
  <c r="R1293" i="4"/>
  <c r="R1292" i="4"/>
  <c r="R1291" i="4"/>
  <c r="R1290" i="4"/>
  <c r="R1289" i="4"/>
  <c r="R1288" i="4"/>
  <c r="R1287" i="4"/>
  <c r="R1286" i="4"/>
  <c r="R1285" i="4"/>
  <c r="R1284" i="4"/>
  <c r="R1283" i="4"/>
  <c r="R1282" i="4"/>
  <c r="R1281" i="4"/>
  <c r="R1280" i="4"/>
  <c r="R1279" i="4"/>
  <c r="R1278" i="4"/>
  <c r="R1277" i="4"/>
  <c r="R1276" i="4"/>
  <c r="R1275" i="4"/>
  <c r="R1274" i="4"/>
  <c r="R1273" i="4"/>
  <c r="R1272" i="4"/>
  <c r="R1271" i="4"/>
  <c r="R1270" i="4"/>
  <c r="R1269" i="4"/>
  <c r="R1268" i="4"/>
  <c r="R1267" i="4"/>
  <c r="R1266" i="4"/>
  <c r="R1265" i="4"/>
  <c r="R1264" i="4"/>
  <c r="R1263" i="4"/>
  <c r="R1262" i="4"/>
  <c r="R1261" i="4"/>
  <c r="R1260" i="4"/>
  <c r="R1259" i="4"/>
  <c r="R1258" i="4"/>
  <c r="R1257" i="4"/>
  <c r="R1256" i="4"/>
  <c r="R1255" i="4"/>
  <c r="R1254" i="4"/>
  <c r="R1253" i="4"/>
  <c r="R1252" i="4"/>
  <c r="R1251" i="4"/>
  <c r="R1250" i="4"/>
  <c r="R1249" i="4"/>
  <c r="R1248" i="4"/>
  <c r="R1247" i="4"/>
  <c r="R1246" i="4"/>
  <c r="R1245" i="4"/>
  <c r="R1244" i="4"/>
  <c r="R1243" i="4"/>
  <c r="R1242" i="4"/>
  <c r="R1241" i="4"/>
  <c r="R1240" i="4"/>
  <c r="R1239" i="4"/>
  <c r="R1238" i="4"/>
  <c r="R1237" i="4"/>
  <c r="R1236" i="4"/>
  <c r="R1235" i="4"/>
  <c r="R1234" i="4"/>
  <c r="R1233" i="4"/>
  <c r="R1232" i="4"/>
  <c r="R1231" i="4"/>
  <c r="R1230" i="4"/>
  <c r="R1229" i="4"/>
  <c r="R1228" i="4"/>
  <c r="R1227" i="4"/>
  <c r="R1226" i="4"/>
  <c r="R1225" i="4"/>
  <c r="R1224" i="4"/>
  <c r="R1223" i="4"/>
  <c r="R1222" i="4"/>
  <c r="R1221" i="4"/>
  <c r="R1220" i="4"/>
  <c r="R1219" i="4"/>
  <c r="R1218" i="4"/>
  <c r="R1217" i="4"/>
  <c r="R1216" i="4"/>
  <c r="R1215" i="4"/>
  <c r="R1214" i="4"/>
  <c r="R1213" i="4"/>
  <c r="R1212" i="4"/>
  <c r="R1211" i="4"/>
  <c r="R1210" i="4"/>
  <c r="R1209" i="4"/>
  <c r="R1208" i="4"/>
  <c r="R1207" i="4"/>
  <c r="R1206" i="4"/>
  <c r="R1205" i="4"/>
  <c r="R1204" i="4"/>
  <c r="R1203" i="4"/>
  <c r="R1202" i="4"/>
  <c r="R1201" i="4"/>
  <c r="R1200" i="4"/>
  <c r="R1199" i="4"/>
  <c r="R1198" i="4"/>
  <c r="R1197" i="4"/>
  <c r="R1196" i="4"/>
  <c r="R1195" i="4"/>
  <c r="R1194" i="4"/>
  <c r="R1193" i="4"/>
  <c r="R1192" i="4"/>
  <c r="R1191" i="4"/>
  <c r="R1190" i="4"/>
  <c r="R1189" i="4"/>
  <c r="R1188" i="4"/>
  <c r="R1187" i="4"/>
  <c r="R1186" i="4"/>
  <c r="R1185" i="4"/>
  <c r="R1184" i="4"/>
  <c r="R1183" i="4"/>
  <c r="R1182" i="4"/>
  <c r="R1181" i="4"/>
  <c r="R1180" i="4"/>
  <c r="R1179" i="4"/>
  <c r="R1178" i="4"/>
  <c r="R1177" i="4"/>
  <c r="R1176" i="4"/>
  <c r="R1175" i="4"/>
  <c r="R1174" i="4"/>
  <c r="R1173" i="4"/>
  <c r="R1172" i="4"/>
  <c r="R1171" i="4"/>
  <c r="R1170" i="4"/>
  <c r="R1169" i="4"/>
  <c r="R1168" i="4"/>
  <c r="R1167" i="4"/>
  <c r="R1166" i="4"/>
  <c r="R1165" i="4"/>
  <c r="R1164" i="4"/>
  <c r="R1163" i="4"/>
  <c r="R1162" i="4"/>
  <c r="R1161" i="4"/>
  <c r="R1160" i="4"/>
  <c r="R1159" i="4"/>
  <c r="R1158" i="4"/>
  <c r="R1157" i="4"/>
  <c r="R1156" i="4"/>
  <c r="R1155" i="4"/>
  <c r="R1154" i="4"/>
  <c r="R1153" i="4"/>
  <c r="R1152" i="4"/>
  <c r="R1151" i="4"/>
  <c r="R1150" i="4"/>
  <c r="R1149" i="4"/>
  <c r="R1148" i="4"/>
  <c r="R1147" i="4"/>
  <c r="R1146" i="4"/>
  <c r="R1145" i="4"/>
  <c r="R1144" i="4"/>
  <c r="R1143" i="4"/>
  <c r="R1142" i="4"/>
  <c r="R1141" i="4"/>
  <c r="R1140" i="4"/>
  <c r="R1139" i="4"/>
  <c r="R1138" i="4"/>
  <c r="R1137" i="4"/>
  <c r="R1136" i="4"/>
  <c r="R1135" i="4"/>
  <c r="R1134" i="4"/>
  <c r="R1133" i="4"/>
  <c r="R1132" i="4"/>
  <c r="R1131" i="4"/>
  <c r="R1130" i="4"/>
  <c r="R1129" i="4"/>
  <c r="R1128" i="4"/>
  <c r="R1127" i="4"/>
  <c r="R1126" i="4"/>
  <c r="R1125" i="4"/>
  <c r="R1124" i="4"/>
  <c r="R1123" i="4"/>
  <c r="R1122" i="4"/>
  <c r="R1121" i="4"/>
  <c r="R1120" i="4"/>
  <c r="R1119" i="4"/>
  <c r="R1118" i="4"/>
  <c r="R1117" i="4"/>
  <c r="R1116" i="4"/>
  <c r="R1115" i="4"/>
  <c r="R1114" i="4"/>
  <c r="R1113" i="4"/>
  <c r="R1112" i="4"/>
  <c r="R1111" i="4"/>
  <c r="R1110" i="4"/>
  <c r="R1109" i="4"/>
  <c r="R1108" i="4"/>
  <c r="R1107" i="4"/>
  <c r="R1106" i="4"/>
  <c r="R1105" i="4"/>
  <c r="R1104" i="4"/>
  <c r="R1103" i="4"/>
  <c r="R1102" i="4"/>
  <c r="R1101" i="4"/>
  <c r="R1100" i="4"/>
  <c r="R1099" i="4"/>
  <c r="R1098" i="4"/>
  <c r="R1097" i="4"/>
  <c r="R1096" i="4"/>
  <c r="R1095" i="4"/>
  <c r="R1094" i="4"/>
  <c r="R1093" i="4"/>
  <c r="R1092" i="4"/>
  <c r="R1091" i="4"/>
  <c r="R1090" i="4"/>
  <c r="R1089" i="4"/>
  <c r="R1088" i="4"/>
  <c r="R1087" i="4"/>
  <c r="R1086" i="4"/>
  <c r="R1085" i="4"/>
  <c r="R1084" i="4"/>
  <c r="R1083" i="4"/>
  <c r="R1082" i="4"/>
  <c r="R1081" i="4"/>
  <c r="R1080" i="4"/>
  <c r="R1079" i="4"/>
  <c r="R1078" i="4"/>
  <c r="R1077" i="4"/>
  <c r="R1076" i="4"/>
  <c r="R1075" i="4"/>
  <c r="R1074" i="4"/>
  <c r="R1073" i="4"/>
  <c r="R1072" i="4"/>
  <c r="R1071" i="4"/>
  <c r="R1070" i="4"/>
  <c r="R1069" i="4"/>
  <c r="R1068" i="4"/>
  <c r="R1067" i="4"/>
  <c r="R1066" i="4"/>
  <c r="R1065" i="4"/>
  <c r="R1064" i="4"/>
  <c r="R1063" i="4"/>
  <c r="R1062" i="4"/>
  <c r="R1061" i="4"/>
  <c r="R1060" i="4"/>
  <c r="R1059" i="4"/>
  <c r="R1058" i="4"/>
  <c r="R1057" i="4"/>
  <c r="R1056" i="4"/>
  <c r="R1055" i="4"/>
  <c r="R1054" i="4"/>
  <c r="R1053" i="4"/>
  <c r="R1052" i="4"/>
  <c r="R1051" i="4"/>
  <c r="R1050" i="4"/>
  <c r="R1049" i="4"/>
  <c r="R1048" i="4"/>
  <c r="R1047" i="4"/>
  <c r="R1046" i="4"/>
  <c r="R1045" i="4"/>
  <c r="R1044" i="4"/>
  <c r="R1043" i="4"/>
  <c r="R1042" i="4"/>
  <c r="R1041" i="4"/>
  <c r="R1040" i="4"/>
  <c r="R1039" i="4"/>
  <c r="R1038" i="4"/>
  <c r="R1037" i="4"/>
  <c r="R1036" i="4"/>
  <c r="R1035" i="4"/>
  <c r="R1034" i="4"/>
  <c r="R1033" i="4"/>
  <c r="R1032" i="4"/>
  <c r="R1031" i="4"/>
  <c r="R1030" i="4"/>
  <c r="R1029" i="4"/>
  <c r="R1028" i="4"/>
  <c r="R1027" i="4"/>
  <c r="R1026" i="4"/>
  <c r="R1025" i="4"/>
  <c r="R1024" i="4"/>
  <c r="R1023" i="4"/>
  <c r="R1022" i="4"/>
  <c r="R1021" i="4"/>
  <c r="R1020" i="4"/>
  <c r="R1019" i="4"/>
  <c r="R1018" i="4"/>
  <c r="R1017" i="4"/>
  <c r="R1016" i="4"/>
  <c r="R1015" i="4"/>
  <c r="R1014" i="4"/>
  <c r="R1013" i="4"/>
  <c r="R1012" i="4"/>
  <c r="R1011" i="4"/>
  <c r="R1010" i="4"/>
  <c r="R1009" i="4"/>
  <c r="R1008" i="4"/>
  <c r="R1007" i="4"/>
  <c r="R1006" i="4"/>
  <c r="R1005" i="4"/>
  <c r="R1004" i="4"/>
  <c r="R1003" i="4"/>
  <c r="R1002" i="4"/>
  <c r="R1001" i="4"/>
  <c r="R1000" i="4"/>
  <c r="R999" i="4"/>
  <c r="R998" i="4"/>
  <c r="R997" i="4"/>
  <c r="R996" i="4"/>
  <c r="R995" i="4"/>
  <c r="R994" i="4"/>
  <c r="R993" i="4"/>
  <c r="R992" i="4"/>
  <c r="R991" i="4"/>
  <c r="R990" i="4"/>
  <c r="R989" i="4"/>
  <c r="R988" i="4"/>
  <c r="R987" i="4"/>
  <c r="R986" i="4"/>
  <c r="R985" i="4"/>
  <c r="R984" i="4"/>
  <c r="R983" i="4"/>
  <c r="R982" i="4"/>
  <c r="R981" i="4"/>
  <c r="R980" i="4"/>
  <c r="R979" i="4"/>
  <c r="R978" i="4"/>
  <c r="R977" i="4"/>
  <c r="R976" i="4"/>
  <c r="R975" i="4"/>
  <c r="R974" i="4"/>
  <c r="R973" i="4"/>
  <c r="R972" i="4"/>
  <c r="R971" i="4"/>
  <c r="R970" i="4"/>
  <c r="R969" i="4"/>
  <c r="R968" i="4"/>
  <c r="R967" i="4"/>
  <c r="R966" i="4"/>
  <c r="R965" i="4"/>
  <c r="R964" i="4"/>
  <c r="R963" i="4"/>
  <c r="R962" i="4"/>
  <c r="R961" i="4"/>
  <c r="R960" i="4"/>
  <c r="R959" i="4"/>
  <c r="R958" i="4"/>
  <c r="R957" i="4"/>
  <c r="R956" i="4"/>
  <c r="R955" i="4"/>
  <c r="R954" i="4"/>
  <c r="R953" i="4"/>
  <c r="R952" i="4"/>
  <c r="R951" i="4"/>
  <c r="R950" i="4"/>
  <c r="R949" i="4"/>
  <c r="R948" i="4"/>
  <c r="R947" i="4"/>
  <c r="R946" i="4"/>
  <c r="R945" i="4"/>
  <c r="R944" i="4"/>
  <c r="R943" i="4"/>
  <c r="R942" i="4"/>
  <c r="R941" i="4"/>
  <c r="R940" i="4"/>
  <c r="R939" i="4"/>
  <c r="R938" i="4"/>
  <c r="R937" i="4"/>
  <c r="R936" i="4"/>
  <c r="R935" i="4"/>
  <c r="R934" i="4"/>
  <c r="R933" i="4"/>
  <c r="R932" i="4"/>
  <c r="R931" i="4"/>
  <c r="R930" i="4"/>
  <c r="R929" i="4"/>
  <c r="R928" i="4"/>
  <c r="R927" i="4"/>
  <c r="R926" i="4"/>
  <c r="R925" i="4"/>
  <c r="R924" i="4"/>
  <c r="R923" i="4"/>
  <c r="R922" i="4"/>
  <c r="R921" i="4"/>
  <c r="R920" i="4"/>
  <c r="R919" i="4"/>
  <c r="R918" i="4"/>
  <c r="R917" i="4"/>
  <c r="R916" i="4"/>
  <c r="R915" i="4"/>
  <c r="R914" i="4"/>
  <c r="R913" i="4"/>
  <c r="R912" i="4"/>
  <c r="R911" i="4"/>
  <c r="R910" i="4"/>
  <c r="R909" i="4"/>
  <c r="R908" i="4"/>
  <c r="R907" i="4"/>
  <c r="R906" i="4"/>
  <c r="R905" i="4"/>
  <c r="R904" i="4"/>
  <c r="R903" i="4"/>
  <c r="R902" i="4"/>
  <c r="R901" i="4"/>
  <c r="R900" i="4"/>
  <c r="R899" i="4"/>
  <c r="R898" i="4"/>
  <c r="R897" i="4"/>
  <c r="R896" i="4"/>
  <c r="R895" i="4"/>
  <c r="R894" i="4"/>
  <c r="R893" i="4"/>
  <c r="R892" i="4"/>
  <c r="R891" i="4"/>
  <c r="R890" i="4"/>
  <c r="R889" i="4"/>
  <c r="R888" i="4"/>
  <c r="R887" i="4"/>
  <c r="R886" i="4"/>
  <c r="R885" i="4"/>
  <c r="R884" i="4"/>
  <c r="R883" i="4"/>
  <c r="R882" i="4"/>
  <c r="R881" i="4"/>
  <c r="R880" i="4"/>
  <c r="R879" i="4"/>
  <c r="R878" i="4"/>
  <c r="R877" i="4"/>
  <c r="R876" i="4"/>
  <c r="R875" i="4"/>
  <c r="R874" i="4"/>
  <c r="R873" i="4"/>
  <c r="R872" i="4"/>
  <c r="R871" i="4"/>
  <c r="R870" i="4"/>
  <c r="R869" i="4"/>
  <c r="R868" i="4"/>
  <c r="R867" i="4"/>
  <c r="R866" i="4"/>
  <c r="R865" i="4"/>
  <c r="R864" i="4"/>
  <c r="R863" i="4"/>
  <c r="R862" i="4"/>
  <c r="R861" i="4"/>
  <c r="R860" i="4"/>
  <c r="R859" i="4"/>
  <c r="R858" i="4"/>
  <c r="R857" i="4"/>
  <c r="R856" i="4"/>
  <c r="R855" i="4"/>
  <c r="R854" i="4"/>
  <c r="R853" i="4"/>
  <c r="R852" i="4"/>
  <c r="R851" i="4"/>
  <c r="R850" i="4"/>
  <c r="R849" i="4"/>
  <c r="R848" i="4"/>
  <c r="R847" i="4"/>
  <c r="R846" i="4"/>
  <c r="R845" i="4"/>
  <c r="R844" i="4"/>
  <c r="R843" i="4"/>
  <c r="R842" i="4"/>
  <c r="R841" i="4"/>
  <c r="R840" i="4"/>
  <c r="R839" i="4"/>
  <c r="R838" i="4"/>
  <c r="R837" i="4"/>
  <c r="R836" i="4"/>
  <c r="R835" i="4"/>
  <c r="R834" i="4"/>
  <c r="R833" i="4"/>
  <c r="R832" i="4"/>
  <c r="R831" i="4"/>
  <c r="R830" i="4"/>
  <c r="R829" i="4"/>
  <c r="R828" i="4"/>
  <c r="R827" i="4"/>
  <c r="R826" i="4"/>
  <c r="R825" i="4"/>
  <c r="R824" i="4"/>
  <c r="R823" i="4"/>
  <c r="R822" i="4"/>
  <c r="R821" i="4"/>
  <c r="R820" i="4"/>
  <c r="R819" i="4"/>
  <c r="R818" i="4"/>
  <c r="R817" i="4"/>
  <c r="R816" i="4"/>
  <c r="R815" i="4"/>
  <c r="R814" i="4"/>
  <c r="R813" i="4"/>
  <c r="R812" i="4"/>
  <c r="R811" i="4"/>
  <c r="R810" i="4"/>
  <c r="R809" i="4"/>
  <c r="R808" i="4"/>
  <c r="R807" i="4"/>
  <c r="R806" i="4"/>
  <c r="R805" i="4"/>
  <c r="R804" i="4"/>
  <c r="R803" i="4"/>
  <c r="R802" i="4"/>
  <c r="R801" i="4"/>
  <c r="R800" i="4"/>
  <c r="R799" i="4"/>
  <c r="R798" i="4"/>
  <c r="R797" i="4"/>
  <c r="R796" i="4"/>
  <c r="R795" i="4"/>
  <c r="R794" i="4"/>
  <c r="R793" i="4"/>
  <c r="R792" i="4"/>
  <c r="R791" i="4"/>
  <c r="R790" i="4"/>
  <c r="R789" i="4"/>
  <c r="R788" i="4"/>
  <c r="R787" i="4"/>
  <c r="R786" i="4"/>
  <c r="R785" i="4"/>
  <c r="R784" i="4"/>
  <c r="R783" i="4"/>
  <c r="R782" i="4"/>
  <c r="R781" i="4"/>
  <c r="R780" i="4"/>
  <c r="R779" i="4"/>
  <c r="R778" i="4"/>
  <c r="R777" i="4"/>
  <c r="R776" i="4"/>
  <c r="R775" i="4"/>
  <c r="R774" i="4"/>
  <c r="R773" i="4"/>
  <c r="R772" i="4"/>
  <c r="R771" i="4"/>
  <c r="R770" i="4"/>
  <c r="R769" i="4"/>
  <c r="R768" i="4"/>
  <c r="R767" i="4"/>
  <c r="R766" i="4"/>
  <c r="R765" i="4"/>
  <c r="R764" i="4"/>
  <c r="R763" i="4"/>
  <c r="R762" i="4"/>
  <c r="R761" i="4"/>
  <c r="R760" i="4"/>
  <c r="R759" i="4"/>
  <c r="R758" i="4"/>
  <c r="R757" i="4"/>
  <c r="R756" i="4"/>
  <c r="R755" i="4"/>
  <c r="R754" i="4"/>
  <c r="R753" i="4"/>
  <c r="R752" i="4"/>
  <c r="R751" i="4"/>
  <c r="R750" i="4"/>
  <c r="R749" i="4"/>
  <c r="R748" i="4"/>
  <c r="R747" i="4"/>
  <c r="R746" i="4"/>
  <c r="R745" i="4"/>
  <c r="R744" i="4"/>
  <c r="R743" i="4"/>
  <c r="R742" i="4"/>
  <c r="R741" i="4"/>
  <c r="R740" i="4"/>
  <c r="R739" i="4"/>
  <c r="R738" i="4"/>
  <c r="R737" i="4"/>
  <c r="R736" i="4"/>
  <c r="R735" i="4"/>
  <c r="R734" i="4"/>
  <c r="R733" i="4"/>
  <c r="R732" i="4"/>
  <c r="R731" i="4"/>
  <c r="R730" i="4"/>
  <c r="R729" i="4"/>
  <c r="R728" i="4"/>
  <c r="R727" i="4"/>
  <c r="R726" i="4"/>
  <c r="R725" i="4"/>
  <c r="R724" i="4"/>
  <c r="R723" i="4"/>
  <c r="R722" i="4"/>
  <c r="R721" i="4"/>
  <c r="R720" i="4"/>
  <c r="R719" i="4"/>
  <c r="R718" i="4"/>
  <c r="R717" i="4"/>
  <c r="R716" i="4"/>
  <c r="R715" i="4"/>
  <c r="R714" i="4"/>
  <c r="R713" i="4"/>
  <c r="R712" i="4"/>
  <c r="R711" i="4"/>
  <c r="R710" i="4"/>
  <c r="R709" i="4"/>
  <c r="R708" i="4"/>
  <c r="R707" i="4"/>
  <c r="R706" i="4"/>
  <c r="R705" i="4"/>
  <c r="R704" i="4"/>
  <c r="R703" i="4"/>
  <c r="R702" i="4"/>
  <c r="R701" i="4"/>
  <c r="R700" i="4"/>
  <c r="R699" i="4"/>
  <c r="R698" i="4"/>
  <c r="R697" i="4"/>
  <c r="R696" i="4"/>
  <c r="R695" i="4"/>
  <c r="R694" i="4"/>
  <c r="R693" i="4"/>
  <c r="R692" i="4"/>
  <c r="R691" i="4"/>
  <c r="R690" i="4"/>
  <c r="R689" i="4"/>
  <c r="R688" i="4"/>
  <c r="R687" i="4"/>
  <c r="R686" i="4"/>
  <c r="R685" i="4"/>
  <c r="R684" i="4"/>
  <c r="R683" i="4"/>
  <c r="R682" i="4"/>
  <c r="R681" i="4"/>
  <c r="R680" i="4"/>
  <c r="R679" i="4"/>
  <c r="R678" i="4"/>
  <c r="R677" i="4"/>
  <c r="R676" i="4"/>
  <c r="R675" i="4"/>
  <c r="R674" i="4"/>
  <c r="R673" i="4"/>
  <c r="R672" i="4"/>
  <c r="R671" i="4"/>
  <c r="R670" i="4"/>
  <c r="R669" i="4"/>
  <c r="R668" i="4"/>
  <c r="R667" i="4"/>
  <c r="R666" i="4"/>
  <c r="R665" i="4"/>
  <c r="R664" i="4"/>
  <c r="R663" i="4"/>
  <c r="R662" i="4"/>
  <c r="R661" i="4"/>
  <c r="R660" i="4"/>
  <c r="R659" i="4"/>
  <c r="R658" i="4"/>
  <c r="R657" i="4"/>
  <c r="R656" i="4"/>
  <c r="R655" i="4"/>
  <c r="R654" i="4"/>
  <c r="R653" i="4"/>
  <c r="R652" i="4"/>
  <c r="R651" i="4"/>
  <c r="R650" i="4"/>
  <c r="R649" i="4"/>
  <c r="R648" i="4"/>
  <c r="R647" i="4"/>
  <c r="R646" i="4"/>
  <c r="R645" i="4"/>
  <c r="R644" i="4"/>
  <c r="R643" i="4"/>
  <c r="R642" i="4"/>
  <c r="R641" i="4"/>
  <c r="R640" i="4"/>
  <c r="R639" i="4"/>
  <c r="R638" i="4"/>
  <c r="R637" i="4"/>
  <c r="R636" i="4"/>
  <c r="R635" i="4"/>
  <c r="R634" i="4"/>
  <c r="R633" i="4"/>
  <c r="R632" i="4"/>
  <c r="R631" i="4"/>
  <c r="R630" i="4"/>
  <c r="R629" i="4"/>
  <c r="R628" i="4"/>
  <c r="R627" i="4"/>
  <c r="R626" i="4"/>
  <c r="R625" i="4"/>
  <c r="R624" i="4"/>
  <c r="R623" i="4"/>
  <c r="R622" i="4"/>
  <c r="R621" i="4"/>
  <c r="R620" i="4"/>
  <c r="R619" i="4"/>
  <c r="R618" i="4"/>
  <c r="R617" i="4"/>
  <c r="R616" i="4"/>
  <c r="R615" i="4"/>
  <c r="R614" i="4"/>
  <c r="R613" i="4"/>
  <c r="R612" i="4"/>
  <c r="R611" i="4"/>
  <c r="R610" i="4"/>
  <c r="R609" i="4"/>
  <c r="R608" i="4"/>
  <c r="R607" i="4"/>
  <c r="R606" i="4"/>
  <c r="R605" i="4"/>
  <c r="R604" i="4"/>
  <c r="R603" i="4"/>
  <c r="R602" i="4"/>
  <c r="R601" i="4"/>
  <c r="R600" i="4"/>
  <c r="R599" i="4"/>
  <c r="R598" i="4"/>
  <c r="R597" i="4"/>
  <c r="R596" i="4"/>
  <c r="R595" i="4"/>
  <c r="R594" i="4"/>
  <c r="R593" i="4"/>
  <c r="R592" i="4"/>
  <c r="R591" i="4"/>
  <c r="R590" i="4"/>
  <c r="R589" i="4"/>
  <c r="R588" i="4"/>
  <c r="R587" i="4"/>
  <c r="R586" i="4"/>
  <c r="R585" i="4"/>
  <c r="R584" i="4"/>
  <c r="R583" i="4"/>
  <c r="R582" i="4"/>
  <c r="R581" i="4"/>
  <c r="R580" i="4"/>
  <c r="R579" i="4"/>
  <c r="R578" i="4"/>
  <c r="R577" i="4"/>
  <c r="R576" i="4"/>
  <c r="R575" i="4"/>
  <c r="R574" i="4"/>
  <c r="R573" i="4"/>
  <c r="R572" i="4"/>
  <c r="R571" i="4"/>
  <c r="R570" i="4"/>
  <c r="R569" i="4"/>
  <c r="R568" i="4"/>
  <c r="R567" i="4"/>
  <c r="R566" i="4"/>
  <c r="R565" i="4"/>
  <c r="R564" i="4"/>
  <c r="R563" i="4"/>
  <c r="R562" i="4"/>
  <c r="R561" i="4"/>
  <c r="R560" i="4"/>
  <c r="R559" i="4"/>
  <c r="R558" i="4"/>
  <c r="R557" i="4"/>
  <c r="R556" i="4"/>
  <c r="R555" i="4"/>
  <c r="R554" i="4"/>
  <c r="R553" i="4"/>
  <c r="R552" i="4"/>
  <c r="R551" i="4"/>
  <c r="R550" i="4"/>
  <c r="R549" i="4"/>
  <c r="R548" i="4"/>
  <c r="R547" i="4"/>
  <c r="R546" i="4"/>
  <c r="R545" i="4"/>
  <c r="R544" i="4"/>
  <c r="R543" i="4"/>
  <c r="R542" i="4"/>
  <c r="R541" i="4"/>
  <c r="R540" i="4"/>
  <c r="R539" i="4"/>
  <c r="R538" i="4"/>
  <c r="R537" i="4"/>
  <c r="R536" i="4"/>
  <c r="R535" i="4"/>
  <c r="R534" i="4"/>
  <c r="R533" i="4"/>
  <c r="R532" i="4"/>
  <c r="R531" i="4"/>
  <c r="R530" i="4"/>
  <c r="R529" i="4"/>
  <c r="R528" i="4"/>
  <c r="R527" i="4"/>
  <c r="R526" i="4"/>
  <c r="R525" i="4"/>
  <c r="R524" i="4"/>
  <c r="R523" i="4"/>
  <c r="R522" i="4"/>
  <c r="R521" i="4"/>
  <c r="R520" i="4"/>
  <c r="R519" i="4"/>
  <c r="R518" i="4"/>
  <c r="R517" i="4"/>
  <c r="R516" i="4"/>
  <c r="R515" i="4"/>
  <c r="R514" i="4"/>
  <c r="R513" i="4"/>
  <c r="R512" i="4"/>
  <c r="R511" i="4"/>
  <c r="R510" i="4"/>
  <c r="R509" i="4"/>
  <c r="R508" i="4"/>
  <c r="R507" i="4"/>
  <c r="R506" i="4"/>
  <c r="R505" i="4"/>
  <c r="R504" i="4"/>
  <c r="R503" i="4"/>
  <c r="R502" i="4"/>
  <c r="R501" i="4"/>
  <c r="R500" i="4"/>
  <c r="R499" i="4"/>
  <c r="R498" i="4"/>
  <c r="R497" i="4"/>
  <c r="R496" i="4"/>
  <c r="R495" i="4"/>
  <c r="R494" i="4"/>
  <c r="R493" i="4"/>
  <c r="R492" i="4"/>
  <c r="R491" i="4"/>
  <c r="R490" i="4"/>
  <c r="R489" i="4"/>
  <c r="R488" i="4"/>
  <c r="R487" i="4"/>
  <c r="R486" i="4"/>
  <c r="R485" i="4"/>
  <c r="R484" i="4"/>
  <c r="R483" i="4"/>
  <c r="R482" i="4"/>
  <c r="R481" i="4"/>
  <c r="R480" i="4"/>
  <c r="R479" i="4"/>
  <c r="R478" i="4"/>
  <c r="R477" i="4"/>
  <c r="R476" i="4"/>
  <c r="R475" i="4"/>
  <c r="R474" i="4"/>
  <c r="R473" i="4"/>
  <c r="R472" i="4"/>
  <c r="R471" i="4"/>
  <c r="R470" i="4"/>
  <c r="R469" i="4"/>
  <c r="R468" i="4"/>
  <c r="R467" i="4"/>
  <c r="R466" i="4"/>
  <c r="R465" i="4"/>
  <c r="R464" i="4"/>
  <c r="R463" i="4"/>
  <c r="R462" i="4"/>
  <c r="R461" i="4"/>
  <c r="R460" i="4"/>
  <c r="R459" i="4"/>
  <c r="R458" i="4"/>
  <c r="R457" i="4"/>
  <c r="R456" i="4"/>
  <c r="R455" i="4"/>
  <c r="R454" i="4"/>
  <c r="R453" i="4"/>
  <c r="R452" i="4"/>
  <c r="R451" i="4"/>
  <c r="R450" i="4"/>
  <c r="R449" i="4"/>
  <c r="R448" i="4"/>
  <c r="R447" i="4"/>
  <c r="R446" i="4"/>
  <c r="R445" i="4"/>
  <c r="R444" i="4"/>
  <c r="R443" i="4"/>
  <c r="R442" i="4"/>
  <c r="R441" i="4"/>
  <c r="R440" i="4"/>
  <c r="R439" i="4"/>
  <c r="R438" i="4"/>
  <c r="R437" i="4"/>
  <c r="R436" i="4"/>
  <c r="R435" i="4"/>
  <c r="R434" i="4"/>
  <c r="R433" i="4"/>
  <c r="R432" i="4"/>
  <c r="R431" i="4"/>
  <c r="R430" i="4"/>
  <c r="R429" i="4"/>
  <c r="R428" i="4"/>
  <c r="R427" i="4"/>
  <c r="R426" i="4"/>
  <c r="R425" i="4"/>
  <c r="R424" i="4"/>
  <c r="R423" i="4"/>
  <c r="R422" i="4"/>
  <c r="R421" i="4"/>
  <c r="R420" i="4"/>
  <c r="R419" i="4"/>
  <c r="R418" i="4"/>
  <c r="R417" i="4"/>
  <c r="R416" i="4"/>
  <c r="R415" i="4"/>
  <c r="R414" i="4"/>
  <c r="R413" i="4"/>
  <c r="R412" i="4"/>
  <c r="R411" i="4"/>
  <c r="R410" i="4"/>
  <c r="R409" i="4"/>
  <c r="R408" i="4"/>
  <c r="R407" i="4"/>
  <c r="R406" i="4"/>
  <c r="R405" i="4"/>
  <c r="R404" i="4"/>
  <c r="R403" i="4"/>
  <c r="R402" i="4"/>
  <c r="R401" i="4"/>
  <c r="R400" i="4"/>
  <c r="R399" i="4"/>
  <c r="R398" i="4"/>
  <c r="R397" i="4"/>
  <c r="R396" i="4"/>
  <c r="R395" i="4"/>
  <c r="R394" i="4"/>
  <c r="R393" i="4"/>
  <c r="R392" i="4"/>
  <c r="R391" i="4"/>
  <c r="R390" i="4"/>
  <c r="R389" i="4"/>
  <c r="R388" i="4"/>
  <c r="R387" i="4"/>
  <c r="R386" i="4"/>
  <c r="R385" i="4"/>
  <c r="R384" i="4"/>
  <c r="R383" i="4"/>
  <c r="R382" i="4"/>
  <c r="R381" i="4"/>
  <c r="R380" i="4"/>
  <c r="R379" i="4"/>
  <c r="R378" i="4"/>
  <c r="R377" i="4"/>
  <c r="R376" i="4"/>
  <c r="R375" i="4"/>
  <c r="R374" i="4"/>
  <c r="R373" i="4"/>
  <c r="R372" i="4"/>
  <c r="R371" i="4"/>
  <c r="R370" i="4"/>
  <c r="R369" i="4"/>
  <c r="R368" i="4"/>
  <c r="R367" i="4"/>
  <c r="R366" i="4"/>
  <c r="R365" i="4"/>
  <c r="R364" i="4"/>
  <c r="R363" i="4"/>
  <c r="R362" i="4"/>
  <c r="R361" i="4"/>
  <c r="R360" i="4"/>
  <c r="R359" i="4"/>
  <c r="R358" i="4"/>
  <c r="R357" i="4"/>
  <c r="R356" i="4"/>
  <c r="R355" i="4"/>
  <c r="R354" i="4"/>
  <c r="R353" i="4"/>
  <c r="R352" i="4"/>
  <c r="R351" i="4"/>
  <c r="R350" i="4"/>
  <c r="R349" i="4"/>
  <c r="R348" i="4"/>
  <c r="R347" i="4"/>
  <c r="R346" i="4"/>
  <c r="R345" i="4"/>
  <c r="R344" i="4"/>
  <c r="R343" i="4"/>
  <c r="R342" i="4"/>
  <c r="R341" i="4"/>
  <c r="R340" i="4"/>
  <c r="R339" i="4"/>
  <c r="R338" i="4"/>
  <c r="R337" i="4"/>
  <c r="R336" i="4"/>
  <c r="R335" i="4"/>
  <c r="R334" i="4"/>
  <c r="R333" i="4"/>
  <c r="R332" i="4"/>
  <c r="R331" i="4"/>
  <c r="R330" i="4"/>
  <c r="R329" i="4"/>
  <c r="R328" i="4"/>
  <c r="R327" i="4"/>
  <c r="R326" i="4"/>
  <c r="R325" i="4"/>
  <c r="R324" i="4"/>
  <c r="R323" i="4"/>
  <c r="R322" i="4"/>
  <c r="R321" i="4"/>
  <c r="R320" i="4"/>
  <c r="R319" i="4"/>
  <c r="R318" i="4"/>
  <c r="R317" i="4"/>
  <c r="R316" i="4"/>
  <c r="R315" i="4"/>
  <c r="R314" i="4"/>
  <c r="R313" i="4"/>
  <c r="R312" i="4"/>
  <c r="R311" i="4"/>
  <c r="R310" i="4"/>
  <c r="R309" i="4"/>
  <c r="R308" i="4"/>
  <c r="R307" i="4"/>
  <c r="R306" i="4"/>
  <c r="R305" i="4"/>
  <c r="R304" i="4"/>
  <c r="R303" i="4"/>
  <c r="R302" i="4"/>
  <c r="R301" i="4"/>
  <c r="R300" i="4"/>
  <c r="R299" i="4"/>
  <c r="R298" i="4"/>
  <c r="R297" i="4"/>
  <c r="R296" i="4"/>
  <c r="R295" i="4"/>
  <c r="R294" i="4"/>
  <c r="R293" i="4"/>
  <c r="R292" i="4"/>
  <c r="R291" i="4"/>
  <c r="R290" i="4"/>
  <c r="R289" i="4"/>
  <c r="R288" i="4"/>
  <c r="R287" i="4"/>
  <c r="R286" i="4"/>
  <c r="R285" i="4"/>
  <c r="R284" i="4"/>
  <c r="R283" i="4"/>
  <c r="R282" i="4"/>
  <c r="R281" i="4"/>
  <c r="R280" i="4"/>
  <c r="R279" i="4"/>
  <c r="R278" i="4"/>
  <c r="R277" i="4"/>
  <c r="R276" i="4"/>
  <c r="R275" i="4"/>
  <c r="R274" i="4"/>
  <c r="R273" i="4"/>
  <c r="R272" i="4"/>
  <c r="R271" i="4"/>
  <c r="R270" i="4"/>
  <c r="R269" i="4"/>
  <c r="R268" i="4"/>
  <c r="R267" i="4"/>
  <c r="R266" i="4"/>
  <c r="R265" i="4"/>
  <c r="R264" i="4"/>
  <c r="R263" i="4"/>
  <c r="R262" i="4"/>
  <c r="R261" i="4"/>
  <c r="R260" i="4"/>
  <c r="R259" i="4"/>
  <c r="R258" i="4"/>
  <c r="R257" i="4"/>
  <c r="R256" i="4"/>
  <c r="R255" i="4"/>
  <c r="R254" i="4"/>
  <c r="R253" i="4"/>
  <c r="R252" i="4"/>
  <c r="R251" i="4"/>
  <c r="R250" i="4"/>
  <c r="R249" i="4"/>
  <c r="R248" i="4"/>
  <c r="R247" i="4"/>
  <c r="R246" i="4"/>
  <c r="R245" i="4"/>
  <c r="R244" i="4"/>
  <c r="R243" i="4"/>
  <c r="R242" i="4"/>
  <c r="R241" i="4"/>
  <c r="R240" i="4"/>
  <c r="R239" i="4"/>
  <c r="R238" i="4"/>
  <c r="R237" i="4"/>
  <c r="R236" i="4"/>
  <c r="R235" i="4"/>
  <c r="R234" i="4"/>
  <c r="R233" i="4"/>
  <c r="R232" i="4"/>
  <c r="R231" i="4"/>
  <c r="R230" i="4"/>
  <c r="R229" i="4"/>
  <c r="R228" i="4"/>
  <c r="R227" i="4"/>
  <c r="R226" i="4"/>
  <c r="R225" i="4"/>
  <c r="R224" i="4"/>
  <c r="R223" i="4"/>
  <c r="R222" i="4"/>
  <c r="R221" i="4"/>
  <c r="R220" i="4"/>
  <c r="R219" i="4"/>
  <c r="R218" i="4"/>
  <c r="R217" i="4"/>
  <c r="R216" i="4"/>
  <c r="R215" i="4"/>
  <c r="R214" i="4"/>
  <c r="R213" i="4"/>
  <c r="R212" i="4"/>
  <c r="R211" i="4"/>
  <c r="R210" i="4"/>
  <c r="R209" i="4"/>
  <c r="R208" i="4"/>
  <c r="R207" i="4"/>
  <c r="R206" i="4"/>
  <c r="R205" i="4"/>
  <c r="R204" i="4"/>
  <c r="R203" i="4"/>
  <c r="R202" i="4"/>
  <c r="R201" i="4"/>
  <c r="R200" i="4"/>
  <c r="R199" i="4"/>
  <c r="R198" i="4"/>
  <c r="R197" i="4"/>
  <c r="R196" i="4"/>
  <c r="R195" i="4"/>
  <c r="R194" i="4"/>
  <c r="R193" i="4"/>
  <c r="R192" i="4"/>
  <c r="R191" i="4"/>
  <c r="R190" i="4"/>
  <c r="R189" i="4"/>
  <c r="R188" i="4"/>
  <c r="R187" i="4"/>
  <c r="R186" i="4"/>
  <c r="R185" i="4"/>
  <c r="R184" i="4"/>
  <c r="R183" i="4"/>
  <c r="R182" i="4"/>
  <c r="R181" i="4"/>
  <c r="R180" i="4"/>
  <c r="R179" i="4"/>
  <c r="R178" i="4"/>
  <c r="R177" i="4"/>
  <c r="R176" i="4"/>
  <c r="R175" i="4"/>
  <c r="R174" i="4"/>
  <c r="R173" i="4"/>
  <c r="R172" i="4"/>
  <c r="R171" i="4"/>
  <c r="R170" i="4"/>
  <c r="R169" i="4"/>
  <c r="R168" i="4"/>
  <c r="R167" i="4"/>
  <c r="R166" i="4"/>
  <c r="R165" i="4"/>
  <c r="R164" i="4"/>
  <c r="R163" i="4"/>
  <c r="R162" i="4"/>
  <c r="R161" i="4"/>
  <c r="R160" i="4"/>
  <c r="R159" i="4"/>
  <c r="R158" i="4"/>
  <c r="R157" i="4"/>
  <c r="R156" i="4"/>
  <c r="R155" i="4"/>
  <c r="R154" i="4"/>
  <c r="R153" i="4"/>
  <c r="R152" i="4"/>
  <c r="R151" i="4"/>
  <c r="R150" i="4"/>
  <c r="R149" i="4"/>
  <c r="R148" i="4"/>
  <c r="R147" i="4"/>
  <c r="R146" i="4"/>
  <c r="R145" i="4"/>
  <c r="R144" i="4"/>
  <c r="R143" i="4"/>
  <c r="R142" i="4"/>
  <c r="R141" i="4"/>
  <c r="R140" i="4"/>
  <c r="R139" i="4"/>
  <c r="R138" i="4"/>
  <c r="R137" i="4"/>
  <c r="R136" i="4"/>
  <c r="R135" i="4"/>
  <c r="R134" i="4"/>
  <c r="R133" i="4"/>
  <c r="R132" i="4"/>
  <c r="R131" i="4"/>
  <c r="R130" i="4"/>
  <c r="R129" i="4"/>
  <c r="R128" i="4"/>
  <c r="R127" i="4"/>
  <c r="R126" i="4"/>
  <c r="R125" i="4"/>
  <c r="R124" i="4"/>
  <c r="R123" i="4"/>
  <c r="R122" i="4"/>
  <c r="R121" i="4"/>
  <c r="R120" i="4"/>
  <c r="R119" i="4"/>
  <c r="R118" i="4"/>
  <c r="R117" i="4"/>
  <c r="R116" i="4"/>
  <c r="R115" i="4"/>
  <c r="R114" i="4"/>
  <c r="R113" i="4"/>
  <c r="R112" i="4"/>
  <c r="R111" i="4"/>
  <c r="R110" i="4"/>
  <c r="R109" i="4"/>
  <c r="R108" i="4"/>
  <c r="R107" i="4"/>
  <c r="R106" i="4"/>
  <c r="R105" i="4"/>
  <c r="R104" i="4"/>
  <c r="R103" i="4"/>
  <c r="R102" i="4"/>
  <c r="R101" i="4"/>
  <c r="R100" i="4"/>
  <c r="R99" i="4"/>
  <c r="R98" i="4"/>
  <c r="R97" i="4"/>
  <c r="R96" i="4"/>
  <c r="R95" i="4"/>
  <c r="R94" i="4"/>
  <c r="R93" i="4"/>
  <c r="R92" i="4"/>
  <c r="R91" i="4"/>
  <c r="R90" i="4"/>
  <c r="R89" i="4"/>
  <c r="R88" i="4"/>
  <c r="R87" i="4"/>
  <c r="R86" i="4"/>
  <c r="R85" i="4"/>
  <c r="R84" i="4"/>
  <c r="R83" i="4"/>
  <c r="R82" i="4"/>
  <c r="R81" i="4"/>
  <c r="R80" i="4"/>
  <c r="R79" i="4"/>
  <c r="R78" i="4"/>
  <c r="R77" i="4"/>
  <c r="R76" i="4"/>
  <c r="R75" i="4"/>
  <c r="R74" i="4"/>
  <c r="R73" i="4"/>
  <c r="R72" i="4"/>
  <c r="R71" i="4"/>
  <c r="R70" i="4"/>
  <c r="R69" i="4"/>
  <c r="R68" i="4"/>
  <c r="R67" i="4"/>
  <c r="R66" i="4"/>
  <c r="R65" i="4"/>
  <c r="R64" i="4"/>
  <c r="R63" i="4"/>
  <c r="R62" i="4"/>
  <c r="R61" i="4"/>
  <c r="R60" i="4"/>
  <c r="R59" i="4"/>
  <c r="R58" i="4"/>
  <c r="R57" i="4"/>
  <c r="R56" i="4"/>
  <c r="R55" i="4"/>
  <c r="R54" i="4"/>
  <c r="R53" i="4"/>
  <c r="R52" i="4"/>
  <c r="R51" i="4"/>
  <c r="R50" i="4"/>
  <c r="R49" i="4"/>
  <c r="R48" i="4"/>
  <c r="R47" i="4"/>
  <c r="R46" i="4"/>
  <c r="R45" i="4"/>
  <c r="R44" i="4"/>
  <c r="R43" i="4"/>
  <c r="R42" i="4"/>
  <c r="R41" i="4"/>
  <c r="R40" i="4"/>
  <c r="R39" i="4"/>
  <c r="R38" i="4"/>
  <c r="R37" i="4"/>
  <c r="R36" i="4"/>
  <c r="R35" i="4"/>
  <c r="R34" i="4"/>
  <c r="R33" i="4"/>
  <c r="R32" i="4"/>
  <c r="R31" i="4"/>
  <c r="R30" i="4"/>
  <c r="R29" i="4"/>
  <c r="R28" i="4"/>
  <c r="R27" i="4"/>
  <c r="R26" i="4"/>
  <c r="R25" i="4"/>
  <c r="R24" i="4"/>
  <c r="R23" i="4"/>
  <c r="R22" i="4"/>
  <c r="R21" i="4"/>
  <c r="R20" i="4"/>
  <c r="R19" i="4"/>
  <c r="R18" i="4"/>
  <c r="R17" i="4"/>
  <c r="R16" i="4"/>
  <c r="R15" i="4"/>
  <c r="R14" i="4"/>
  <c r="R13" i="4"/>
  <c r="R12" i="4"/>
  <c r="R11" i="4"/>
  <c r="R10" i="4"/>
  <c r="R9" i="4"/>
  <c r="R8" i="4"/>
  <c r="R7" i="4"/>
  <c r="R6" i="4"/>
  <c r="R3" i="4"/>
  <c r="R4" i="4"/>
  <c r="R5" i="4"/>
  <c r="R2" i="4"/>
  <c r="R5" i="6"/>
  <c r="R4" i="6"/>
  <c r="R3" i="6"/>
  <c r="F2" i="5"/>
  <c r="D5" i="5"/>
  <c r="D2" i="5"/>
  <c r="D7" i="5"/>
  <c r="D8" i="5"/>
  <c r="D6" i="5"/>
  <c r="D4" i="5"/>
  <c r="D10" i="5"/>
  <c r="D9" i="5"/>
  <c r="D3" i="5"/>
  <c r="D11" i="5"/>
  <c r="B3" i="5" a="1"/>
  <c r="B3" i="5" s="1"/>
  <c r="B4" i="5" a="1"/>
  <c r="B4" i="5" s="1"/>
  <c r="B5" i="5" a="1"/>
  <c r="B5" i="5" s="1"/>
  <c r="B6" i="5" a="1"/>
  <c r="B6" i="5" s="1"/>
  <c r="B7" i="5" a="1"/>
  <c r="B7" i="5" s="1"/>
  <c r="B8" i="5" a="1"/>
  <c r="B8" i="5" s="1"/>
  <c r="B9" i="5" a="1"/>
  <c r="B9" i="5" s="1"/>
  <c r="B10" i="5" a="1"/>
  <c r="B10" i="5" s="1"/>
  <c r="B11" i="5" a="1"/>
  <c r="B11" i="5" s="1"/>
  <c r="B2" i="5" a="1"/>
  <c r="B2" i="5" s="1"/>
  <c r="C2" i="5" a="1"/>
  <c r="C2" i="5" s="1"/>
  <c r="C3" i="5" a="1"/>
  <c r="C3" i="5" s="1"/>
  <c r="C4" i="5" a="1"/>
  <c r="C4" i="5" s="1"/>
  <c r="C5" i="5" a="1"/>
  <c r="C5" i="5" s="1"/>
  <c r="C6" i="5" a="1"/>
  <c r="C6" i="5" s="1"/>
  <c r="C7" i="5" a="1"/>
  <c r="C7" i="5" s="1"/>
  <c r="C8" i="5" a="1"/>
  <c r="C8" i="5" s="1"/>
  <c r="C9" i="5" a="1"/>
  <c r="C9" i="5" s="1"/>
  <c r="C10" i="5" a="1"/>
  <c r="C10" i="5" s="1"/>
  <c r="C11" i="5" a="1"/>
  <c r="C11" i="5" s="1"/>
  <c r="A2" i="5" a="1"/>
  <c r="A2" i="5" s="1"/>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337" i="4"/>
  <c r="P2338" i="4"/>
  <c r="P2339" i="4"/>
  <c r="P2340" i="4"/>
  <c r="P2341" i="4"/>
  <c r="P2342" i="4"/>
  <c r="P2343" i="4"/>
  <c r="P2344" i="4"/>
  <c r="P2345" i="4"/>
  <c r="P2346" i="4"/>
  <c r="P2347" i="4"/>
  <c r="P2348" i="4"/>
  <c r="P2349" i="4"/>
  <c r="P2350" i="4"/>
  <c r="P2351" i="4"/>
  <c r="P2352" i="4"/>
  <c r="P2353" i="4"/>
  <c r="P2354" i="4"/>
  <c r="P2355" i="4"/>
  <c r="P2356" i="4"/>
  <c r="P2357" i="4"/>
  <c r="P2358" i="4"/>
  <c r="P2359" i="4"/>
  <c r="P2360" i="4"/>
  <c r="P2361" i="4"/>
  <c r="P2362" i="4"/>
  <c r="P2363" i="4"/>
  <c r="P2364" i="4"/>
  <c r="P2365" i="4"/>
  <c r="P2366" i="4"/>
  <c r="P2367" i="4"/>
  <c r="P2368" i="4"/>
  <c r="P2369" i="4"/>
  <c r="P2370" i="4"/>
  <c r="P2371" i="4"/>
  <c r="P2372" i="4"/>
  <c r="P2373" i="4"/>
  <c r="P2374" i="4"/>
  <c r="P2375" i="4"/>
  <c r="P2376" i="4"/>
  <c r="P2377" i="4"/>
  <c r="P2378" i="4"/>
  <c r="P2379" i="4"/>
  <c r="P2380" i="4"/>
  <c r="P2381" i="4"/>
  <c r="P2382" i="4"/>
  <c r="P2383" i="4"/>
  <c r="P2384" i="4"/>
  <c r="P2385" i="4"/>
  <c r="P2386" i="4"/>
  <c r="P2387" i="4"/>
  <c r="P2388" i="4"/>
  <c r="P2389" i="4"/>
  <c r="P2390" i="4"/>
  <c r="P2391" i="4"/>
  <c r="P2392" i="4"/>
  <c r="P2393" i="4"/>
  <c r="P2394" i="4"/>
  <c r="P2395" i="4"/>
  <c r="P2396" i="4"/>
  <c r="P2397" i="4"/>
  <c r="P2398" i="4"/>
  <c r="P2399" i="4"/>
  <c r="P2400" i="4"/>
  <c r="P2401" i="4"/>
  <c r="P2402" i="4"/>
  <c r="P2403" i="4"/>
  <c r="P2404" i="4"/>
  <c r="P2405" i="4"/>
  <c r="P2406" i="4"/>
  <c r="P2407" i="4"/>
  <c r="P2408" i="4"/>
  <c r="P2409" i="4"/>
  <c r="P2410" i="4"/>
  <c r="P2411" i="4"/>
  <c r="P2412" i="4"/>
  <c r="P2413" i="4"/>
  <c r="P2414" i="4"/>
  <c r="P2415" i="4"/>
  <c r="P2416" i="4"/>
  <c r="P2417" i="4"/>
  <c r="P2418" i="4"/>
  <c r="P2419" i="4"/>
  <c r="P2420" i="4"/>
  <c r="P2421" i="4"/>
  <c r="P2422" i="4"/>
  <c r="P2423" i="4"/>
  <c r="P2424" i="4"/>
  <c r="P2425" i="4"/>
  <c r="P2426" i="4"/>
  <c r="P2427" i="4"/>
  <c r="P2428" i="4"/>
  <c r="P2429" i="4"/>
  <c r="P2430" i="4"/>
  <c r="P2431" i="4"/>
  <c r="P2432" i="4"/>
  <c r="P2433" i="4"/>
  <c r="P2434" i="4"/>
  <c r="P2435" i="4"/>
  <c r="P2436" i="4"/>
  <c r="P2437" i="4"/>
  <c r="P2438" i="4"/>
  <c r="P2439" i="4"/>
  <c r="P2440" i="4"/>
  <c r="P2441" i="4"/>
  <c r="P2442" i="4"/>
  <c r="P2443" i="4"/>
  <c r="P2444" i="4"/>
  <c r="P2445" i="4"/>
  <c r="P2446" i="4"/>
  <c r="P2447" i="4"/>
  <c r="P2448" i="4"/>
  <c r="P2449" i="4"/>
  <c r="P2450" i="4"/>
  <c r="P2451" i="4"/>
  <c r="P2452" i="4"/>
  <c r="P2453" i="4"/>
  <c r="P2454" i="4"/>
  <c r="P2455" i="4"/>
  <c r="P2456" i="4"/>
  <c r="P2457" i="4"/>
  <c r="P2458" i="4"/>
  <c r="P2459" i="4"/>
  <c r="P2460" i="4"/>
  <c r="P2461" i="4"/>
  <c r="P2462" i="4"/>
  <c r="P2463" i="4"/>
  <c r="P2464" i="4"/>
  <c r="P2465" i="4"/>
  <c r="P2466" i="4"/>
  <c r="P2467" i="4"/>
  <c r="P2468" i="4"/>
  <c r="P2469" i="4"/>
  <c r="P2470" i="4"/>
  <c r="P2471" i="4"/>
  <c r="P2472" i="4"/>
  <c r="P2473" i="4"/>
  <c r="P2474" i="4"/>
  <c r="P2475" i="4"/>
  <c r="P2476" i="4"/>
  <c r="P2477" i="4"/>
  <c r="P2478" i="4"/>
  <c r="P2479" i="4"/>
  <c r="P2480" i="4"/>
  <c r="P2481" i="4"/>
  <c r="P2482" i="4"/>
  <c r="P2483" i="4"/>
  <c r="P2484" i="4"/>
  <c r="P2485" i="4"/>
  <c r="P2486" i="4"/>
  <c r="P2487" i="4"/>
  <c r="P2488" i="4"/>
  <c r="P2489" i="4"/>
  <c r="P2490" i="4"/>
  <c r="P2491" i="4"/>
  <c r="P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<sst xmlns="http://schemas.openxmlformats.org/spreadsheetml/2006/main" count="12537" uniqueCount="62">
  <si>
    <t>DATE</t>
  </si>
  <si>
    <t>SERIES</t>
  </si>
  <si>
    <t>OPEN</t>
  </si>
  <si>
    <t>HIGH</t>
  </si>
  <si>
    <t>LOW</t>
  </si>
  <si>
    <t>LTP</t>
  </si>
  <si>
    <t>CLOSE</t>
  </si>
  <si>
    <t>VWAP</t>
  </si>
  <si>
    <t>VOLUME</t>
  </si>
  <si>
    <t>VALUE</t>
  </si>
  <si>
    <t>Stock_name</t>
  </si>
  <si>
    <t>PREV_CLOSE</t>
  </si>
  <si>
    <t>52W_H</t>
  </si>
  <si>
    <t>52W_L</t>
  </si>
  <si>
    <t>NO_OF_TRADES</t>
  </si>
  <si>
    <t>EQ</t>
  </si>
  <si>
    <t>BHARTIAIRTEL</t>
  </si>
  <si>
    <t>HCLTECH</t>
  </si>
  <si>
    <t>HDFCBANK</t>
  </si>
  <si>
    <t>HINDUNILVR</t>
  </si>
  <si>
    <t>ICICIBANK</t>
  </si>
  <si>
    <t>INFY</t>
  </si>
  <si>
    <t>ITC</t>
  </si>
  <si>
    <t>RELIANCE</t>
  </si>
  <si>
    <t>SBIN</t>
  </si>
  <si>
    <t>TCS</t>
  </si>
  <si>
    <t>daily return</t>
  </si>
  <si>
    <t>stock_name</t>
  </si>
  <si>
    <t>First_close</t>
  </si>
  <si>
    <t>Last_Close</t>
  </si>
  <si>
    <t>Annual_return_%</t>
  </si>
  <si>
    <t>Annual_return%</t>
  </si>
  <si>
    <t>Stock_Name</t>
  </si>
  <si>
    <t>NIFTY 10 STOCK PERFORMANCE ANALYSIS - 2025</t>
  </si>
  <si>
    <t>sector_wise</t>
  </si>
  <si>
    <t>Month_Num</t>
  </si>
  <si>
    <t>Month_Name</t>
  </si>
  <si>
    <t>Telecom</t>
  </si>
  <si>
    <t>IT</t>
  </si>
  <si>
    <t>BANK</t>
  </si>
  <si>
    <t>FMCG</t>
  </si>
  <si>
    <t>OIL &amp; GAS</t>
  </si>
  <si>
    <t>Row Labels</t>
  </si>
  <si>
    <t>annual_return_static</t>
  </si>
  <si>
    <t>Average of annual_return_static</t>
  </si>
  <si>
    <t>Jan</t>
  </si>
  <si>
    <t>Feb</t>
  </si>
  <si>
    <t>Mar</t>
  </si>
  <si>
    <t>Apr</t>
  </si>
  <si>
    <t>May</t>
  </si>
  <si>
    <t>Jun</t>
  </si>
  <si>
    <t>Jul</t>
  </si>
  <si>
    <t>Aug</t>
  </si>
  <si>
    <t>Sep</t>
  </si>
  <si>
    <t>Oct</t>
  </si>
  <si>
    <t>Nov</t>
  </si>
  <si>
    <t>Dec</t>
  </si>
  <si>
    <t>Closing_value</t>
  </si>
  <si>
    <t>Sum of VOLUME</t>
  </si>
  <si>
    <t>Max of 52W_H</t>
  </si>
  <si>
    <t>Min of 52W_L</t>
  </si>
  <si>
    <t>Nifty 10 stocks sector wise analysis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</si>
</sst>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43" formatCode="_ * #,##0.00_ ;_ * \-#,##0.00_ ;_ * &quot;-&quot;??_ ;_ @_ "/>
    <numFmt numFmtId="164" formatCode="&quot;₹&quot;\ #,##0.0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theme="1"/>
      <name val="Arial Unicode MS"/>
      <family val="2"/>
    </font>
    <font>
      <b/>
      <sz val="16"/>
      <color theme="1" tint="0.249977111117893"/>
      <name val="Aptos Display"/>
      <family val="2"/>
      <scheme val="major"/>
    </font>
  </fonts>
  <fills count="2">
    <fill>
      <patternFill patternType="none"/>
    </fill>
    <fill>
      <patternFill patternType="gray125"/>
    </fill>
  </fills>
  <borders count="1">
    <border>
      <left/>
      <right/>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19">
    <xf numFmtId="0" fontId="0" fillId="0" borderId="0" xfId="0"/>
    <xf numFmtId="14" fontId="0" fillId="0" borderId="0" xfId="0" applyNumberFormat="1"/>
    <xf numFmtId="2" fontId="0" fillId="0" borderId="0" xfId="0" applyNumberFormat="1"/>
    <xf numFmtId="44" fontId="0" fillId="0" borderId="0" xfId="1" applyFont="1"/>
    <xf numFmtId="164" fontId="0" fillId="0" borderId="0" xfId="0" applyNumberFormat="1"/>
    <xf numFmtId="2" fontId="0" fillId="0" borderId="0" xfId="1" applyNumberFormat="1" applyFont="1"/>
    <xf numFmtId="0" fontId="0" fillId="0" borderId="0" xfId="0" pivotButton="1"/>
    <xf numFmtId="0" fontId="0" fillId="0" borderId="0" xfId="0" applyAlignment="1">
      <alignment horizontal="left"/>
    </xf>
    <xf numFmtId="44" fontId="0" fillId="0" borderId="0" xfId="0" applyNumberFormat="1"/>
    <xf numFmtId="9" fontId="0" fillId="0" borderId="0" xfId="2" applyFont="1"/>
    <xf numFmtId="9" fontId="0" fillId="0" borderId="0" xfId="0" applyNumberFormat="1"/>
    <xf numFmtId="9" fontId="2" fillId="0" borderId="0" xfId="0" applyNumberFormat="1" applyFont="1" applyAlignment="1">
      <alignment horizontal="center"/>
    </xf>
    <xf numFmtId="0" fontId="3" fillId="0" borderId="0" xfId="0" applyFont="1"/>
    <xf numFmtId="0" fontId="0" fillId="0" borderId="0" xfId="0" applyAlignment="1">
      <alignment horizontal="left" indent="1"/>
    </xf>
    <xf numFmtId="0" fontId="0" fillId="0" borderId="0" xfId="0" applyNumberFormat="1"/>
    <xf numFmtId="0" fontId="4" fillId="0" borderId="0" xfId="0" applyFont="1" applyAlignment="1">
      <alignment horizontal="center"/>
    </xf>
    <xf numFmtId="43" fontId="0" fillId="0" borderId="0" xfId="3" applyFont="1"/>
    <xf numFmtId="44" fontId="2" fillId="0" borderId="0" xfId="0" applyNumberFormat="1" applyFont="1"/>
    <xf numFmtId="43" fontId="2" fillId="0" borderId="0" xfId="0" applyNumberFormat="1" applyFont="1" applyAlignment="1">
      <alignment horizontal="center"/>
    </xf>
  </cellXfs>
  <cellStyles count="4">
    <cellStyle name="Comma" xfId="3" builtinId="3"/>
    <cellStyle name="Currency" xfId="1" builtinId="4"/>
    <cellStyle name="Normal" xfId="0" builtinId="0"/>
    <cellStyle name="Percent" xfId="2" builtinId="5"/>
  </cellStyles>
  <dxfs count="101">
    <dxf>
      <font>
        <b/>
      </font>
    </dxf>
    <dxf>
      <alignment horizontal="center"/>
    </dxf>
    <dxf>
      <font>
        <b/>
      </font>
    </dxf>
    <dxf>
      <font>
        <b/>
      </font>
    </dxf>
    <dxf>
      <numFmt numFmtId="2" formatCode="0.00"/>
    </dxf>
    <dxf>
      <numFmt numFmtId="34" formatCode="_ &quot;₹&quot;\ * #,##0.00_ ;_ &quot;₹&quot;\ * \-#,##0.00_ ;_ &quot;₹&quot;\ * &quot;-&quot;??_ ;_ @_ "/>
    </dxf>
    <dxf>
      <numFmt numFmtId="35" formatCode="_ * #,##0.00_ ;_ * \-#,##0.00_ ;_ * &quot;-&quot;??_ ;_ @_ "/>
    </dxf>
    <dxf>
      <font>
        <b/>
      </font>
    </dxf>
    <dxf>
      <alignment horizontal="center"/>
    </dxf>
    <dxf>
      <font>
        <b/>
      </font>
    </dxf>
    <dxf>
      <font>
        <b/>
      </font>
    </dxf>
    <dxf>
      <numFmt numFmtId="2" formatCode="0.00"/>
    </dxf>
    <dxf>
      <numFmt numFmtId="34" formatCode="_ &quot;₹&quot;\ * #,##0.00_ ;_ &quot;₹&quot;\ * \-#,##0.00_ ;_ &quot;₹&quot;\ * &quot;-&quot;??_ ;_ @_ "/>
    </dxf>
    <dxf>
      <numFmt numFmtId="35" formatCode="_ * #,##0.00_ ;_ * \-#,##0.00_ ;_ * &quot;-&quot;??_ ;_ @_ "/>
    </dxf>
    <dxf>
      <font>
        <b/>
      </font>
    </dxf>
    <dxf>
      <alignment horizontal="center"/>
    </dxf>
    <dxf>
      <font>
        <b/>
      </font>
    </dxf>
    <dxf>
      <font>
        <b/>
      </font>
    </dxf>
    <dxf>
      <numFmt numFmtId="2" formatCode="0.00"/>
    </dxf>
    <dxf>
      <numFmt numFmtId="34" formatCode="_ &quot;₹&quot;\ * #,##0.00_ ;_ &quot;₹&quot;\ * \-#,##0.00_ ;_ &quot;₹&quot;\ * &quot;-&quot;??_ ;_ @_ "/>
    </dxf>
    <dxf>
      <numFmt numFmtId="35" formatCode="_ * #,##0.00_ ;_ * \-#,##0.00_ ;_ * &quot;-&quot;??_ ;_ @_ "/>
    </dxf>
    <dxf>
      <font>
        <b/>
      </font>
    </dxf>
    <dxf>
      <alignment horizontal="center"/>
    </dxf>
    <dxf>
      <font>
        <b/>
      </font>
    </dxf>
    <dxf>
      <font>
        <b/>
      </font>
    </dxf>
    <dxf>
      <numFmt numFmtId="2" formatCode="0.00"/>
    </dxf>
    <dxf>
      <numFmt numFmtId="34" formatCode="_ &quot;₹&quot;\ * #,##0.00_ ;_ &quot;₹&quot;\ * \-#,##0.00_ ;_ &quot;₹&quot;\ * &quot;-&quot;??_ ;_ @_ "/>
    </dxf>
    <dxf>
      <numFmt numFmtId="35" formatCode="_ * #,##0.00_ ;_ * \-#,##0.00_ ;_ * &quot;-&quot;??_ ;_ @_ "/>
    </dxf>
    <dxf>
      <font>
        <b/>
      </font>
    </dxf>
    <dxf>
      <alignment horizontal="center"/>
    </dxf>
    <dxf>
      <font>
        <b/>
      </font>
    </dxf>
    <dxf>
      <font>
        <b/>
      </font>
    </dxf>
    <dxf>
      <numFmt numFmtId="2" formatCode="0.00"/>
    </dxf>
    <dxf>
      <numFmt numFmtId="34" formatCode="_ &quot;₹&quot;\ * #,##0.00_ ;_ &quot;₹&quot;\ * \-#,##0.00_ ;_ &quot;₹&quot;\ * &quot;-&quot;??_ ;_ @_ "/>
    </dxf>
    <dxf>
      <numFmt numFmtId="35" formatCode="_ * #,##0.00_ ;_ * \-#,##0.00_ ;_ * &quot;-&quot;??_ ;_ @_ "/>
    </dxf>
    <dxf>
      <font>
        <b/>
      </font>
    </dxf>
    <dxf>
      <alignment horizontal="center"/>
    </dxf>
    <dxf>
      <font>
        <b/>
      </font>
    </dxf>
    <dxf>
      <font>
        <b/>
      </font>
    </dxf>
    <dxf>
      <numFmt numFmtId="2" formatCode="0.00"/>
    </dxf>
    <dxf>
      <numFmt numFmtId="34" formatCode="_ &quot;₹&quot;\ * #,##0.00_ ;_ &quot;₹&quot;\ * \-#,##0.00_ ;_ &quot;₹&quot;\ * &quot;-&quot;??_ ;_ @_ "/>
    </dxf>
    <dxf>
      <numFmt numFmtId="35" formatCode="_ * #,##0.00_ ;_ * \-#,##0.00_ ;_ * &quot;-&quot;??_ ;_ @_ "/>
    </dxf>
    <dxf>
      <numFmt numFmtId="2" formatCode="0.00"/>
    </dxf>
    <dxf>
      <numFmt numFmtId="35" formatCode="_ * #,##0.00_ ;_ * \-#,##0.00_ ;_ * &quot;-&quot;??_ ;_ @_ "/>
    </dxf>
    <dxf>
      <font>
        <b/>
      </font>
    </dxf>
    <dxf>
      <alignment horizontal="center"/>
    </dxf>
    <dxf>
      <font>
        <b/>
      </font>
    </dxf>
    <dxf>
      <font>
        <b/>
      </font>
    </dxf>
    <dxf>
      <numFmt numFmtId="2" formatCode="0.00"/>
    </dxf>
    <dxf>
      <numFmt numFmtId="2" formatCode="0.00"/>
    </dxf>
    <dxf>
      <numFmt numFmtId="34" formatCode="_ &quot;₹&quot;\ * #,##0.00_ ;_ &quot;₹&quot;\ * \-#,##0.00_ ;_ &quot;₹&quot;\ * &quot;-&quot;??_ ;_ @_ "/>
    </dxf>
    <dxf>
      <numFmt numFmtId="34" formatCode="_ &quot;₹&quot;\ * #,##0.00_ ;_ &quot;₹&quot;\ * \-#,##0.00_ ;_ &quot;₹&quot;\ * &quot;-&quot;??_ ;_ @_ "/>
    </dxf>
    <dxf>
      <font>
        <b/>
      </font>
    </dxf>
    <dxf>
      <alignment horizontal="center"/>
    </dxf>
    <dxf>
      <font>
        <b/>
      </font>
    </dxf>
    <dxf>
      <font>
        <b/>
      </font>
    </dxf>
    <dxf>
      <numFmt numFmtId="2" formatCode="0.00"/>
    </dxf>
    <dxf>
      <numFmt numFmtId="2" formatCode="0.00"/>
    </dxf>
    <dxf>
      <font>
        <b/>
      </font>
    </dxf>
    <dxf>
      <alignment horizontal="center"/>
    </dxf>
    <dxf>
      <font>
        <b/>
      </font>
    </dxf>
    <dxf>
      <font>
        <b/>
      </font>
    </dxf>
    <dxf>
      <numFmt numFmtId="2" formatCode="0.00"/>
    </dxf>
    <dxf>
      <numFmt numFmtId="2" formatCode="0.00"/>
    </dxf>
    <dxf>
      <font>
        <b/>
      </font>
    </dxf>
    <dxf>
      <alignment horizontal="center"/>
    </dxf>
    <dxf>
      <font>
        <b/>
      </font>
    </dxf>
    <dxf>
      <font>
        <b/>
      </font>
    </dxf>
    <dxf>
      <numFmt numFmtId="2" formatCode="0.00"/>
    </dxf>
    <dxf>
      <numFmt numFmtId="2" formatCode="0.00"/>
    </dxf>
    <dxf>
      <font>
        <b/>
      </font>
    </dxf>
    <dxf>
      <alignment horizontal="center"/>
    </dxf>
    <dxf>
      <font>
        <b/>
      </font>
    </dxf>
    <dxf>
      <font>
        <b/>
      </font>
    </dxf>
    <dxf>
      <numFmt numFmtId="2" formatCode="0.00"/>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font>
        <b/>
      </font>
    </dxf>
    <dxf>
      <alignment horizontal="center"/>
    </dxf>
    <dxf>
      <font>
        <b/>
      </font>
    </dxf>
    <dxf>
      <font>
        <b/>
      </font>
    </dxf>
    <dxf>
      <numFmt numFmtId="34" formatCode="_ &quot;₹&quot;\ * #,##0.00_ ;_ &quot;₹&quot;\ * \-#,##0.00_ ;_ &quot;₹&quot;\ * &quot;-&quot;??_ ;_ @_ "/>
    </dxf>
    <dxf>
      <numFmt numFmtId="34" formatCode="_ &quot;₹&quot;\ * #,##0.00_ ;_ &quot;₹&quot;\ * \-#,##0.00_ ;_ &quot;₹&quot;\ * &quot;-&quot;??_ ;_ @_ "/>
    </dxf>
    <dxf>
      <numFmt numFmtId="2" formatCode="0.00"/>
    </dxf>
    <dxf>
      <numFmt numFmtId="2" formatCode="0.00"/>
    </dxf>
    <dxf>
      <font>
        <b/>
      </font>
    </dxf>
    <dxf>
      <alignment horizontal="center"/>
    </dxf>
    <dxf>
      <font>
        <b/>
      </font>
    </dxf>
    <dxf>
      <font>
        <b/>
      </font>
    </dxf>
    <dxf>
      <numFmt numFmtId="2" formatCode="0.00"/>
    </dxf>
    <dxf>
      <numFmt numFmtId="2" formatCode="0.00"/>
    </dxf>
    <dxf>
      <font>
        <b/>
      </font>
    </dxf>
    <dxf>
      <alignment horizontal="center"/>
    </dxf>
    <dxf>
      <font>
        <b/>
      </font>
    </dxf>
    <dxf>
      <font>
        <b/>
      </font>
    </dxf>
    <dxf>
      <font>
        <b/>
      </font>
    </dxf>
    <dxf>
      <font>
        <b/>
      </font>
    </dxf>
    <dxf>
      <alignment horizontal="center"/>
    </dxf>
    <dxf>
      <font>
        <b/>
      </font>
    </dxf>
  </dxfs>
  <tableStyles count="0" defaultTableStyle="TableStyleMedium2" defaultPivotStyle="PivotStyleLight16"/>
  <colors>
    <mruColors>
      <color rgb="FFF64848"/>
      <color rgb="FF80D462"/>
      <color rgb="FFF319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[Nifty_Project_analysis.xlsx]Annual_Summary!PivotTable3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 performance of 10 NIFTY-50 stocks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Annual_Summary!$B$3</c:f>
              <c:strCache>
                <c:ptCount val="1"/>
                <c:pt idx="0">
                  <c:v>Total</c:v>
                </c:pt>
              </c:strCache>
            </c:strRef>
          </c:tx>
          <c:spPr>
            <a:solidFill>
              <a:srgbClr val="00B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Annual_Summary!$A$4:$A$13</c:f>
              <c:strCache>
                <c:ptCount val="10"/>
                <c:pt idx="0">
                  <c:v>BHARTIAIRTEL</c:v>
                </c:pt>
                <c:pt idx="1">
                  <c:v>RELIANCE</c:v>
                </c:pt>
                <c:pt idx="2">
                  <c:v>SBIN</c:v>
                </c:pt>
                <c:pt idx="3">
                  <c:v>ICICIBANK</c:v>
                </c:pt>
                <c:pt idx="4">
                  <c:v>HINDUNILVR</c:v>
                </c:pt>
                <c:pt idx="5">
                  <c:v>INFY</c:v>
                </c:pt>
                <c:pt idx="6">
                  <c:v>HCLTECH</c:v>
                </c:pt>
                <c:pt idx="7">
                  <c:v>ITC</c:v>
                </c:pt>
                <c:pt idx="8">
                  <c:v>TCS</c:v>
                </c:pt>
                <c:pt idx="9">
                  <c:v>HDFCBANK</c:v>
                </c:pt>
              </c:strCache>
            </c:strRef>
          </c:cat>
          <c:val>
            <c:numRef>
              <c:f>Annual_Summary!$B$4:$B$13</c:f>
              <c:numCache>
                <c:formatCode>0%</c:formatCode>
                <c:ptCount val="10"/>
                <c:pt idx="0">
                  <c:v>0.31954628062919088</c:v>
                </c:pt>
                <c:pt idx="1">
                  <c:v>0.2858955987717503</c:v>
                </c:pt>
                <c:pt idx="2">
                  <c:v>0.23827534039334342</c:v>
                </c:pt>
                <c:pt idx="3">
                  <c:v>4.6157441670237213E-2</c:v>
                </c:pt>
                <c:pt idx="4">
                  <c:v>-2.6699969854871962E-3</c:v>
                </c:pt>
                <c:pt idx="5">
                  <c:v>-0.14188579017264272</c:v>
                </c:pt>
                <c:pt idx="6">
                  <c:v>-0.15097152122178931</c:v>
                </c:pt>
                <c:pt idx="7">
                  <c:v>-0.16726934600681886</c:v>
                </c:pt>
                <c:pt idx="8">
                  <c:v>-0.22036742088049704</c:v>
                </c:pt>
                <c:pt idx="9">
                  <c:v>-0.4440050483803113</c:v>
                </c:pt>
              </c:numCache>
            </c:numRef>
          </c:val>
          <c:extLst>
            <c:ext xmlns:c14="http://schemas.microsoft.com/office/drawing/2007/8/2/chart" uri="{6F2FDCE9-48DA-4B69-8628-5D25D57E5C99}">
              <c14:invertSolidFillFmt>
                <c14:spPr xmlns:c14="http://schemas.microsoft.com/office/drawing/2007/8/2/chart">
                  <a:solidFill>
                    <a:srgbClr val="F64848"/>
                  </a:solidFill>
                  <a:ln>
                    <a:noFill/>
                  </a:ln>
                  <a:effectLst/>
                </c14:spPr>
              </c14:invertSolidFillFmt>
            </c:ext>
            <c:ext xmlns:c16="http://schemas.microsoft.com/office/drawing/2014/chart" uri="{C3380CC4-5D6E-409C-BE32-E72D297353CC}">
              <c16:uniqueId val="{00000000-0808-48BF-A1D1-4864ED576AC8}"/>
            </c:ext>
          </c:extLst>
        </c:ser>
        <c:dLbls>
          <c:dLblPos val="outEnd"/>
          <c:showLegendKey val="0"/>
          <c:showVal val="1"/>
          <c:showCatName val="0"/>
          <c:showSerName val="0"/>
          <c:showPercent val="0"/>
          <c:showBubbleSize val="0"/>
        </c:dLbls>
        <c:gapWidth val="219"/>
        <c:overlap val="-27"/>
        <c:axId val="1410878752"/>
        <c:axId val="1410879232"/>
      </c:barChart>
      <c:catAx>
        <c:axId val="141087875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879232"/>
        <c:crosses val="autoZero"/>
        <c:auto val="1"/>
        <c:lblAlgn val="ctr"/>
        <c:lblOffset val="100"/>
        <c:noMultiLvlLbl val="0"/>
      </c:catAx>
      <c:valAx>
        <c:axId val="14108792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87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[Nifty_Project_analysis.xlsx]sector_analysis!PivotTable4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Sector &amp; Stock Return Comparison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0D46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sector_analysis!$E$3</c:f>
              <c:strCache>
                <c:ptCount val="1"/>
                <c:pt idx="0">
                  <c:v>Total</c:v>
                </c:pt>
              </c:strCache>
            </c:strRef>
          </c:tx>
          <c:spPr>
            <a:solidFill>
              <a:srgbClr val="80D462"/>
            </a:solidFill>
            <a:ln>
              <a:noFill/>
            </a:ln>
            <a:effectLst/>
          </c:spPr>
          <c:invertIfNegative val="1"/>
          <c:cat>
            <c:multiLvlStrRef>
              <c:f>sector_analysis!$D$4:$D$18</c:f>
              <c:multiLvlStrCache>
                <c:ptCount val="10"/>
                <c:lvl>
                  <c:pt idx="0">
                    <c:v>HDFCBANK</c:v>
                  </c:pt>
                  <c:pt idx="1">
                    <c:v>ICICIBANK</c:v>
                  </c:pt>
                  <c:pt idx="2">
                    <c:v>SBIN</c:v>
                  </c:pt>
                  <c:pt idx="3">
                    <c:v>HINDUNILVR</c:v>
                  </c:pt>
                  <c:pt idx="4">
                    <c:v>ITC</c:v>
                  </c:pt>
                  <c:pt idx="5">
                    <c:v>HCLTECH</c:v>
                  </c:pt>
                  <c:pt idx="6">
                    <c:v>INFY</c:v>
                  </c:pt>
                  <c:pt idx="7">
                    <c:v>TCS</c:v>
                  </c:pt>
                  <c:pt idx="8">
                    <c:v>RELIANCE</c:v>
                  </c:pt>
                  <c:pt idx="9">
                    <c:v>BHARTIAIRTEL</c:v>
                  </c:pt>
                </c:lvl>
                <c:lvl>
                  <c:pt idx="0">
                    <c:v>BANK</c:v>
                  </c:pt>
                  <c:pt idx="3">
                    <c:v>FMCG</c:v>
                  </c:pt>
                  <c:pt idx="5">
                    <c:v>IT</c:v>
                  </c:pt>
                  <c:pt idx="8">
                    <c:v>OIL &amp; GAS</c:v>
                  </c:pt>
                  <c:pt idx="9">
                    <c:v>Telecom</c:v>
                  </c:pt>
                </c:lvl>
              </c:multiLvlStrCache>
            </c:multiLvlStrRef>
          </c:cat>
          <c:val>
            <c:numRef>
              <c:f>sector_analysis!$E$4:$E$18</c:f>
              <c:numCache>
                <c:formatCode>0%</c:formatCode>
                <c:ptCount val="10"/>
                <c:pt idx="0">
                  <c:v>-0.44400504838030891</c:v>
                </c:pt>
                <c:pt idx="1">
                  <c:v>4.6157441670237269E-2</c:v>
                </c:pt>
                <c:pt idx="2">
                  <c:v>0.2382753403933435</c:v>
                </c:pt>
                <c:pt idx="3">
                  <c:v>-2.6699969854871992E-3</c:v>
                </c:pt>
                <c:pt idx="4">
                  <c:v>-0.16726934600681886</c:v>
                </c:pt>
                <c:pt idx="5">
                  <c:v>-0.15097152122178897</c:v>
                </c:pt>
                <c:pt idx="6">
                  <c:v>-0.14188579017264336</c:v>
                </c:pt>
                <c:pt idx="7">
                  <c:v>-0.22036742088049782</c:v>
                </c:pt>
                <c:pt idx="8">
                  <c:v>0.2858955987717503</c:v>
                </c:pt>
                <c:pt idx="9">
                  <c:v>0.31954628062919149</c:v>
                </c:pt>
              </c:numCache>
            </c:numRef>
          </c:val>
          <c:extLst>
            <c:ext xmlns:c14="http://schemas.microsoft.com/office/drawing/2007/8/2/chart" uri="{6F2FDCE9-48DA-4B69-8628-5D25D57E5C99}">
              <c14:invertSolidFillFmt>
                <c14:spPr xmlns:c14="http://schemas.microsoft.com/office/drawing/2007/8/2/chart">
                  <a:solidFill>
                    <a:srgbClr val="F64848"/>
                  </a:solidFill>
                  <a:ln>
                    <a:noFill/>
                  </a:ln>
                  <a:effectLst/>
                </c14:spPr>
              </c14:invertSolidFillFmt>
            </c:ext>
            <c:ext xmlns:c16="http://schemas.microsoft.com/office/drawing/2014/chart" uri="{C3380CC4-5D6E-409C-BE32-E72D297353CC}">
              <c16:uniqueId val="{00000000-AA47-4E33-A469-D92B70C19B10}"/>
            </c:ext>
          </c:extLst>
        </c:ser>
        <c:dLbls>
          <c:dLblPos val="outEnd"/>
          <c:showLegendKey val="0"/>
          <c:showVal val="0"/>
          <c:showCatName val="0"/>
          <c:showSerName val="0"/>
          <c:showPercent val="0"/>
          <c:showBubbleSize val="0"/>
        </c:dLbls>
        <c:gapWidth val="219"/>
        <c:overlap val="-27"/>
        <c:axId val="1228087792"/>
        <c:axId val="1255138543"/>
      </c:barChart>
      <c:catAx>
        <c:axId val="1228087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138543"/>
        <c:crosses val="autoZero"/>
        <c:auto val="1"/>
        <c:lblAlgn val="ctr"/>
        <c:lblOffset val="100"/>
        <c:noMultiLvlLbl val="0"/>
      </c:catAx>
      <c:valAx>
        <c:axId val="12551385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08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[Nifty_Project_analysis.xlsx]monthly_closing_value!PivotTable5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Price Trend Analysis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monthly_closing_value!$B$3</c:f>
              <c:strCache>
                <c:ptCount val="1"/>
                <c:pt idx="0">
                  <c:v>Total</c:v>
                </c:pt>
              </c:strCache>
            </c:strRef>
          </c:tx>
          <c:spPr>
            <a:ln w="28575" cap="rnd">
              <a:solidFill>
                <a:schemeClr val="accent1"/>
              </a:solidFill>
              <a:round/>
            </a:ln>
            <a:effectLst/>
          </c:spPr>
          <c:marker>
            <c:symbol val="none"/>
          </c:marker>
          <c:cat>
            <c:strRef>
              <c:f>monthly_closing_value!$A$4:$A$15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monthly_closing_value!$B$4:$B$15</c:f>
              <c:numCache>
                <c:formatCode>General</c:formatCode>
                <c:ptCount val="12"/>
                <c:pt idx="0">
                  <c:v>1724.8723913043491</c:v>
                </c:pt>
                <c:pt idx="1">
                  <c:v>1674.8617499999998</c:v>
                </c:pt>
                <c:pt idx="2">
                  <c:v>1606.6784210526312</c:v>
                </c:pt>
                <c:pt idx="3">
                  <c:v>1612.8544736842107</c:v>
                </c:pt>
                <c:pt idx="4">
                  <c:v>1691.5302380952373</c:v>
                </c:pt>
                <c:pt idx="5">
                  <c:v>1700.9876190476189</c:v>
                </c:pt>
                <c:pt idx="6">
                  <c:v>1695.6249999999998</c:v>
                </c:pt>
                <c:pt idx="7">
                  <c:v>1635.2436842105278</c:v>
                </c:pt>
                <c:pt idx="8">
                  <c:v>1549.3004545454553</c:v>
                </c:pt>
                <c:pt idx="9">
                  <c:v>1559.6716666666666</c:v>
                </c:pt>
                <c:pt idx="10">
                  <c:v>1599.2868421052628</c:v>
                </c:pt>
                <c:pt idx="11">
                  <c:v>1620.6597727272731</c:v>
                </c:pt>
              </c:numCache>
            </c:numRef>
          </c:val>
          <c:smooth val="0"/>
          <c:extLst>
            <c:ext xmlns:c16="http://schemas.microsoft.com/office/drawing/2014/chart" uri="{C3380CC4-5D6E-409C-BE32-E72D297353CC}">
              <c16:uniqueId val="{00000000-661A-40FE-8B07-3B7999D21F56}"/>
            </c:ext>
          </c:extLst>
        </c:ser>
        <c:dLbls>
          <c:showLegendKey val="0"/>
          <c:showVal val="0"/>
          <c:showCatName val="0"/>
          <c:showSerName val="0"/>
          <c:showPercent val="0"/>
          <c:showBubbleSize val="0"/>
        </c:dLbls>
        <c:smooth val="0"/>
        <c:axId val="1231848992"/>
        <c:axId val="1231849952"/>
      </c:lineChart>
      <c:catAx>
        <c:axId val="123184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849952"/>
        <c:crosses val="autoZero"/>
        <c:auto val="1"/>
        <c:lblAlgn val="ctr"/>
        <c:lblOffset val="100"/>
        <c:noMultiLvlLbl val="0"/>
      </c:catAx>
      <c:valAx>
        <c:axId val="1231849952"/>
        <c:scaling>
          <c:orientation val="minMax"/>
          <c:min val="3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Closing</a:t>
                </a:r>
                <a:r>
                  <a:rPr lang="en-IN" baseline="0"/>
                  <a:t> value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84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[Nifty_Project_analysis.xlsx]monthly_closing_value!PivotTable5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Monthly_Trend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monthly_closing_value!$B$3</c:f>
              <c:strCache>
                <c:ptCount val="1"/>
                <c:pt idx="0">
                  <c:v>Total</c:v>
                </c:pt>
              </c:strCache>
            </c:strRef>
          </c:tx>
          <c:spPr>
            <a:ln w="28575" cap="rnd">
              <a:solidFill>
                <a:schemeClr val="accent1"/>
              </a:solidFill>
              <a:round/>
            </a:ln>
            <a:effectLst/>
          </c:spPr>
          <c:marker>
            <c:symbol val="none"/>
          </c:marker>
          <c:cat>
            <c:strRef>
              <c:f>monthly_closing_value!$A$4:$A$15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monthly_closing_value!$B$4:$B$15</c:f>
              <c:numCache>
                <c:formatCode>General</c:formatCode>
                <c:ptCount val="12"/>
                <c:pt idx="0">
                  <c:v>1724.8723913043491</c:v>
                </c:pt>
                <c:pt idx="1">
                  <c:v>1674.8617499999998</c:v>
                </c:pt>
                <c:pt idx="2">
                  <c:v>1606.6784210526312</c:v>
                </c:pt>
                <c:pt idx="3">
                  <c:v>1612.8544736842107</c:v>
                </c:pt>
                <c:pt idx="4">
                  <c:v>1691.5302380952373</c:v>
                </c:pt>
                <c:pt idx="5">
                  <c:v>1700.9876190476189</c:v>
                </c:pt>
                <c:pt idx="6">
                  <c:v>1695.6249999999998</c:v>
                </c:pt>
                <c:pt idx="7">
                  <c:v>1635.2436842105278</c:v>
                </c:pt>
                <c:pt idx="8">
                  <c:v>1549.3004545454553</c:v>
                </c:pt>
                <c:pt idx="9">
                  <c:v>1559.6716666666666</c:v>
                </c:pt>
                <c:pt idx="10">
                  <c:v>1599.2868421052628</c:v>
                </c:pt>
                <c:pt idx="11">
                  <c:v>1620.6597727272731</c:v>
                </c:pt>
              </c:numCache>
            </c:numRef>
          </c:val>
          <c:smooth val="0"/>
          <c:extLst>
            <c:ext xmlns:c16="http://schemas.microsoft.com/office/drawing/2014/chart" uri="{C3380CC4-5D6E-409C-BE32-E72D297353CC}">
              <c16:uniqueId val="{00000000-D21C-4439-92AB-2B2E8666D396}"/>
            </c:ext>
          </c:extLst>
        </c:ser>
        <c:dLbls>
          <c:showLegendKey val="0"/>
          <c:showVal val="0"/>
          <c:showCatName val="0"/>
          <c:showSerName val="0"/>
          <c:showPercent val="0"/>
          <c:showBubbleSize val="0"/>
        </c:dLbls>
        <c:smooth val="0"/>
        <c:axId val="1231848992"/>
        <c:axId val="1231849952"/>
      </c:lineChart>
      <c:catAx>
        <c:axId val="123184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849952"/>
        <c:crosses val="autoZero"/>
        <c:auto val="1"/>
        <c:lblAlgn val="ctr"/>
        <c:lblOffset val="100"/>
        <c:noMultiLvlLbl val="0"/>
      </c:catAx>
      <c:valAx>
        <c:axId val="1231849952"/>
        <c:scaling>
          <c:orientation val="minMax"/>
          <c:min val="15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Closing</a:t>
                </a:r>
                <a:r>
                  <a:rPr lang="en-IN" baseline="0"/>
                  <a:t> value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84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541020</xdr:colOff>
      <xdr:row>17</xdr:row>
      <xdr:rowOff>129540</xdr:rowOff>
    </xdr:from>
    <xdr:to>
      <xdr:col>16</xdr:col>
      <xdr:colOff>121920</xdr:colOff>
      <xdr:row>24</xdr:row>
      <xdr:rowOff>160020</xdr:rowOff>
    </xdr:to>
    <xdr:sp macro="" textlink="">
      <xdr:nvSpPr>
        <xdr:cNvPr id="11" name="Rectangle 10">
          <a:extLst>
            <a:ext uri="{FF2B5EF4-FFF2-40B4-BE49-F238E27FC236}">
              <a16:creationId xmlns:a16="http://schemas.microsoft.com/office/drawing/2014/main" id="{BD511618-B8DB-4105-AAF0-AAE17B4720F5}"/>
            </a:ext>
          </a:extLst>
        </xdr:cNvPr>
        <xdr:cNvSpPr/>
      </xdr:nvSpPr>
      <xdr:spPr>
        <a:xfrm>
          <a:off x="8656320" y="3238500"/>
          <a:ext cx="2628900" cy="131064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525780</xdr:colOff>
      <xdr:row>9</xdr:row>
      <xdr:rowOff>114300</xdr:rowOff>
    </xdr:from>
    <xdr:to>
      <xdr:col>16</xdr:col>
      <xdr:colOff>106680</xdr:colOff>
      <xdr:row>16</xdr:row>
      <xdr:rowOff>144780</xdr:rowOff>
    </xdr:to>
    <xdr:sp macro="" textlink="">
      <xdr:nvSpPr>
        <xdr:cNvPr id="10" name="Rectangle 9">
          <a:extLst>
            <a:ext uri="{FF2B5EF4-FFF2-40B4-BE49-F238E27FC236}">
              <a16:creationId xmlns:a16="http://schemas.microsoft.com/office/drawing/2014/main" id="{88CB71C0-7A1F-45C1-B0EC-36A1B90BB237}"/>
            </a:ext>
          </a:extLst>
        </xdr:cNvPr>
        <xdr:cNvSpPr/>
      </xdr:nvSpPr>
      <xdr:spPr>
        <a:xfrm>
          <a:off x="8641080" y="1760220"/>
          <a:ext cx="2628900" cy="131064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518160</xdr:colOff>
      <xdr:row>1</xdr:row>
      <xdr:rowOff>144780</xdr:rowOff>
    </xdr:from>
    <xdr:to>
      <xdr:col>16</xdr:col>
      <xdr:colOff>99060</xdr:colOff>
      <xdr:row>8</xdr:row>
      <xdr:rowOff>175260</xdr:rowOff>
    </xdr:to>
    <xdr:sp macro="" textlink="">
      <xdr:nvSpPr>
        <xdr:cNvPr id="6" name="Rectangle 5">
          <a:extLst>
            <a:ext uri="{FF2B5EF4-FFF2-40B4-BE49-F238E27FC236}">
              <a16:creationId xmlns:a16="http://schemas.microsoft.com/office/drawing/2014/main" id="{E9D600B8-6B9B-4DF6-A222-B54517742B15}"/>
            </a:ext>
          </a:extLst>
        </xdr:cNvPr>
        <xdr:cNvSpPr/>
      </xdr:nvSpPr>
      <xdr:spPr>
        <a:xfrm>
          <a:off x="8633460" y="327660"/>
          <a:ext cx="2628900" cy="131064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274320</xdr:colOff>
      <xdr:row>1</xdr:row>
      <xdr:rowOff>121920</xdr:rowOff>
    </xdr:from>
    <xdr:to>
      <xdr:col>10</xdr:col>
      <xdr:colOff>594360</xdr:colOff>
      <xdr:row>20</xdr:row>
      <xdr:rowOff>38100</xdr:rowOff>
    </xdr:to>
    <xdr:graphicFrame macro="">
      <xdr:nvGraphicFramePr>
        <xdr:cNvPr id="4" name="Chart 3">
          <a:extLst>
            <a:ext uri="{FF2B5EF4-FFF2-40B4-BE49-F238E27FC236}">
              <a16:creationId xmlns:a16="http://schemas.microsoft.com/office/drawing/2014/main" id="{E2D24110-EE74-B8AC-BA5D-88510D207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83820</xdr:colOff>
      <xdr:row>3</xdr:row>
      <xdr:rowOff>76200</xdr:rowOff>
    </xdr:from>
    <xdr:to>
      <xdr:col>16</xdr:col>
      <xdr:colOff>15240</xdr:colOff>
      <xdr:row>6</xdr:row>
      <xdr:rowOff>129540</xdr:rowOff>
    </xdr:to>
    <xdr:sp macro="" textlink="">
      <xdr:nvSpPr>
        <xdr:cNvPr id="7" name="TextBox 6">
          <a:extLst>
            <a:ext uri="{FF2B5EF4-FFF2-40B4-BE49-F238E27FC236}">
              <a16:creationId xmlns:a16="http://schemas.microsoft.com/office/drawing/2014/main" id="{F135AF50-4E60-A78C-2EBD-C129C80A912B}"/>
            </a:ext>
          </a:extLst>
        </xdr:cNvPr>
        <xdr:cNvSpPr txBox="1"/>
      </xdr:nvSpPr>
      <xdr:spPr>
        <a:xfrm>
          <a:off x="8808720" y="624840"/>
          <a:ext cx="2369820" cy="601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Market Average</a:t>
          </a:r>
        </a:p>
      </xdr:txBody>
    </xdr:sp>
    <xdr:clientData/>
  </xdr:twoCellAnchor>
  <xdr:twoCellAnchor>
    <xdr:from>
      <xdr:col>12</xdr:col>
      <xdr:colOff>53340</xdr:colOff>
      <xdr:row>5</xdr:row>
      <xdr:rowOff>22860</xdr:rowOff>
    </xdr:from>
    <xdr:to>
      <xdr:col>16</xdr:col>
      <xdr:colOff>7620</xdr:colOff>
      <xdr:row>7</xdr:row>
      <xdr:rowOff>99060</xdr:rowOff>
    </xdr:to>
    <xdr:sp macro="" textlink="$R$3">
      <xdr:nvSpPr>
        <xdr:cNvPr id="8" name="TextBox 7">
          <a:extLst>
            <a:ext uri="{FF2B5EF4-FFF2-40B4-BE49-F238E27FC236}">
              <a16:creationId xmlns:a16="http://schemas.microsoft.com/office/drawing/2014/main" id="{4EF274D0-8F20-94C1-0B9B-65EEF01D5CC7}"/>
            </a:ext>
          </a:extLst>
        </xdr:cNvPr>
        <xdr:cNvSpPr txBox="1"/>
      </xdr:nvSpPr>
      <xdr:spPr>
        <a:xfrm>
          <a:off x="8778240" y="937260"/>
          <a:ext cx="2392680" cy="441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270403F-652D-47A5-ADA1-0D1E1F304820}" type="TxLink">
            <a:rPr lang="en-US" sz="1600" b="1" i="0" u="none" strike="noStrike">
              <a:solidFill>
                <a:srgbClr val="F64848"/>
              </a:solidFill>
              <a:latin typeface="Aptos Narrow"/>
            </a:rPr>
            <a:pPr algn="ctr"/>
            <a:t>-2%</a:t>
          </a:fld>
          <a:endParaRPr lang="en-IN" sz="1600" b="1">
            <a:solidFill>
              <a:srgbClr val="F64848"/>
            </a:solidFill>
          </a:endParaRPr>
        </a:p>
      </xdr:txBody>
    </xdr:sp>
    <xdr:clientData/>
  </xdr:twoCellAnchor>
  <xdr:twoCellAnchor>
    <xdr:from>
      <xdr:col>12</xdr:col>
      <xdr:colOff>403860</xdr:colOff>
      <xdr:row>12</xdr:row>
      <xdr:rowOff>175260</xdr:rowOff>
    </xdr:from>
    <xdr:to>
      <xdr:col>15</xdr:col>
      <xdr:colOff>205740</xdr:colOff>
      <xdr:row>15</xdr:row>
      <xdr:rowOff>76200</xdr:rowOff>
    </xdr:to>
    <xdr:sp macro="" textlink="$R$4">
      <xdr:nvSpPr>
        <xdr:cNvPr id="9" name="TextBox 8">
          <a:extLst>
            <a:ext uri="{FF2B5EF4-FFF2-40B4-BE49-F238E27FC236}">
              <a16:creationId xmlns:a16="http://schemas.microsoft.com/office/drawing/2014/main" id="{8C93AB2C-B678-362F-88BD-867EE76182BE}"/>
            </a:ext>
          </a:extLst>
        </xdr:cNvPr>
        <xdr:cNvSpPr txBox="1"/>
      </xdr:nvSpPr>
      <xdr:spPr>
        <a:xfrm>
          <a:off x="9128760" y="2369820"/>
          <a:ext cx="1630680" cy="449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F8FA16E-3E97-44BA-A425-D295EA080785}" type="TxLink">
            <a:rPr lang="en-US" sz="1600" b="1" i="0" u="none" strike="noStrike">
              <a:solidFill>
                <a:srgbClr val="000000"/>
              </a:solidFill>
              <a:latin typeface="Aptos Narrow"/>
            </a:rPr>
            <a:pPr algn="ctr"/>
            <a:t>BHARTIAIRTEL</a:t>
          </a:fld>
          <a:endParaRPr lang="en-IN" sz="1600" b="1"/>
        </a:p>
      </xdr:txBody>
    </xdr:sp>
    <xdr:clientData/>
  </xdr:twoCellAnchor>
  <xdr:twoCellAnchor>
    <xdr:from>
      <xdr:col>12</xdr:col>
      <xdr:colOff>114300</xdr:colOff>
      <xdr:row>10</xdr:row>
      <xdr:rowOff>137160</xdr:rowOff>
    </xdr:from>
    <xdr:to>
      <xdr:col>15</xdr:col>
      <xdr:colOff>487680</xdr:colOff>
      <xdr:row>12</xdr:row>
      <xdr:rowOff>175260</xdr:rowOff>
    </xdr:to>
    <xdr:sp macro="" textlink="">
      <xdr:nvSpPr>
        <xdr:cNvPr id="12" name="TextBox 11">
          <a:extLst>
            <a:ext uri="{FF2B5EF4-FFF2-40B4-BE49-F238E27FC236}">
              <a16:creationId xmlns:a16="http://schemas.microsoft.com/office/drawing/2014/main" id="{34271D79-DC4D-F51A-67F8-4A8F3EB91706}"/>
            </a:ext>
          </a:extLst>
        </xdr:cNvPr>
        <xdr:cNvSpPr txBox="1"/>
      </xdr:nvSpPr>
      <xdr:spPr>
        <a:xfrm>
          <a:off x="8839200" y="1965960"/>
          <a:ext cx="2202180"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Top Performance</a:t>
          </a:r>
        </a:p>
      </xdr:txBody>
    </xdr:sp>
    <xdr:clientData/>
  </xdr:twoCellAnchor>
  <xdr:twoCellAnchor>
    <xdr:from>
      <xdr:col>12</xdr:col>
      <xdr:colOff>76200</xdr:colOff>
      <xdr:row>18</xdr:row>
      <xdr:rowOff>152400</xdr:rowOff>
    </xdr:from>
    <xdr:to>
      <xdr:col>16</xdr:col>
      <xdr:colOff>38100</xdr:colOff>
      <xdr:row>21</xdr:row>
      <xdr:rowOff>7620</xdr:rowOff>
    </xdr:to>
    <xdr:sp macro="" textlink="">
      <xdr:nvSpPr>
        <xdr:cNvPr id="13" name="TextBox 12">
          <a:extLst>
            <a:ext uri="{FF2B5EF4-FFF2-40B4-BE49-F238E27FC236}">
              <a16:creationId xmlns:a16="http://schemas.microsoft.com/office/drawing/2014/main" id="{41BF625F-D41B-452C-9F03-57E2DABAC1C2}"/>
            </a:ext>
          </a:extLst>
        </xdr:cNvPr>
        <xdr:cNvSpPr txBox="1"/>
      </xdr:nvSpPr>
      <xdr:spPr>
        <a:xfrm>
          <a:off x="8801100" y="3444240"/>
          <a:ext cx="2400300"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Worst Performance</a:t>
          </a:r>
        </a:p>
      </xdr:txBody>
    </xdr:sp>
    <xdr:clientData/>
  </xdr:twoCellAnchor>
  <xdr:twoCellAnchor>
    <xdr:from>
      <xdr:col>12</xdr:col>
      <xdr:colOff>434340</xdr:colOff>
      <xdr:row>20</xdr:row>
      <xdr:rowOff>121920</xdr:rowOff>
    </xdr:from>
    <xdr:to>
      <xdr:col>15</xdr:col>
      <xdr:colOff>236220</xdr:colOff>
      <xdr:row>23</xdr:row>
      <xdr:rowOff>22860</xdr:rowOff>
    </xdr:to>
    <xdr:sp macro="" textlink="$R$5">
      <xdr:nvSpPr>
        <xdr:cNvPr id="14" name="TextBox 13">
          <a:extLst>
            <a:ext uri="{FF2B5EF4-FFF2-40B4-BE49-F238E27FC236}">
              <a16:creationId xmlns:a16="http://schemas.microsoft.com/office/drawing/2014/main" id="{67A00F26-FBF6-4FA8-B1AC-3D50DA494A92}"/>
            </a:ext>
          </a:extLst>
        </xdr:cNvPr>
        <xdr:cNvSpPr txBox="1"/>
      </xdr:nvSpPr>
      <xdr:spPr>
        <a:xfrm>
          <a:off x="9159240" y="3787140"/>
          <a:ext cx="1630680" cy="449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9631B5-FDFA-4C95-8544-1129D89957AB}" type="TxLink">
            <a:rPr lang="en-US" sz="1600" b="1" i="0" u="none" strike="noStrike">
              <a:solidFill>
                <a:srgbClr val="000000"/>
              </a:solidFill>
              <a:latin typeface="+mn-lt"/>
              <a:ea typeface="Arial Unicode MS"/>
              <a:cs typeface="Arial Unicode MS"/>
            </a:rPr>
            <a:pPr algn="ctr"/>
            <a:t>HDFCBANK</a:t>
          </a:fld>
          <a:endParaRPr lang="en-IN" sz="1600" b="1">
            <a:latin typeface="+mn-lt"/>
          </a:endParaRPr>
        </a:p>
      </xdr:txBody>
    </xdr:sp>
    <xdr:clientData/>
  </xdr:twoCellAnchor>
  <xdr:twoCellAnchor>
    <xdr:from>
      <xdr:col>2</xdr:col>
      <xdr:colOff>266700</xdr:colOff>
      <xdr:row>20</xdr:row>
      <xdr:rowOff>99060</xdr:rowOff>
    </xdr:from>
    <xdr:to>
      <xdr:col>10</xdr:col>
      <xdr:colOff>525780</xdr:colOff>
      <xdr:row>26</xdr:row>
      <xdr:rowOff>167640</xdr:rowOff>
    </xdr:to>
    <xdr:sp macro="" textlink="">
      <xdr:nvSpPr>
        <xdr:cNvPr id="15" name="TextBox 14">
          <a:extLst>
            <a:ext uri="{FF2B5EF4-FFF2-40B4-BE49-F238E27FC236}">
              <a16:creationId xmlns:a16="http://schemas.microsoft.com/office/drawing/2014/main" id="{3E456C1B-1702-112A-0E28-9D6504957192}"/>
            </a:ext>
          </a:extLst>
        </xdr:cNvPr>
        <xdr:cNvSpPr txBox="1"/>
      </xdr:nvSpPr>
      <xdr:spPr>
        <a:xfrm>
          <a:off x="2179320" y="3848100"/>
          <a:ext cx="5852160" cy="1165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i="0">
              <a:solidFill>
                <a:schemeClr val="dk1"/>
              </a:solidFill>
              <a:effectLst/>
              <a:latin typeface="+mn-lt"/>
              <a:ea typeface="+mn-ea"/>
              <a:cs typeface="+mn-cs"/>
            </a:rPr>
            <a:t>Key Insights:</a:t>
          </a:r>
        </a:p>
        <a:p>
          <a:pPr marL="0" marR="0" lvl="0" indent="0" defTabSz="914400" eaLnBrk="1" fontAlgn="auto" latinLnBrk="0" hangingPunct="1">
            <a:lnSpc>
              <a:spcPct val="100000"/>
            </a:lnSpc>
            <a:spcBef>
              <a:spcPts val="0"/>
            </a:spcBef>
            <a:spcAft>
              <a:spcPts val="0"/>
            </a:spcAft>
            <a:buClrTx/>
            <a:buSzTx/>
            <a:buFontTx/>
            <a:buNone/>
            <a:tabLst/>
            <a:defRPr/>
          </a:pPr>
          <a:r>
            <a:rPr lang="en-IN" sz="1200" b="1" i="0">
              <a:solidFill>
                <a:schemeClr val="dk1"/>
              </a:solidFill>
              <a:effectLst/>
              <a:latin typeface="+mn-lt"/>
              <a:ea typeface="+mn-ea"/>
              <a:cs typeface="+mn-cs"/>
            </a:rPr>
            <a:t>•</a:t>
          </a:r>
          <a:r>
            <a:rPr lang="en-IN" sz="1200" b="1" i="1">
              <a:solidFill>
                <a:schemeClr val="dk1"/>
              </a:solidFill>
              <a:effectLst/>
              <a:latin typeface="+mn-lt"/>
              <a:ea typeface="+mn-ea"/>
              <a:cs typeface="+mn-cs"/>
            </a:rPr>
            <a:t>Banking Drag:</a:t>
          </a:r>
          <a:r>
            <a:rPr lang="en-IN" sz="1200" b="1">
              <a:solidFill>
                <a:schemeClr val="dk1"/>
              </a:solidFill>
              <a:effectLst/>
              <a:latin typeface="+mn-lt"/>
              <a:ea typeface="+mn-ea"/>
              <a:cs typeface="+mn-cs"/>
            </a:rPr>
            <a:t> HDFC Bank was the primary drag on the portfolio, declining 44%.</a:t>
          </a:r>
          <a:endParaRPr lang="en-IN" sz="1200" b="1">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IN" sz="1200" b="1" i="0">
              <a:solidFill>
                <a:schemeClr val="dk1"/>
              </a:solidFill>
              <a:effectLst/>
              <a:latin typeface="+mn-lt"/>
              <a:ea typeface="+mn-ea"/>
              <a:cs typeface="+mn-cs"/>
            </a:rPr>
            <a:t>•</a:t>
          </a:r>
          <a:r>
            <a:rPr lang="en-IN" sz="1200" b="1" i="1"/>
            <a:t>Telecom Resilience:</a:t>
          </a:r>
          <a:r>
            <a:rPr lang="en-IN" sz="1200" b="1"/>
            <a:t> Bharti Airtel outperformed the market with a 32% gain.</a:t>
          </a:r>
        </a:p>
        <a:p>
          <a:pPr marL="0" marR="0" lvl="0" indent="0" defTabSz="914400" eaLnBrk="1" fontAlgn="auto" latinLnBrk="0" hangingPunct="1">
            <a:lnSpc>
              <a:spcPct val="100000"/>
            </a:lnSpc>
            <a:spcBef>
              <a:spcPts val="0"/>
            </a:spcBef>
            <a:spcAft>
              <a:spcPts val="0"/>
            </a:spcAft>
            <a:buClrTx/>
            <a:buSzTx/>
            <a:buFontTx/>
            <a:buNone/>
            <a:tabLst/>
            <a:defRPr/>
          </a:pPr>
          <a:r>
            <a:rPr lang="en-IN" sz="1200" b="1" i="0">
              <a:solidFill>
                <a:schemeClr val="dk1"/>
              </a:solidFill>
              <a:effectLst/>
              <a:latin typeface="+mn-lt"/>
              <a:ea typeface="+mn-ea"/>
              <a:cs typeface="+mn-cs"/>
            </a:rPr>
            <a:t>•</a:t>
          </a:r>
          <a:r>
            <a:rPr lang="en-IN" sz="1200" b="1" i="1"/>
            <a:t>Sector Trend:</a:t>
          </a:r>
          <a:r>
            <a:rPr lang="en-IN" sz="1200" b="1"/>
            <a:t> The entire IT sector (TCS, HCL, INFY) ended 2025 in negative territory</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19473</xdr:colOff>
      <xdr:row>3</xdr:row>
      <xdr:rowOff>33865</xdr:rowOff>
    </xdr:from>
    <xdr:to>
      <xdr:col>2</xdr:col>
      <xdr:colOff>516467</xdr:colOff>
      <xdr:row>12</xdr:row>
      <xdr:rowOff>118534</xdr:rowOff>
    </xdr:to>
    <mc:AlternateContent xmlns:mc="http://schemas.openxmlformats.org/markup-compatibility/2006">
      <mc:Choice xmlns:a14="http://schemas.microsoft.com/office/drawing/2010/main" Requires="a14">
        <xdr:graphicFrame macro="">
          <xdr:nvGraphicFramePr>
            <xdr:cNvPr id="2" name="Stock_name">
              <a:extLst>
                <a:ext uri="{FF2B5EF4-FFF2-40B4-BE49-F238E27FC236}">
                  <a16:creationId xmlns:a16="http://schemas.microsoft.com/office/drawing/2014/main" id="{2A12BDFE-5F7C-34A1-CF63-9D59975D569F}"/>
                </a:ext>
              </a:extLst>
            </xdr:cNvPr>
            <xdr:cNvGraphicFramePr/>
          </xdr:nvGraphicFramePr>
          <xdr:xfrm>
            <a:off x="0" y="0"/>
            <a:ext cx="0" cy="0"/>
          </xdr:xfrm>
          <a:graphic>
            <a:graphicData uri="http://schemas.microsoft.com/office/drawing/2010/slicer">
              <sle:slicer xmlns:sle="http://schemas.microsoft.com/office/drawing/2010/slicer" name="Stock_name"/>
            </a:graphicData>
          </a:graphic>
        </xdr:graphicFrame>
      </mc:Choice>
      <mc:Fallback>
        <xdr:sp macro="" textlink="">
          <xdr:nvSpPr>
            <xdr:cNvPr id="0" name=""/>
            <xdr:cNvSpPr>
              <a:spLocks noTextEdit="1"/>
            </xdr:cNvSpPr>
          </xdr:nvSpPr>
          <xdr:spPr>
            <a:xfrm>
              <a:off x="19473" y="677332"/>
              <a:ext cx="1716194" cy="17610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24553</xdr:colOff>
      <xdr:row>3</xdr:row>
      <xdr:rowOff>31326</xdr:rowOff>
    </xdr:from>
    <xdr:to>
      <xdr:col>2</xdr:col>
      <xdr:colOff>535940</xdr:colOff>
      <xdr:row>13</xdr:row>
      <xdr:rowOff>73659</xdr:rowOff>
    </xdr:to>
    <mc:AlternateContent xmlns:mc="http://schemas.openxmlformats.org/markup-compatibility/2006">
      <mc:Choice xmlns:a14="http://schemas.microsoft.com/office/drawing/2010/main" Requires="a14">
        <xdr:graphicFrame macro="">
          <xdr:nvGraphicFramePr>
            <xdr:cNvPr id="3" name="sector_wise">
              <a:extLst>
                <a:ext uri="{FF2B5EF4-FFF2-40B4-BE49-F238E27FC236}">
                  <a16:creationId xmlns:a16="http://schemas.microsoft.com/office/drawing/2014/main" id="{DC632C94-FF57-B927-70F9-E26432E3724E}"/>
                </a:ext>
              </a:extLst>
            </xdr:cNvPr>
            <xdr:cNvGraphicFramePr/>
          </xdr:nvGraphicFramePr>
          <xdr:xfrm>
            <a:off x="0" y="0"/>
            <a:ext cx="0" cy="0"/>
          </xdr:xfrm>
          <a:graphic>
            <a:graphicData uri="http://schemas.microsoft.com/office/drawing/2010/slicer">
              <sle:slicer xmlns:sle="http://schemas.microsoft.com/office/drawing/2010/slicer" name="sector_wise"/>
            </a:graphicData>
          </a:graphic>
        </xdr:graphicFrame>
      </mc:Choice>
      <mc:Fallback>
        <xdr:sp macro="" textlink="">
          <xdr:nvSpPr>
            <xdr:cNvPr id="0" name=""/>
            <xdr:cNvSpPr>
              <a:spLocks noTextEdit="1"/>
            </xdr:cNvSpPr>
          </xdr:nvSpPr>
          <xdr:spPr>
            <a:xfrm>
              <a:off x="24553" y="674793"/>
              <a:ext cx="1730587" cy="1904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575734</xdr:colOff>
      <xdr:row>3</xdr:row>
      <xdr:rowOff>24554</xdr:rowOff>
    </xdr:from>
    <xdr:to>
      <xdr:col>15</xdr:col>
      <xdr:colOff>592668</xdr:colOff>
      <xdr:row>18</xdr:row>
      <xdr:rowOff>143933</xdr:rowOff>
    </xdr:to>
    <xdr:graphicFrame macro="">
      <xdr:nvGraphicFramePr>
        <xdr:cNvPr id="5" name="Chart 4">
          <a:extLst>
            <a:ext uri="{FF2B5EF4-FFF2-40B4-BE49-F238E27FC236}">
              <a16:creationId xmlns:a16="http://schemas.microsoft.com/office/drawing/2014/main" id="{2FA3E437-D450-AB20-A742-19222A621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26247</xdr:colOff>
      <xdr:row>3</xdr:row>
      <xdr:rowOff>24552</xdr:rowOff>
    </xdr:from>
    <xdr:to>
      <xdr:col>23</xdr:col>
      <xdr:colOff>25401</xdr:colOff>
      <xdr:row>18</xdr:row>
      <xdr:rowOff>135466</xdr:rowOff>
    </xdr:to>
    <xdr:graphicFrame macro="">
      <xdr:nvGraphicFramePr>
        <xdr:cNvPr id="6" name="Chart 5">
          <a:extLst>
            <a:ext uri="{FF2B5EF4-FFF2-40B4-BE49-F238E27FC236}">
              <a16:creationId xmlns:a16="http://schemas.microsoft.com/office/drawing/2014/main" id="{282FF9FD-7C66-4535-9071-5C15564F0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281940</xdr:colOff>
      <xdr:row>20</xdr:row>
      <xdr:rowOff>15240</xdr:rowOff>
    </xdr:from>
    <xdr:to>
      <xdr:col>8</xdr:col>
      <xdr:colOff>472440</xdr:colOff>
      <xdr:row>27</xdr:row>
      <xdr:rowOff>29633</xdr:rowOff>
    </xdr:to>
    <xdr:sp macro="" textlink="">
      <xdr:nvSpPr>
        <xdr:cNvPr id="7" name="Rectangle 6">
          <a:extLst>
            <a:ext uri="{FF2B5EF4-FFF2-40B4-BE49-F238E27FC236}">
              <a16:creationId xmlns:a16="http://schemas.microsoft.com/office/drawing/2014/main" id="{3B36D65A-10C4-4E6E-9684-688252540009}"/>
            </a:ext>
          </a:extLst>
        </xdr:cNvPr>
        <xdr:cNvSpPr/>
      </xdr:nvSpPr>
      <xdr:spPr>
        <a:xfrm>
          <a:off x="891540" y="3672840"/>
          <a:ext cx="2628900" cy="129455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574887</xdr:colOff>
      <xdr:row>20</xdr:row>
      <xdr:rowOff>8466</xdr:rowOff>
    </xdr:from>
    <xdr:to>
      <xdr:col>15</xdr:col>
      <xdr:colOff>155787</xdr:colOff>
      <xdr:row>27</xdr:row>
      <xdr:rowOff>22859</xdr:rowOff>
    </xdr:to>
    <xdr:sp macro="" textlink="">
      <xdr:nvSpPr>
        <xdr:cNvPr id="8" name="Rectangle 7">
          <a:extLst>
            <a:ext uri="{FF2B5EF4-FFF2-40B4-BE49-F238E27FC236}">
              <a16:creationId xmlns:a16="http://schemas.microsoft.com/office/drawing/2014/main" id="{387C51A4-8891-43C2-BBFF-536EEFF69F42}"/>
            </a:ext>
          </a:extLst>
        </xdr:cNvPr>
        <xdr:cNvSpPr/>
      </xdr:nvSpPr>
      <xdr:spPr>
        <a:xfrm>
          <a:off x="4842087" y="3666066"/>
          <a:ext cx="2628900" cy="129455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348826</xdr:colOff>
      <xdr:row>19</xdr:row>
      <xdr:rowOff>168487</xdr:rowOff>
    </xdr:from>
    <xdr:to>
      <xdr:col>21</xdr:col>
      <xdr:colOff>539326</xdr:colOff>
      <xdr:row>27</xdr:row>
      <xdr:rowOff>0</xdr:rowOff>
    </xdr:to>
    <xdr:sp macro="" textlink="">
      <xdr:nvSpPr>
        <xdr:cNvPr id="9" name="Rectangle 8">
          <a:extLst>
            <a:ext uri="{FF2B5EF4-FFF2-40B4-BE49-F238E27FC236}">
              <a16:creationId xmlns:a16="http://schemas.microsoft.com/office/drawing/2014/main" id="{5738139A-E11E-4C10-BE46-ED1C5CAA07CF}"/>
            </a:ext>
          </a:extLst>
        </xdr:cNvPr>
        <xdr:cNvSpPr/>
      </xdr:nvSpPr>
      <xdr:spPr>
        <a:xfrm>
          <a:off x="8883226" y="3643207"/>
          <a:ext cx="2628900" cy="129455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420793</xdr:colOff>
      <xdr:row>21</xdr:row>
      <xdr:rowOff>77046</xdr:rowOff>
    </xdr:from>
    <xdr:to>
      <xdr:col>8</xdr:col>
      <xdr:colOff>352213</xdr:colOff>
      <xdr:row>24</xdr:row>
      <xdr:rowOff>138006</xdr:rowOff>
    </xdr:to>
    <xdr:sp macro="" textlink="">
      <xdr:nvSpPr>
        <xdr:cNvPr id="10" name="TextBox 9">
          <a:extLst>
            <a:ext uri="{FF2B5EF4-FFF2-40B4-BE49-F238E27FC236}">
              <a16:creationId xmlns:a16="http://schemas.microsoft.com/office/drawing/2014/main" id="{1A7F8B54-555D-4490-81BB-E6DB7742DF77}"/>
            </a:ext>
          </a:extLst>
        </xdr:cNvPr>
        <xdr:cNvSpPr txBox="1"/>
      </xdr:nvSpPr>
      <xdr:spPr>
        <a:xfrm>
          <a:off x="1030393" y="3917526"/>
          <a:ext cx="2369820" cy="609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Highest Price (52W)</a:t>
          </a:r>
        </a:p>
      </xdr:txBody>
    </xdr:sp>
    <xdr:clientData/>
  </xdr:twoCellAnchor>
  <xdr:twoCellAnchor>
    <xdr:from>
      <xdr:col>11</xdr:col>
      <xdr:colOff>77893</xdr:colOff>
      <xdr:row>21</xdr:row>
      <xdr:rowOff>92286</xdr:rowOff>
    </xdr:from>
    <xdr:to>
      <xdr:col>15</xdr:col>
      <xdr:colOff>9313</xdr:colOff>
      <xdr:row>24</xdr:row>
      <xdr:rowOff>153246</xdr:rowOff>
    </xdr:to>
    <xdr:sp macro="" textlink="">
      <xdr:nvSpPr>
        <xdr:cNvPr id="11" name="TextBox 10">
          <a:extLst>
            <a:ext uri="{FF2B5EF4-FFF2-40B4-BE49-F238E27FC236}">
              <a16:creationId xmlns:a16="http://schemas.microsoft.com/office/drawing/2014/main" id="{20825FFE-0152-4ECE-814A-BC531FC76595}"/>
            </a:ext>
          </a:extLst>
        </xdr:cNvPr>
        <xdr:cNvSpPr txBox="1"/>
      </xdr:nvSpPr>
      <xdr:spPr>
        <a:xfrm>
          <a:off x="4954693" y="3932766"/>
          <a:ext cx="2369820" cy="609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dk1"/>
              </a:solidFill>
              <a:effectLst/>
              <a:latin typeface="+mn-lt"/>
              <a:ea typeface="+mn-ea"/>
              <a:cs typeface="+mn-cs"/>
            </a:rPr>
            <a:t>Lowest Price (52W)</a:t>
          </a:r>
          <a:endParaRPr lang="en-IN" sz="2000">
            <a:effectLst/>
          </a:endParaRPr>
        </a:p>
      </xdr:txBody>
    </xdr:sp>
    <xdr:clientData/>
  </xdr:twoCellAnchor>
  <xdr:twoCellAnchor>
    <xdr:from>
      <xdr:col>17</xdr:col>
      <xdr:colOff>474133</xdr:colOff>
      <xdr:row>21</xdr:row>
      <xdr:rowOff>38946</xdr:rowOff>
    </xdr:from>
    <xdr:to>
      <xdr:col>21</xdr:col>
      <xdr:colOff>405553</xdr:colOff>
      <xdr:row>24</xdr:row>
      <xdr:rowOff>99906</xdr:rowOff>
    </xdr:to>
    <xdr:sp macro="" textlink="">
      <xdr:nvSpPr>
        <xdr:cNvPr id="12" name="TextBox 11">
          <a:extLst>
            <a:ext uri="{FF2B5EF4-FFF2-40B4-BE49-F238E27FC236}">
              <a16:creationId xmlns:a16="http://schemas.microsoft.com/office/drawing/2014/main" id="{2B2AEEA3-598C-40ED-AACC-23824181C5FA}"/>
            </a:ext>
          </a:extLst>
        </xdr:cNvPr>
        <xdr:cNvSpPr txBox="1"/>
      </xdr:nvSpPr>
      <xdr:spPr>
        <a:xfrm>
          <a:off x="9008533" y="3879426"/>
          <a:ext cx="2369820" cy="609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Total</a:t>
          </a:r>
          <a:r>
            <a:rPr lang="en-IN" sz="2000" b="1" baseline="0"/>
            <a:t> Traded Volume</a:t>
          </a:r>
          <a:endParaRPr lang="en-IN" sz="2000" b="1"/>
        </a:p>
      </xdr:txBody>
    </xdr:sp>
    <xdr:clientData/>
  </xdr:twoCellAnchor>
  <xdr:twoCellAnchor>
    <xdr:from>
      <xdr:col>11</xdr:col>
      <xdr:colOff>83820</xdr:colOff>
      <xdr:row>23</xdr:row>
      <xdr:rowOff>99060</xdr:rowOff>
    </xdr:from>
    <xdr:to>
      <xdr:col>15</xdr:col>
      <xdr:colOff>38100</xdr:colOff>
      <xdr:row>25</xdr:row>
      <xdr:rowOff>175260</xdr:rowOff>
    </xdr:to>
    <xdr:sp macro="" textlink="$AA$3">
      <xdr:nvSpPr>
        <xdr:cNvPr id="13" name="TextBox 12">
          <a:extLst>
            <a:ext uri="{FF2B5EF4-FFF2-40B4-BE49-F238E27FC236}">
              <a16:creationId xmlns:a16="http://schemas.microsoft.com/office/drawing/2014/main" id="{9B4D9DDC-1F8D-4A51-B15A-BB7D9FD5A1D1}"/>
            </a:ext>
          </a:extLst>
        </xdr:cNvPr>
        <xdr:cNvSpPr txBox="1"/>
      </xdr:nvSpPr>
      <xdr:spPr>
        <a:xfrm>
          <a:off x="4960620" y="4305300"/>
          <a:ext cx="2392680" cy="441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9F6376A-CE51-44E2-BCDF-15C9975CFB1D}" type="TxLink">
            <a:rPr lang="en-US" sz="1600" b="1" i="0" u="none" strike="noStrike">
              <a:solidFill>
                <a:srgbClr val="000000"/>
              </a:solidFill>
              <a:latin typeface="Aptos Narrow"/>
            </a:rPr>
            <a:t> ₹ 390.15 </a:t>
          </a:fld>
          <a:endParaRPr lang="en-IN" sz="1600" b="1">
            <a:solidFill>
              <a:srgbClr val="F64848"/>
            </a:solidFill>
          </a:endParaRPr>
        </a:p>
      </xdr:txBody>
    </xdr:sp>
    <xdr:clientData/>
  </xdr:twoCellAnchor>
  <xdr:twoCellAnchor>
    <xdr:from>
      <xdr:col>1</xdr:col>
      <xdr:colOff>396240</xdr:colOff>
      <xdr:row>23</xdr:row>
      <xdr:rowOff>114300</xdr:rowOff>
    </xdr:from>
    <xdr:to>
      <xdr:col>8</xdr:col>
      <xdr:colOff>350520</xdr:colOff>
      <xdr:row>26</xdr:row>
      <xdr:rowOff>7620</xdr:rowOff>
    </xdr:to>
    <xdr:sp macro="" textlink="$Z$3">
      <xdr:nvSpPr>
        <xdr:cNvPr id="14" name="TextBox 13">
          <a:extLst>
            <a:ext uri="{FF2B5EF4-FFF2-40B4-BE49-F238E27FC236}">
              <a16:creationId xmlns:a16="http://schemas.microsoft.com/office/drawing/2014/main" id="{6907674D-EF47-40BC-994E-4A9461FE42F2}"/>
            </a:ext>
          </a:extLst>
        </xdr:cNvPr>
        <xdr:cNvSpPr txBox="1"/>
      </xdr:nvSpPr>
      <xdr:spPr>
        <a:xfrm>
          <a:off x="1005840" y="4320540"/>
          <a:ext cx="2392680" cy="441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D9851A6-55ED-4E8B-8283-C92BA02A01FB}" type="TxLink">
            <a:rPr lang="en-US" sz="1600" b="1" i="0" u="none" strike="noStrike">
              <a:solidFill>
                <a:srgbClr val="000000"/>
              </a:solidFill>
              <a:latin typeface="Aptos Narrow"/>
            </a:rPr>
            <a:t> ₹ 4,592.25 </a:t>
          </a:fld>
          <a:endParaRPr lang="en-IN" sz="1600" b="1">
            <a:solidFill>
              <a:srgbClr val="F64848"/>
            </a:solidFill>
          </a:endParaRPr>
        </a:p>
      </xdr:txBody>
    </xdr:sp>
    <xdr:clientData/>
  </xdr:twoCellAnchor>
  <xdr:twoCellAnchor>
    <xdr:from>
      <xdr:col>17</xdr:col>
      <xdr:colOff>457200</xdr:colOff>
      <xdr:row>23</xdr:row>
      <xdr:rowOff>38100</xdr:rowOff>
    </xdr:from>
    <xdr:to>
      <xdr:col>21</xdr:col>
      <xdr:colOff>411480</xdr:colOff>
      <xdr:row>25</xdr:row>
      <xdr:rowOff>114300</xdr:rowOff>
    </xdr:to>
    <xdr:sp macro="" textlink="$AB$3">
      <xdr:nvSpPr>
        <xdr:cNvPr id="15" name="TextBox 14">
          <a:extLst>
            <a:ext uri="{FF2B5EF4-FFF2-40B4-BE49-F238E27FC236}">
              <a16:creationId xmlns:a16="http://schemas.microsoft.com/office/drawing/2014/main" id="{26C872EB-0508-4E48-9D2D-BC3BA34A3A8F}"/>
            </a:ext>
          </a:extLst>
        </xdr:cNvPr>
        <xdr:cNvSpPr txBox="1"/>
      </xdr:nvSpPr>
      <xdr:spPr>
        <a:xfrm>
          <a:off x="8991600" y="4244340"/>
          <a:ext cx="2392680" cy="441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71FAEA-6C7D-481F-9E58-29E393799749}" type="TxLink">
            <a:rPr lang="en-US" sz="1600" b="1" i="0" u="none" strike="noStrike">
              <a:solidFill>
                <a:srgbClr val="000000"/>
              </a:solidFill>
              <a:latin typeface="Aptos Narrow"/>
            </a:rPr>
            <a:t> 20,59,51,48,825.00 </a:t>
          </a:fld>
          <a:endParaRPr lang="en-IN" sz="1600" b="1">
            <a:solidFill>
              <a:srgbClr val="F64848"/>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129540</xdr:colOff>
      <xdr:row>3</xdr:row>
      <xdr:rowOff>3810</xdr:rowOff>
    </xdr:from>
    <xdr:to>
      <xdr:col>11</xdr:col>
      <xdr:colOff>434340</xdr:colOff>
      <xdr:row>18</xdr:row>
      <xdr:rowOff>3810</xdr:rowOff>
    </xdr:to>
    <xdr:graphicFrame macro="">
      <xdr:nvGraphicFramePr>
        <xdr:cNvPr id="2" name="Chart 1">
          <a:extLst>
            <a:ext uri="{FF2B5EF4-FFF2-40B4-BE49-F238E27FC236}">
              <a16:creationId xmlns:a16="http://schemas.microsoft.com/office/drawing/2014/main" id="{1A28C7A1-83A4-04D9-CDC1-8E3FE73BA3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29.96310439815" createdVersion="8" refreshedVersion="8" minRefreshableVersion="3" recordCount="10" xr:uid="{0C7E3CEB-FAB3-4B50-A650-F58FCC735FB6}">
  <cacheSource type="worksheet">
    <worksheetSource ref="A1:D11" sheet="Annual_Summary_data"/>
  </cacheSource>
  <cacheFields count="4">
    <cacheField name="stock_name" numFmtId="0">
      <sharedItems count="10">
        <s v="BHARTIAIRTEL"/>
        <s v="HCLTECH"/>
        <s v="HDFCBANK"/>
        <s v="HINDUNILVR"/>
        <s v="ICICIBANK"/>
        <s v="INFY"/>
        <s v="ITC"/>
        <s v="RELIANCE"/>
        <s v="SBIN"/>
        <s v="TCS"/>
      </sharedItems>
    </cacheField>
    <cacheField name="First_close" numFmtId="0">
      <sharedItems containsSemiMixedTypes="0" containsString="0" containsNumber="1" minValue="483.95" maxValue="4112.45"/>
    </cacheField>
    <cacheField name="Last_Close" numFmtId="0">
      <sharedItems containsSemiMixedTypes="0" containsString="0" containsNumber="1" minValue="403" maxValue="3206.2"/>
    </cacheField>
    <cacheField name="Annual_return_%" numFmtId="9">
      <sharedItems containsSemiMixedTypes="0" containsString="0" containsNumber="1" minValue="-0.4440050483803113" maxValue="0.3195462806291908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30.135041435184" createdVersion="8" refreshedVersion="8" minRefreshableVersion="3" recordCount="2490" xr:uid="{8DCC860D-886F-40CE-A6A6-DD21E412D39D}">
  <cacheSource type="worksheet">
    <worksheetSource ref="A1:T2491" sheet="Raw_data_annual_summary"/>
  </cacheSource>
  <cacheFields count="20">
    <cacheField name="DATE" numFmtId="14">
      <sharedItems containsSemiMixedTypes="0" containsNonDate="0" containsDate="1" containsString="0" minDate="2025-01-01T00:00:00" maxDate="2026-01-01T00:00:00"/>
    </cacheField>
    <cacheField name="SERIES" numFmtId="0">
      <sharedItems/>
    </cacheField>
    <cacheField name="OPEN" numFmtId="0">
      <sharedItems containsSemiMixedTypes="0" containsString="0" containsNumber="1" minValue="390.15" maxValue="4302"/>
    </cacheField>
    <cacheField name="HIGH" numFmtId="0">
      <sharedItems containsSemiMixedTypes="0" containsString="0" containsNumber="1" minValue="397.2" maxValue="4322.95"/>
    </cacheField>
    <cacheField name="LOW" numFmtId="0">
      <sharedItems containsSemiMixedTypes="0" containsString="0" containsNumber="1" minValue="390.15" maxValue="4227.3999999999996"/>
    </cacheField>
    <cacheField name="PREV_CLOSE" numFmtId="0">
      <sharedItems containsSemiMixedTypes="0" containsString="0" containsNumber="1" minValue="394.85" maxValue="4291.1000000000004"/>
    </cacheField>
    <cacheField name="LTP" numFmtId="0">
      <sharedItems containsSemiMixedTypes="0" containsString="0" containsNumber="1" minValue="394.45" maxValue="4299"/>
    </cacheField>
    <cacheField name="CLOSE" numFmtId="0">
      <sharedItems containsSemiMixedTypes="0" containsString="0" containsNumber="1" minValue="394.85" maxValue="4291.1000000000004"/>
    </cacheField>
    <cacheField name="VWAP" numFmtId="0">
      <sharedItems containsSemiMixedTypes="0" containsString="0" containsNumber="1" minValue="394.38" maxValue="4294.04"/>
    </cacheField>
    <cacheField name="52W_H" numFmtId="0">
      <sharedItems containsSemiMixedTypes="0" containsString="0" containsNumber="1" minValue="461.75" maxValue="4592.25"/>
    </cacheField>
    <cacheField name="52W_L" numFmtId="0">
      <sharedItems containsSemiMixedTypes="0" containsString="0" containsNumber="1" minValue="390.15" maxValue="3591.5"/>
    </cacheField>
    <cacheField name="VOLUME" numFmtId="0">
      <sharedItems containsSemiMixedTypes="0" containsString="0" containsNumber="1" containsInteger="1" minValue="82020" maxValue="431851622"/>
    </cacheField>
    <cacheField name="VALUE" numFmtId="2">
      <sharedItems containsSemiMixedTypes="0" containsString="0" containsNumber="1" minValue="212803041.19999999" maxValue="182719665612.79999"/>
    </cacheField>
    <cacheField name="NO_OF_TRADES" numFmtId="0">
      <sharedItems containsSemiMixedTypes="0" containsString="0" containsNumber="1" containsInteger="1" minValue="8723" maxValue="893347"/>
    </cacheField>
    <cacheField name="Stock_name" numFmtId="0">
      <sharedItems count="10">
        <s v="BHARTIAIRTEL"/>
        <s v="HCLTECH"/>
        <s v="HDFCBANK"/>
        <s v="HINDUNILVR"/>
        <s v="ICICIBANK"/>
        <s v="INFY"/>
        <s v="ITC"/>
        <s v="RELIANCE"/>
        <s v="SBIN"/>
        <s v="TCS"/>
      </sharedItems>
    </cacheField>
    <cacheField name="daily return" numFmtId="44">
      <sharedItems containsSemiMixedTypes="0" containsString="0" containsNumber="1" minValue="-161.15000000000009" maxValue="984.59999999999991"/>
    </cacheField>
    <cacheField name="sector_wise" numFmtId="0">
      <sharedItems count="5">
        <s v="Telecom"/>
        <s v="IT"/>
        <s v="BANK"/>
        <s v="FMCG"/>
        <s v="OIL &amp; GAS"/>
      </sharedItems>
    </cacheField>
    <cacheField name="Month_Num" numFmtId="0">
      <sharedItems containsSemiMixedTypes="0" containsString="0" containsNumber="1" containsInteger="1" minValue="1" maxValue="12"/>
    </cacheField>
    <cacheField name="Month_Name" numFmtId="0">
      <sharedItems count="12">
        <s v="Dec"/>
        <s v="Nov"/>
        <s v="Oct"/>
        <s v="Sep"/>
        <s v="Aug"/>
        <s v="Jul"/>
        <s v="Jun"/>
        <s v="May"/>
        <s v="Apr"/>
        <s v="Mar"/>
        <s v="Feb"/>
        <s v="Jan"/>
      </sharedItems>
    </cacheField>
    <cacheField name="annual_return_static" numFmtId="9">
      <sharedItems containsSemiMixedTypes="0" containsString="0" containsNumber="1" minValue="-0.4440050483803113" maxValue="0.31954628062919088"/>
    </cacheField>
  </cacheFields>
  <extLst>
    <ext xmlns:x14="http://schemas.microsoft.com/office/spreadsheetml/2009/9/main" uri="{725AE2AE-9491-48be-B2B4-4EB974FC3084}">
      <x14:pivotCacheDefinition pivotCacheId="867264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595.7"/>
    <n v="2105.6"/>
    <n v="0.31954628062919088"/>
  </r>
  <r>
    <x v="1"/>
    <n v="1911.95"/>
    <n v="1623.3"/>
    <n v="-0.15097152122178931"/>
  </r>
  <r>
    <x v="2"/>
    <n v="1782.75"/>
    <n v="991.2"/>
    <n v="-0.4440050483803113"/>
  </r>
  <r>
    <x v="3"/>
    <n v="2322.1"/>
    <n v="2315.9"/>
    <n v="-2.6699969854871962E-3"/>
  </r>
  <r>
    <x v="4"/>
    <n v="1283.6500000000001"/>
    <n v="1342.9"/>
    <n v="4.6157441670237213E-2"/>
  </r>
  <r>
    <x v="5"/>
    <n v="1882.5"/>
    <n v="1615.4"/>
    <n v="-0.14188579017264272"/>
  </r>
  <r>
    <x v="6"/>
    <n v="483.95"/>
    <n v="403"/>
    <n v="-0.16726934600681886"/>
  </r>
  <r>
    <x v="7"/>
    <n v="1221.25"/>
    <n v="1570.4"/>
    <n v="0.2858955987717503"/>
  </r>
  <r>
    <x v="8"/>
    <n v="793.2"/>
    <n v="982.2"/>
    <n v="0.23827534039334342"/>
  </r>
  <r>
    <x v="9"/>
    <n v="4112.45"/>
    <n v="3206.2"/>
    <n v="-0.2203674208804970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0">
  <r>
    <d v="2025-12-31T00:00:00"/>
    <s v="EQ"/>
    <n v="2096"/>
    <n v="2121"/>
    <n v="2090.1"/>
    <n v="2099.8000000000002"/>
    <n v="2107"/>
    <n v="2105.6"/>
    <n v="2105.46"/>
    <n v="2174.5"/>
    <n v="1559.5"/>
    <n v="2991434"/>
    <n v="6298336696.3000002"/>
    <n v="129671"/>
    <x v="0"/>
    <n v="3.8000000000001819"/>
    <x v="0"/>
    <n v="12"/>
    <x v="0"/>
    <n v="0.31954628062919088"/>
  </r>
  <r>
    <d v="2025-12-30T00:00:00"/>
    <s v="EQ"/>
    <n v="2077"/>
    <n v="2102.8000000000002"/>
    <n v="2071.6"/>
    <n v="2081.6"/>
    <n v="2099.4"/>
    <n v="2099.8000000000002"/>
    <n v="2098.35"/>
    <n v="2174.5"/>
    <n v="1559.5"/>
    <n v="6983390"/>
    <n v="14653574322.6"/>
    <n v="173712"/>
    <x v="0"/>
    <n v="4.5999999999999091"/>
    <x v="0"/>
    <n v="12"/>
    <x v="0"/>
    <n v="0.31954628062919088"/>
  </r>
  <r>
    <d v="2025-12-29T00:00:00"/>
    <s v="EQ"/>
    <n v="2105.4"/>
    <n v="2112.6999999999998"/>
    <n v="2079.4"/>
    <n v="2105.4"/>
    <n v="2081.4"/>
    <n v="2081.6"/>
    <n v="2089.02"/>
    <n v="2174.5"/>
    <n v="1559.5"/>
    <n v="2371034"/>
    <n v="4953136389.3999996"/>
    <n v="129894"/>
    <x v="0"/>
    <n v="0"/>
    <x v="0"/>
    <n v="12"/>
    <x v="0"/>
    <n v="0.31954628062919088"/>
  </r>
  <r>
    <d v="2025-12-26T00:00:00"/>
    <s v="EQ"/>
    <n v="2123"/>
    <n v="2123"/>
    <n v="2101.8000000000002"/>
    <n v="2123.6999999999998"/>
    <n v="2106"/>
    <n v="2105.4"/>
    <n v="2108.17"/>
    <n v="2174.5"/>
    <n v="1559.5"/>
    <n v="1297870"/>
    <n v="2736129285.1999998"/>
    <n v="82211"/>
    <x v="0"/>
    <n v="0.6999999999998181"/>
    <x v="0"/>
    <n v="12"/>
    <x v="0"/>
    <n v="0.31954628062919088"/>
  </r>
  <r>
    <d v="2025-12-24T00:00:00"/>
    <s v="EQ"/>
    <n v="2111"/>
    <n v="2137.1999999999998"/>
    <n v="2111"/>
    <n v="2122.9"/>
    <n v="2123.5"/>
    <n v="2123.6999999999998"/>
    <n v="2127.5"/>
    <n v="2174.5"/>
    <n v="1559.5"/>
    <n v="3145464"/>
    <n v="6691975445.3999996"/>
    <n v="98425"/>
    <x v="0"/>
    <n v="11.900000000000091"/>
    <x v="0"/>
    <n v="12"/>
    <x v="0"/>
    <n v="0.31954628062919088"/>
  </r>
  <r>
    <d v="2025-12-23T00:00:00"/>
    <s v="EQ"/>
    <n v="2157"/>
    <n v="2164"/>
    <n v="2119.1999999999998"/>
    <n v="2147.6"/>
    <n v="2123"/>
    <n v="2122.9"/>
    <n v="2128.23"/>
    <n v="2174.5"/>
    <n v="1559.5"/>
    <n v="4110853"/>
    <n v="8748834353.7999992"/>
    <n v="154127"/>
    <x v="0"/>
    <n v="-9.4000000000000909"/>
    <x v="0"/>
    <n v="12"/>
    <x v="0"/>
    <n v="0.31954628062919088"/>
  </r>
  <r>
    <d v="2025-12-22T00:00:00"/>
    <s v="EQ"/>
    <n v="2118"/>
    <n v="2151.6999999999998"/>
    <n v="2101.6999999999998"/>
    <n v="2097.6999999999998"/>
    <n v="2141.5"/>
    <n v="2147.6"/>
    <n v="2137.59"/>
    <n v="2174.5"/>
    <n v="1559.5"/>
    <n v="7670853"/>
    <n v="16397170359.700001"/>
    <n v="236708"/>
    <x v="0"/>
    <n v="-20.300000000000182"/>
    <x v="0"/>
    <n v="12"/>
    <x v="0"/>
    <n v="0.31954628062919088"/>
  </r>
  <r>
    <d v="2025-12-19T00:00:00"/>
    <s v="EQ"/>
    <n v="2113.9"/>
    <n v="2115"/>
    <n v="2082"/>
    <n v="2092"/>
    <n v="2090.9"/>
    <n v="2097.6999999999998"/>
    <n v="2095.2800000000002"/>
    <n v="2174.5"/>
    <n v="1559.5"/>
    <n v="10127415"/>
    <n v="21219798389.700001"/>
    <n v="644521"/>
    <x v="0"/>
    <n v="-21.900000000000091"/>
    <x v="0"/>
    <n v="12"/>
    <x v="0"/>
    <n v="0.31954628062919088"/>
  </r>
  <r>
    <d v="2025-12-18T00:00:00"/>
    <s v="EQ"/>
    <n v="2099"/>
    <n v="2116.6"/>
    <n v="2088.1"/>
    <n v="2108"/>
    <n v="2098.3000000000002"/>
    <n v="2092"/>
    <n v="2100.4899999999998"/>
    <n v="2174.5"/>
    <n v="1559.5"/>
    <n v="3760341"/>
    <n v="7898569012.8999996"/>
    <n v="177440"/>
    <x v="0"/>
    <n v="9"/>
    <x v="0"/>
    <n v="12"/>
    <x v="0"/>
    <n v="0.31954628062919088"/>
  </r>
  <r>
    <d v="2025-12-17T00:00:00"/>
    <s v="EQ"/>
    <n v="2117.6"/>
    <n v="2128"/>
    <n v="2096.4"/>
    <n v="2102"/>
    <n v="2109"/>
    <n v="2108"/>
    <n v="2106.48"/>
    <n v="2174.5"/>
    <n v="1559.5"/>
    <n v="6412516"/>
    <n v="13507842168"/>
    <n v="176177"/>
    <x v="0"/>
    <n v="-15.599999999999909"/>
    <x v="0"/>
    <n v="12"/>
    <x v="0"/>
    <n v="0.31954628062919088"/>
  </r>
  <r>
    <d v="2025-12-16T00:00:00"/>
    <s v="EQ"/>
    <n v="2070.1"/>
    <n v="2106.6"/>
    <n v="2070.1"/>
    <n v="2069.6999999999998"/>
    <n v="2104.9"/>
    <n v="2102"/>
    <n v="2097.67"/>
    <n v="2174.5"/>
    <n v="1559.5"/>
    <n v="5756692"/>
    <n v="12075653201.700001"/>
    <n v="214465"/>
    <x v="0"/>
    <n v="-0.40000000000009095"/>
    <x v="0"/>
    <n v="12"/>
    <x v="0"/>
    <n v="0.31954628062919088"/>
  </r>
  <r>
    <d v="2025-12-15T00:00:00"/>
    <s v="EQ"/>
    <n v="2070.1"/>
    <n v="2078.9"/>
    <n v="2061.5"/>
    <n v="2083.4"/>
    <n v="2072"/>
    <n v="2069.6999999999998"/>
    <n v="2071.2199999999998"/>
    <n v="2174.5"/>
    <n v="1559.5"/>
    <n v="3233614"/>
    <n v="6697521715.6000004"/>
    <n v="176973"/>
    <x v="0"/>
    <n v="13.300000000000182"/>
    <x v="0"/>
    <n v="12"/>
    <x v="0"/>
    <n v="0.31954628062919088"/>
  </r>
  <r>
    <d v="2025-12-12T00:00:00"/>
    <s v="EQ"/>
    <n v="2053.1"/>
    <n v="2087.1"/>
    <n v="2050.6"/>
    <n v="2053.1999999999998"/>
    <n v="2082.1"/>
    <n v="2083.4"/>
    <n v="2074.23"/>
    <n v="2174.5"/>
    <n v="1559.5"/>
    <n v="2706420"/>
    <n v="5613747141.8999996"/>
    <n v="100209"/>
    <x v="0"/>
    <n v="9.9999999999909051E-2"/>
    <x v="0"/>
    <n v="12"/>
    <x v="0"/>
    <n v="0.31954628062919088"/>
  </r>
  <r>
    <d v="2025-12-11T00:00:00"/>
    <s v="EQ"/>
    <n v="2066"/>
    <n v="2069.1999999999998"/>
    <n v="2038"/>
    <n v="2067"/>
    <n v="2054"/>
    <n v="2053.1999999999998"/>
    <n v="2051.1"/>
    <n v="2174.5"/>
    <n v="1559.5"/>
    <n v="3254850"/>
    <n v="6676036622.1999998"/>
    <n v="127700"/>
    <x v="0"/>
    <n v="1"/>
    <x v="0"/>
    <n v="12"/>
    <x v="0"/>
    <n v="0.31954628062919088"/>
  </r>
  <r>
    <d v="2025-12-10T00:00:00"/>
    <s v="EQ"/>
    <n v="2072"/>
    <n v="2096.9"/>
    <n v="2062.1999999999998"/>
    <n v="2089.6999999999998"/>
    <n v="2063"/>
    <n v="2067"/>
    <n v="2076.41"/>
    <n v="2174.5"/>
    <n v="1559.5"/>
    <n v="3987451"/>
    <n v="8279599352.8999996"/>
    <n v="123385"/>
    <x v="0"/>
    <n v="17.699999999999818"/>
    <x v="0"/>
    <n v="12"/>
    <x v="0"/>
    <n v="0.31954628062919088"/>
  </r>
  <r>
    <d v="2025-12-09T00:00:00"/>
    <s v="EQ"/>
    <n v="2086.8000000000002"/>
    <n v="2100.4"/>
    <n v="2080.4"/>
    <n v="2086.1999999999998"/>
    <n v="2087.1"/>
    <n v="2089.6999999999998"/>
    <n v="2088.41"/>
    <n v="2174.5"/>
    <n v="1559.5"/>
    <n v="5139229"/>
    <n v="10732805998.5"/>
    <n v="160953"/>
    <x v="0"/>
    <n v="-0.6000000000003638"/>
    <x v="0"/>
    <n v="12"/>
    <x v="0"/>
    <n v="0.31954628062919088"/>
  </r>
  <r>
    <d v="2025-12-08T00:00:00"/>
    <s v="EQ"/>
    <n v="2114.4"/>
    <n v="2114.4"/>
    <n v="2078.9"/>
    <n v="2108.8000000000002"/>
    <n v="2087"/>
    <n v="2086.1999999999998"/>
    <n v="2090.5100000000002"/>
    <n v="2174.5"/>
    <n v="1559.5"/>
    <n v="4327091"/>
    <n v="9045832820.7000008"/>
    <n v="172189"/>
    <x v="0"/>
    <n v="-5.5999999999999091"/>
    <x v="0"/>
    <n v="12"/>
    <x v="0"/>
    <n v="0.31954628062919088"/>
  </r>
  <r>
    <d v="2025-12-05T00:00:00"/>
    <s v="EQ"/>
    <n v="2092.6"/>
    <n v="2111.9"/>
    <n v="2090"/>
    <n v="2103.8000000000002"/>
    <n v="2109.8000000000002"/>
    <n v="2108.8000000000002"/>
    <n v="2101.34"/>
    <n v="2174.5"/>
    <n v="1559.5"/>
    <n v="2938290"/>
    <n v="6174337765"/>
    <n v="109731"/>
    <x v="0"/>
    <n v="11.200000000000273"/>
    <x v="0"/>
    <n v="12"/>
    <x v="0"/>
    <n v="0.31954628062919088"/>
  </r>
  <r>
    <d v="2025-12-04T00:00:00"/>
    <s v="EQ"/>
    <n v="2094.8000000000002"/>
    <n v="2108.5"/>
    <n v="2074.1"/>
    <n v="2086"/>
    <n v="2103"/>
    <n v="2103.8000000000002"/>
    <n v="2090.4699999999998"/>
    <n v="2174.5"/>
    <n v="1559.5"/>
    <n v="4611819"/>
    <n v="9640866601.1000004"/>
    <n v="168962"/>
    <x v="0"/>
    <n v="-8.8000000000001819"/>
    <x v="0"/>
    <n v="12"/>
    <x v="0"/>
    <n v="0.31954628062919088"/>
  </r>
  <r>
    <d v="2025-12-03T00:00:00"/>
    <s v="EQ"/>
    <n v="2100.1"/>
    <n v="2109.9"/>
    <n v="2081.6"/>
    <n v="2104"/>
    <n v="2087"/>
    <n v="2086"/>
    <n v="2088.46"/>
    <n v="2174.5"/>
    <n v="1559.5"/>
    <n v="4357641"/>
    <n v="9100769632.7999992"/>
    <n v="206107"/>
    <x v="0"/>
    <n v="3.9000000000000909"/>
    <x v="0"/>
    <n v="12"/>
    <x v="0"/>
    <n v="0.31954628062919088"/>
  </r>
  <r>
    <d v="2025-12-02T00:00:00"/>
    <s v="EQ"/>
    <n v="2089.8000000000002"/>
    <n v="2114.8000000000002"/>
    <n v="2087.1"/>
    <n v="2089.6999999999998"/>
    <n v="2107.8000000000002"/>
    <n v="2104"/>
    <n v="2102.8200000000002"/>
    <n v="2174.5"/>
    <n v="1559.5"/>
    <n v="6591396"/>
    <n v="13860529208.799999"/>
    <n v="266344"/>
    <x v="0"/>
    <n v="-0.1000000000003638"/>
    <x v="0"/>
    <n v="12"/>
    <x v="0"/>
    <n v="0.31954628062919088"/>
  </r>
  <r>
    <d v="2025-12-01T00:00:00"/>
    <s v="EQ"/>
    <n v="2114.6999999999998"/>
    <n v="2119"/>
    <n v="2083.1"/>
    <n v="2101.6"/>
    <n v="2090.5"/>
    <n v="2089.6999999999998"/>
    <n v="2095.86"/>
    <n v="2174.5"/>
    <n v="1559.5"/>
    <n v="5058900"/>
    <n v="10602749697.700001"/>
    <n v="232889"/>
    <x v="0"/>
    <n v="-13.099999999999909"/>
    <x v="0"/>
    <n v="12"/>
    <x v="0"/>
    <n v="0.31954628062919088"/>
  </r>
  <r>
    <d v="2025-11-28T00:00:00"/>
    <s v="EQ"/>
    <n v="2118"/>
    <n v="2129.5"/>
    <n v="2096.4"/>
    <n v="2115.6"/>
    <n v="2100"/>
    <n v="2101.6"/>
    <n v="2105.61"/>
    <n v="2174.5"/>
    <n v="1551.15"/>
    <n v="6263457"/>
    <n v="13188376119"/>
    <n v="150812"/>
    <x v="0"/>
    <n v="-2.4000000000000909"/>
    <x v="0"/>
    <n v="11"/>
    <x v="1"/>
    <n v="0.31954628062919088"/>
  </r>
  <r>
    <d v="2025-11-27T00:00:00"/>
    <s v="EQ"/>
    <n v="2132"/>
    <n v="2136.9"/>
    <n v="2103.8000000000002"/>
    <n v="2126.8000000000002"/>
    <n v="2118"/>
    <n v="2115.6"/>
    <n v="2116.63"/>
    <n v="2174.5"/>
    <n v="1551.15"/>
    <n v="4444877"/>
    <n v="9408157935.7000008"/>
    <n v="154239"/>
    <x v="0"/>
    <n v="-5.1999999999998181"/>
    <x v="0"/>
    <n v="11"/>
    <x v="1"/>
    <n v="0.31954628062919088"/>
  </r>
  <r>
    <d v="2025-11-26T00:00:00"/>
    <s v="EQ"/>
    <n v="2104"/>
    <n v="2134.9"/>
    <n v="2097.5"/>
    <n v="2161.6"/>
    <n v="2127"/>
    <n v="2126.8000000000002"/>
    <n v="2102.4299999999998"/>
    <n v="2174.5"/>
    <n v="1551.15"/>
    <n v="43174047"/>
    <n v="90770524452.100006"/>
    <n v="217044"/>
    <x v="0"/>
    <n v="57.599999999999909"/>
    <x v="0"/>
    <n v="11"/>
    <x v="1"/>
    <n v="0.31954628062919088"/>
  </r>
  <r>
    <d v="2025-11-25T00:00:00"/>
    <s v="EQ"/>
    <n v="2159"/>
    <n v="2170.6999999999998"/>
    <n v="2138.6999999999998"/>
    <n v="2152.1"/>
    <n v="2156.6"/>
    <n v="2161.6"/>
    <n v="2159.81"/>
    <n v="2174.5"/>
    <n v="1551.15"/>
    <n v="7102592"/>
    <n v="15340216596.700001"/>
    <n v="172471"/>
    <x v="0"/>
    <n v="-6.9000000000000909"/>
    <x v="0"/>
    <n v="11"/>
    <x v="1"/>
    <n v="0.31954628062919088"/>
  </r>
  <r>
    <d v="2025-11-24T00:00:00"/>
    <s v="EQ"/>
    <n v="2162.1"/>
    <n v="2165.8000000000002"/>
    <n v="2140.4"/>
    <n v="2162.6999999999998"/>
    <n v="2145"/>
    <n v="2152.1"/>
    <n v="2154.46"/>
    <n v="2174.5"/>
    <n v="1551.15"/>
    <n v="9686848"/>
    <n v="20869887058.200001"/>
    <n v="140722"/>
    <x v="0"/>
    <n v="0.59999999999990905"/>
    <x v="0"/>
    <n v="11"/>
    <x v="1"/>
    <n v="0.31954628062919088"/>
  </r>
  <r>
    <d v="2025-11-21T00:00:00"/>
    <s v="EQ"/>
    <n v="2150.1"/>
    <n v="2174.5"/>
    <n v="2148.6"/>
    <n v="2158.3000000000002"/>
    <n v="2165"/>
    <n v="2162.6999999999998"/>
    <n v="2162.63"/>
    <n v="2174.5"/>
    <n v="1511"/>
    <n v="6720938"/>
    <n v="14534905632.6"/>
    <n v="141397"/>
    <x v="0"/>
    <n v="8.2000000000002728"/>
    <x v="0"/>
    <n v="11"/>
    <x v="1"/>
    <n v="0.31954628062919088"/>
  </r>
  <r>
    <d v="2025-11-20T00:00:00"/>
    <s v="EQ"/>
    <n v="2153.1"/>
    <n v="2169.3000000000002"/>
    <n v="2149.9"/>
    <n v="2159.8000000000002"/>
    <n v="2160"/>
    <n v="2158.3000000000002"/>
    <n v="2158.31"/>
    <n v="2169.3000000000002"/>
    <n v="1511"/>
    <n v="7452899"/>
    <n v="16085671565.6"/>
    <n v="151163"/>
    <x v="0"/>
    <n v="6.7000000000002728"/>
    <x v="0"/>
    <n v="11"/>
    <x v="1"/>
    <n v="0.31954628062919088"/>
  </r>
  <r>
    <d v="2025-11-19T00:00:00"/>
    <s v="EQ"/>
    <n v="2155"/>
    <n v="2166.1999999999998"/>
    <n v="2146.6999999999998"/>
    <n v="2149.1999999999998"/>
    <n v="2160"/>
    <n v="2159.8000000000002"/>
    <n v="2152.67"/>
    <n v="2166.1999999999998"/>
    <n v="1511"/>
    <n v="7419461"/>
    <n v="15971622748.6"/>
    <n v="151296"/>
    <x v="0"/>
    <n v="-5.8000000000001819"/>
    <x v="0"/>
    <n v="11"/>
    <x v="1"/>
    <n v="0.31954628062919088"/>
  </r>
  <r>
    <d v="2025-11-18T00:00:00"/>
    <s v="EQ"/>
    <n v="2122"/>
    <n v="2159"/>
    <n v="2110.3000000000002"/>
    <n v="2112.1999999999998"/>
    <n v="2146.1"/>
    <n v="2149.1999999999998"/>
    <n v="2144.35"/>
    <n v="2159"/>
    <n v="1511"/>
    <n v="10972556"/>
    <n v="23528990860.400002"/>
    <n v="213187"/>
    <x v="0"/>
    <n v="-9.8000000000001819"/>
    <x v="0"/>
    <n v="11"/>
    <x v="1"/>
    <n v="0.31954628062919088"/>
  </r>
  <r>
    <d v="2025-11-17T00:00:00"/>
    <s v="EQ"/>
    <n v="2112"/>
    <n v="2122"/>
    <n v="2100.9"/>
    <n v="2100.6999999999998"/>
    <n v="2111.3000000000002"/>
    <n v="2112.1999999999998"/>
    <n v="2113.15"/>
    <n v="2135.6"/>
    <n v="1511"/>
    <n v="5998770"/>
    <n v="12676321842.4"/>
    <n v="138351"/>
    <x v="0"/>
    <n v="-11.300000000000182"/>
    <x v="0"/>
    <n v="11"/>
    <x v="1"/>
    <n v="0.31954628062919088"/>
  </r>
  <r>
    <d v="2025-11-14T00:00:00"/>
    <s v="EQ"/>
    <n v="2090"/>
    <n v="2107.9"/>
    <n v="2081.9"/>
    <n v="2091.8000000000002"/>
    <n v="2096.8000000000002"/>
    <n v="2100.6999999999998"/>
    <n v="2090.0700000000002"/>
    <n v="2135.6"/>
    <n v="1511"/>
    <n v="6312655"/>
    <n v="13193910899.9"/>
    <n v="209996"/>
    <x v="0"/>
    <n v="1.8000000000001819"/>
    <x v="0"/>
    <n v="11"/>
    <x v="1"/>
    <n v="0.31954628062919088"/>
  </r>
  <r>
    <d v="2025-11-13T00:00:00"/>
    <s v="EQ"/>
    <n v="2099.9"/>
    <n v="2107"/>
    <n v="2079"/>
    <n v="2073.8000000000002"/>
    <n v="2093"/>
    <n v="2091.8000000000002"/>
    <n v="2093.54"/>
    <n v="2135.6"/>
    <n v="1511"/>
    <n v="5958875"/>
    <n v="12475113933.4"/>
    <n v="167057"/>
    <x v="0"/>
    <n v="-26.099999999999909"/>
    <x v="0"/>
    <n v="11"/>
    <x v="1"/>
    <n v="0.31954628062919088"/>
  </r>
  <r>
    <d v="2025-11-12T00:00:00"/>
    <s v="EQ"/>
    <n v="2060"/>
    <n v="2079.8000000000002"/>
    <n v="2054.9"/>
    <n v="2042.3"/>
    <n v="2077.9"/>
    <n v="2073.8000000000002"/>
    <n v="2070.4"/>
    <n v="2135.6"/>
    <n v="1511"/>
    <n v="8210277"/>
    <n v="16998543806.700001"/>
    <n v="196315"/>
    <x v="0"/>
    <n v="-17.700000000000045"/>
    <x v="0"/>
    <n v="11"/>
    <x v="1"/>
    <n v="0.31954628062919088"/>
  </r>
  <r>
    <d v="2025-11-11T00:00:00"/>
    <s v="EQ"/>
    <n v="2020.1"/>
    <n v="2056.9"/>
    <n v="2017.4"/>
    <n v="2019.8"/>
    <n v="2044.5"/>
    <n v="2042.3"/>
    <n v="2043.06"/>
    <n v="2135.6"/>
    <n v="1511"/>
    <n v="14825625"/>
    <n v="30289652182.700001"/>
    <n v="314436"/>
    <x v="0"/>
    <n v="-0.29999999999995453"/>
    <x v="0"/>
    <n v="11"/>
    <x v="1"/>
    <n v="0.31954628062919088"/>
  </r>
  <r>
    <d v="2025-11-10T00:00:00"/>
    <s v="EQ"/>
    <n v="1995"/>
    <n v="2028.8"/>
    <n v="1992.2"/>
    <n v="2001.2"/>
    <n v="2020.5"/>
    <n v="2019.8"/>
    <n v="2017.05"/>
    <n v="2135.6"/>
    <n v="1511"/>
    <n v="7457061"/>
    <n v="15041281563.9"/>
    <n v="158704"/>
    <x v="0"/>
    <n v="6.2000000000000455"/>
    <x v="0"/>
    <n v="11"/>
    <x v="1"/>
    <n v="0.31954628062919088"/>
  </r>
  <r>
    <d v="2025-11-07T00:00:00"/>
    <s v="EQ"/>
    <n v="2048"/>
    <n v="2048"/>
    <n v="1995.6"/>
    <n v="2094.9"/>
    <n v="2001.5"/>
    <n v="2001.2"/>
    <n v="2025.7"/>
    <n v="2135.6"/>
    <n v="1511"/>
    <n v="70392750"/>
    <n v="142594915349.89999"/>
    <n v="260133"/>
    <x v="0"/>
    <n v="46.900000000000091"/>
    <x v="0"/>
    <n v="11"/>
    <x v="1"/>
    <n v="0.31954628062919088"/>
  </r>
  <r>
    <d v="2025-11-06T00:00:00"/>
    <s v="EQ"/>
    <n v="2115"/>
    <n v="2123.3000000000002"/>
    <n v="2080.5"/>
    <n v="2113.3000000000002"/>
    <n v="2095"/>
    <n v="2094.9"/>
    <n v="2103.02"/>
    <n v="2135.6"/>
    <n v="1511"/>
    <n v="9546299"/>
    <n v="20076041845.400002"/>
    <n v="327497"/>
    <x v="0"/>
    <n v="-1.6999999999998181"/>
    <x v="0"/>
    <n v="11"/>
    <x v="1"/>
    <n v="0.31954628062919088"/>
  </r>
  <r>
    <d v="2025-11-04T00:00:00"/>
    <s v="EQ"/>
    <n v="2107"/>
    <n v="2135.6"/>
    <n v="2103.5"/>
    <n v="2074"/>
    <n v="2110"/>
    <n v="2113.3000000000002"/>
    <n v="2118.36"/>
    <n v="2135.6"/>
    <n v="1511"/>
    <n v="12263078"/>
    <n v="25977570895.900002"/>
    <n v="316732"/>
    <x v="0"/>
    <n v="-33"/>
    <x v="0"/>
    <n v="11"/>
    <x v="1"/>
    <n v="0.31954628062919088"/>
  </r>
  <r>
    <d v="2025-11-03T00:00:00"/>
    <s v="EQ"/>
    <n v="2055"/>
    <n v="2081"/>
    <n v="2047.2"/>
    <n v="2054.5"/>
    <n v="2077"/>
    <n v="2074"/>
    <n v="2063.7399999999998"/>
    <n v="2110.4"/>
    <n v="1511"/>
    <n v="2979629"/>
    <n v="6149184487.3000002"/>
    <n v="137662"/>
    <x v="0"/>
    <n v="-0.5"/>
    <x v="0"/>
    <n v="11"/>
    <x v="1"/>
    <n v="0.31954628062919088"/>
  </r>
  <r>
    <d v="2025-10-31T00:00:00"/>
    <s v="EQ"/>
    <n v="2056"/>
    <n v="2073.8000000000002"/>
    <n v="2051.6999999999998"/>
    <n v="2066.3000000000002"/>
    <n v="2061.3000000000002"/>
    <n v="2054.5"/>
    <n v="2059.64"/>
    <n v="2110.4"/>
    <n v="1511"/>
    <n v="4659723"/>
    <n v="9597365272.2999992"/>
    <n v="168898"/>
    <x v="0"/>
    <n v="10.300000000000182"/>
    <x v="0"/>
    <n v="10"/>
    <x v="2"/>
    <n v="0.31954628062919088"/>
  </r>
  <r>
    <d v="2025-10-30T00:00:00"/>
    <s v="EQ"/>
    <n v="2070"/>
    <n v="2088"/>
    <n v="2058.6"/>
    <n v="2100.6"/>
    <n v="2069"/>
    <n v="2066.3000000000002"/>
    <n v="2066.87"/>
    <n v="2110.4"/>
    <n v="1511"/>
    <n v="4222189"/>
    <n v="8726723356.2000008"/>
    <n v="228047"/>
    <x v="0"/>
    <n v="30.599999999999909"/>
    <x v="0"/>
    <n v="10"/>
    <x v="2"/>
    <n v="0.31954628062919088"/>
  </r>
  <r>
    <d v="2025-10-29T00:00:00"/>
    <s v="EQ"/>
    <n v="2083"/>
    <n v="2110.4"/>
    <n v="2081.6"/>
    <n v="2090.1999999999998"/>
    <n v="2100"/>
    <n v="2100.6"/>
    <n v="2098.48"/>
    <n v="2110.4"/>
    <n v="1511"/>
    <n v="2742750"/>
    <n v="5755608868"/>
    <n v="137123"/>
    <x v="0"/>
    <n v="7.1999999999998181"/>
    <x v="0"/>
    <n v="10"/>
    <x v="2"/>
    <n v="0.31954628062919088"/>
  </r>
  <r>
    <d v="2025-10-28T00:00:00"/>
    <s v="EQ"/>
    <n v="2092"/>
    <n v="2102.6"/>
    <n v="2071.6999999999998"/>
    <n v="2080.1"/>
    <n v="2088"/>
    <n v="2090.1999999999998"/>
    <n v="2089.7199999999998"/>
    <n v="2102.6"/>
    <n v="1511"/>
    <n v="9891522"/>
    <n v="20670514955.200001"/>
    <n v="262444"/>
    <x v="0"/>
    <n v="-11.900000000000091"/>
    <x v="0"/>
    <n v="10"/>
    <x v="2"/>
    <n v="0.31954628062919088"/>
  </r>
  <r>
    <d v="2025-10-27T00:00:00"/>
    <s v="EQ"/>
    <n v="2030"/>
    <n v="2094"/>
    <n v="2030"/>
    <n v="2029.3"/>
    <n v="2083"/>
    <n v="2080.1"/>
    <n v="2078.5300000000002"/>
    <n v="2094"/>
    <n v="1511"/>
    <n v="5796831"/>
    <n v="12048905188.6"/>
    <n v="187130"/>
    <x v="0"/>
    <n v="-0.70000000000004547"/>
    <x v="0"/>
    <n v="10"/>
    <x v="2"/>
    <n v="0.31954628062919088"/>
  </r>
  <r>
    <d v="2025-10-24T00:00:00"/>
    <s v="EQ"/>
    <n v="2008"/>
    <n v="2033"/>
    <n v="2006.9"/>
    <n v="2007.9"/>
    <n v="2028"/>
    <n v="2029.3"/>
    <n v="2024.56"/>
    <n v="2067"/>
    <n v="1511"/>
    <n v="3236799"/>
    <n v="6553106604.6000004"/>
    <n v="166105"/>
    <x v="0"/>
    <n v="-9.9999999999909051E-2"/>
    <x v="0"/>
    <n v="10"/>
    <x v="2"/>
    <n v="0.31954628062919088"/>
  </r>
  <r>
    <d v="2025-10-23T00:00:00"/>
    <s v="EQ"/>
    <n v="2063.9"/>
    <n v="2067"/>
    <n v="2003.6"/>
    <n v="2043.5"/>
    <n v="2009.9"/>
    <n v="2007.9"/>
    <n v="2023.86"/>
    <n v="2067"/>
    <n v="1511"/>
    <n v="8790128"/>
    <n v="17789960867.900002"/>
    <n v="296341"/>
    <x v="0"/>
    <n v="-20.400000000000091"/>
    <x v="0"/>
    <n v="10"/>
    <x v="2"/>
    <n v="0.31954628062919088"/>
  </r>
  <r>
    <d v="2025-10-21T00:00:00"/>
    <s v="EQ"/>
    <n v="2051.8000000000002"/>
    <n v="2058.5"/>
    <n v="2038.5"/>
    <n v="2051.5"/>
    <n v="2041.6"/>
    <n v="2043.5"/>
    <n v="2045.3"/>
    <n v="2058.5"/>
    <n v="1511"/>
    <n v="240850"/>
    <n v="492610681.5"/>
    <n v="21615"/>
    <x v="0"/>
    <n v="-0.3000000000001819"/>
    <x v="0"/>
    <n v="10"/>
    <x v="2"/>
    <n v="0.31954628062919088"/>
  </r>
  <r>
    <d v="2025-10-20T00:00:00"/>
    <s v="EQ"/>
    <n v="2026"/>
    <n v="2057"/>
    <n v="2019.7"/>
    <n v="2012"/>
    <n v="2050"/>
    <n v="2051.5"/>
    <n v="2042.87"/>
    <n v="2057"/>
    <n v="1511"/>
    <n v="7387180"/>
    <n v="15091064288.200001"/>
    <n v="225566"/>
    <x v="0"/>
    <n v="-14"/>
    <x v="0"/>
    <n v="10"/>
    <x v="2"/>
    <n v="0.31954628062919088"/>
  </r>
  <r>
    <d v="2025-10-17T00:00:00"/>
    <s v="EQ"/>
    <n v="1973.6"/>
    <n v="2034.3"/>
    <n v="1970.3"/>
    <n v="1967.4"/>
    <n v="2012.9"/>
    <n v="2012"/>
    <n v="2013.74"/>
    <n v="2045.8"/>
    <n v="1511"/>
    <n v="6743801"/>
    <n v="13580290074.700001"/>
    <n v="202098"/>
    <x v="0"/>
    <n v="-6.1999999999998181"/>
    <x v="0"/>
    <n v="10"/>
    <x v="2"/>
    <n v="0.31954628062919088"/>
  </r>
  <r>
    <d v="2025-10-16T00:00:00"/>
    <s v="EQ"/>
    <n v="1962.3"/>
    <n v="1986.9"/>
    <n v="1962"/>
    <n v="1968.5"/>
    <n v="1970.2"/>
    <n v="1967.4"/>
    <n v="1973.83"/>
    <n v="2045.8"/>
    <n v="1511"/>
    <n v="3700674"/>
    <n v="7304500778.6999998"/>
    <n v="246779"/>
    <x v="0"/>
    <n v="6.2000000000000455"/>
    <x v="0"/>
    <n v="10"/>
    <x v="2"/>
    <n v="0.31954628062919088"/>
  </r>
  <r>
    <d v="2025-10-15T00:00:00"/>
    <s v="EQ"/>
    <n v="1957.2"/>
    <n v="1976"/>
    <n v="1951.6"/>
    <n v="1946.6"/>
    <n v="1967"/>
    <n v="1968.5"/>
    <n v="1965.08"/>
    <n v="2045.8"/>
    <n v="1511"/>
    <n v="3447352"/>
    <n v="6774313245.8000002"/>
    <n v="132066"/>
    <x v="0"/>
    <n v="-10.600000000000136"/>
    <x v="0"/>
    <n v="10"/>
    <x v="2"/>
    <n v="0.31954628062919088"/>
  </r>
  <r>
    <d v="2025-10-14T00:00:00"/>
    <s v="EQ"/>
    <n v="1964"/>
    <n v="1964"/>
    <n v="1939.2"/>
    <n v="1954.9"/>
    <n v="1948.2"/>
    <n v="1946.6"/>
    <n v="1948.36"/>
    <n v="2045.8"/>
    <n v="1511"/>
    <n v="4454239"/>
    <n v="8678447974.6000004"/>
    <n v="115211"/>
    <x v="0"/>
    <n v="-9.0999999999999091"/>
    <x v="0"/>
    <n v="10"/>
    <x v="2"/>
    <n v="0.31954628062919088"/>
  </r>
  <r>
    <d v="2025-10-13T00:00:00"/>
    <s v="EQ"/>
    <n v="1937.9"/>
    <n v="1965.9"/>
    <n v="1936"/>
    <n v="1939.9"/>
    <n v="1955"/>
    <n v="1954.9"/>
    <n v="1955.22"/>
    <n v="2045.8"/>
    <n v="1511"/>
    <n v="3672419"/>
    <n v="7180372108.1000004"/>
    <n v="134124"/>
    <x v="0"/>
    <n v="2"/>
    <x v="0"/>
    <n v="10"/>
    <x v="2"/>
    <n v="0.31954628062919088"/>
  </r>
  <r>
    <d v="2025-10-10T00:00:00"/>
    <s v="EQ"/>
    <n v="1937"/>
    <n v="1947.6"/>
    <n v="1935.4"/>
    <n v="1942"/>
    <n v="1940"/>
    <n v="1939.9"/>
    <n v="1940.42"/>
    <n v="2045.8"/>
    <n v="1511"/>
    <n v="2512581"/>
    <n v="4875455292.6000004"/>
    <n v="100319"/>
    <x v="0"/>
    <n v="5"/>
    <x v="0"/>
    <n v="10"/>
    <x v="2"/>
    <n v="0.31954628062919088"/>
  </r>
  <r>
    <d v="2025-10-09T00:00:00"/>
    <s v="EQ"/>
    <n v="1945"/>
    <n v="1948.8"/>
    <n v="1931.3"/>
    <n v="1943.5"/>
    <n v="1941"/>
    <n v="1942"/>
    <n v="1940.57"/>
    <n v="2045.8"/>
    <n v="1511"/>
    <n v="3945737"/>
    <n v="7656969690.1999998"/>
    <n v="123955"/>
    <x v="0"/>
    <n v="-1.5"/>
    <x v="0"/>
    <n v="10"/>
    <x v="2"/>
    <n v="0.31954628062919088"/>
  </r>
  <r>
    <d v="2025-10-08T00:00:00"/>
    <s v="EQ"/>
    <n v="1929"/>
    <n v="1962.6"/>
    <n v="1927.6"/>
    <n v="1929"/>
    <n v="1939"/>
    <n v="1943.5"/>
    <n v="1945.68"/>
    <n v="2045.8"/>
    <n v="1511"/>
    <n v="4957406"/>
    <n v="9645507545.2000008"/>
    <n v="189526"/>
    <x v="0"/>
    <n v="0"/>
    <x v="0"/>
    <n v="10"/>
    <x v="2"/>
    <n v="0.31954628062919088"/>
  </r>
  <r>
    <d v="2025-10-07T00:00:00"/>
    <s v="EQ"/>
    <n v="1900"/>
    <n v="1946"/>
    <n v="1900"/>
    <n v="1903.1"/>
    <n v="1928.8"/>
    <n v="1929"/>
    <n v="1928.23"/>
    <n v="2045.8"/>
    <n v="1511"/>
    <n v="5713060"/>
    <n v="11016084010"/>
    <n v="176001"/>
    <x v="0"/>
    <n v="3.0999999999999091"/>
    <x v="0"/>
    <n v="10"/>
    <x v="2"/>
    <n v="0.31954628062919088"/>
  </r>
  <r>
    <d v="2025-10-06T00:00:00"/>
    <s v="EQ"/>
    <n v="1892.6"/>
    <n v="1907"/>
    <n v="1887.5"/>
    <n v="1896.7"/>
    <n v="1901.9"/>
    <n v="1903.1"/>
    <n v="1898.12"/>
    <n v="2045.8"/>
    <n v="1511"/>
    <n v="2809218"/>
    <n v="5332230593.8999996"/>
    <n v="125866"/>
    <x v="0"/>
    <n v="4.1000000000001364"/>
    <x v="0"/>
    <n v="10"/>
    <x v="2"/>
    <n v="0.31954628062919088"/>
  </r>
  <r>
    <d v="2025-10-03T00:00:00"/>
    <s v="EQ"/>
    <n v="1851.2"/>
    <n v="1900.3"/>
    <n v="1848.1"/>
    <n v="1867.6"/>
    <n v="1896.9"/>
    <n v="1896.7"/>
    <n v="1880.95"/>
    <n v="2045.8"/>
    <n v="1511"/>
    <n v="5828332"/>
    <n v="10962776533"/>
    <n v="177774"/>
    <x v="0"/>
    <n v="16.399999999999864"/>
    <x v="0"/>
    <n v="10"/>
    <x v="2"/>
    <n v="0.31954628062919088"/>
  </r>
  <r>
    <d v="2025-10-01T00:00:00"/>
    <s v="EQ"/>
    <n v="1868"/>
    <n v="1877"/>
    <n v="1855.9"/>
    <n v="1878.4"/>
    <n v="1869.5"/>
    <n v="1867.6"/>
    <n v="1866.91"/>
    <n v="2045.8"/>
    <n v="1511"/>
    <n v="5675393"/>
    <n v="10595421987.799999"/>
    <n v="158923"/>
    <x v="0"/>
    <n v="10.400000000000091"/>
    <x v="0"/>
    <n v="10"/>
    <x v="2"/>
    <n v="0.31954628062919088"/>
  </r>
  <r>
    <d v="2025-09-30T00:00:00"/>
    <s v="EQ"/>
    <n v="1896"/>
    <n v="1907.6"/>
    <n v="1875.2"/>
    <n v="1902.2"/>
    <n v="1883"/>
    <n v="1878.4"/>
    <n v="1886.43"/>
    <n v="2045.8"/>
    <n v="1511"/>
    <n v="5945625"/>
    <n v="11216008469.799999"/>
    <n v="191554"/>
    <x v="0"/>
    <n v="6.2000000000000455"/>
    <x v="0"/>
    <n v="9"/>
    <x v="3"/>
    <n v="0.31954628062919088"/>
  </r>
  <r>
    <d v="2025-09-29T00:00:00"/>
    <s v="EQ"/>
    <n v="1928"/>
    <n v="1928"/>
    <n v="1897.5"/>
    <n v="1916.6"/>
    <n v="1906.5"/>
    <n v="1902.2"/>
    <n v="1908.52"/>
    <n v="2045.8"/>
    <n v="1511"/>
    <n v="5072608"/>
    <n v="9681198593.5"/>
    <n v="152642"/>
    <x v="0"/>
    <n v="-11.400000000000091"/>
    <x v="0"/>
    <n v="9"/>
    <x v="3"/>
    <n v="0.31954628062919088"/>
  </r>
  <r>
    <d v="2025-09-26T00:00:00"/>
    <s v="EQ"/>
    <n v="1931.1"/>
    <n v="1944.7"/>
    <n v="1911.9"/>
    <n v="1935.6"/>
    <n v="1915.4"/>
    <n v="1916.6"/>
    <n v="1922.81"/>
    <n v="2045.8"/>
    <n v="1511"/>
    <n v="3239306"/>
    <n v="6228584260.6999998"/>
    <n v="139233"/>
    <x v="0"/>
    <n v="4.5"/>
    <x v="0"/>
    <n v="9"/>
    <x v="3"/>
    <n v="0.31954628062919088"/>
  </r>
  <r>
    <d v="2025-09-25T00:00:00"/>
    <s v="EQ"/>
    <n v="1930"/>
    <n v="1950"/>
    <n v="1928.8"/>
    <n v="1931.1"/>
    <n v="1935"/>
    <n v="1935.6"/>
    <n v="1940.12"/>
    <n v="2045.8"/>
    <n v="1511"/>
    <n v="7133365"/>
    <n v="13839559461.200001"/>
    <n v="157177"/>
    <x v="0"/>
    <n v="1.0999999999999091"/>
    <x v="0"/>
    <n v="9"/>
    <x v="3"/>
    <n v="0.31954628062919088"/>
  </r>
  <r>
    <d v="2025-09-24T00:00:00"/>
    <s v="EQ"/>
    <n v="1926"/>
    <n v="1937.3"/>
    <n v="1918.8"/>
    <n v="1938.7"/>
    <n v="1936"/>
    <n v="1931.1"/>
    <n v="1927.43"/>
    <n v="2045.8"/>
    <n v="1511"/>
    <n v="5237977"/>
    <n v="10095835192.1"/>
    <n v="117702"/>
    <x v="0"/>
    <n v="12.700000000000045"/>
    <x v="0"/>
    <n v="9"/>
    <x v="3"/>
    <n v="0.31954628062919088"/>
  </r>
  <r>
    <d v="2025-09-23T00:00:00"/>
    <s v="EQ"/>
    <n v="1950"/>
    <n v="1955"/>
    <n v="1930.1"/>
    <n v="1956.2"/>
    <n v="1939.5"/>
    <n v="1938.7"/>
    <n v="1941.04"/>
    <n v="2045.8"/>
    <n v="1511"/>
    <n v="4348633"/>
    <n v="8440872959.3999996"/>
    <n v="112057"/>
    <x v="0"/>
    <n v="6.2000000000000455"/>
    <x v="0"/>
    <n v="9"/>
    <x v="3"/>
    <n v="0.31954628062919088"/>
  </r>
  <r>
    <d v="2025-09-22T00:00:00"/>
    <s v="EQ"/>
    <n v="1954"/>
    <n v="1966"/>
    <n v="1944"/>
    <n v="1962.4"/>
    <n v="1956"/>
    <n v="1956.2"/>
    <n v="1956.29"/>
    <n v="2045.8"/>
    <n v="1511"/>
    <n v="4469137"/>
    <n v="8742910725.5"/>
    <n v="112539"/>
    <x v="0"/>
    <n v="8.4000000000000909"/>
    <x v="0"/>
    <n v="9"/>
    <x v="3"/>
    <n v="0.31954628062919088"/>
  </r>
  <r>
    <d v="2025-09-19T00:00:00"/>
    <s v="EQ"/>
    <n v="1930.2"/>
    <n v="1976.8"/>
    <n v="1927.8"/>
    <n v="1941.1"/>
    <n v="1959.9"/>
    <n v="1962.4"/>
    <n v="1954.25"/>
    <n v="2045.8"/>
    <n v="1511"/>
    <n v="11287603"/>
    <n v="22058814337.5"/>
    <n v="152101"/>
    <x v="0"/>
    <n v="10.899999999999864"/>
    <x v="0"/>
    <n v="9"/>
    <x v="3"/>
    <n v="0.31954628062919088"/>
  </r>
  <r>
    <d v="2025-09-18T00:00:00"/>
    <s v="EQ"/>
    <n v="1944.5"/>
    <n v="1949.8"/>
    <n v="1920.5"/>
    <n v="1941.3"/>
    <n v="1938.1"/>
    <n v="1941.1"/>
    <n v="1937.97"/>
    <n v="2045.8"/>
    <n v="1511"/>
    <n v="5080814"/>
    <n v="9846443250.2000008"/>
    <n v="194124"/>
    <x v="0"/>
    <n v="-3.2000000000000455"/>
    <x v="0"/>
    <n v="9"/>
    <x v="3"/>
    <n v="0.31954628062919088"/>
  </r>
  <r>
    <d v="2025-09-17T00:00:00"/>
    <s v="EQ"/>
    <n v="1938.1"/>
    <n v="1950.1"/>
    <n v="1932.6"/>
    <n v="1939.5"/>
    <n v="1940.5"/>
    <n v="1941.3"/>
    <n v="1943.07"/>
    <n v="2045.8"/>
    <n v="1511"/>
    <n v="4234637"/>
    <n v="8228211139.5"/>
    <n v="137019"/>
    <x v="0"/>
    <n v="1.4000000000000909"/>
    <x v="0"/>
    <n v="9"/>
    <x v="3"/>
    <n v="0.31954628062919088"/>
  </r>
  <r>
    <d v="2025-09-16T00:00:00"/>
    <s v="EQ"/>
    <n v="1903.3"/>
    <n v="1942"/>
    <n v="1902.5"/>
    <n v="1904.5"/>
    <n v="1942"/>
    <n v="1939.5"/>
    <n v="1929.77"/>
    <n v="2045.8"/>
    <n v="1511"/>
    <n v="5427586"/>
    <n v="10473975256.4"/>
    <n v="121211"/>
    <x v="0"/>
    <n v="1.2000000000000455"/>
    <x v="0"/>
    <n v="9"/>
    <x v="3"/>
    <n v="0.31954628062919088"/>
  </r>
  <r>
    <d v="2025-09-15T00:00:00"/>
    <s v="EQ"/>
    <n v="1904"/>
    <n v="1913"/>
    <n v="1898.4"/>
    <n v="1902.6"/>
    <n v="1907.4"/>
    <n v="1904.5"/>
    <n v="1904.17"/>
    <n v="2045.8"/>
    <n v="1511"/>
    <n v="3553258"/>
    <n v="6766007905"/>
    <n v="132537"/>
    <x v="0"/>
    <n v="-1.4000000000000909"/>
    <x v="0"/>
    <n v="9"/>
    <x v="3"/>
    <n v="0.31954628062919088"/>
  </r>
  <r>
    <d v="2025-09-12T00:00:00"/>
    <s v="EQ"/>
    <n v="1925"/>
    <n v="1925"/>
    <n v="1901.6"/>
    <n v="1913"/>
    <n v="1903.7"/>
    <n v="1902.6"/>
    <n v="1911.24"/>
    <n v="2045.8"/>
    <n v="1511"/>
    <n v="3192824"/>
    <n v="6102258824.1000004"/>
    <n v="93480"/>
    <x v="0"/>
    <n v="-12"/>
    <x v="0"/>
    <n v="9"/>
    <x v="3"/>
    <n v="0.31954628062919088"/>
  </r>
  <r>
    <d v="2025-09-11T00:00:00"/>
    <s v="EQ"/>
    <n v="1884"/>
    <n v="1916"/>
    <n v="1882.1"/>
    <n v="1891.4"/>
    <n v="1914.2"/>
    <n v="1913"/>
    <n v="1903.7"/>
    <n v="2045.8"/>
    <n v="1511"/>
    <n v="4718266"/>
    <n v="8982164743.1000004"/>
    <n v="146936"/>
    <x v="0"/>
    <n v="7.4000000000000909"/>
    <x v="0"/>
    <n v="9"/>
    <x v="3"/>
    <n v="0.31954628062919088"/>
  </r>
  <r>
    <d v="2025-09-10T00:00:00"/>
    <s v="EQ"/>
    <n v="1904"/>
    <n v="1905"/>
    <n v="1883"/>
    <n v="1893.7"/>
    <n v="1893.9"/>
    <n v="1891.4"/>
    <n v="1892.22"/>
    <n v="2045.8"/>
    <n v="1511"/>
    <n v="3566139"/>
    <n v="6747922521.3999996"/>
    <n v="132980"/>
    <x v="0"/>
    <n v="-10.299999999999955"/>
    <x v="0"/>
    <n v="9"/>
    <x v="3"/>
    <n v="0.31954628062919088"/>
  </r>
  <r>
    <d v="2025-09-09T00:00:00"/>
    <s v="EQ"/>
    <n v="1892"/>
    <n v="1904"/>
    <n v="1883"/>
    <n v="1887.7"/>
    <n v="1893"/>
    <n v="1893.7"/>
    <n v="1893.29"/>
    <n v="2045.8"/>
    <n v="1511"/>
    <n v="4517793"/>
    <n v="8553498311.1999998"/>
    <n v="135596"/>
    <x v="0"/>
    <n v="-4.2999999999999545"/>
    <x v="0"/>
    <n v="9"/>
    <x v="3"/>
    <n v="0.31954628062919088"/>
  </r>
  <r>
    <d v="2025-09-08T00:00:00"/>
    <s v="EQ"/>
    <n v="1898"/>
    <n v="1899"/>
    <n v="1884.1"/>
    <n v="1895.3"/>
    <n v="1886"/>
    <n v="1887.7"/>
    <n v="1890.94"/>
    <n v="2045.8"/>
    <n v="1511"/>
    <n v="2547552"/>
    <n v="4817259823.5"/>
    <n v="97251"/>
    <x v="0"/>
    <n v="-2.7000000000000455"/>
    <x v="0"/>
    <n v="9"/>
    <x v="3"/>
    <n v="0.31954628062919088"/>
  </r>
  <r>
    <d v="2025-09-05T00:00:00"/>
    <s v="EQ"/>
    <n v="1887"/>
    <n v="1910.7"/>
    <n v="1875.7"/>
    <n v="1880.4"/>
    <n v="1894"/>
    <n v="1895.3"/>
    <n v="1893.4"/>
    <n v="2045.8"/>
    <n v="1511"/>
    <n v="2620140"/>
    <n v="4960971727.3000002"/>
    <n v="87681"/>
    <x v="0"/>
    <n v="-6.5999999999999091"/>
    <x v="0"/>
    <n v="9"/>
    <x v="3"/>
    <n v="0.31954628062919088"/>
  </r>
  <r>
    <d v="2025-09-04T00:00:00"/>
    <s v="EQ"/>
    <n v="1899"/>
    <n v="1903.5"/>
    <n v="1876.6"/>
    <n v="1883.9"/>
    <n v="1879.8"/>
    <n v="1880.4"/>
    <n v="1883.68"/>
    <n v="2045.8"/>
    <n v="1511"/>
    <n v="5205333"/>
    <n v="9805202617.5"/>
    <n v="142962"/>
    <x v="0"/>
    <n v="-15.099999999999909"/>
    <x v="0"/>
    <n v="9"/>
    <x v="3"/>
    <n v="0.31954628062919088"/>
  </r>
  <r>
    <d v="2025-09-03T00:00:00"/>
    <s v="EQ"/>
    <n v="1891"/>
    <n v="1892.1"/>
    <n v="1870"/>
    <n v="1887.2"/>
    <n v="1882.8"/>
    <n v="1883.9"/>
    <n v="1880.41"/>
    <n v="2045.8"/>
    <n v="1511"/>
    <n v="3803044"/>
    <n v="7151267254.5"/>
    <n v="179727"/>
    <x v="0"/>
    <n v="-3.7999999999999545"/>
    <x v="0"/>
    <n v="9"/>
    <x v="3"/>
    <n v="0.31954628062919088"/>
  </r>
  <r>
    <d v="2025-09-02T00:00:00"/>
    <s v="EQ"/>
    <n v="1904.5"/>
    <n v="1917.5"/>
    <n v="1878"/>
    <n v="1900.6"/>
    <n v="1888.7"/>
    <n v="1887.2"/>
    <n v="1894.19"/>
    <n v="2045.8"/>
    <n v="1511"/>
    <n v="4423049"/>
    <n v="8378097503.1999998"/>
    <n v="168727"/>
    <x v="0"/>
    <n v="-3.9000000000000909"/>
    <x v="0"/>
    <n v="9"/>
    <x v="3"/>
    <n v="0.31954628062919088"/>
  </r>
  <r>
    <d v="2025-09-01T00:00:00"/>
    <s v="EQ"/>
    <n v="1889"/>
    <n v="1904.8"/>
    <n v="1884.2"/>
    <n v="1888.8"/>
    <n v="1900.5"/>
    <n v="1900.6"/>
    <n v="1896.74"/>
    <n v="2045.8"/>
    <n v="1511"/>
    <n v="3421488"/>
    <n v="6489678664.8000002"/>
    <n v="174084"/>
    <x v="0"/>
    <n v="-0.20000000000004547"/>
    <x v="0"/>
    <n v="9"/>
    <x v="3"/>
    <n v="0.31954628062919088"/>
  </r>
  <r>
    <d v="2025-08-29T00:00:00"/>
    <s v="EQ"/>
    <n v="1872.5"/>
    <n v="1900.1"/>
    <n v="1872.5"/>
    <n v="1881.1"/>
    <n v="1888.2"/>
    <n v="1888.8"/>
    <n v="1887.35"/>
    <n v="2045.8"/>
    <n v="1502"/>
    <n v="4339042"/>
    <n v="8189312163.6000004"/>
    <n v="137051"/>
    <x v="0"/>
    <n v="8.5999999999999091"/>
    <x v="0"/>
    <n v="8"/>
    <x v="4"/>
    <n v="0.31954628062919088"/>
  </r>
  <r>
    <d v="2025-08-28T00:00:00"/>
    <s v="EQ"/>
    <n v="1893"/>
    <n v="1899.8"/>
    <n v="1878.2"/>
    <n v="1904.7"/>
    <n v="1888"/>
    <n v="1881.1"/>
    <n v="1887.96"/>
    <n v="2045.8"/>
    <n v="1502"/>
    <n v="5494113"/>
    <n v="10372670054.700001"/>
    <n v="192234"/>
    <x v="0"/>
    <n v="11.700000000000045"/>
    <x v="0"/>
    <n v="8"/>
    <x v="4"/>
    <n v="0.31954628062919088"/>
  </r>
  <r>
    <d v="2025-08-26T00:00:00"/>
    <s v="EQ"/>
    <n v="1922.1"/>
    <n v="1925.8"/>
    <n v="1896.2"/>
    <n v="1930.7"/>
    <n v="1903.7"/>
    <n v="1904.7"/>
    <n v="1907.89"/>
    <n v="2045.8"/>
    <n v="1502"/>
    <n v="5984656"/>
    <n v="11418074402.1"/>
    <n v="171371"/>
    <x v="0"/>
    <n v="8.6000000000001364"/>
    <x v="0"/>
    <n v="8"/>
    <x v="4"/>
    <n v="0.31954628062919088"/>
  </r>
  <r>
    <d v="2025-08-25T00:00:00"/>
    <s v="EQ"/>
    <n v="1940"/>
    <n v="1940.1"/>
    <n v="1913.2"/>
    <n v="1933.3"/>
    <n v="1928.9"/>
    <n v="1930.7"/>
    <n v="1927.45"/>
    <n v="2045.8"/>
    <n v="1502"/>
    <n v="2451388"/>
    <n v="4724917353.1000004"/>
    <n v="88027"/>
    <x v="0"/>
    <n v="-6.7000000000000455"/>
    <x v="0"/>
    <n v="8"/>
    <x v="4"/>
    <n v="0.31954628062919088"/>
  </r>
  <r>
    <d v="2025-08-22T00:00:00"/>
    <s v="EQ"/>
    <n v="1934"/>
    <n v="1947.7"/>
    <n v="1917.4"/>
    <n v="1929.9"/>
    <n v="1933"/>
    <n v="1933.3"/>
    <n v="1931.22"/>
    <n v="2045.8"/>
    <n v="1446.5"/>
    <n v="3271920"/>
    <n v="6318796024.8000002"/>
    <n v="112848"/>
    <x v="0"/>
    <n v="-4.0999999999999091"/>
    <x v="0"/>
    <n v="8"/>
    <x v="4"/>
    <n v="0.31954628062919088"/>
  </r>
  <r>
    <d v="2025-08-21T00:00:00"/>
    <s v="EQ"/>
    <n v="1930"/>
    <n v="1940.9"/>
    <n v="1927.7"/>
    <n v="1928.4"/>
    <n v="1930.1"/>
    <n v="1929.9"/>
    <n v="1932.63"/>
    <n v="2045.8"/>
    <n v="1446.5"/>
    <n v="3376913"/>
    <n v="6526315351.1000004"/>
    <n v="122995"/>
    <x v="0"/>
    <n v="-1.5999999999999091"/>
    <x v="0"/>
    <n v="8"/>
    <x v="4"/>
    <n v="0.31954628062919088"/>
  </r>
  <r>
    <d v="2025-08-20T00:00:00"/>
    <s v="EQ"/>
    <n v="1937"/>
    <n v="1952"/>
    <n v="1926"/>
    <n v="1909.7"/>
    <n v="1930"/>
    <n v="1928.4"/>
    <n v="1935.01"/>
    <n v="2045.8"/>
    <n v="1446.5"/>
    <n v="6962619"/>
    <n v="13472715684.799999"/>
    <n v="158774"/>
    <x v="0"/>
    <n v="-27.299999999999955"/>
    <x v="0"/>
    <n v="8"/>
    <x v="4"/>
    <n v="0.31954628062919088"/>
  </r>
  <r>
    <d v="2025-08-19T00:00:00"/>
    <s v="EQ"/>
    <n v="1901.1"/>
    <n v="1931.8"/>
    <n v="1900"/>
    <n v="1892.3"/>
    <n v="1912.9"/>
    <n v="1909.7"/>
    <n v="1916.53"/>
    <n v="2045.8"/>
    <n v="1446.5"/>
    <n v="5706265"/>
    <n v="10936227739.1"/>
    <n v="206298"/>
    <x v="0"/>
    <n v="-8.7999999999999545"/>
    <x v="0"/>
    <n v="8"/>
    <x v="4"/>
    <n v="0.31954628062919088"/>
  </r>
  <r>
    <d v="2025-08-18T00:00:00"/>
    <s v="EQ"/>
    <n v="1892.5"/>
    <n v="1912.6"/>
    <n v="1870.3"/>
    <n v="1873.8"/>
    <n v="1892.9"/>
    <n v="1892.3"/>
    <n v="1896.44"/>
    <n v="2045.8"/>
    <n v="1446.5"/>
    <n v="7146376"/>
    <n v="13552663053.700001"/>
    <n v="168732"/>
    <x v="0"/>
    <n v="-18.700000000000045"/>
    <x v="0"/>
    <n v="8"/>
    <x v="4"/>
    <n v="0.31954628062919088"/>
  </r>
  <r>
    <d v="2025-08-14T00:00:00"/>
    <s v="EQ"/>
    <n v="1873"/>
    <n v="1883"/>
    <n v="1866.8"/>
    <n v="1867.4"/>
    <n v="1871"/>
    <n v="1873.8"/>
    <n v="1875.27"/>
    <n v="2045.8"/>
    <n v="1445"/>
    <n v="3958631"/>
    <n v="7423516081"/>
    <n v="94415"/>
    <x v="0"/>
    <n v="-5.5999999999999091"/>
    <x v="0"/>
    <n v="8"/>
    <x v="4"/>
    <n v="0.31954628062919088"/>
  </r>
  <r>
    <d v="2025-08-13T00:00:00"/>
    <s v="EQ"/>
    <n v="1853"/>
    <n v="1872.5"/>
    <n v="1851.8"/>
    <n v="1850.3"/>
    <n v="1870.9"/>
    <n v="1867.4"/>
    <n v="1864.4"/>
    <n v="2045.8"/>
    <n v="1445"/>
    <n v="6697206"/>
    <n v="12486297813.4"/>
    <n v="156856"/>
    <x v="0"/>
    <n v="-2.7000000000000455"/>
    <x v="0"/>
    <n v="8"/>
    <x v="4"/>
    <n v="0.31954628062919088"/>
  </r>
  <r>
    <d v="2025-08-12T00:00:00"/>
    <s v="EQ"/>
    <n v="1857.4"/>
    <n v="1865"/>
    <n v="1847.1"/>
    <n v="1857.4"/>
    <n v="1850.2"/>
    <n v="1850.3"/>
    <n v="1853.8"/>
    <n v="2045.8"/>
    <n v="1445"/>
    <n v="4645011"/>
    <n v="8610901523.1000004"/>
    <n v="128549"/>
    <x v="0"/>
    <n v="0"/>
    <x v="0"/>
    <n v="8"/>
    <x v="4"/>
    <n v="0.31954628062919088"/>
  </r>
  <r>
    <d v="2025-08-11T00:00:00"/>
    <s v="EQ"/>
    <n v="1863"/>
    <n v="1866"/>
    <n v="1845.7"/>
    <n v="1858.6"/>
    <n v="1855.3"/>
    <n v="1857.4"/>
    <n v="1857.65"/>
    <n v="2045.8"/>
    <n v="1445"/>
    <n v="5266532"/>
    <n v="9783347103"/>
    <n v="182542"/>
    <x v="0"/>
    <n v="-4.4000000000000909"/>
    <x v="0"/>
    <n v="8"/>
    <x v="4"/>
    <n v="0.31954628062919088"/>
  </r>
  <r>
    <d v="2025-08-08T00:00:00"/>
    <s v="EQ"/>
    <n v="1886.3"/>
    <n v="1893.8"/>
    <n v="1856"/>
    <n v="1922.6"/>
    <n v="1859.5"/>
    <n v="1858.6"/>
    <n v="1871.02"/>
    <n v="2045.8"/>
    <n v="1422.6"/>
    <n v="93801105"/>
    <n v="175503711662.10001"/>
    <n v="247592"/>
    <x v="0"/>
    <n v="36.299999999999955"/>
    <x v="0"/>
    <n v="8"/>
    <x v="4"/>
    <n v="0.31954628062919088"/>
  </r>
  <r>
    <d v="2025-08-07T00:00:00"/>
    <s v="EQ"/>
    <n v="1928.1"/>
    <n v="1933.3"/>
    <n v="1909.1"/>
    <n v="1929.7"/>
    <n v="1920.1"/>
    <n v="1922.6"/>
    <n v="1919.15"/>
    <n v="2045.8"/>
    <n v="1422.6"/>
    <n v="4268534"/>
    <n v="8191939056.3000002"/>
    <n v="117390"/>
    <x v="0"/>
    <n v="1.6000000000001364"/>
    <x v="0"/>
    <n v="8"/>
    <x v="4"/>
    <n v="0.31954628062919088"/>
  </r>
  <r>
    <d v="2025-08-06T00:00:00"/>
    <s v="EQ"/>
    <n v="1930"/>
    <n v="1964.8"/>
    <n v="1921.6"/>
    <n v="1931.8"/>
    <n v="1924"/>
    <n v="1929.7"/>
    <n v="1939.14"/>
    <n v="2045.8"/>
    <n v="1422.6"/>
    <n v="5461349"/>
    <n v="10590335524.200001"/>
    <n v="198853"/>
    <x v="0"/>
    <n v="1.7999999999999545"/>
    <x v="0"/>
    <n v="8"/>
    <x v="4"/>
    <n v="0.31954628062919088"/>
  </r>
  <r>
    <d v="2025-08-05T00:00:00"/>
    <s v="EQ"/>
    <n v="1920"/>
    <n v="1937.6"/>
    <n v="1912.1"/>
    <n v="1914.6"/>
    <n v="1930.3"/>
    <n v="1931.8"/>
    <n v="1928.92"/>
    <n v="2045.8"/>
    <n v="1422.6"/>
    <n v="5167672"/>
    <n v="9968010970.7000008"/>
    <n v="142478"/>
    <x v="0"/>
    <n v="-5.4000000000000909"/>
    <x v="0"/>
    <n v="8"/>
    <x v="4"/>
    <n v="0.31954628062919088"/>
  </r>
  <r>
    <d v="2025-08-04T00:00:00"/>
    <s v="EQ"/>
    <n v="1892"/>
    <n v="1919.9"/>
    <n v="1878.5"/>
    <n v="1884.4"/>
    <n v="1915.1"/>
    <n v="1914.6"/>
    <n v="1909.5"/>
    <n v="2045.8"/>
    <n v="1422.6"/>
    <n v="3074380"/>
    <n v="5870535946.1999998"/>
    <n v="103085"/>
    <x v="0"/>
    <n v="-7.5999999999999091"/>
    <x v="0"/>
    <n v="8"/>
    <x v="4"/>
    <n v="0.31954628062919088"/>
  </r>
  <r>
    <d v="2025-08-01T00:00:00"/>
    <s v="EQ"/>
    <n v="1914"/>
    <n v="1919.7"/>
    <n v="1878"/>
    <n v="1914.3"/>
    <n v="1878.1"/>
    <n v="1884.4"/>
    <n v="1896.46"/>
    <n v="2045.8"/>
    <n v="1422.6"/>
    <n v="5192594"/>
    <n v="9847524466.8999996"/>
    <n v="112503"/>
    <x v="0"/>
    <n v="0.29999999999995453"/>
    <x v="0"/>
    <n v="8"/>
    <x v="4"/>
    <n v="0.31954628062919088"/>
  </r>
  <r>
    <d v="2025-07-31T00:00:00"/>
    <s v="EQ"/>
    <n v="1913"/>
    <n v="1926.5"/>
    <n v="1895.6"/>
    <n v="1932.6"/>
    <n v="1912"/>
    <n v="1914.3"/>
    <n v="1914.01"/>
    <n v="2045.8"/>
    <n v="1422.6"/>
    <n v="4674966"/>
    <n v="8947909333.1000004"/>
    <n v="139087"/>
    <x v="0"/>
    <n v="19.599999999999909"/>
    <x v="0"/>
    <n v="7"/>
    <x v="5"/>
    <n v="0.31954628062919088"/>
  </r>
  <r>
    <d v="2025-07-30T00:00:00"/>
    <s v="EQ"/>
    <n v="1934"/>
    <n v="1939.2"/>
    <n v="1922.1"/>
    <n v="1918.3"/>
    <n v="1930.1"/>
    <n v="1932.6"/>
    <n v="1931.15"/>
    <n v="2045.8"/>
    <n v="1422.6"/>
    <n v="5044683"/>
    <n v="9742040986.2999992"/>
    <n v="124036"/>
    <x v="0"/>
    <n v="-15.700000000000045"/>
    <x v="0"/>
    <n v="7"/>
    <x v="5"/>
    <n v="0.31954628062919088"/>
  </r>
  <r>
    <d v="2025-07-29T00:00:00"/>
    <s v="EQ"/>
    <n v="1880"/>
    <n v="1923.6"/>
    <n v="1880"/>
    <n v="1890.3"/>
    <n v="1913.7"/>
    <n v="1918.3"/>
    <n v="1914.14"/>
    <n v="2045.8"/>
    <n v="1422.6"/>
    <n v="3748040"/>
    <n v="7174267314.5"/>
    <n v="130565"/>
    <x v="0"/>
    <n v="10.299999999999955"/>
    <x v="0"/>
    <n v="7"/>
    <x v="5"/>
    <n v="0.31954628062919088"/>
  </r>
  <r>
    <d v="2025-07-28T00:00:00"/>
    <s v="EQ"/>
    <n v="1930"/>
    <n v="1930"/>
    <n v="1885"/>
    <n v="1937.9"/>
    <n v="1889.9"/>
    <n v="1890.3"/>
    <n v="1899.08"/>
    <n v="2045.8"/>
    <n v="1422.6"/>
    <n v="3575044"/>
    <n v="6789304593.1000004"/>
    <n v="183996"/>
    <x v="0"/>
    <n v="7.9000000000000909"/>
    <x v="0"/>
    <n v="7"/>
    <x v="5"/>
    <n v="0.31954628062919088"/>
  </r>
  <r>
    <d v="2025-07-25T00:00:00"/>
    <s v="EQ"/>
    <n v="1936.1"/>
    <n v="1952.7"/>
    <n v="1925"/>
    <n v="1936.1"/>
    <n v="1928"/>
    <n v="1937.9"/>
    <n v="1938.43"/>
    <n v="2045.8"/>
    <n v="1422.6"/>
    <n v="3896884"/>
    <n v="7553854412.8000002"/>
    <n v="150394"/>
    <x v="0"/>
    <n v="0"/>
    <x v="0"/>
    <n v="7"/>
    <x v="5"/>
    <n v="0.31954628062919088"/>
  </r>
  <r>
    <d v="2025-07-24T00:00:00"/>
    <s v="EQ"/>
    <n v="1943.8"/>
    <n v="1970.4"/>
    <n v="1933.7"/>
    <n v="1943.8"/>
    <n v="1937.2"/>
    <n v="1936.1"/>
    <n v="1949.7"/>
    <n v="2045.8"/>
    <n v="1422.6"/>
    <n v="4150685"/>
    <n v="8092572461"/>
    <n v="121583"/>
    <x v="0"/>
    <n v="0"/>
    <x v="0"/>
    <n v="7"/>
    <x v="5"/>
    <n v="0.31954628062919088"/>
  </r>
  <r>
    <d v="2025-07-23T00:00:00"/>
    <s v="EQ"/>
    <n v="1920"/>
    <n v="1949"/>
    <n v="1907.3"/>
    <n v="1906.8"/>
    <n v="1948.7"/>
    <n v="1943.8"/>
    <n v="1931.92"/>
    <n v="2045.8"/>
    <n v="1422.6"/>
    <n v="5194282"/>
    <n v="10034958569.700001"/>
    <n v="181713"/>
    <x v="0"/>
    <n v="-13.200000000000045"/>
    <x v="0"/>
    <n v="7"/>
    <x v="5"/>
    <n v="0.31954628062919088"/>
  </r>
  <r>
    <d v="2025-07-22T00:00:00"/>
    <s v="EQ"/>
    <n v="1909.2"/>
    <n v="1911.3"/>
    <n v="1883"/>
    <n v="1909.2"/>
    <n v="1906.5"/>
    <n v="1906.8"/>
    <n v="1900.14"/>
    <n v="2045.8"/>
    <n v="1422.6"/>
    <n v="4513541"/>
    <n v="8576375988.6999998"/>
    <n v="187488"/>
    <x v="0"/>
    <n v="0"/>
    <x v="0"/>
    <n v="7"/>
    <x v="5"/>
    <n v="0.31954628062919088"/>
  </r>
  <r>
    <d v="2025-07-21T00:00:00"/>
    <s v="EQ"/>
    <n v="1894.8"/>
    <n v="1919.9"/>
    <n v="1892.6"/>
    <n v="1901"/>
    <n v="1907.3"/>
    <n v="1909.2"/>
    <n v="1907.42"/>
    <n v="2045.8"/>
    <n v="1422.6"/>
    <n v="5109654"/>
    <n v="9746237253"/>
    <n v="106175"/>
    <x v="0"/>
    <n v="6.2000000000000455"/>
    <x v="0"/>
    <n v="7"/>
    <x v="5"/>
    <n v="0.31954628062919088"/>
  </r>
  <r>
    <d v="2025-07-18T00:00:00"/>
    <s v="EQ"/>
    <n v="1915.1"/>
    <n v="1916"/>
    <n v="1891.8"/>
    <n v="1929.9"/>
    <n v="1902"/>
    <n v="1901"/>
    <n v="1900.4"/>
    <n v="2045.8"/>
    <n v="1422.6"/>
    <n v="4643961"/>
    <n v="8825370372.2999992"/>
    <n v="153436"/>
    <x v="0"/>
    <n v="14.800000000000182"/>
    <x v="0"/>
    <n v="7"/>
    <x v="5"/>
    <n v="0.31954628062919088"/>
  </r>
  <r>
    <d v="2025-07-17T00:00:00"/>
    <s v="EQ"/>
    <n v="1943.7"/>
    <n v="1944.9"/>
    <n v="1927.6"/>
    <n v="1936.6"/>
    <n v="1929.3"/>
    <n v="1929.9"/>
    <n v="1934.04"/>
    <n v="2045.8"/>
    <n v="1422.6"/>
    <n v="6256455"/>
    <n v="12100262832.1"/>
    <n v="117865"/>
    <x v="0"/>
    <n v="-7.1000000000001364"/>
    <x v="0"/>
    <n v="7"/>
    <x v="5"/>
    <n v="0.31954628062919088"/>
  </r>
  <r>
    <d v="2025-07-16T00:00:00"/>
    <s v="EQ"/>
    <n v="1944"/>
    <n v="1944"/>
    <n v="1928.8"/>
    <n v="1934.2"/>
    <n v="1932.1"/>
    <n v="1936.6"/>
    <n v="1937.89"/>
    <n v="2045.8"/>
    <n v="1422.6"/>
    <n v="4211258"/>
    <n v="8160962898"/>
    <n v="155828"/>
    <x v="0"/>
    <n v="-9.7999999999999545"/>
    <x v="0"/>
    <n v="7"/>
    <x v="5"/>
    <n v="0.31954628062919088"/>
  </r>
  <r>
    <d v="2025-07-15T00:00:00"/>
    <s v="EQ"/>
    <n v="1924.8"/>
    <n v="1943"/>
    <n v="1923.2"/>
    <n v="1920.9"/>
    <n v="1934.9"/>
    <n v="1934.2"/>
    <n v="1933.42"/>
    <n v="2045.8"/>
    <n v="1422.6"/>
    <n v="4163140"/>
    <n v="8049106906.8999996"/>
    <n v="173130"/>
    <x v="0"/>
    <n v="-3.8999999999998636"/>
    <x v="0"/>
    <n v="7"/>
    <x v="5"/>
    <n v="0.31954628062919088"/>
  </r>
  <r>
    <d v="2025-07-14T00:00:00"/>
    <s v="EQ"/>
    <n v="1915"/>
    <n v="1927.5"/>
    <n v="1900.2"/>
    <n v="1921.9"/>
    <n v="1923.1"/>
    <n v="1920.9"/>
    <n v="1912.33"/>
    <n v="2045.8"/>
    <n v="1422.6"/>
    <n v="5269381"/>
    <n v="10076781994"/>
    <n v="117745"/>
    <x v="0"/>
    <n v="6.9000000000000909"/>
    <x v="0"/>
    <n v="7"/>
    <x v="5"/>
    <n v="0.31954628062919088"/>
  </r>
  <r>
    <d v="2025-07-11T00:00:00"/>
    <s v="EQ"/>
    <n v="1942"/>
    <n v="1959.1"/>
    <n v="1914.2"/>
    <n v="1964.5"/>
    <n v="1925.7"/>
    <n v="1921.9"/>
    <n v="1924.82"/>
    <n v="2045.8"/>
    <n v="1421.45"/>
    <n v="13103980"/>
    <n v="25222831889.299999"/>
    <n v="203449"/>
    <x v="0"/>
    <n v="22.5"/>
    <x v="0"/>
    <n v="7"/>
    <x v="5"/>
    <n v="0.31954628062919088"/>
  </r>
  <r>
    <d v="2025-07-10T00:00:00"/>
    <s v="EQ"/>
    <n v="2028.6"/>
    <n v="2028.6"/>
    <n v="1962.3"/>
    <n v="2019.7"/>
    <n v="1964"/>
    <n v="1964.5"/>
    <n v="1981.26"/>
    <n v="2045.8"/>
    <n v="1421.45"/>
    <n v="5695845"/>
    <n v="11284970384.5"/>
    <n v="137893"/>
    <x v="0"/>
    <n v="-8.8999999999998636"/>
    <x v="0"/>
    <n v="7"/>
    <x v="5"/>
    <n v="0.31954628062919088"/>
  </r>
  <r>
    <d v="2025-07-09T00:00:00"/>
    <s v="EQ"/>
    <n v="2035"/>
    <n v="2040.7"/>
    <n v="1998.5"/>
    <n v="2030"/>
    <n v="2019.2"/>
    <n v="2019.7"/>
    <n v="2026.57"/>
    <n v="2045.8"/>
    <n v="1421.45"/>
    <n v="2937734"/>
    <n v="5953511845.8999996"/>
    <n v="106327"/>
    <x v="0"/>
    <n v="-5"/>
    <x v="0"/>
    <n v="7"/>
    <x v="5"/>
    <n v="0.31954628062919088"/>
  </r>
  <r>
    <d v="2025-07-08T00:00:00"/>
    <s v="EQ"/>
    <n v="2026"/>
    <n v="2035"/>
    <n v="2014.8"/>
    <n v="2033.9"/>
    <n v="2033"/>
    <n v="2030"/>
    <n v="2025.34"/>
    <n v="2045.8"/>
    <n v="1421.45"/>
    <n v="3624619"/>
    <n v="7341077387.3999996"/>
    <n v="108175"/>
    <x v="0"/>
    <n v="7.9000000000000909"/>
    <x v="0"/>
    <n v="7"/>
    <x v="5"/>
    <n v="0.31954628062919088"/>
  </r>
  <r>
    <d v="2025-07-07T00:00:00"/>
    <s v="EQ"/>
    <n v="2018"/>
    <n v="2036"/>
    <n v="2010.6"/>
    <n v="2017.2"/>
    <n v="2029.5"/>
    <n v="2033.9"/>
    <n v="2023.94"/>
    <n v="2045.8"/>
    <n v="1421.45"/>
    <n v="4165432"/>
    <n v="8430571808.8000002"/>
    <n v="129355"/>
    <x v="0"/>
    <n v="-0.79999999999995453"/>
    <x v="0"/>
    <n v="7"/>
    <x v="5"/>
    <n v="0.31954628062919088"/>
  </r>
  <r>
    <d v="2025-07-04T00:00:00"/>
    <s v="EQ"/>
    <n v="2027"/>
    <n v="2036.5"/>
    <n v="2005.1"/>
    <n v="2019.3"/>
    <n v="2018.3"/>
    <n v="2017.2"/>
    <n v="2014.08"/>
    <n v="2045.8"/>
    <n v="1408.45"/>
    <n v="2178315"/>
    <n v="4387298875.3999996"/>
    <n v="101143"/>
    <x v="0"/>
    <n v="-7.7000000000000455"/>
    <x v="0"/>
    <n v="7"/>
    <x v="5"/>
    <n v="0.31954628062919088"/>
  </r>
  <r>
    <d v="2025-07-03T00:00:00"/>
    <s v="EQ"/>
    <n v="2041.8"/>
    <n v="2044.9"/>
    <n v="2012.9"/>
    <n v="2033.3"/>
    <n v="2019"/>
    <n v="2019.3"/>
    <n v="2030.02"/>
    <n v="2045.8"/>
    <n v="1408.45"/>
    <n v="5558647"/>
    <n v="11284185157.6"/>
    <n v="154712"/>
    <x v="0"/>
    <n v="-8.5"/>
    <x v="0"/>
    <n v="7"/>
    <x v="5"/>
    <n v="0.31954628062919088"/>
  </r>
  <r>
    <d v="2025-07-02T00:00:00"/>
    <s v="EQ"/>
    <n v="2037"/>
    <n v="2045.8"/>
    <n v="2018.3"/>
    <n v="2019.4"/>
    <n v="2030"/>
    <n v="2033.3"/>
    <n v="2033.47"/>
    <n v="2045.8"/>
    <n v="1408.45"/>
    <n v="6513288"/>
    <n v="13244594437.200001"/>
    <n v="196748"/>
    <x v="0"/>
    <n v="-17.599999999999909"/>
    <x v="0"/>
    <n v="7"/>
    <x v="5"/>
    <n v="0.31954628062919088"/>
  </r>
  <r>
    <d v="2025-07-01T00:00:00"/>
    <s v="EQ"/>
    <n v="2009"/>
    <n v="2030.8"/>
    <n v="2006.9"/>
    <n v="2009.6"/>
    <n v="2015.3"/>
    <n v="2019.4"/>
    <n v="2018.42"/>
    <n v="2039"/>
    <n v="1408.45"/>
    <n v="3769165"/>
    <n v="7607773613"/>
    <n v="134125"/>
    <x v="0"/>
    <n v="0.59999999999990905"/>
    <x v="0"/>
    <n v="7"/>
    <x v="5"/>
    <n v="0.31954628062919088"/>
  </r>
  <r>
    <d v="2025-06-30T00:00:00"/>
    <s v="EQ"/>
    <n v="2018"/>
    <n v="2023.9"/>
    <n v="2000.2"/>
    <n v="2027.1"/>
    <n v="2008.7"/>
    <n v="2009.6"/>
    <n v="2009.31"/>
    <n v="2039"/>
    <n v="1408.45"/>
    <n v="5597484"/>
    <n v="11247098467.700001"/>
    <n v="152889"/>
    <x v="0"/>
    <n v="9.0999999999999091"/>
    <x v="0"/>
    <n v="6"/>
    <x v="6"/>
    <n v="0.31954628062919088"/>
  </r>
  <r>
    <d v="2025-06-27T00:00:00"/>
    <s v="EQ"/>
    <n v="2010"/>
    <n v="2039"/>
    <n v="2008.6"/>
    <n v="2014.3"/>
    <n v="2020"/>
    <n v="2027.1"/>
    <n v="2024.22"/>
    <n v="2039"/>
    <n v="1389.35"/>
    <n v="6405854"/>
    <n v="12966837500.6"/>
    <n v="148359"/>
    <x v="0"/>
    <n v="4.2999999999999545"/>
    <x v="0"/>
    <n v="6"/>
    <x v="6"/>
    <n v="0.31954628062919088"/>
  </r>
  <r>
    <d v="2025-06-26T00:00:00"/>
    <s v="EQ"/>
    <n v="1970"/>
    <n v="2018.4"/>
    <n v="1966.3"/>
    <n v="1965.6"/>
    <n v="2015.6"/>
    <n v="2014.3"/>
    <n v="2000.12"/>
    <n v="2018.4"/>
    <n v="1389.35"/>
    <n v="9413241"/>
    <n v="18827572697.099998"/>
    <n v="191193"/>
    <x v="0"/>
    <n v="-4.4000000000000909"/>
    <x v="0"/>
    <n v="6"/>
    <x v="6"/>
    <n v="0.31954628062919088"/>
  </r>
  <r>
    <d v="2025-06-25T00:00:00"/>
    <s v="EQ"/>
    <n v="1942"/>
    <n v="1970"/>
    <n v="1938"/>
    <n v="1933.6"/>
    <n v="1963.8"/>
    <n v="1965.6"/>
    <n v="1959.42"/>
    <n v="1970"/>
    <n v="1389.35"/>
    <n v="4152765"/>
    <n v="8137023309.3999996"/>
    <n v="145203"/>
    <x v="0"/>
    <n v="-8.4000000000000909"/>
    <x v="0"/>
    <n v="6"/>
    <x v="6"/>
    <n v="0.31954628062919088"/>
  </r>
  <r>
    <d v="2025-06-24T00:00:00"/>
    <s v="EQ"/>
    <n v="1950.9"/>
    <n v="1963"/>
    <n v="1929.1"/>
    <n v="1936.3"/>
    <n v="1942"/>
    <n v="1933.6"/>
    <n v="1941.29"/>
    <n v="1963"/>
    <n v="1389.35"/>
    <n v="6837210"/>
    <n v="13272989083.700001"/>
    <n v="180737"/>
    <x v="0"/>
    <n v="-14.600000000000136"/>
    <x v="0"/>
    <n v="6"/>
    <x v="6"/>
    <n v="0.31954628062919088"/>
  </r>
  <r>
    <d v="2025-06-23T00:00:00"/>
    <s v="EQ"/>
    <n v="1930"/>
    <n v="1949"/>
    <n v="1927.1"/>
    <n v="1936.7"/>
    <n v="1935"/>
    <n v="1936.3"/>
    <n v="1937.95"/>
    <n v="1949"/>
    <n v="1389.35"/>
    <n v="2946463"/>
    <n v="5710099351.1000004"/>
    <n v="122423"/>
    <x v="0"/>
    <n v="6.7000000000000455"/>
    <x v="0"/>
    <n v="6"/>
    <x v="6"/>
    <n v="0.31954628062919088"/>
  </r>
  <r>
    <d v="2025-06-20T00:00:00"/>
    <s v="EQ"/>
    <n v="1880"/>
    <n v="1949"/>
    <n v="1874"/>
    <n v="1877"/>
    <n v="1934"/>
    <n v="1936.7"/>
    <n v="1927.9"/>
    <n v="1949"/>
    <n v="1372.85"/>
    <n v="16228526"/>
    <n v="31286969336.299999"/>
    <n v="258340"/>
    <x v="0"/>
    <n v="-3"/>
    <x v="0"/>
    <n v="6"/>
    <x v="6"/>
    <n v="0.31954628062919088"/>
  </r>
  <r>
    <d v="2025-06-19T00:00:00"/>
    <s v="EQ"/>
    <n v="1872"/>
    <n v="1879"/>
    <n v="1864.1"/>
    <n v="1865.9"/>
    <n v="1874"/>
    <n v="1877"/>
    <n v="1874.79"/>
    <n v="1917"/>
    <n v="1372.85"/>
    <n v="4712312"/>
    <n v="8834585788.1000004"/>
    <n v="119233"/>
    <x v="0"/>
    <n v="-6.0999999999999091"/>
    <x v="0"/>
    <n v="6"/>
    <x v="6"/>
    <n v="0.31954628062919088"/>
  </r>
  <r>
    <d v="2025-06-18T00:00:00"/>
    <s v="EQ"/>
    <n v="1847.6"/>
    <n v="1871"/>
    <n v="1843.1"/>
    <n v="1854.8"/>
    <n v="1861.8"/>
    <n v="1865.9"/>
    <n v="1864.4"/>
    <n v="1917"/>
    <n v="1372.85"/>
    <n v="5069427"/>
    <n v="9451432452.5"/>
    <n v="123077"/>
    <x v="0"/>
    <n v="7.2000000000000455"/>
    <x v="0"/>
    <n v="6"/>
    <x v="6"/>
    <n v="0.31954628062919088"/>
  </r>
  <r>
    <d v="2025-06-17T00:00:00"/>
    <s v="EQ"/>
    <n v="1879"/>
    <n v="1879"/>
    <n v="1847.6"/>
    <n v="1861.3"/>
    <n v="1856.8"/>
    <n v="1854.8"/>
    <n v="1854.73"/>
    <n v="1917"/>
    <n v="1372.85"/>
    <n v="6561555"/>
    <n v="12169888553.1"/>
    <n v="161741"/>
    <x v="0"/>
    <n v="-17.700000000000045"/>
    <x v="0"/>
    <n v="6"/>
    <x v="6"/>
    <n v="0.31954628062919088"/>
  </r>
  <r>
    <d v="2025-06-16T00:00:00"/>
    <s v="EQ"/>
    <n v="1842.1"/>
    <n v="1870"/>
    <n v="1838.8"/>
    <n v="1840.4"/>
    <n v="1858.2"/>
    <n v="1861.3"/>
    <n v="1860.67"/>
    <n v="1917"/>
    <n v="1372.85"/>
    <n v="5722187"/>
    <n v="10647100022.6"/>
    <n v="136896"/>
    <x v="0"/>
    <n v="-1.6999999999998181"/>
    <x v="0"/>
    <n v="6"/>
    <x v="6"/>
    <n v="0.31954628062919088"/>
  </r>
  <r>
    <d v="2025-06-13T00:00:00"/>
    <s v="EQ"/>
    <n v="1815"/>
    <n v="1844.6"/>
    <n v="1815"/>
    <n v="1844.2"/>
    <n v="1840.1"/>
    <n v="1840.4"/>
    <n v="1837.79"/>
    <n v="1917"/>
    <n v="1372.85"/>
    <n v="4613000"/>
    <n v="8477734828.5"/>
    <n v="178295"/>
    <x v="0"/>
    <n v="29.200000000000045"/>
    <x v="0"/>
    <n v="6"/>
    <x v="6"/>
    <n v="0.31954628062919088"/>
  </r>
  <r>
    <d v="2025-06-12T00:00:00"/>
    <s v="EQ"/>
    <n v="1871.9"/>
    <n v="1883"/>
    <n v="1831.6"/>
    <n v="1860.2"/>
    <n v="1844"/>
    <n v="1844.2"/>
    <n v="1851.8"/>
    <n v="1917"/>
    <n v="1372.85"/>
    <n v="7346031"/>
    <n v="13603343695.4"/>
    <n v="178651"/>
    <x v="0"/>
    <n v="-11.700000000000045"/>
    <x v="0"/>
    <n v="6"/>
    <x v="6"/>
    <n v="0.31954628062919088"/>
  </r>
  <r>
    <d v="2025-06-11T00:00:00"/>
    <s v="EQ"/>
    <n v="1857.9"/>
    <n v="1866.5"/>
    <n v="1847.8"/>
    <n v="1857.1"/>
    <n v="1857.5"/>
    <n v="1860.2"/>
    <n v="1857.61"/>
    <n v="1917"/>
    <n v="1372.85"/>
    <n v="8907265"/>
    <n v="16546192522.9"/>
    <n v="160998"/>
    <x v="0"/>
    <n v="-0.8000000000001819"/>
    <x v="0"/>
    <n v="6"/>
    <x v="6"/>
    <n v="0.31954628062919088"/>
  </r>
  <r>
    <d v="2025-06-10T00:00:00"/>
    <s v="EQ"/>
    <n v="1866.6"/>
    <n v="1875.6"/>
    <n v="1850.3"/>
    <n v="1865.1"/>
    <n v="1855.9"/>
    <n v="1857.1"/>
    <n v="1859.98"/>
    <n v="1917"/>
    <n v="1372.85"/>
    <n v="7925901"/>
    <n v="14742016739.200001"/>
    <n v="167981"/>
    <x v="0"/>
    <n v="-1.5"/>
    <x v="0"/>
    <n v="6"/>
    <x v="6"/>
    <n v="0.31954628062919088"/>
  </r>
  <r>
    <d v="2025-06-09T00:00:00"/>
    <s v="EQ"/>
    <n v="1874"/>
    <n v="1875"/>
    <n v="1848.7"/>
    <n v="1870.2"/>
    <n v="1865"/>
    <n v="1865.1"/>
    <n v="1862.61"/>
    <n v="1917"/>
    <n v="1372.85"/>
    <n v="3649505"/>
    <n v="6797612329"/>
    <n v="131990"/>
    <x v="0"/>
    <n v="-3.7999999999999545"/>
    <x v="0"/>
    <n v="6"/>
    <x v="6"/>
    <n v="0.31954628062919088"/>
  </r>
  <r>
    <d v="2025-06-06T00:00:00"/>
    <s v="EQ"/>
    <n v="1872.1"/>
    <n v="1881.9"/>
    <n v="1867.3"/>
    <n v="1878.8"/>
    <n v="1870.1"/>
    <n v="1870.2"/>
    <n v="1874.58"/>
    <n v="1917"/>
    <n v="1219.05"/>
    <n v="4644174"/>
    <n v="8705867475.2000008"/>
    <n v="165644"/>
    <x v="0"/>
    <n v="6.7000000000000455"/>
    <x v="0"/>
    <n v="6"/>
    <x v="6"/>
    <n v="0.31954628062919088"/>
  </r>
  <r>
    <d v="2025-06-05T00:00:00"/>
    <s v="EQ"/>
    <n v="1884"/>
    <n v="1889"/>
    <n v="1868.6"/>
    <n v="1875.4"/>
    <n v="1878"/>
    <n v="1878.8"/>
    <n v="1874.29"/>
    <n v="1917"/>
    <n v="1219.05"/>
    <n v="8999675"/>
    <n v="16867977555.4"/>
    <n v="157560"/>
    <x v="0"/>
    <n v="-8.5999999999999091"/>
    <x v="0"/>
    <n v="6"/>
    <x v="6"/>
    <n v="0.31954628062919088"/>
  </r>
  <r>
    <d v="2025-06-04T00:00:00"/>
    <s v="EQ"/>
    <n v="1855"/>
    <n v="1884.6"/>
    <n v="1850"/>
    <n v="1841.3"/>
    <n v="1873"/>
    <n v="1875.4"/>
    <n v="1873.4"/>
    <n v="1917"/>
    <n v="1219.05"/>
    <n v="5892170"/>
    <n v="11038406458.9"/>
    <n v="200975"/>
    <x v="0"/>
    <n v="-13.700000000000045"/>
    <x v="0"/>
    <n v="6"/>
    <x v="6"/>
    <n v="0.31954628062919088"/>
  </r>
  <r>
    <d v="2025-06-03T00:00:00"/>
    <s v="EQ"/>
    <n v="1867"/>
    <n v="1869.5"/>
    <n v="1832"/>
    <n v="1854.1"/>
    <n v="1841.6"/>
    <n v="1841.3"/>
    <n v="1844.12"/>
    <n v="1917"/>
    <n v="1219.05"/>
    <n v="5596977"/>
    <n v="10321475298.6"/>
    <n v="194113"/>
    <x v="0"/>
    <n v="-12.900000000000091"/>
    <x v="0"/>
    <n v="6"/>
    <x v="6"/>
    <n v="0.31954628062919088"/>
  </r>
  <r>
    <d v="2025-06-02T00:00:00"/>
    <s v="EQ"/>
    <n v="1844"/>
    <n v="1859"/>
    <n v="1831.5"/>
    <n v="1856.2"/>
    <n v="1850"/>
    <n v="1854.1"/>
    <n v="1848.95"/>
    <n v="1917"/>
    <n v="1219.05"/>
    <n v="3199499"/>
    <n v="5915706164.5"/>
    <n v="119382"/>
    <x v="0"/>
    <n v="12.200000000000045"/>
    <x v="0"/>
    <n v="6"/>
    <x v="6"/>
    <n v="0.31954628062919088"/>
  </r>
  <r>
    <d v="2025-05-30T00:00:00"/>
    <s v="EQ"/>
    <n v="1854"/>
    <n v="1867"/>
    <n v="1843"/>
    <n v="1863.6"/>
    <n v="1859.7"/>
    <n v="1856.2"/>
    <n v="1856.33"/>
    <n v="1917"/>
    <n v="1219.05"/>
    <n v="16712960"/>
    <n v="31024799188.599998"/>
    <n v="163931"/>
    <x v="0"/>
    <n v="9.5999999999999091"/>
    <x v="0"/>
    <n v="5"/>
    <x v="7"/>
    <n v="0.31954628062919088"/>
  </r>
  <r>
    <d v="2025-05-29T00:00:00"/>
    <s v="EQ"/>
    <n v="1858"/>
    <n v="1867"/>
    <n v="1850.5"/>
    <n v="1856.1"/>
    <n v="1865"/>
    <n v="1863.6"/>
    <n v="1861.2"/>
    <n v="1917"/>
    <n v="1219.05"/>
    <n v="5786774"/>
    <n v="10770332949.6"/>
    <n v="218220"/>
    <x v="0"/>
    <n v="-1.9000000000000909"/>
    <x v="0"/>
    <n v="5"/>
    <x v="7"/>
    <n v="0.31954628062919088"/>
  </r>
  <r>
    <d v="2025-05-28T00:00:00"/>
    <s v="EQ"/>
    <n v="1848"/>
    <n v="1867"/>
    <n v="1845.1"/>
    <n v="1843.8"/>
    <n v="1855.5"/>
    <n v="1856.1"/>
    <n v="1857.45"/>
    <n v="1917"/>
    <n v="1219.05"/>
    <n v="3713699"/>
    <n v="6898020834.1999998"/>
    <n v="118955"/>
    <x v="0"/>
    <n v="-4.2000000000000455"/>
    <x v="0"/>
    <n v="5"/>
    <x v="7"/>
    <n v="0.31954628062919088"/>
  </r>
  <r>
    <d v="2025-05-27T00:00:00"/>
    <s v="EQ"/>
    <n v="1844"/>
    <n v="1857.6"/>
    <n v="1833.7"/>
    <n v="1847.4"/>
    <n v="1847.3"/>
    <n v="1843.8"/>
    <n v="1843.98"/>
    <n v="1917"/>
    <n v="1219.05"/>
    <n v="5847725"/>
    <n v="10783099301.4"/>
    <n v="181830"/>
    <x v="0"/>
    <n v="3.4000000000000909"/>
    <x v="0"/>
    <n v="5"/>
    <x v="7"/>
    <n v="0.31954628062919088"/>
  </r>
  <r>
    <d v="2025-05-26T00:00:00"/>
    <s v="EQ"/>
    <n v="1834"/>
    <n v="1850"/>
    <n v="1830.9"/>
    <n v="1831.7"/>
    <n v="1846.5"/>
    <n v="1847.4"/>
    <n v="1845.67"/>
    <n v="1917"/>
    <n v="1219.05"/>
    <n v="3254715"/>
    <n v="6007142210.3999996"/>
    <n v="154230"/>
    <x v="0"/>
    <n v="-2.2999999999999545"/>
    <x v="0"/>
    <n v="5"/>
    <x v="7"/>
    <n v="0.31954628062919088"/>
  </r>
  <r>
    <d v="2025-05-23T00:00:00"/>
    <s v="EQ"/>
    <n v="1825"/>
    <n v="1841.8"/>
    <n v="1821.5"/>
    <n v="1831.4"/>
    <n v="1831"/>
    <n v="1831.7"/>
    <n v="1835.52"/>
    <n v="1917"/>
    <n v="1219.05"/>
    <n v="3460945"/>
    <n v="6352622258.6999998"/>
    <n v="149774"/>
    <x v="0"/>
    <n v="6.4000000000000909"/>
    <x v="0"/>
    <n v="5"/>
    <x v="7"/>
    <n v="0.31954628062919088"/>
  </r>
  <r>
    <d v="2025-05-22T00:00:00"/>
    <s v="EQ"/>
    <n v="1819.9"/>
    <n v="1836.7"/>
    <n v="1816.3"/>
    <n v="1822.5"/>
    <n v="1831"/>
    <n v="1831.4"/>
    <n v="1829.94"/>
    <n v="1917"/>
    <n v="1219.05"/>
    <n v="6496923"/>
    <n v="11888988220.5"/>
    <n v="206038"/>
    <x v="0"/>
    <n v="2.5999999999999091"/>
    <x v="0"/>
    <n v="5"/>
    <x v="7"/>
    <n v="0.31954628062919088"/>
  </r>
  <r>
    <d v="2025-05-21T00:00:00"/>
    <s v="EQ"/>
    <n v="1813"/>
    <n v="1826.5"/>
    <n v="1805.3"/>
    <n v="1808.9"/>
    <n v="1822"/>
    <n v="1822.5"/>
    <n v="1819.2"/>
    <n v="1917"/>
    <n v="1219.05"/>
    <n v="6849562"/>
    <n v="12460710453.5"/>
    <n v="299080"/>
    <x v="0"/>
    <n v="-4.0999999999999091"/>
    <x v="0"/>
    <n v="5"/>
    <x v="7"/>
    <n v="0.31954628062919088"/>
  </r>
  <r>
    <d v="2025-05-20T00:00:00"/>
    <s v="EQ"/>
    <n v="1809.8"/>
    <n v="1824.9"/>
    <n v="1799.5"/>
    <n v="1818.3"/>
    <n v="1809.7"/>
    <n v="1808.9"/>
    <n v="1809.85"/>
    <n v="1917"/>
    <n v="1219.05"/>
    <n v="12512596"/>
    <n v="22645951310.900002"/>
    <n v="281116"/>
    <x v="0"/>
    <n v="8.5"/>
    <x v="0"/>
    <n v="5"/>
    <x v="7"/>
    <n v="0.31954628062919088"/>
  </r>
  <r>
    <d v="2025-05-19T00:00:00"/>
    <s v="EQ"/>
    <n v="1822"/>
    <n v="1828.7"/>
    <n v="1809"/>
    <n v="1814"/>
    <n v="1816.5"/>
    <n v="1818.3"/>
    <n v="1818.41"/>
    <n v="1917"/>
    <n v="1219.05"/>
    <n v="5799804"/>
    <n v="10546436610"/>
    <n v="223582"/>
    <x v="0"/>
    <n v="-8"/>
    <x v="0"/>
    <n v="5"/>
    <x v="7"/>
    <n v="0.31954628062919088"/>
  </r>
  <r>
    <d v="2025-05-16T00:00:00"/>
    <s v="EQ"/>
    <n v="1834"/>
    <n v="1834"/>
    <n v="1810.1"/>
    <n v="1867.2"/>
    <n v="1814.4"/>
    <n v="1814"/>
    <n v="1815.18"/>
    <n v="1917"/>
    <n v="1219.05"/>
    <n v="100662047"/>
    <n v="182719665612.79999"/>
    <n v="286997"/>
    <x v="0"/>
    <n v="33.200000000000045"/>
    <x v="0"/>
    <n v="5"/>
    <x v="7"/>
    <n v="0.31954628062919088"/>
  </r>
  <r>
    <d v="2025-05-15T00:00:00"/>
    <s v="EQ"/>
    <n v="1849.9"/>
    <n v="1869.9"/>
    <n v="1825"/>
    <n v="1834.2"/>
    <n v="1863.1"/>
    <n v="1867.2"/>
    <n v="1849.52"/>
    <n v="1917"/>
    <n v="1219.05"/>
    <n v="8788351"/>
    <n v="16254270538.1"/>
    <n v="195431"/>
    <x v="0"/>
    <n v="-15.700000000000045"/>
    <x v="0"/>
    <n v="5"/>
    <x v="7"/>
    <n v="0.31954628062919088"/>
  </r>
  <r>
    <d v="2025-05-14T00:00:00"/>
    <s v="EQ"/>
    <n v="1830"/>
    <n v="1870.7"/>
    <n v="1820.2"/>
    <n v="1820.6"/>
    <n v="1837.9"/>
    <n v="1834.2"/>
    <n v="1843.39"/>
    <n v="1917"/>
    <n v="1219.05"/>
    <n v="7401614"/>
    <n v="13644025354.700001"/>
    <n v="226624"/>
    <x v="0"/>
    <n v="-9.4000000000000909"/>
    <x v="0"/>
    <n v="5"/>
    <x v="7"/>
    <n v="0.31954628062919088"/>
  </r>
  <r>
    <d v="2025-05-13T00:00:00"/>
    <s v="EQ"/>
    <n v="1870"/>
    <n v="1883.7"/>
    <n v="1816.6"/>
    <n v="1870.8"/>
    <n v="1824.5"/>
    <n v="1820.6"/>
    <n v="1834.02"/>
    <n v="1917"/>
    <n v="1219.05"/>
    <n v="8817763"/>
    <n v="16171933283.299999"/>
    <n v="282085"/>
    <x v="0"/>
    <n v="0.79999999999995453"/>
    <x v="0"/>
    <n v="5"/>
    <x v="7"/>
    <n v="0.31954628062919088"/>
  </r>
  <r>
    <d v="2025-05-12T00:00:00"/>
    <s v="EQ"/>
    <n v="1868.9"/>
    <n v="1883.4"/>
    <n v="1854"/>
    <n v="1848.4"/>
    <n v="1873"/>
    <n v="1870.8"/>
    <n v="1869.65"/>
    <n v="1917"/>
    <n v="1219.05"/>
    <n v="3936019"/>
    <n v="7358980437"/>
    <n v="134363"/>
    <x v="0"/>
    <n v="-20.5"/>
    <x v="0"/>
    <n v="5"/>
    <x v="7"/>
    <n v="0.31954628062919088"/>
  </r>
  <r>
    <d v="2025-05-09T00:00:00"/>
    <s v="EQ"/>
    <n v="1855"/>
    <n v="1871.1"/>
    <n v="1836.5"/>
    <n v="1874.9"/>
    <n v="1850"/>
    <n v="1848.4"/>
    <n v="1848.9"/>
    <n v="1917"/>
    <n v="1219.05"/>
    <n v="3686209"/>
    <n v="6815420471.6999998"/>
    <n v="142316"/>
    <x v="0"/>
    <n v="19.900000000000091"/>
    <x v="0"/>
    <n v="5"/>
    <x v="7"/>
    <n v="0.31954628062919088"/>
  </r>
  <r>
    <d v="2025-05-08T00:00:00"/>
    <s v="EQ"/>
    <n v="1897"/>
    <n v="1905.8"/>
    <n v="1862.4"/>
    <n v="1896.8"/>
    <n v="1864.5"/>
    <n v="1874.9"/>
    <n v="1880.32"/>
    <n v="1917"/>
    <n v="1219.05"/>
    <n v="5500724"/>
    <n v="10343102911.1"/>
    <n v="188110"/>
    <x v="0"/>
    <n v="-0.20000000000004547"/>
    <x v="0"/>
    <n v="5"/>
    <x v="7"/>
    <n v="0.31954628062919088"/>
  </r>
  <r>
    <d v="2025-05-07T00:00:00"/>
    <s v="EQ"/>
    <n v="1901"/>
    <n v="1917"/>
    <n v="1885.5"/>
    <n v="1901"/>
    <n v="1892.7"/>
    <n v="1896.8"/>
    <n v="1899.09"/>
    <n v="1917"/>
    <n v="1219.05"/>
    <n v="5554616"/>
    <n v="10548724277"/>
    <n v="184822"/>
    <x v="0"/>
    <n v="0"/>
    <x v="0"/>
    <n v="5"/>
    <x v="7"/>
    <n v="0.31954628062919088"/>
  </r>
  <r>
    <d v="2025-05-06T00:00:00"/>
    <s v="EQ"/>
    <n v="1888.3"/>
    <n v="1912"/>
    <n v="1882.6"/>
    <n v="1866"/>
    <n v="1896"/>
    <n v="1901"/>
    <n v="1899.53"/>
    <n v="1912"/>
    <n v="1219.05"/>
    <n v="8597920"/>
    <n v="16331996371.700001"/>
    <n v="200749"/>
    <x v="0"/>
    <n v="-22.299999999999955"/>
    <x v="0"/>
    <n v="5"/>
    <x v="7"/>
    <n v="0.31954628062919088"/>
  </r>
  <r>
    <d v="2025-05-05T00:00:00"/>
    <s v="EQ"/>
    <n v="1868"/>
    <n v="1873.5"/>
    <n v="1849.2"/>
    <n v="1851.9"/>
    <n v="1866"/>
    <n v="1866"/>
    <n v="1864.43"/>
    <n v="1904.3"/>
    <n v="1219.05"/>
    <n v="3548839"/>
    <n v="6616547877"/>
    <n v="103413"/>
    <x v="0"/>
    <n v="-16.099999999999909"/>
    <x v="0"/>
    <n v="5"/>
    <x v="7"/>
    <n v="0.31954628062919088"/>
  </r>
  <r>
    <d v="2025-05-02T00:00:00"/>
    <s v="EQ"/>
    <n v="1852"/>
    <n v="1883.6"/>
    <n v="1832.1"/>
    <n v="1864.5"/>
    <n v="1849"/>
    <n v="1851.9"/>
    <n v="1854.96"/>
    <n v="1904.3"/>
    <n v="1219.05"/>
    <n v="5528529"/>
    <n v="10255209665.9"/>
    <n v="181226"/>
    <x v="0"/>
    <n v="12.5"/>
    <x v="0"/>
    <n v="5"/>
    <x v="7"/>
    <n v="0.31954628062919088"/>
  </r>
  <r>
    <d v="2025-04-30T00:00:00"/>
    <s v="EQ"/>
    <n v="1837"/>
    <n v="1876.9"/>
    <n v="1827"/>
    <n v="1823.8"/>
    <n v="1854.8"/>
    <n v="1864.5"/>
    <n v="1854.65"/>
    <n v="1904.3"/>
    <n v="1219.05"/>
    <n v="9139821"/>
    <n v="16951167803.700001"/>
    <n v="152336"/>
    <x v="0"/>
    <n v="-13.200000000000045"/>
    <x v="0"/>
    <n v="4"/>
    <x v="8"/>
    <n v="0.31954628062919088"/>
  </r>
  <r>
    <d v="2025-04-29T00:00:00"/>
    <s v="EQ"/>
    <n v="1823.7"/>
    <n v="1847.8"/>
    <n v="1817.6"/>
    <n v="1821.8"/>
    <n v="1827.2"/>
    <n v="1823.8"/>
    <n v="1829.51"/>
    <n v="1904.3"/>
    <n v="1219.05"/>
    <n v="4684155"/>
    <n v="8569695123.6999998"/>
    <n v="153385"/>
    <x v="0"/>
    <n v="-1.9000000000000909"/>
    <x v="0"/>
    <n v="4"/>
    <x v="8"/>
    <n v="0.31954628062919088"/>
  </r>
  <r>
    <d v="2025-04-28T00:00:00"/>
    <s v="EQ"/>
    <n v="1836"/>
    <n v="1838.9"/>
    <n v="1813.4"/>
    <n v="1817.2"/>
    <n v="1820.3"/>
    <n v="1821.8"/>
    <n v="1822.3"/>
    <n v="1904.3"/>
    <n v="1219.05"/>
    <n v="3301891"/>
    <n v="6017036292.3000002"/>
    <n v="100779"/>
    <x v="0"/>
    <n v="-18.799999999999955"/>
    <x v="0"/>
    <n v="4"/>
    <x v="8"/>
    <n v="0.31954628062919088"/>
  </r>
  <r>
    <d v="2025-04-25T00:00:00"/>
    <s v="EQ"/>
    <n v="1846.7"/>
    <n v="1861.7"/>
    <n v="1806"/>
    <n v="1845.6"/>
    <n v="1815"/>
    <n v="1817.2"/>
    <n v="1822.78"/>
    <n v="1904.3"/>
    <n v="1219.05"/>
    <n v="4570083"/>
    <n v="8330254030.3000002"/>
    <n v="123799"/>
    <x v="0"/>
    <n v="-1.1000000000001364"/>
    <x v="0"/>
    <n v="4"/>
    <x v="8"/>
    <n v="0.31954628062919088"/>
  </r>
  <r>
    <d v="2025-04-24T00:00:00"/>
    <s v="EQ"/>
    <n v="1874.5"/>
    <n v="1877.8"/>
    <n v="1839.5"/>
    <n v="1881.6"/>
    <n v="1846.1"/>
    <n v="1845.6"/>
    <n v="1849.47"/>
    <n v="1904.3"/>
    <n v="1219.05"/>
    <n v="5180688"/>
    <n v="9581534808.1000004"/>
    <n v="136668"/>
    <x v="0"/>
    <n v="7.0999999999999091"/>
    <x v="0"/>
    <n v="4"/>
    <x v="8"/>
    <n v="0.31954628062919088"/>
  </r>
  <r>
    <d v="2025-04-23T00:00:00"/>
    <s v="EQ"/>
    <n v="1867"/>
    <n v="1885.9"/>
    <n v="1836.1"/>
    <n v="1852.2"/>
    <n v="1869.9"/>
    <n v="1881.6"/>
    <n v="1861.63"/>
    <n v="1904.3"/>
    <n v="1219.05"/>
    <n v="6855027"/>
    <n v="12761537178.799999"/>
    <n v="149770"/>
    <x v="0"/>
    <n v="-14.799999999999955"/>
    <x v="0"/>
    <n v="4"/>
    <x v="8"/>
    <n v="0.31954628062919088"/>
  </r>
  <r>
    <d v="2025-04-22T00:00:00"/>
    <s v="EQ"/>
    <n v="1888"/>
    <n v="1888"/>
    <n v="1836.8"/>
    <n v="1883.4"/>
    <n v="1848.2"/>
    <n v="1852.2"/>
    <n v="1856.49"/>
    <n v="1904.3"/>
    <n v="1219.05"/>
    <n v="6155127"/>
    <n v="11426950907.9"/>
    <n v="196921"/>
    <x v="0"/>
    <n v="-4.5999999999999091"/>
    <x v="0"/>
    <n v="4"/>
    <x v="8"/>
    <n v="0.31954628062919088"/>
  </r>
  <r>
    <d v="2025-04-21T00:00:00"/>
    <s v="EQ"/>
    <n v="1898.4"/>
    <n v="1904.3"/>
    <n v="1868.6"/>
    <n v="1889.1"/>
    <n v="1884"/>
    <n v="1883.4"/>
    <n v="1881.04"/>
    <n v="1904.3"/>
    <n v="1219.05"/>
    <n v="3501123"/>
    <n v="6585758282.3000002"/>
    <n v="154074"/>
    <x v="0"/>
    <n v="-9.3000000000001819"/>
    <x v="0"/>
    <n v="4"/>
    <x v="8"/>
    <n v="0.31954628062919088"/>
  </r>
  <r>
    <d v="2025-04-17T00:00:00"/>
    <s v="EQ"/>
    <n v="1834"/>
    <n v="1897.7"/>
    <n v="1825.7"/>
    <n v="1822.6"/>
    <n v="1882.9"/>
    <n v="1889.1"/>
    <n v="1866.68"/>
    <n v="1897.7"/>
    <n v="1210.3499999999999"/>
    <n v="10894325"/>
    <n v="20336174780.799999"/>
    <n v="285724"/>
    <x v="0"/>
    <n v="-11.400000000000091"/>
    <x v="0"/>
    <n v="4"/>
    <x v="8"/>
    <n v="0.31954628062919088"/>
  </r>
  <r>
    <d v="2025-04-16T00:00:00"/>
    <s v="EQ"/>
    <n v="1802.4"/>
    <n v="1826.5"/>
    <n v="1794.1"/>
    <n v="1798.8"/>
    <n v="1821"/>
    <n v="1822.6"/>
    <n v="1810.55"/>
    <n v="1826.5"/>
    <n v="1210.3499999999999"/>
    <n v="6180958"/>
    <n v="11190947200.5"/>
    <n v="169343"/>
    <x v="0"/>
    <n v="-3.6000000000001364"/>
    <x v="0"/>
    <n v="4"/>
    <x v="8"/>
    <n v="0.31954628062919088"/>
  </r>
  <r>
    <d v="2025-04-15T00:00:00"/>
    <s v="EQ"/>
    <n v="1808.2"/>
    <n v="1820"/>
    <n v="1781.1"/>
    <n v="1756.6"/>
    <n v="1798"/>
    <n v="1798.8"/>
    <n v="1799.9"/>
    <n v="1820"/>
    <n v="1210.3499999999999"/>
    <n v="10313411"/>
    <n v="18563102108.700001"/>
    <n v="225430"/>
    <x v="0"/>
    <n v="-51.600000000000136"/>
    <x v="0"/>
    <n v="4"/>
    <x v="8"/>
    <n v="0.31954628062919088"/>
  </r>
  <r>
    <d v="2025-04-11T00:00:00"/>
    <s v="EQ"/>
    <n v="1760"/>
    <n v="1767"/>
    <n v="1732.35"/>
    <n v="1715.55"/>
    <n v="1760.6"/>
    <n v="1756.6"/>
    <n v="1756.34"/>
    <n v="1779"/>
    <n v="1183.0999999999999"/>
    <n v="8340002"/>
    <n v="14647837496.049999"/>
    <n v="240119"/>
    <x v="0"/>
    <n v="-44.450000000000045"/>
    <x v="0"/>
    <n v="4"/>
    <x v="8"/>
    <n v="0.31954628062919088"/>
  </r>
  <r>
    <d v="2025-04-09T00:00:00"/>
    <s v="EQ"/>
    <n v="1719.65"/>
    <n v="1726.85"/>
    <n v="1711.6"/>
    <n v="1720.4"/>
    <n v="1715.1"/>
    <n v="1715.55"/>
    <n v="1717.91"/>
    <n v="1779"/>
    <n v="1183.0999999999999"/>
    <n v="5600666"/>
    <n v="9621435360.3999996"/>
    <n v="166612"/>
    <x v="0"/>
    <n v="0.75"/>
    <x v="0"/>
    <n v="4"/>
    <x v="8"/>
    <n v="0.31954628062919088"/>
  </r>
  <r>
    <d v="2025-04-08T00:00:00"/>
    <s v="EQ"/>
    <n v="1720.7"/>
    <n v="1742.3"/>
    <n v="1706.8"/>
    <n v="1686.65"/>
    <n v="1721.35"/>
    <n v="1720.4"/>
    <n v="1723.59"/>
    <n v="1779"/>
    <n v="1183.0999999999999"/>
    <n v="7206935"/>
    <n v="12421775636.65"/>
    <n v="251891"/>
    <x v="0"/>
    <n v="-34.049999999999955"/>
    <x v="0"/>
    <n v="4"/>
    <x v="8"/>
    <n v="0.31954628062919088"/>
  </r>
  <r>
    <d v="2025-04-07T00:00:00"/>
    <s v="EQ"/>
    <n v="1730"/>
    <n v="1774.75"/>
    <n v="1669.4"/>
    <n v="1743.45"/>
    <n v="1693"/>
    <n v="1686.65"/>
    <n v="1708.22"/>
    <n v="1779"/>
    <n v="1183.0999999999999"/>
    <n v="14870388"/>
    <n v="25401930206.299999"/>
    <n v="403223"/>
    <x v="0"/>
    <n v="13.450000000000045"/>
    <x v="0"/>
    <n v="4"/>
    <x v="8"/>
    <n v="0.31954628062919088"/>
  </r>
  <r>
    <d v="2025-04-04T00:00:00"/>
    <s v="EQ"/>
    <n v="1754.5"/>
    <n v="1770.8"/>
    <n v="1740"/>
    <n v="1746"/>
    <n v="1740.5"/>
    <n v="1743.45"/>
    <n v="1753.12"/>
    <n v="1779"/>
    <n v="1183.0999999999999"/>
    <n v="7817334"/>
    <n v="13704722222.15"/>
    <n v="258867"/>
    <x v="0"/>
    <n v="-8.5"/>
    <x v="0"/>
    <n v="4"/>
    <x v="8"/>
    <n v="0.31954628062919088"/>
  </r>
  <r>
    <d v="2025-04-03T00:00:00"/>
    <s v="EQ"/>
    <n v="1748"/>
    <n v="1754.95"/>
    <n v="1735.45"/>
    <n v="1754.6"/>
    <n v="1742.5"/>
    <n v="1746"/>
    <n v="1746.33"/>
    <n v="1779"/>
    <n v="1183.0999999999999"/>
    <n v="2341989"/>
    <n v="4089893735.1999998"/>
    <n v="91775"/>
    <x v="0"/>
    <n v="6.5999999999999091"/>
    <x v="0"/>
    <n v="4"/>
    <x v="8"/>
    <n v="0.31954628062919088"/>
  </r>
  <r>
    <d v="2025-04-02T00:00:00"/>
    <s v="EQ"/>
    <n v="1720"/>
    <n v="1760.4"/>
    <n v="1716.95"/>
    <n v="1724.15"/>
    <n v="1751.15"/>
    <n v="1754.6"/>
    <n v="1747.29"/>
    <n v="1779"/>
    <n v="1183.0999999999999"/>
    <n v="6431226"/>
    <n v="11237222453.5"/>
    <n v="137465"/>
    <x v="0"/>
    <n v="4.1500000000000909"/>
    <x v="0"/>
    <n v="4"/>
    <x v="8"/>
    <n v="0.31954628062919088"/>
  </r>
  <r>
    <d v="2025-04-01T00:00:00"/>
    <s v="EQ"/>
    <n v="1715"/>
    <n v="1765"/>
    <n v="1708.45"/>
    <n v="1733.4"/>
    <n v="1723.6"/>
    <n v="1724.15"/>
    <n v="1732.43"/>
    <n v="1779"/>
    <n v="1183.0999999999999"/>
    <n v="6773056"/>
    <n v="11733878299.799999"/>
    <n v="171800"/>
    <x v="0"/>
    <n v="18.400000000000091"/>
    <x v="0"/>
    <n v="4"/>
    <x v="8"/>
    <n v="0.31954628062919088"/>
  </r>
  <r>
    <d v="2025-03-28T00:00:00"/>
    <s v="EQ"/>
    <n v="1733.3"/>
    <n v="1745.75"/>
    <n v="1660"/>
    <n v="1724.7"/>
    <n v="1727.4"/>
    <n v="1733.4"/>
    <n v="1730.81"/>
    <n v="1779"/>
    <n v="1183.0999999999999"/>
    <n v="4133264"/>
    <n v="7153914205.5500002"/>
    <n v="179997"/>
    <x v="0"/>
    <n v="-8.5999999999999091"/>
    <x v="0"/>
    <n v="3"/>
    <x v="9"/>
    <n v="0.31954628062919088"/>
  </r>
  <r>
    <d v="2025-03-27T00:00:00"/>
    <s v="EQ"/>
    <n v="1739.95"/>
    <n v="1746.4"/>
    <n v="1713.25"/>
    <n v="1738.55"/>
    <n v="1726"/>
    <n v="1724.7"/>
    <n v="1729.91"/>
    <n v="1779"/>
    <n v="1183.0999999999999"/>
    <n v="6222339"/>
    <n v="10764094794.1"/>
    <n v="193040"/>
    <x v="0"/>
    <n v="-1.4000000000000909"/>
    <x v="0"/>
    <n v="3"/>
    <x v="9"/>
    <n v="0.31954628062919088"/>
  </r>
  <r>
    <d v="2025-03-26T00:00:00"/>
    <s v="EQ"/>
    <n v="1739.15"/>
    <n v="1765"/>
    <n v="1726.15"/>
    <n v="1730.5"/>
    <n v="1733.1"/>
    <n v="1738.55"/>
    <n v="1742.16"/>
    <n v="1779"/>
    <n v="1183.0999999999999"/>
    <n v="7142394"/>
    <n v="12443161155.450001"/>
    <n v="218179"/>
    <x v="0"/>
    <n v="-8.6500000000000909"/>
    <x v="0"/>
    <n v="3"/>
    <x v="9"/>
    <n v="0.31954628062919088"/>
  </r>
  <r>
    <d v="2025-03-25T00:00:00"/>
    <s v="EQ"/>
    <n v="1725"/>
    <n v="1740.5"/>
    <n v="1706.1"/>
    <n v="1718.8"/>
    <n v="1727.5"/>
    <n v="1730.5"/>
    <n v="1726.12"/>
    <n v="1779"/>
    <n v="1183.0999999999999"/>
    <n v="4857399"/>
    <n v="8384466695.5"/>
    <n v="167951"/>
    <x v="0"/>
    <n v="-6.2000000000000455"/>
    <x v="0"/>
    <n v="3"/>
    <x v="9"/>
    <n v="0.31954628062919088"/>
  </r>
  <r>
    <d v="2025-03-24T00:00:00"/>
    <s v="EQ"/>
    <n v="1740"/>
    <n v="1740"/>
    <n v="1714.85"/>
    <n v="1725.8"/>
    <n v="1716.95"/>
    <n v="1718.8"/>
    <n v="1724.91"/>
    <n v="1779"/>
    <n v="1183.0999999999999"/>
    <n v="4120999"/>
    <n v="7108364278"/>
    <n v="165902"/>
    <x v="0"/>
    <n v="-14.200000000000045"/>
    <x v="0"/>
    <n v="3"/>
    <x v="9"/>
    <n v="0.31954628062919088"/>
  </r>
  <r>
    <d v="2025-03-21T00:00:00"/>
    <s v="EQ"/>
    <n v="1709.65"/>
    <n v="1731.4"/>
    <n v="1692"/>
    <n v="1705.25"/>
    <n v="1721.85"/>
    <n v="1725.8"/>
    <n v="1716.34"/>
    <n v="1779"/>
    <n v="1183.0999999999999"/>
    <n v="14715349"/>
    <n v="25256604396.5"/>
    <n v="201573"/>
    <x v="0"/>
    <n v="-4.4000000000000909"/>
    <x v="0"/>
    <n v="3"/>
    <x v="9"/>
    <n v="0.31954628062919088"/>
  </r>
  <r>
    <d v="2025-03-20T00:00:00"/>
    <s v="EQ"/>
    <n v="1660"/>
    <n v="1709.65"/>
    <n v="1646.1"/>
    <n v="1637.15"/>
    <n v="1704"/>
    <n v="1705.25"/>
    <n v="1686.32"/>
    <n v="1779"/>
    <n v="1183.0999999999999"/>
    <n v="12074465"/>
    <n v="20361409533.450001"/>
    <n v="240074"/>
    <x v="0"/>
    <n v="-22.849999999999909"/>
    <x v="0"/>
    <n v="3"/>
    <x v="9"/>
    <n v="0.31954628062919088"/>
  </r>
  <r>
    <d v="2025-03-19T00:00:00"/>
    <s v="EQ"/>
    <n v="1635"/>
    <n v="1642.05"/>
    <n v="1627.5"/>
    <n v="1627.3"/>
    <n v="1635"/>
    <n v="1637.15"/>
    <n v="1634.61"/>
    <n v="1779"/>
    <n v="1183.0999999999999"/>
    <n v="6283464"/>
    <n v="10271009720.549999"/>
    <n v="199602"/>
    <x v="0"/>
    <n v="-7.7000000000000455"/>
    <x v="0"/>
    <n v="3"/>
    <x v="9"/>
    <n v="0.31954628062919088"/>
  </r>
  <r>
    <d v="2025-03-18T00:00:00"/>
    <s v="EQ"/>
    <n v="1649.5"/>
    <n v="1655"/>
    <n v="1622.1"/>
    <n v="1639.15"/>
    <n v="1632"/>
    <n v="1627.3"/>
    <n v="1634.46"/>
    <n v="1779"/>
    <n v="1183.0999999999999"/>
    <n v="6539954"/>
    <n v="10689280328.15"/>
    <n v="182821"/>
    <x v="0"/>
    <n v="-10.349999999999909"/>
    <x v="0"/>
    <n v="3"/>
    <x v="9"/>
    <n v="0.31954628062919088"/>
  </r>
  <r>
    <d v="2025-03-17T00:00:00"/>
    <s v="EQ"/>
    <n v="1612.2"/>
    <n v="1648.4"/>
    <n v="1612.2"/>
    <n v="1632.5"/>
    <n v="1641.3"/>
    <n v="1639.15"/>
    <n v="1638.3"/>
    <n v="1779"/>
    <n v="1183.0999999999999"/>
    <n v="6405525"/>
    <n v="10494187865.950001"/>
    <n v="212442"/>
    <x v="0"/>
    <n v="20.299999999999955"/>
    <x v="0"/>
    <n v="3"/>
    <x v="9"/>
    <n v="0.31954628062919088"/>
  </r>
  <r>
    <d v="2025-03-13T00:00:00"/>
    <s v="EQ"/>
    <n v="1650.8"/>
    <n v="1656.9"/>
    <n v="1629.6"/>
    <n v="1642.85"/>
    <n v="1632.9"/>
    <n v="1632.5"/>
    <n v="1639.89"/>
    <n v="1779"/>
    <n v="1151.7"/>
    <n v="8317331"/>
    <n v="13639534755.5"/>
    <n v="174903"/>
    <x v="0"/>
    <n v="-7.9500000000000455"/>
    <x v="0"/>
    <n v="3"/>
    <x v="9"/>
    <n v="0.31954628062919088"/>
  </r>
  <r>
    <d v="2025-03-12T00:00:00"/>
    <s v="EQ"/>
    <n v="1690"/>
    <n v="1716.65"/>
    <n v="1634"/>
    <n v="1662.95"/>
    <n v="1647.7"/>
    <n v="1642.85"/>
    <n v="1661.25"/>
    <n v="1779"/>
    <n v="1151.7"/>
    <n v="9907628"/>
    <n v="16459005626.85"/>
    <n v="300458"/>
    <x v="0"/>
    <n v="-27.049999999999955"/>
    <x v="0"/>
    <n v="3"/>
    <x v="9"/>
    <n v="0.31954628062919088"/>
  </r>
  <r>
    <d v="2025-03-11T00:00:00"/>
    <s v="EQ"/>
    <n v="1630"/>
    <n v="1676.4"/>
    <n v="1624.05"/>
    <n v="1630.95"/>
    <n v="1664"/>
    <n v="1662.95"/>
    <n v="1655.87"/>
    <n v="1779"/>
    <n v="1151.7"/>
    <n v="6078564"/>
    <n v="10065296628.049999"/>
    <n v="356280"/>
    <x v="0"/>
    <n v="0.95000000000004547"/>
    <x v="0"/>
    <n v="3"/>
    <x v="9"/>
    <n v="0.31954628062919088"/>
  </r>
  <r>
    <d v="2025-03-10T00:00:00"/>
    <s v="EQ"/>
    <n v="1640"/>
    <n v="1654.9"/>
    <n v="1626.6"/>
    <n v="1630.7"/>
    <n v="1628"/>
    <n v="1630.95"/>
    <n v="1639.56"/>
    <n v="1779"/>
    <n v="1151.7"/>
    <n v="3778450"/>
    <n v="6195012671.4499998"/>
    <n v="162065"/>
    <x v="0"/>
    <n v="-9.2999999999999545"/>
    <x v="0"/>
    <n v="3"/>
    <x v="9"/>
    <n v="0.31954628062919088"/>
  </r>
  <r>
    <d v="2025-03-07T00:00:00"/>
    <s v="EQ"/>
    <n v="1629"/>
    <n v="1642.4"/>
    <n v="1615.6"/>
    <n v="1626.9"/>
    <n v="1637.95"/>
    <n v="1630.7"/>
    <n v="1628.92"/>
    <n v="1779"/>
    <n v="1132"/>
    <n v="3035558"/>
    <n v="4944683610.6499996"/>
    <n v="143747"/>
    <x v="0"/>
    <n v="-2.0999999999999091"/>
    <x v="0"/>
    <n v="3"/>
    <x v="9"/>
    <n v="0.31954628062919088"/>
  </r>
  <r>
    <d v="2025-03-06T00:00:00"/>
    <s v="EQ"/>
    <n v="1618"/>
    <n v="1631.75"/>
    <n v="1590.45"/>
    <n v="1618.25"/>
    <n v="1625"/>
    <n v="1626.9"/>
    <n v="1615.96"/>
    <n v="1779"/>
    <n v="1132"/>
    <n v="5174009"/>
    <n v="8361000902.8500004"/>
    <n v="185788"/>
    <x v="0"/>
    <n v="0.25"/>
    <x v="0"/>
    <n v="3"/>
    <x v="9"/>
    <n v="0.31954628062919088"/>
  </r>
  <r>
    <d v="2025-03-05T00:00:00"/>
    <s v="EQ"/>
    <n v="1578"/>
    <n v="1626.1"/>
    <n v="1577.1"/>
    <n v="1575.35"/>
    <n v="1610"/>
    <n v="1618.25"/>
    <n v="1611.96"/>
    <n v="1779"/>
    <n v="1132"/>
    <n v="6295425"/>
    <n v="10147975647.299999"/>
    <n v="271207"/>
    <x v="0"/>
    <n v="-2.6500000000000909"/>
    <x v="0"/>
    <n v="3"/>
    <x v="9"/>
    <n v="0.31954628062919088"/>
  </r>
  <r>
    <d v="2025-03-04T00:00:00"/>
    <s v="EQ"/>
    <n v="1589"/>
    <n v="1590.5"/>
    <n v="1568"/>
    <n v="1595.8"/>
    <n v="1575.9"/>
    <n v="1575.35"/>
    <n v="1575.21"/>
    <n v="1779"/>
    <n v="1132"/>
    <n v="5219668"/>
    <n v="8222086740.0500002"/>
    <n v="164399"/>
    <x v="0"/>
    <n v="6.7999999999999545"/>
    <x v="0"/>
    <n v="3"/>
    <x v="9"/>
    <n v="0.31954628062919088"/>
  </r>
  <r>
    <d v="2025-03-03T00:00:00"/>
    <s v="EQ"/>
    <n v="1579"/>
    <n v="1602.75"/>
    <n v="1572.75"/>
    <n v="1570.2"/>
    <n v="1597.85"/>
    <n v="1595.8"/>
    <n v="1589.33"/>
    <n v="1779"/>
    <n v="1132"/>
    <n v="6993525"/>
    <n v="11115039796.700001"/>
    <n v="236184"/>
    <x v="0"/>
    <n v="-8.7999999999999545"/>
    <x v="0"/>
    <n v="3"/>
    <x v="9"/>
    <n v="0.31954628062919088"/>
  </r>
  <r>
    <d v="2025-02-28T00:00:00"/>
    <s v="EQ"/>
    <n v="1641.95"/>
    <n v="1648.45"/>
    <n v="1559.5"/>
    <n v="1650.4"/>
    <n v="1569.1"/>
    <n v="1570.2"/>
    <n v="1581.4"/>
    <n v="1779"/>
    <n v="1099"/>
    <n v="13640211"/>
    <n v="21570635492.599998"/>
    <n v="207431"/>
    <x v="0"/>
    <n v="8.4500000000000455"/>
    <x v="0"/>
    <n v="2"/>
    <x v="10"/>
    <n v="0.31954628062919088"/>
  </r>
  <r>
    <d v="2025-02-27T00:00:00"/>
    <s v="EQ"/>
    <n v="1643.4"/>
    <n v="1656"/>
    <n v="1638.65"/>
    <n v="1641.4"/>
    <n v="1646"/>
    <n v="1650.4"/>
    <n v="1648.42"/>
    <n v="1779"/>
    <n v="1099"/>
    <n v="7568745"/>
    <n v="12476451442.5"/>
    <n v="195260"/>
    <x v="0"/>
    <n v="-2"/>
    <x v="0"/>
    <n v="2"/>
    <x v="10"/>
    <n v="0.31954628062919088"/>
  </r>
  <r>
    <d v="2025-02-25T00:00:00"/>
    <s v="EQ"/>
    <n v="1597"/>
    <n v="1649.15"/>
    <n v="1597"/>
    <n v="1601.3"/>
    <n v="1638.45"/>
    <n v="1641.4"/>
    <n v="1633.97"/>
    <n v="1779"/>
    <n v="1099"/>
    <n v="6286808"/>
    <n v="10272424878.25"/>
    <n v="223534"/>
    <x v="0"/>
    <n v="4.2999999999999545"/>
    <x v="0"/>
    <n v="2"/>
    <x v="10"/>
    <n v="0.31954628062919088"/>
  </r>
  <r>
    <d v="2025-02-24T00:00:00"/>
    <s v="EQ"/>
    <n v="1627"/>
    <n v="1637.55"/>
    <n v="1598"/>
    <n v="1639.25"/>
    <n v="1600"/>
    <n v="1601.3"/>
    <n v="1609.35"/>
    <n v="1779"/>
    <n v="1099"/>
    <n v="4673190"/>
    <n v="7520792175.0500002"/>
    <n v="191311"/>
    <x v="0"/>
    <n v="12.25"/>
    <x v="0"/>
    <n v="2"/>
    <x v="10"/>
    <n v="0.31954628062919088"/>
  </r>
  <r>
    <d v="2025-02-21T00:00:00"/>
    <s v="EQ"/>
    <n v="1643.5"/>
    <n v="1658.7"/>
    <n v="1629.2"/>
    <n v="1643.5"/>
    <n v="1636.75"/>
    <n v="1639.25"/>
    <n v="1642.53"/>
    <n v="1779"/>
    <n v="1097.6500000000001"/>
    <n v="5447583"/>
    <n v="8947842381.2999992"/>
    <n v="161361"/>
    <x v="0"/>
    <n v="0"/>
    <x v="0"/>
    <n v="2"/>
    <x v="10"/>
    <n v="0.31954628062919088"/>
  </r>
  <r>
    <d v="2025-02-20T00:00:00"/>
    <s v="EQ"/>
    <n v="1639.85"/>
    <n v="1649.8"/>
    <n v="1627.25"/>
    <n v="1645.2"/>
    <n v="1647"/>
    <n v="1643.5"/>
    <n v="1635.7"/>
    <n v="1779"/>
    <n v="1097.6500000000001"/>
    <n v="5524503"/>
    <n v="9036435549.2999992"/>
    <n v="194090"/>
    <x v="0"/>
    <n v="5.3500000000001364"/>
    <x v="0"/>
    <n v="2"/>
    <x v="10"/>
    <n v="0.31954628062919088"/>
  </r>
  <r>
    <d v="2025-02-19T00:00:00"/>
    <s v="EQ"/>
    <n v="1670"/>
    <n v="1673.45"/>
    <n v="1638.45"/>
    <n v="1668.9"/>
    <n v="1640"/>
    <n v="1645.2"/>
    <n v="1649.6"/>
    <n v="1779"/>
    <n v="1097.6500000000001"/>
    <n v="7776555"/>
    <n v="12828171503.549999"/>
    <n v="229239"/>
    <x v="0"/>
    <n v="-1.0999999999999091"/>
    <x v="0"/>
    <n v="2"/>
    <x v="10"/>
    <n v="0.31954628062919088"/>
  </r>
  <r>
    <d v="2025-02-18T00:00:00"/>
    <s v="EQ"/>
    <n v="1692"/>
    <n v="1695.95"/>
    <n v="1655.8"/>
    <n v="1675.55"/>
    <n v="1669.5"/>
    <n v="1668.9"/>
    <n v="1668.91"/>
    <n v="1779"/>
    <n v="1097.6500000000001"/>
    <n v="7529598"/>
    <n v="12566230247.9"/>
    <n v="182050"/>
    <x v="0"/>
    <n v="-16.450000000000045"/>
    <x v="0"/>
    <n v="2"/>
    <x v="10"/>
    <n v="0.31954628062919088"/>
  </r>
  <r>
    <d v="2025-02-17T00:00:00"/>
    <s v="EQ"/>
    <n v="1711.75"/>
    <n v="1716.9"/>
    <n v="1666.25"/>
    <n v="1717.05"/>
    <n v="1676.5"/>
    <n v="1675.55"/>
    <n v="1686.91"/>
    <n v="1779"/>
    <n v="1097.6500000000001"/>
    <n v="4906462"/>
    <n v="8276761536.1999998"/>
    <n v="167548"/>
    <x v="0"/>
    <n v="5.2999999999999545"/>
    <x v="0"/>
    <n v="2"/>
    <x v="10"/>
    <n v="0.31954628062919088"/>
  </r>
  <r>
    <d v="2025-02-14T00:00:00"/>
    <s v="EQ"/>
    <n v="1714"/>
    <n v="1724.1"/>
    <n v="1705.25"/>
    <n v="1714.6"/>
    <n v="1715"/>
    <n v="1717.05"/>
    <n v="1714.68"/>
    <n v="1779"/>
    <n v="1097.6500000000001"/>
    <n v="5125863"/>
    <n v="8789195888.1499996"/>
    <n v="132902"/>
    <x v="0"/>
    <n v="0.59999999999990905"/>
    <x v="0"/>
    <n v="2"/>
    <x v="10"/>
    <n v="0.31954628062919088"/>
  </r>
  <r>
    <d v="2025-02-13T00:00:00"/>
    <s v="EQ"/>
    <n v="1710"/>
    <n v="1728.4"/>
    <n v="1703.9"/>
    <n v="1711.55"/>
    <n v="1710.6"/>
    <n v="1714.6"/>
    <n v="1717.52"/>
    <n v="1779"/>
    <n v="1097.6500000000001"/>
    <n v="5356002"/>
    <n v="9199017749.9500008"/>
    <n v="248069"/>
    <x v="0"/>
    <n v="1.5499999999999545"/>
    <x v="0"/>
    <n v="2"/>
    <x v="10"/>
    <n v="0.31954628062919088"/>
  </r>
  <r>
    <d v="2025-02-12T00:00:00"/>
    <s v="EQ"/>
    <n v="1704"/>
    <n v="1713.7"/>
    <n v="1684.5"/>
    <n v="1696.75"/>
    <n v="1712"/>
    <n v="1711.55"/>
    <n v="1702.11"/>
    <n v="1779"/>
    <n v="1097.6500000000001"/>
    <n v="7148192"/>
    <n v="12166976749.65"/>
    <n v="193104"/>
    <x v="0"/>
    <n v="-7.25"/>
    <x v="0"/>
    <n v="2"/>
    <x v="10"/>
    <n v="0.31954628062919088"/>
  </r>
  <r>
    <d v="2025-02-11T00:00:00"/>
    <s v="EQ"/>
    <n v="1706"/>
    <n v="1706.65"/>
    <n v="1686.2"/>
    <n v="1693.05"/>
    <n v="1695.9"/>
    <n v="1696.75"/>
    <n v="1697.86"/>
    <n v="1779"/>
    <n v="1097.6500000000001"/>
    <n v="8965266"/>
    <n v="15221772711.85"/>
    <n v="204795"/>
    <x v="0"/>
    <n v="-12.950000000000045"/>
    <x v="0"/>
    <n v="2"/>
    <x v="10"/>
    <n v="0.31954628062919088"/>
  </r>
  <r>
    <d v="2025-02-10T00:00:00"/>
    <s v="EQ"/>
    <n v="1698.85"/>
    <n v="1700"/>
    <n v="1678.05"/>
    <n v="1676.75"/>
    <n v="1694.5"/>
    <n v="1693.05"/>
    <n v="1689.87"/>
    <n v="1779"/>
    <n v="1097.6500000000001"/>
    <n v="6782878"/>
    <n v="11462183700.6"/>
    <n v="220261"/>
    <x v="0"/>
    <n v="-22.099999999999909"/>
    <x v="0"/>
    <n v="2"/>
    <x v="10"/>
    <n v="0.31954628062919088"/>
  </r>
  <r>
    <d v="2025-02-07T00:00:00"/>
    <s v="EQ"/>
    <n v="1635.05"/>
    <n v="1707.55"/>
    <n v="1635"/>
    <n v="1619.75"/>
    <n v="1678"/>
    <n v="1676.75"/>
    <n v="1685.72"/>
    <n v="1779"/>
    <n v="1097.6500000000001"/>
    <n v="14873255"/>
    <n v="25072137924.849998"/>
    <n v="458983"/>
    <x v="0"/>
    <n v="-15.299999999999955"/>
    <x v="0"/>
    <n v="2"/>
    <x v="10"/>
    <n v="0.31954628062919088"/>
  </r>
  <r>
    <d v="2025-02-06T00:00:00"/>
    <s v="EQ"/>
    <n v="1665.9"/>
    <n v="1667.3"/>
    <n v="1613.25"/>
    <n v="1660.45"/>
    <n v="1621.9"/>
    <n v="1619.75"/>
    <n v="1630.19"/>
    <n v="1779"/>
    <n v="1097.6500000000001"/>
    <n v="5229162"/>
    <n v="8524533206.1499996"/>
    <n v="135010"/>
    <x v="0"/>
    <n v="-5.4500000000000455"/>
    <x v="0"/>
    <n v="2"/>
    <x v="10"/>
    <n v="0.31954628062919088"/>
  </r>
  <r>
    <d v="2025-02-05T00:00:00"/>
    <s v="EQ"/>
    <n v="1670"/>
    <n v="1675.2"/>
    <n v="1649.1"/>
    <n v="1661.45"/>
    <n v="1657.8"/>
    <n v="1660.45"/>
    <n v="1659.88"/>
    <n v="1779"/>
    <n v="1097.6500000000001"/>
    <n v="3920893"/>
    <n v="6508206942.1000004"/>
    <n v="160722"/>
    <x v="0"/>
    <n v="-8.5499999999999545"/>
    <x v="0"/>
    <n v="2"/>
    <x v="10"/>
    <n v="0.31954628062919088"/>
  </r>
  <r>
    <d v="2025-02-04T00:00:00"/>
    <s v="EQ"/>
    <n v="1662.15"/>
    <n v="1668.3"/>
    <n v="1629.05"/>
    <n v="1652.35"/>
    <n v="1663"/>
    <n v="1661.45"/>
    <n v="1648.08"/>
    <n v="1779"/>
    <n v="1097.6500000000001"/>
    <n v="6385876"/>
    <n v="10524438817.299999"/>
    <n v="209388"/>
    <x v="0"/>
    <n v="-9.8000000000001819"/>
    <x v="0"/>
    <n v="2"/>
    <x v="10"/>
    <n v="0.31954628062919088"/>
  </r>
  <r>
    <d v="2025-02-03T00:00:00"/>
    <s v="EQ"/>
    <n v="1619.9"/>
    <n v="1661"/>
    <n v="1608.1"/>
    <n v="1623.25"/>
    <n v="1651"/>
    <n v="1652.35"/>
    <n v="1646.73"/>
    <n v="1779"/>
    <n v="1097.6500000000001"/>
    <n v="4146970"/>
    <n v="6828939750.0500002"/>
    <n v="192465"/>
    <x v="0"/>
    <n v="3.3499999999999091"/>
    <x v="0"/>
    <n v="2"/>
    <x v="10"/>
    <n v="0.31954628062919088"/>
  </r>
  <r>
    <d v="2025-02-01T00:00:00"/>
    <s v="EQ"/>
    <n v="1627"/>
    <n v="1644"/>
    <n v="1609.2"/>
    <n v="1626.3"/>
    <n v="1624.9"/>
    <n v="1623.25"/>
    <n v="1627.35"/>
    <n v="1779"/>
    <n v="1097.6500000000001"/>
    <n v="2741589"/>
    <n v="4461522182"/>
    <n v="87609"/>
    <x v="0"/>
    <n v="-0.70000000000004547"/>
    <x v="0"/>
    <n v="2"/>
    <x v="10"/>
    <n v="0.31954628062919088"/>
  </r>
  <r>
    <d v="2025-01-31T00:00:00"/>
    <s v="EQ"/>
    <n v="1639.1"/>
    <n v="1639.1"/>
    <n v="1574.25"/>
    <n v="1640.75"/>
    <n v="1627.35"/>
    <n v="1626.3"/>
    <n v="1615.44"/>
    <n v="1779"/>
    <n v="1097.6500000000001"/>
    <n v="8340866"/>
    <n v="13474126995.1"/>
    <n v="254531"/>
    <x v="0"/>
    <n v="1.6500000000000909"/>
    <x v="0"/>
    <n v="1"/>
    <x v="11"/>
    <n v="0.31954628062919088"/>
  </r>
  <r>
    <d v="2025-01-30T00:00:00"/>
    <s v="EQ"/>
    <n v="1606.7"/>
    <n v="1644.95"/>
    <n v="1595.2"/>
    <n v="1600.45"/>
    <n v="1642.5"/>
    <n v="1640.75"/>
    <n v="1628.63"/>
    <n v="1779"/>
    <n v="1097.6500000000001"/>
    <n v="4283637"/>
    <n v="6976450419.8000002"/>
    <n v="189279"/>
    <x v="0"/>
    <n v="-6.25"/>
    <x v="0"/>
    <n v="1"/>
    <x v="11"/>
    <n v="0.31954628062919088"/>
  </r>
  <r>
    <d v="2025-01-29T00:00:00"/>
    <s v="EQ"/>
    <n v="1620"/>
    <n v="1626.9"/>
    <n v="1593.15"/>
    <n v="1618.35"/>
    <n v="1605.7"/>
    <n v="1600.45"/>
    <n v="1614.94"/>
    <n v="1779"/>
    <n v="1097.6500000000001"/>
    <n v="5009227"/>
    <n v="8089582028.8000002"/>
    <n v="143936"/>
    <x v="0"/>
    <n v="-1.6500000000000909"/>
    <x v="0"/>
    <n v="1"/>
    <x v="11"/>
    <n v="0.31954628062919088"/>
  </r>
  <r>
    <d v="2025-01-28T00:00:00"/>
    <s v="EQ"/>
    <n v="1607.65"/>
    <n v="1630.3"/>
    <n v="1597"/>
    <n v="1602.6"/>
    <n v="1618.8"/>
    <n v="1618.35"/>
    <n v="1615.4"/>
    <n v="1779"/>
    <n v="1097.6500000000001"/>
    <n v="5216471"/>
    <n v="8426687243.9499998"/>
    <n v="159833"/>
    <x v="0"/>
    <n v="-5.0500000000001819"/>
    <x v="0"/>
    <n v="1"/>
    <x v="11"/>
    <n v="0.31954628062919088"/>
  </r>
  <r>
    <d v="2025-01-27T00:00:00"/>
    <s v="EQ"/>
    <n v="1638.95"/>
    <n v="1647.2"/>
    <n v="1593.7"/>
    <n v="1644.8"/>
    <n v="1604.35"/>
    <n v="1602.6"/>
    <n v="1614.62"/>
    <n v="1779"/>
    <n v="1097.6500000000001"/>
    <n v="6622807"/>
    <n v="10693344747.049999"/>
    <n v="171786"/>
    <x v="0"/>
    <n v="5.8499999999999091"/>
    <x v="0"/>
    <n v="1"/>
    <x v="11"/>
    <n v="0.31954628062919088"/>
  </r>
  <r>
    <d v="2025-01-24T00:00:00"/>
    <s v="EQ"/>
    <n v="1634.05"/>
    <n v="1661.9"/>
    <n v="1634.05"/>
    <n v="1636"/>
    <n v="1641.45"/>
    <n v="1644.8"/>
    <n v="1646.84"/>
    <n v="1779"/>
    <n v="1097.6500000000001"/>
    <n v="3620058"/>
    <n v="5961640034.75"/>
    <n v="122533"/>
    <x v="0"/>
    <n v="1.9500000000000455"/>
    <x v="0"/>
    <n v="1"/>
    <x v="11"/>
    <n v="0.31954628062919088"/>
  </r>
  <r>
    <d v="2025-01-23T00:00:00"/>
    <s v="EQ"/>
    <n v="1624.5"/>
    <n v="1645.4"/>
    <n v="1617.2"/>
    <n v="1631.75"/>
    <n v="1638"/>
    <n v="1636"/>
    <n v="1635.89"/>
    <n v="1779"/>
    <n v="1097.6500000000001"/>
    <n v="2457080"/>
    <n v="4019513108.75"/>
    <n v="123511"/>
    <x v="0"/>
    <n v="7.25"/>
    <x v="0"/>
    <n v="1"/>
    <x v="11"/>
    <n v="0.31954628062919088"/>
  </r>
  <r>
    <d v="2025-01-22T00:00:00"/>
    <s v="EQ"/>
    <n v="1627.5"/>
    <n v="1641"/>
    <n v="1622.55"/>
    <n v="1626.15"/>
    <n v="1631"/>
    <n v="1631.75"/>
    <n v="1632.24"/>
    <n v="1779"/>
    <n v="1097.6500000000001"/>
    <n v="3262136"/>
    <n v="5324593310.25"/>
    <n v="116455"/>
    <x v="0"/>
    <n v="-1.3499999999999091"/>
    <x v="0"/>
    <n v="1"/>
    <x v="11"/>
    <n v="0.31954628062919088"/>
  </r>
  <r>
    <d v="2025-01-21T00:00:00"/>
    <s v="EQ"/>
    <n v="1654"/>
    <n v="1656.7"/>
    <n v="1620.3"/>
    <n v="1641.15"/>
    <n v="1628.85"/>
    <n v="1626.15"/>
    <n v="1636.97"/>
    <n v="1779"/>
    <n v="1097.6500000000001"/>
    <n v="7958844"/>
    <n v="13028383404.700001"/>
    <n v="266374"/>
    <x v="0"/>
    <n v="-12.849999999999909"/>
    <x v="0"/>
    <n v="1"/>
    <x v="11"/>
    <n v="0.31954628062919088"/>
  </r>
  <r>
    <d v="2025-01-20T00:00:00"/>
    <s v="EQ"/>
    <n v="1638"/>
    <n v="1645"/>
    <n v="1618.1"/>
    <n v="1627.5"/>
    <n v="1640"/>
    <n v="1641.15"/>
    <n v="1635"/>
    <n v="1779"/>
    <n v="1097.6500000000001"/>
    <n v="3933044"/>
    <n v="6430525082.8500004"/>
    <n v="146010"/>
    <x v="0"/>
    <n v="-10.5"/>
    <x v="0"/>
    <n v="1"/>
    <x v="11"/>
    <n v="0.31954628062919088"/>
  </r>
  <r>
    <d v="2025-01-17T00:00:00"/>
    <s v="EQ"/>
    <n v="1630.1"/>
    <n v="1639"/>
    <n v="1623"/>
    <n v="1630.2"/>
    <n v="1624.3"/>
    <n v="1627.5"/>
    <n v="1629.06"/>
    <n v="1779"/>
    <n v="1074.55"/>
    <n v="2678801"/>
    <n v="4363939418.5500002"/>
    <n v="91952"/>
    <x v="0"/>
    <n v="0.10000000000013642"/>
    <x v="0"/>
    <n v="1"/>
    <x v="11"/>
    <n v="0.31954628062919088"/>
  </r>
  <r>
    <d v="2025-01-16T00:00:00"/>
    <s v="EQ"/>
    <n v="1619.05"/>
    <n v="1635"/>
    <n v="1600.55"/>
    <n v="1607.45"/>
    <n v="1634"/>
    <n v="1630.2"/>
    <n v="1624.68"/>
    <n v="1779"/>
    <n v="1074.55"/>
    <n v="5299325"/>
    <n v="8609708184.4500008"/>
    <n v="197728"/>
    <x v="0"/>
    <n v="-11.599999999999909"/>
    <x v="0"/>
    <n v="1"/>
    <x v="11"/>
    <n v="0.31954628062919088"/>
  </r>
  <r>
    <d v="2025-01-15T00:00:00"/>
    <s v="EQ"/>
    <n v="1608.05"/>
    <n v="1613.85"/>
    <n v="1593"/>
    <n v="1600.1"/>
    <n v="1609"/>
    <n v="1607.45"/>
    <n v="1605.63"/>
    <n v="1779"/>
    <n v="1074.55"/>
    <n v="2960985"/>
    <n v="4754253926.1999998"/>
    <n v="172794"/>
    <x v="0"/>
    <n v="-7.9500000000000455"/>
    <x v="0"/>
    <n v="1"/>
    <x v="11"/>
    <n v="0.31954628062919088"/>
  </r>
  <r>
    <d v="2025-01-14T00:00:00"/>
    <s v="EQ"/>
    <n v="1604.7"/>
    <n v="1633.4"/>
    <n v="1578.5"/>
    <n v="1597.2"/>
    <n v="1594.05"/>
    <n v="1600.1"/>
    <n v="1608.51"/>
    <n v="1779"/>
    <n v="1074.55"/>
    <n v="7284572"/>
    <n v="11717327866.950001"/>
    <n v="296914"/>
    <x v="0"/>
    <n v="-7.5"/>
    <x v="0"/>
    <n v="1"/>
    <x v="11"/>
    <n v="0.31954628062919088"/>
  </r>
  <r>
    <d v="2025-01-13T00:00:00"/>
    <s v="EQ"/>
    <n v="1580"/>
    <n v="1614.7"/>
    <n v="1578.1"/>
    <n v="1615.9"/>
    <n v="1594.1"/>
    <n v="1597.2"/>
    <n v="1598.88"/>
    <n v="1779"/>
    <n v="1074.55"/>
    <n v="3705039"/>
    <n v="5923897408.1999998"/>
    <n v="169667"/>
    <x v="0"/>
    <n v="35.900000000000091"/>
    <x v="0"/>
    <n v="1"/>
    <x v="11"/>
    <n v="0.31954628062919088"/>
  </r>
  <r>
    <d v="2025-01-10T00:00:00"/>
    <s v="EQ"/>
    <n v="1608"/>
    <n v="1625"/>
    <n v="1591.8"/>
    <n v="1607.05"/>
    <n v="1611"/>
    <n v="1615.9"/>
    <n v="1613.45"/>
    <n v="1779"/>
    <n v="1045.25"/>
    <n v="4145892"/>
    <n v="6689210125.0500002"/>
    <n v="182178"/>
    <x v="0"/>
    <n v="-0.95000000000004547"/>
    <x v="0"/>
    <n v="1"/>
    <x v="11"/>
    <n v="0.31954628062919088"/>
  </r>
  <r>
    <d v="2025-01-09T00:00:00"/>
    <s v="EQ"/>
    <n v="1600"/>
    <n v="1620.2"/>
    <n v="1592.4"/>
    <n v="1599.2"/>
    <n v="1607.8"/>
    <n v="1607.05"/>
    <n v="1605.42"/>
    <n v="1779"/>
    <n v="1045.25"/>
    <n v="4684859"/>
    <n v="7521159280.5500002"/>
    <n v="312415"/>
    <x v="0"/>
    <n v="-0.79999999999995453"/>
    <x v="0"/>
    <n v="1"/>
    <x v="11"/>
    <n v="0.31954628062919088"/>
  </r>
  <r>
    <d v="2025-01-08T00:00:00"/>
    <s v="EQ"/>
    <n v="1598.75"/>
    <n v="1613.45"/>
    <n v="1577.85"/>
    <n v="1590.85"/>
    <n v="1601.15"/>
    <n v="1599.2"/>
    <n v="1591.05"/>
    <n v="1779"/>
    <n v="1045.25"/>
    <n v="3674564"/>
    <n v="5846408484.3000002"/>
    <n v="209954"/>
    <x v="0"/>
    <n v="-7.9000000000000909"/>
    <x v="0"/>
    <n v="1"/>
    <x v="11"/>
    <n v="0.31954628062919088"/>
  </r>
  <r>
    <d v="2025-01-07T00:00:00"/>
    <s v="EQ"/>
    <n v="1594"/>
    <n v="1603"/>
    <n v="1584.05"/>
    <n v="1588.45"/>
    <n v="1591"/>
    <n v="1590.85"/>
    <n v="1591.45"/>
    <n v="1779"/>
    <n v="1045.25"/>
    <n v="2830856"/>
    <n v="4505179409.1000004"/>
    <n v="110398"/>
    <x v="0"/>
    <n v="-5.5499999999999545"/>
    <x v="0"/>
    <n v="1"/>
    <x v="11"/>
    <n v="0.31954628062919088"/>
  </r>
  <r>
    <d v="2025-01-06T00:00:00"/>
    <s v="EQ"/>
    <n v="1596.15"/>
    <n v="1609.85"/>
    <n v="1567.1"/>
    <n v="1598.85"/>
    <n v="1589.35"/>
    <n v="1588.45"/>
    <n v="1589.02"/>
    <n v="1779"/>
    <n v="1045.25"/>
    <n v="4584188"/>
    <n v="7284366528.3999996"/>
    <n v="126704"/>
    <x v="0"/>
    <n v="2.6999999999998181"/>
    <x v="0"/>
    <n v="1"/>
    <x v="11"/>
    <n v="0.31954628062919088"/>
  </r>
  <r>
    <d v="2025-01-03T00:00:00"/>
    <s v="EQ"/>
    <n v="1615"/>
    <n v="1617"/>
    <n v="1593.3"/>
    <n v="1609.7"/>
    <n v="1594"/>
    <n v="1598.85"/>
    <n v="1601.48"/>
    <n v="1779"/>
    <n v="1007"/>
    <n v="3669685"/>
    <n v="5876919268.3999996"/>
    <n v="128800"/>
    <x v="0"/>
    <n v="-5.2999999999999545"/>
    <x v="0"/>
    <n v="1"/>
    <x v="11"/>
    <n v="0.31954628062919088"/>
  </r>
  <r>
    <d v="2025-01-02T00:00:00"/>
    <s v="EQ"/>
    <n v="1599.9"/>
    <n v="1619.6"/>
    <n v="1588.4"/>
    <n v="1595.7"/>
    <n v="1613"/>
    <n v="1609.7"/>
    <n v="1608.78"/>
    <n v="1779"/>
    <n v="1007"/>
    <n v="3728040"/>
    <n v="5997612867.3000002"/>
    <n v="189267"/>
    <x v="0"/>
    <n v="-4.2000000000000455"/>
    <x v="0"/>
    <n v="1"/>
    <x v="11"/>
    <n v="0.31954628062919088"/>
  </r>
  <r>
    <d v="2025-01-01T00:00:00"/>
    <s v="EQ"/>
    <n v="1593"/>
    <n v="1606.55"/>
    <n v="1584.05"/>
    <n v="1587.75"/>
    <n v="1597.95"/>
    <n v="1595.7"/>
    <n v="1594.42"/>
    <n v="1779"/>
    <n v="1007"/>
    <n v="1405565"/>
    <n v="2241059050.3000002"/>
    <n v="63674"/>
    <x v="0"/>
    <n v="-5.25"/>
    <x v="0"/>
    <n v="1"/>
    <x v="11"/>
    <n v="0.31954628062919088"/>
  </r>
  <r>
    <d v="2025-12-31T00:00:00"/>
    <s v="EQ"/>
    <n v="1624.5"/>
    <n v="1631.7"/>
    <n v="1616.8"/>
    <n v="1615.2"/>
    <n v="1620.1"/>
    <n v="1623.3"/>
    <n v="1624.23"/>
    <n v="2012.2"/>
    <n v="1302.75"/>
    <n v="1359963"/>
    <n v="2208891261.3000002"/>
    <n v="44369"/>
    <x v="1"/>
    <n v="-9.2999999999999545"/>
    <x v="1"/>
    <n v="12"/>
    <x v="0"/>
    <n v="-0.15097152122178931"/>
  </r>
  <r>
    <d v="2025-12-30T00:00:00"/>
    <s v="EQ"/>
    <n v="1630.8"/>
    <n v="1635.7"/>
    <n v="1611.1"/>
    <n v="1630.8"/>
    <n v="1621.5"/>
    <n v="1615.2"/>
    <n v="1619.83"/>
    <n v="2012.2"/>
    <n v="1302.75"/>
    <n v="3323273"/>
    <n v="5383130430.8000002"/>
    <n v="112154"/>
    <x v="1"/>
    <n v="0"/>
    <x v="1"/>
    <n v="12"/>
    <x v="0"/>
    <n v="-0.15097152122178931"/>
  </r>
  <r>
    <d v="2025-12-29T00:00:00"/>
    <s v="EQ"/>
    <n v="1659.7"/>
    <n v="1660.8"/>
    <n v="1625.4"/>
    <n v="1660.9"/>
    <n v="1630.6"/>
    <n v="1630.8"/>
    <n v="1642.6"/>
    <n v="2012.2"/>
    <n v="1302.75"/>
    <n v="1516288"/>
    <n v="2490651496"/>
    <n v="68600"/>
    <x v="1"/>
    <n v="1.2000000000000455"/>
    <x v="1"/>
    <n v="12"/>
    <x v="0"/>
    <n v="-0.15097152122178931"/>
  </r>
  <r>
    <d v="2025-12-26T00:00:00"/>
    <s v="EQ"/>
    <n v="1668"/>
    <n v="1676.4"/>
    <n v="1650.5"/>
    <n v="1674.7"/>
    <n v="1661.2"/>
    <n v="1660.9"/>
    <n v="1660.76"/>
    <n v="2012.2"/>
    <n v="1302.75"/>
    <n v="921138"/>
    <n v="1529784855.2"/>
    <n v="53805"/>
    <x v="1"/>
    <n v="6.7000000000000455"/>
    <x v="1"/>
    <n v="12"/>
    <x v="0"/>
    <n v="-0.15097152122178931"/>
  </r>
  <r>
    <d v="2025-12-24T00:00:00"/>
    <s v="EQ"/>
    <n v="1676"/>
    <n v="1680"/>
    <n v="1665.1"/>
    <n v="1679.9"/>
    <n v="1675.5"/>
    <n v="1674.7"/>
    <n v="1674.72"/>
    <n v="2012.2"/>
    <n v="1302.75"/>
    <n v="989858"/>
    <n v="1657731133.3"/>
    <n v="48783"/>
    <x v="1"/>
    <n v="3.9000000000000909"/>
    <x v="1"/>
    <n v="12"/>
    <x v="0"/>
    <n v="-0.15097152122178931"/>
  </r>
  <r>
    <d v="2025-12-23T00:00:00"/>
    <s v="EQ"/>
    <n v="1675.1"/>
    <n v="1686.9"/>
    <n v="1656.2"/>
    <n v="1670.3"/>
    <n v="1674.8"/>
    <n v="1679.9"/>
    <n v="1674.59"/>
    <n v="2012.2"/>
    <n v="1302.75"/>
    <n v="1614314"/>
    <n v="2703308179.1999998"/>
    <n v="60466"/>
    <x v="1"/>
    <n v="-4.7999999999999545"/>
    <x v="1"/>
    <n v="12"/>
    <x v="0"/>
    <n v="-0.15097152122178931"/>
  </r>
  <r>
    <d v="2025-12-22T00:00:00"/>
    <s v="EQ"/>
    <n v="1651.9"/>
    <n v="1673.5"/>
    <n v="1644"/>
    <n v="1642.4"/>
    <n v="1665"/>
    <n v="1670.3"/>
    <n v="1665.51"/>
    <n v="2012.2"/>
    <n v="1302.75"/>
    <n v="1339691"/>
    <n v="2231264930"/>
    <n v="62953"/>
    <x v="1"/>
    <n v="-9.5"/>
    <x v="1"/>
    <n v="12"/>
    <x v="0"/>
    <n v="-0.15097152122178931"/>
  </r>
  <r>
    <d v="2025-12-19T00:00:00"/>
    <s v="EQ"/>
    <n v="1675"/>
    <n v="1681"/>
    <n v="1632.5"/>
    <n v="1661.4"/>
    <n v="1641.8"/>
    <n v="1642.4"/>
    <n v="1644.84"/>
    <n v="2012.2"/>
    <n v="1302.75"/>
    <n v="3487150"/>
    <n v="5735798131.3999996"/>
    <n v="105652"/>
    <x v="1"/>
    <n v="-13.599999999999909"/>
    <x v="1"/>
    <n v="12"/>
    <x v="0"/>
    <n v="-0.15097152122178931"/>
  </r>
  <r>
    <d v="2025-12-18T00:00:00"/>
    <s v="EQ"/>
    <n v="1657"/>
    <n v="1673.9"/>
    <n v="1651.2"/>
    <n v="1655"/>
    <n v="1663"/>
    <n v="1661.4"/>
    <n v="1660.82"/>
    <n v="2012.2"/>
    <n v="1302.75"/>
    <n v="1822056"/>
    <n v="3026099482.6999998"/>
    <n v="94524"/>
    <x v="1"/>
    <n v="-2"/>
    <x v="1"/>
    <n v="12"/>
    <x v="0"/>
    <n v="-0.15097152122178931"/>
  </r>
  <r>
    <d v="2025-12-17T00:00:00"/>
    <s v="EQ"/>
    <n v="1651"/>
    <n v="1664.5"/>
    <n v="1646.3"/>
    <n v="1651.7"/>
    <n v="1655.1"/>
    <n v="1655"/>
    <n v="1654.82"/>
    <n v="2012.2"/>
    <n v="1302.75"/>
    <n v="1394918"/>
    <n v="2308338881.0999999"/>
    <n v="60273"/>
    <x v="1"/>
    <n v="0.70000000000004547"/>
    <x v="1"/>
    <n v="12"/>
    <x v="0"/>
    <n v="-0.15097152122178931"/>
  </r>
  <r>
    <d v="2025-12-16T00:00:00"/>
    <s v="EQ"/>
    <n v="1681"/>
    <n v="1682"/>
    <n v="1645.4"/>
    <n v="1684"/>
    <n v="1651.8"/>
    <n v="1651.7"/>
    <n v="1653.45"/>
    <n v="2012.2"/>
    <n v="1302.75"/>
    <n v="1929309"/>
    <n v="3190010112.6999998"/>
    <n v="80374"/>
    <x v="1"/>
    <n v="3"/>
    <x v="1"/>
    <n v="12"/>
    <x v="0"/>
    <n v="-0.15097152122178931"/>
  </r>
  <r>
    <d v="2025-12-15T00:00:00"/>
    <s v="EQ"/>
    <n v="1673.2"/>
    <n v="1688"/>
    <n v="1660"/>
    <n v="1673.2"/>
    <n v="1686.4"/>
    <n v="1684"/>
    <n v="1681.83"/>
    <n v="2012.2"/>
    <n v="1302.75"/>
    <n v="1689723"/>
    <n v="2841819619.0999999"/>
    <n v="67813"/>
    <x v="1"/>
    <n v="0"/>
    <x v="1"/>
    <n v="12"/>
    <x v="0"/>
    <n v="-0.15097152122178931"/>
  </r>
  <r>
    <d v="2025-12-12T00:00:00"/>
    <s v="EQ"/>
    <n v="1677.4"/>
    <n v="1677.9"/>
    <n v="1660"/>
    <n v="1672.4"/>
    <n v="1670"/>
    <n v="1673.2"/>
    <n v="1669.69"/>
    <n v="2012.2"/>
    <n v="1302.75"/>
    <n v="1284337"/>
    <n v="2144444642.2"/>
    <n v="44240"/>
    <x v="1"/>
    <n v="-5"/>
    <x v="1"/>
    <n v="12"/>
    <x v="0"/>
    <n v="-0.15097152122178931"/>
  </r>
  <r>
    <d v="2025-12-11T00:00:00"/>
    <s v="EQ"/>
    <n v="1667.5"/>
    <n v="1677.4"/>
    <n v="1649"/>
    <n v="1666"/>
    <n v="1672.4"/>
    <n v="1672.4"/>
    <n v="1666.62"/>
    <n v="2012.2"/>
    <n v="1302.75"/>
    <n v="1408684"/>
    <n v="2347743572.8000002"/>
    <n v="57108"/>
    <x v="1"/>
    <n v="-1.5"/>
    <x v="1"/>
    <n v="12"/>
    <x v="0"/>
    <n v="-0.15097152122178931"/>
  </r>
  <r>
    <d v="2025-12-10T00:00:00"/>
    <s v="EQ"/>
    <n v="1663.3"/>
    <n v="1671"/>
    <n v="1657"/>
    <n v="1657.6"/>
    <n v="1665.9"/>
    <n v="1666"/>
    <n v="1664.38"/>
    <n v="2012.2"/>
    <n v="1302.75"/>
    <n v="1482249"/>
    <n v="2467027638.0999999"/>
    <n v="62506"/>
    <x v="1"/>
    <n v="-5.7000000000000455"/>
    <x v="1"/>
    <n v="12"/>
    <x v="0"/>
    <n v="-0.15097152122178931"/>
  </r>
  <r>
    <d v="2025-12-09T00:00:00"/>
    <s v="EQ"/>
    <n v="1687"/>
    <n v="1687"/>
    <n v="1656.4"/>
    <n v="1688.6"/>
    <n v="1657.9"/>
    <n v="1657.6"/>
    <n v="1666.53"/>
    <n v="2012.2"/>
    <n v="1302.75"/>
    <n v="2817704"/>
    <n v="4695782243.5"/>
    <n v="81151"/>
    <x v="1"/>
    <n v="1.5999999999999091"/>
    <x v="1"/>
    <n v="12"/>
    <x v="0"/>
    <n v="-0.15097152122178931"/>
  </r>
  <r>
    <d v="2025-12-08T00:00:00"/>
    <s v="EQ"/>
    <n v="1683"/>
    <n v="1695.4"/>
    <n v="1676.9"/>
    <n v="1683"/>
    <n v="1685"/>
    <n v="1688.6"/>
    <n v="1688.85"/>
    <n v="2012.2"/>
    <n v="1302.75"/>
    <n v="2702407"/>
    <n v="4563966285.6000004"/>
    <n v="99082"/>
    <x v="1"/>
    <n v="0"/>
    <x v="1"/>
    <n v="12"/>
    <x v="0"/>
    <n v="-0.15097152122178931"/>
  </r>
  <r>
    <d v="2025-12-05T00:00:00"/>
    <s v="EQ"/>
    <n v="1662.7"/>
    <n v="1691"/>
    <n v="1651"/>
    <n v="1654.6"/>
    <n v="1681"/>
    <n v="1683"/>
    <n v="1679.98"/>
    <n v="2012.2"/>
    <n v="1302.75"/>
    <n v="3391204"/>
    <n v="5697168485.3999996"/>
    <n v="69175"/>
    <x v="1"/>
    <n v="-8.1000000000001364"/>
    <x v="1"/>
    <n v="12"/>
    <x v="0"/>
    <n v="-0.15097152122178931"/>
  </r>
  <r>
    <d v="2025-12-04T00:00:00"/>
    <s v="EQ"/>
    <n v="1650"/>
    <n v="1672"/>
    <n v="1645.1"/>
    <n v="1640.5"/>
    <n v="1655.5"/>
    <n v="1654.6"/>
    <n v="1658.55"/>
    <n v="2012.2"/>
    <n v="1302.75"/>
    <n v="3935708"/>
    <n v="6527574096.3999996"/>
    <n v="136665"/>
    <x v="1"/>
    <n v="-9.5"/>
    <x v="1"/>
    <n v="12"/>
    <x v="0"/>
    <n v="-0.15097152122178931"/>
  </r>
  <r>
    <d v="2025-12-03T00:00:00"/>
    <s v="EQ"/>
    <n v="1635.5"/>
    <n v="1654.6"/>
    <n v="1628.8"/>
    <n v="1635.5"/>
    <n v="1639.2"/>
    <n v="1640.5"/>
    <n v="1638.68"/>
    <n v="2012.2"/>
    <n v="1302.75"/>
    <n v="2371611"/>
    <n v="3886315623.5999999"/>
    <n v="74755"/>
    <x v="1"/>
    <n v="0"/>
    <x v="1"/>
    <n v="12"/>
    <x v="0"/>
    <n v="-0.15097152122178931"/>
  </r>
  <r>
    <d v="2025-12-02T00:00:00"/>
    <s v="EQ"/>
    <n v="1651"/>
    <n v="1652.9"/>
    <n v="1624"/>
    <n v="1642.9"/>
    <n v="1634.6"/>
    <n v="1635.5"/>
    <n v="1635.1"/>
    <n v="2012.2"/>
    <n v="1302.75"/>
    <n v="2326220"/>
    <n v="3803611581.6999998"/>
    <n v="77081"/>
    <x v="1"/>
    <n v="-8.0999999999999091"/>
    <x v="1"/>
    <n v="12"/>
    <x v="0"/>
    <n v="-0.15097152122178931"/>
  </r>
  <r>
    <d v="2025-12-01T00:00:00"/>
    <s v="EQ"/>
    <n v="1630"/>
    <n v="1646.5"/>
    <n v="1628"/>
    <n v="1624.2"/>
    <n v="1642.5"/>
    <n v="1642.9"/>
    <n v="1639.51"/>
    <n v="2012.2"/>
    <n v="1302.75"/>
    <n v="2034350"/>
    <n v="3335341377.0999999"/>
    <n v="80611"/>
    <x v="1"/>
    <n v="-5.7999999999999545"/>
    <x v="1"/>
    <n v="12"/>
    <x v="0"/>
    <n v="-0.15097152122178931"/>
  </r>
  <r>
    <d v="2025-11-28T00:00:00"/>
    <s v="EQ"/>
    <n v="1629"/>
    <n v="1636.9"/>
    <n v="1619"/>
    <n v="1629"/>
    <n v="1623.8"/>
    <n v="1624.2"/>
    <n v="1627.54"/>
    <n v="2012.2"/>
    <n v="1302.75"/>
    <n v="1841289"/>
    <n v="2996771288.0999999"/>
    <n v="51177"/>
    <x v="1"/>
    <n v="0"/>
    <x v="1"/>
    <n v="11"/>
    <x v="1"/>
    <n v="-0.15097152122178931"/>
  </r>
  <r>
    <d v="2025-11-27T00:00:00"/>
    <s v="EQ"/>
    <n v="1619.1"/>
    <n v="1633.2"/>
    <n v="1614"/>
    <n v="1617.9"/>
    <n v="1630.2"/>
    <n v="1629"/>
    <n v="1625.43"/>
    <n v="2012.2"/>
    <n v="1302.75"/>
    <n v="2106176"/>
    <n v="3423437408.0999999"/>
    <n v="61398"/>
    <x v="1"/>
    <n v="-1.1999999999998181"/>
    <x v="1"/>
    <n v="11"/>
    <x v="1"/>
    <n v="-0.15097152122178931"/>
  </r>
  <r>
    <d v="2025-11-26T00:00:00"/>
    <s v="EQ"/>
    <n v="1601.1"/>
    <n v="1627.5"/>
    <n v="1601.1"/>
    <n v="1601.1"/>
    <n v="1620"/>
    <n v="1617.9"/>
    <n v="1618.84"/>
    <n v="2012.2"/>
    <n v="1302.75"/>
    <n v="1243303"/>
    <n v="2012714636.5"/>
    <n v="71530"/>
    <x v="1"/>
    <n v="0"/>
    <x v="1"/>
    <n v="11"/>
    <x v="1"/>
    <n v="-0.15097152122178931"/>
  </r>
  <r>
    <d v="2025-11-25T00:00:00"/>
    <s v="EQ"/>
    <n v="1618.3"/>
    <n v="1618.9"/>
    <n v="1592.6"/>
    <n v="1610.4"/>
    <n v="1598.9"/>
    <n v="1601.1"/>
    <n v="1601.61"/>
    <n v="2012.2"/>
    <n v="1302.75"/>
    <n v="2285950"/>
    <n v="3661209695.5"/>
    <n v="99411"/>
    <x v="1"/>
    <n v="-7.8999999999998636"/>
    <x v="1"/>
    <n v="11"/>
    <x v="1"/>
    <n v="-0.15097152122178931"/>
  </r>
  <r>
    <d v="2025-11-24T00:00:00"/>
    <s v="EQ"/>
    <n v="1614.3"/>
    <n v="1640"/>
    <n v="1602.9"/>
    <n v="1608"/>
    <n v="1612"/>
    <n v="1610.4"/>
    <n v="1617.14"/>
    <n v="2012.2"/>
    <n v="1302.75"/>
    <n v="6392688"/>
    <n v="10337878943.4"/>
    <n v="119732"/>
    <x v="1"/>
    <n v="-6.2999999999999545"/>
    <x v="1"/>
    <n v="11"/>
    <x v="1"/>
    <n v="-0.15097152122178931"/>
  </r>
  <r>
    <d v="2025-11-21T00:00:00"/>
    <s v="EQ"/>
    <n v="1636"/>
    <n v="1643.5"/>
    <n v="1606"/>
    <n v="1645.4"/>
    <n v="1608.8"/>
    <n v="1608"/>
    <n v="1622.45"/>
    <n v="2012.2"/>
    <n v="1302.75"/>
    <n v="2958835"/>
    <n v="4800551729.1999998"/>
    <n v="81557"/>
    <x v="1"/>
    <n v="9.4000000000000909"/>
    <x v="1"/>
    <n v="11"/>
    <x v="1"/>
    <n v="-0.15097152122178931"/>
  </r>
  <r>
    <d v="2025-11-20T00:00:00"/>
    <s v="EQ"/>
    <n v="1662.6"/>
    <n v="1668.4"/>
    <n v="1642.6"/>
    <n v="1662.6"/>
    <n v="1644.4"/>
    <n v="1645.4"/>
    <n v="1652.84"/>
    <n v="2012.2"/>
    <n v="1302.75"/>
    <n v="2724035"/>
    <n v="4502400178.8999996"/>
    <n v="97466"/>
    <x v="1"/>
    <n v="0"/>
    <x v="1"/>
    <n v="11"/>
    <x v="1"/>
    <n v="-0.15097152122178931"/>
  </r>
  <r>
    <d v="2025-11-19T00:00:00"/>
    <s v="EQ"/>
    <n v="1595.3"/>
    <n v="1669.5"/>
    <n v="1588.6"/>
    <n v="1595.2"/>
    <n v="1662"/>
    <n v="1662.6"/>
    <n v="1650.37"/>
    <n v="2012.2"/>
    <n v="1302.75"/>
    <n v="6342672"/>
    <n v="10467760788.200001"/>
    <n v="159231"/>
    <x v="1"/>
    <n v="-9.9999999999909051E-2"/>
    <x v="1"/>
    <n v="11"/>
    <x v="1"/>
    <n v="-0.15097152122178931"/>
  </r>
  <r>
    <d v="2025-11-18T00:00:00"/>
    <s v="EQ"/>
    <n v="1604"/>
    <n v="1604"/>
    <n v="1590.1"/>
    <n v="1606.4"/>
    <n v="1592.5"/>
    <n v="1595.2"/>
    <n v="1595.15"/>
    <n v="2012.2"/>
    <n v="1302.75"/>
    <n v="1640123"/>
    <n v="2616243523.6999998"/>
    <n v="52117"/>
    <x v="1"/>
    <n v="2.4000000000000909"/>
    <x v="1"/>
    <n v="11"/>
    <x v="1"/>
    <n v="-0.15097152122178931"/>
  </r>
  <r>
    <d v="2025-11-17T00:00:00"/>
    <s v="EQ"/>
    <n v="1594"/>
    <n v="1607.7"/>
    <n v="1585.5"/>
    <n v="1594.6"/>
    <n v="1605.5"/>
    <n v="1606.4"/>
    <n v="1599.95"/>
    <n v="2012.2"/>
    <n v="1302.75"/>
    <n v="2000978"/>
    <n v="3201465766.5999999"/>
    <n v="65072"/>
    <x v="1"/>
    <n v="0.59999999999990905"/>
    <x v="1"/>
    <n v="11"/>
    <x v="1"/>
    <n v="-0.15097152122178931"/>
  </r>
  <r>
    <d v="2025-11-14T00:00:00"/>
    <s v="EQ"/>
    <n v="1590"/>
    <n v="1598"/>
    <n v="1574.1"/>
    <n v="1598.5"/>
    <n v="1596.9"/>
    <n v="1594.6"/>
    <n v="1588.33"/>
    <n v="2012.2"/>
    <n v="1302.75"/>
    <n v="2543918"/>
    <n v="4040586657.3000002"/>
    <n v="105226"/>
    <x v="1"/>
    <n v="8.5"/>
    <x v="1"/>
    <n v="11"/>
    <x v="1"/>
    <n v="-0.15097152122178931"/>
  </r>
  <r>
    <d v="2025-11-13T00:00:00"/>
    <s v="EQ"/>
    <n v="1599.4"/>
    <n v="1605"/>
    <n v="1580"/>
    <n v="1594"/>
    <n v="1597.3"/>
    <n v="1598.5"/>
    <n v="1596.49"/>
    <n v="2012.2"/>
    <n v="1302.75"/>
    <n v="1944022"/>
    <n v="3103616363.0999999"/>
    <n v="76589"/>
    <x v="1"/>
    <n v="-5.4000000000000909"/>
    <x v="1"/>
    <n v="11"/>
    <x v="1"/>
    <n v="-0.15097152122178931"/>
  </r>
  <r>
    <d v="2025-11-12T00:00:00"/>
    <s v="EQ"/>
    <n v="1575"/>
    <n v="1600"/>
    <n v="1573.5"/>
    <n v="1570"/>
    <n v="1593"/>
    <n v="1594"/>
    <n v="1591.3"/>
    <n v="2012.2"/>
    <n v="1302.75"/>
    <n v="2331564"/>
    <n v="3710213658.8000002"/>
    <n v="113539"/>
    <x v="1"/>
    <n v="-5"/>
    <x v="1"/>
    <n v="11"/>
    <x v="1"/>
    <n v="-0.15097152122178931"/>
  </r>
  <r>
    <d v="2025-11-11T00:00:00"/>
    <s v="EQ"/>
    <n v="1547.8"/>
    <n v="1572.5"/>
    <n v="1541.2"/>
    <n v="1540.5"/>
    <n v="1571.5"/>
    <n v="1570"/>
    <n v="1558.43"/>
    <n v="2012.2"/>
    <n v="1302.75"/>
    <n v="2270763"/>
    <n v="3538816232.9000001"/>
    <n v="74960"/>
    <x v="1"/>
    <n v="-7.2999999999999545"/>
    <x v="1"/>
    <n v="11"/>
    <x v="1"/>
    <n v="-0.15097152122178931"/>
  </r>
  <r>
    <d v="2025-11-10T00:00:00"/>
    <s v="EQ"/>
    <n v="1518"/>
    <n v="1544.9"/>
    <n v="1511.4"/>
    <n v="1512.4"/>
    <n v="1540"/>
    <n v="1540.5"/>
    <n v="1538.01"/>
    <n v="2012.2"/>
    <n v="1302.75"/>
    <n v="1558896"/>
    <n v="2397603291.5999999"/>
    <n v="79181"/>
    <x v="1"/>
    <n v="-5.5999999999999091"/>
    <x v="1"/>
    <n v="11"/>
    <x v="1"/>
    <n v="-0.15097152122178931"/>
  </r>
  <r>
    <d v="2025-11-07T00:00:00"/>
    <s v="EQ"/>
    <n v="1515.1"/>
    <n v="1518.8"/>
    <n v="1490.5"/>
    <n v="1526.4"/>
    <n v="1511"/>
    <n v="1512.4"/>
    <n v="1508.39"/>
    <n v="2012.2"/>
    <n v="1302.75"/>
    <n v="2238714"/>
    <n v="3376849701.4000001"/>
    <n v="69134"/>
    <x v="1"/>
    <n v="11.300000000000182"/>
    <x v="1"/>
    <n v="11"/>
    <x v="1"/>
    <n v="-0.15097152122178931"/>
  </r>
  <r>
    <d v="2025-11-06T00:00:00"/>
    <s v="EQ"/>
    <n v="1529.1"/>
    <n v="1531.9"/>
    <n v="1514.3"/>
    <n v="1529.1"/>
    <n v="1527"/>
    <n v="1526.4"/>
    <n v="1525.7"/>
    <n v="2012.2"/>
    <n v="1302.75"/>
    <n v="2474769"/>
    <n v="3775746001.6999998"/>
    <n v="83301"/>
    <x v="1"/>
    <n v="0"/>
    <x v="1"/>
    <n v="11"/>
    <x v="1"/>
    <n v="-0.15097152122178931"/>
  </r>
  <r>
    <d v="2025-11-04T00:00:00"/>
    <s v="EQ"/>
    <n v="1536.4"/>
    <n v="1541.9"/>
    <n v="1525"/>
    <n v="1543.5"/>
    <n v="1525"/>
    <n v="1529.1"/>
    <n v="1530.36"/>
    <n v="2012.2"/>
    <n v="1302.75"/>
    <n v="1666863"/>
    <n v="2550892564.3000002"/>
    <n v="56491"/>
    <x v="1"/>
    <n v="7.0999999999999091"/>
    <x v="1"/>
    <n v="11"/>
    <x v="1"/>
    <n v="-0.15097152122178931"/>
  </r>
  <r>
    <d v="2025-11-03T00:00:00"/>
    <s v="EQ"/>
    <n v="1540.1"/>
    <n v="1549.7"/>
    <n v="1528.2"/>
    <n v="1541.5"/>
    <n v="1544"/>
    <n v="1543.5"/>
    <n v="1540.77"/>
    <n v="2012.2"/>
    <n v="1302.75"/>
    <n v="2252136"/>
    <n v="3470015025.4000001"/>
    <n v="54640"/>
    <x v="1"/>
    <n v="1.4000000000000909"/>
    <x v="1"/>
    <n v="11"/>
    <x v="1"/>
    <n v="-0.15097152122178931"/>
  </r>
  <r>
    <d v="2025-10-31T00:00:00"/>
    <s v="EQ"/>
    <n v="1549.8"/>
    <n v="1558.2"/>
    <n v="1537.6"/>
    <n v="1549.8"/>
    <n v="1540"/>
    <n v="1541.5"/>
    <n v="1545.71"/>
    <n v="2012.2"/>
    <n v="1302.75"/>
    <n v="1723467"/>
    <n v="2663984409.1999998"/>
    <n v="58952"/>
    <x v="1"/>
    <n v="0"/>
    <x v="1"/>
    <n v="10"/>
    <x v="2"/>
    <n v="-0.15097152122178931"/>
  </r>
  <r>
    <d v="2025-10-30T00:00:00"/>
    <s v="EQ"/>
    <n v="1557.7"/>
    <n v="1559.9"/>
    <n v="1538.1"/>
    <n v="1557.3"/>
    <n v="1549.9"/>
    <n v="1549.8"/>
    <n v="1547.65"/>
    <n v="2012.2"/>
    <n v="1302.75"/>
    <n v="2183395"/>
    <n v="3379123069.4000001"/>
    <n v="70828"/>
    <x v="1"/>
    <n v="-0.40000000000009095"/>
    <x v="1"/>
    <n v="10"/>
    <x v="2"/>
    <n v="-0.15097152122178931"/>
  </r>
  <r>
    <d v="2025-10-29T00:00:00"/>
    <s v="EQ"/>
    <n v="1530"/>
    <n v="1559"/>
    <n v="1522"/>
    <n v="1522.1"/>
    <n v="1556.5"/>
    <n v="1557.3"/>
    <n v="1549.69"/>
    <n v="2012.2"/>
    <n v="1302.75"/>
    <n v="2596355"/>
    <n v="4023535238.5999999"/>
    <n v="71502"/>
    <x v="1"/>
    <n v="-7.9000000000000909"/>
    <x v="1"/>
    <n v="10"/>
    <x v="2"/>
    <n v="-0.15097152122178931"/>
  </r>
  <r>
    <d v="2025-10-28T00:00:00"/>
    <s v="EQ"/>
    <n v="1535"/>
    <n v="1542"/>
    <n v="1512"/>
    <n v="1533.5"/>
    <n v="1522"/>
    <n v="1522.1"/>
    <n v="1522.39"/>
    <n v="2012.2"/>
    <n v="1302.75"/>
    <n v="1936466"/>
    <n v="2948058041.5"/>
    <n v="76051"/>
    <x v="1"/>
    <n v="-1.5"/>
    <x v="1"/>
    <n v="10"/>
    <x v="2"/>
    <n v="-0.15097152122178931"/>
  </r>
  <r>
    <d v="2025-10-27T00:00:00"/>
    <s v="EQ"/>
    <n v="1531.4"/>
    <n v="1549.5"/>
    <n v="1526.8"/>
    <n v="1523.8"/>
    <n v="1534.5"/>
    <n v="1533.5"/>
    <n v="1539.22"/>
    <n v="2012.2"/>
    <n v="1302.75"/>
    <n v="1394846"/>
    <n v="2146971249.5999999"/>
    <n v="84284"/>
    <x v="1"/>
    <n v="-7.6000000000001364"/>
    <x v="1"/>
    <n v="10"/>
    <x v="2"/>
    <n v="-0.15097152122178931"/>
  </r>
  <r>
    <d v="2025-10-24T00:00:00"/>
    <s v="EQ"/>
    <n v="1525"/>
    <n v="1532.6"/>
    <n v="1516.4"/>
    <n v="1523.9"/>
    <n v="1524.9"/>
    <n v="1523.8"/>
    <n v="1523.82"/>
    <n v="2012.2"/>
    <n v="1302.75"/>
    <n v="1491451"/>
    <n v="2272701215.8000002"/>
    <n v="54165"/>
    <x v="1"/>
    <n v="-1.0999999999999091"/>
    <x v="1"/>
    <n v="10"/>
    <x v="2"/>
    <n v="-0.15097152122178931"/>
  </r>
  <r>
    <d v="2025-10-23T00:00:00"/>
    <s v="EQ"/>
    <n v="1510"/>
    <n v="1547.5"/>
    <n v="1505.5"/>
    <n v="1486"/>
    <n v="1524.9"/>
    <n v="1523.9"/>
    <n v="1531.37"/>
    <n v="2012.2"/>
    <n v="1302.75"/>
    <n v="5011470"/>
    <n v="7674406767.6999998"/>
    <n v="149624"/>
    <x v="1"/>
    <n v="-24"/>
    <x v="1"/>
    <n v="10"/>
    <x v="2"/>
    <n v="-0.15097152122178931"/>
  </r>
  <r>
    <d v="2025-10-21T00:00:00"/>
    <s v="EQ"/>
    <n v="1502.7"/>
    <n v="1503"/>
    <n v="1481"/>
    <n v="1495.4"/>
    <n v="1486.5"/>
    <n v="1486"/>
    <n v="1490.39"/>
    <n v="2012.2"/>
    <n v="1302.75"/>
    <n v="274400"/>
    <n v="408963318.19999999"/>
    <n v="10319"/>
    <x v="1"/>
    <n v="-7.2999999999999545"/>
    <x v="1"/>
    <n v="10"/>
    <x v="2"/>
    <n v="-0.15097152122178931"/>
  </r>
  <r>
    <d v="2025-10-20T00:00:00"/>
    <s v="EQ"/>
    <n v="1489.9"/>
    <n v="1509.9"/>
    <n v="1489.1"/>
    <n v="1486.2"/>
    <n v="1496"/>
    <n v="1495.4"/>
    <n v="1498.57"/>
    <n v="2012.2"/>
    <n v="1302.75"/>
    <n v="2354881"/>
    <n v="3528962542.6999998"/>
    <n v="66924"/>
    <x v="1"/>
    <n v="-3.7000000000000455"/>
    <x v="1"/>
    <n v="10"/>
    <x v="2"/>
    <n v="-0.15097152122178931"/>
  </r>
  <r>
    <d v="2025-10-17T00:00:00"/>
    <s v="EQ"/>
    <n v="1499"/>
    <n v="1501.3"/>
    <n v="1479.2"/>
    <n v="1515"/>
    <n v="1484.9"/>
    <n v="1486.2"/>
    <n v="1492.04"/>
    <n v="2012.2"/>
    <n v="1302.75"/>
    <n v="3210161"/>
    <n v="4789678562.6000004"/>
    <n v="104856"/>
    <x v="1"/>
    <n v="16"/>
    <x v="1"/>
    <n v="10"/>
    <x v="2"/>
    <n v="-0.15097152122178931"/>
  </r>
  <r>
    <d v="2025-10-16T00:00:00"/>
    <s v="EQ"/>
    <n v="1499.9"/>
    <n v="1519.9"/>
    <n v="1498"/>
    <n v="1495.7"/>
    <n v="1514.3"/>
    <n v="1515"/>
    <n v="1512.81"/>
    <n v="2012.2"/>
    <n v="1302.75"/>
    <n v="2021043"/>
    <n v="3057456460.9000001"/>
    <n v="82924"/>
    <x v="1"/>
    <n v="-4.2000000000000455"/>
    <x v="1"/>
    <n v="10"/>
    <x v="2"/>
    <n v="-0.15097152122178931"/>
  </r>
  <r>
    <d v="2025-10-15T00:00:00"/>
    <s v="EQ"/>
    <n v="1497.9"/>
    <n v="1509.4"/>
    <n v="1486.1"/>
    <n v="1495.4"/>
    <n v="1496.1"/>
    <n v="1495.7"/>
    <n v="1497.08"/>
    <n v="2012.2"/>
    <n v="1302.75"/>
    <n v="1710696"/>
    <n v="2561046198.5999999"/>
    <n v="86922"/>
    <x v="1"/>
    <n v="-2.5"/>
    <x v="1"/>
    <n v="10"/>
    <x v="2"/>
    <n v="-0.15097152122178931"/>
  </r>
  <r>
    <d v="2025-10-14T00:00:00"/>
    <s v="EQ"/>
    <n v="1515.4"/>
    <n v="1535"/>
    <n v="1490.2"/>
    <n v="1494.7"/>
    <n v="1492"/>
    <n v="1495.4"/>
    <n v="1509.47"/>
    <n v="2012.2"/>
    <n v="1302.75"/>
    <n v="5802489"/>
    <n v="8758711572.1000004"/>
    <n v="153143"/>
    <x v="1"/>
    <n v="-20.700000000000045"/>
    <x v="1"/>
    <n v="10"/>
    <x v="2"/>
    <n v="-0.15097152122178931"/>
  </r>
  <r>
    <d v="2025-10-13T00:00:00"/>
    <s v="EQ"/>
    <n v="1490"/>
    <n v="1502.2"/>
    <n v="1476.5"/>
    <n v="1495.5"/>
    <n v="1494.1"/>
    <n v="1494.7"/>
    <n v="1489.55"/>
    <n v="2012.2"/>
    <n v="1302.75"/>
    <n v="1820492"/>
    <n v="2711717243.0999999"/>
    <n v="63174"/>
    <x v="1"/>
    <n v="5.5"/>
    <x v="1"/>
    <n v="10"/>
    <x v="2"/>
    <n v="-0.15097152122178931"/>
  </r>
  <r>
    <d v="2025-10-10T00:00:00"/>
    <s v="EQ"/>
    <n v="1491"/>
    <n v="1498.5"/>
    <n v="1473.9"/>
    <n v="1486.5"/>
    <n v="1492.8"/>
    <n v="1495.5"/>
    <n v="1490.52"/>
    <n v="2012.2"/>
    <n v="1302.75"/>
    <n v="2129445"/>
    <n v="3173972712.5999999"/>
    <n v="93770"/>
    <x v="1"/>
    <n v="-4.5"/>
    <x v="1"/>
    <n v="10"/>
    <x v="2"/>
    <n v="-0.15097152122178931"/>
  </r>
  <r>
    <d v="2025-10-09T00:00:00"/>
    <s v="EQ"/>
    <n v="1453.2"/>
    <n v="1491.1"/>
    <n v="1452.5"/>
    <n v="1453.2"/>
    <n v="1484.5"/>
    <n v="1486.5"/>
    <n v="1481.66"/>
    <n v="2012.2"/>
    <n v="1302.75"/>
    <n v="2681316"/>
    <n v="3972805972.5"/>
    <n v="93076"/>
    <x v="1"/>
    <n v="0"/>
    <x v="1"/>
    <n v="10"/>
    <x v="2"/>
    <n v="-0.15097152122178931"/>
  </r>
  <r>
    <d v="2025-10-08T00:00:00"/>
    <s v="EQ"/>
    <n v="1433.2"/>
    <n v="1458.7"/>
    <n v="1427.2"/>
    <n v="1433.4"/>
    <n v="1452.5"/>
    <n v="1453.2"/>
    <n v="1449.94"/>
    <n v="2012.2"/>
    <n v="1302.75"/>
    <n v="1735807"/>
    <n v="2516818477.1999998"/>
    <n v="75825"/>
    <x v="1"/>
    <n v="0.20000000000004547"/>
    <x v="1"/>
    <n v="10"/>
    <x v="2"/>
    <n v="-0.15097152122178931"/>
  </r>
  <r>
    <d v="2025-10-07T00:00:00"/>
    <s v="EQ"/>
    <n v="1422"/>
    <n v="1441.9"/>
    <n v="1417.2"/>
    <n v="1417.7"/>
    <n v="1435.5"/>
    <n v="1433.4"/>
    <n v="1432.33"/>
    <n v="2012.2"/>
    <n v="1302.75"/>
    <n v="1592836"/>
    <n v="2281459591.8000002"/>
    <n v="62701"/>
    <x v="1"/>
    <n v="-4.2999999999999545"/>
    <x v="1"/>
    <n v="10"/>
    <x v="2"/>
    <n v="-0.15097152122178931"/>
  </r>
  <r>
    <d v="2025-10-06T00:00:00"/>
    <s v="EQ"/>
    <n v="1393.5"/>
    <n v="1421"/>
    <n v="1390.8"/>
    <n v="1393.5"/>
    <n v="1416.9"/>
    <n v="1417.7"/>
    <n v="1414.89"/>
    <n v="2012.2"/>
    <n v="1302.75"/>
    <n v="1970901"/>
    <n v="2788611506.4000001"/>
    <n v="80533"/>
    <x v="1"/>
    <n v="0"/>
    <x v="1"/>
    <n v="10"/>
    <x v="2"/>
    <n v="-0.15097152122178931"/>
  </r>
  <r>
    <d v="2025-10-03T00:00:00"/>
    <s v="EQ"/>
    <n v="1396.5"/>
    <n v="1399.8"/>
    <n v="1380.4"/>
    <n v="1389.5"/>
    <n v="1392.8"/>
    <n v="1393.5"/>
    <n v="1389.62"/>
    <n v="2012.2"/>
    <n v="1302.75"/>
    <n v="2793839"/>
    <n v="3882364004.6999998"/>
    <n v="83212"/>
    <x v="1"/>
    <n v="-7"/>
    <x v="1"/>
    <n v="10"/>
    <x v="2"/>
    <n v="-0.15097152122178931"/>
  </r>
  <r>
    <d v="2025-10-01T00:00:00"/>
    <s v="EQ"/>
    <n v="1386.1"/>
    <n v="1396.8"/>
    <n v="1382"/>
    <n v="1385.1"/>
    <n v="1391"/>
    <n v="1389.5"/>
    <n v="1387.87"/>
    <n v="2012.2"/>
    <n v="1302.75"/>
    <n v="2253527"/>
    <n v="3127607459.9000001"/>
    <n v="84091"/>
    <x v="1"/>
    <n v="-1"/>
    <x v="1"/>
    <n v="10"/>
    <x v="2"/>
    <n v="-0.15097152122178931"/>
  </r>
  <r>
    <d v="2025-09-30T00:00:00"/>
    <s v="EQ"/>
    <n v="1392.1"/>
    <n v="1405"/>
    <n v="1381.9"/>
    <n v="1387.4"/>
    <n v="1385.9"/>
    <n v="1385.1"/>
    <n v="1391.55"/>
    <n v="2012.2"/>
    <n v="1302.75"/>
    <n v="2782077"/>
    <n v="3871398044.5999999"/>
    <n v="102039"/>
    <x v="1"/>
    <n v="-4.6999999999998181"/>
    <x v="1"/>
    <n v="9"/>
    <x v="3"/>
    <n v="-0.15097152122178931"/>
  </r>
  <r>
    <d v="2025-09-29T00:00:00"/>
    <s v="EQ"/>
    <n v="1397.1"/>
    <n v="1402.6"/>
    <n v="1383"/>
    <n v="1395.3"/>
    <n v="1388"/>
    <n v="1387.4"/>
    <n v="1389.77"/>
    <n v="2012.2"/>
    <n v="1302.75"/>
    <n v="2990852"/>
    <n v="4156595729.6999998"/>
    <n v="104613"/>
    <x v="1"/>
    <n v="-1.7999999999999545"/>
    <x v="1"/>
    <n v="9"/>
    <x v="3"/>
    <n v="-0.15097152122178931"/>
  </r>
  <r>
    <d v="2025-09-26T00:00:00"/>
    <s v="EQ"/>
    <n v="1420"/>
    <n v="1426.5"/>
    <n v="1392"/>
    <n v="1423.8"/>
    <n v="1395.1"/>
    <n v="1395.3"/>
    <n v="1399.93"/>
    <n v="2012.2"/>
    <n v="1302.75"/>
    <n v="2568054"/>
    <n v="3595094521.8000002"/>
    <n v="103184"/>
    <x v="1"/>
    <n v="3.7999999999999545"/>
    <x v="1"/>
    <n v="9"/>
    <x v="3"/>
    <n v="-0.15097152122178931"/>
  </r>
  <r>
    <d v="2025-09-25T00:00:00"/>
    <s v="EQ"/>
    <n v="1440.2"/>
    <n v="1442.5"/>
    <n v="1416"/>
    <n v="1442.3"/>
    <n v="1427.4"/>
    <n v="1423.8"/>
    <n v="1424.63"/>
    <n v="2012.2"/>
    <n v="1302.75"/>
    <n v="2713246"/>
    <n v="3865379487.8000002"/>
    <n v="103007"/>
    <x v="1"/>
    <n v="2.0999999999999091"/>
    <x v="1"/>
    <n v="9"/>
    <x v="3"/>
    <n v="-0.15097152122178931"/>
  </r>
  <r>
    <d v="2025-09-24T00:00:00"/>
    <s v="EQ"/>
    <n v="1425.1"/>
    <n v="1444.7"/>
    <n v="1420"/>
    <n v="1429.8"/>
    <n v="1440.2"/>
    <n v="1442.3"/>
    <n v="1437.54"/>
    <n v="2012.2"/>
    <n v="1302.75"/>
    <n v="2894044"/>
    <n v="4160304912.3000002"/>
    <n v="117797"/>
    <x v="1"/>
    <n v="4.7000000000000455"/>
    <x v="1"/>
    <n v="9"/>
    <x v="3"/>
    <n v="-0.15097152122178931"/>
  </r>
  <r>
    <d v="2025-09-23T00:00:00"/>
    <s v="EQ"/>
    <n v="1444.2"/>
    <n v="1444.2"/>
    <n v="1420.4"/>
    <n v="1439.9"/>
    <n v="1431.4"/>
    <n v="1429.8"/>
    <n v="1429.61"/>
    <n v="2012.2"/>
    <n v="1302.75"/>
    <n v="3106480"/>
    <n v="4441066491.5"/>
    <n v="105156"/>
    <x v="1"/>
    <n v="-4.2999999999999545"/>
    <x v="1"/>
    <n v="9"/>
    <x v="3"/>
    <n v="-0.15097152122178931"/>
  </r>
  <r>
    <d v="2025-09-22T00:00:00"/>
    <s v="EQ"/>
    <n v="1423"/>
    <n v="1449.2"/>
    <n v="1415"/>
    <n v="1467.4"/>
    <n v="1442"/>
    <n v="1439.9"/>
    <n v="1438.15"/>
    <n v="2012.2"/>
    <n v="1302.75"/>
    <n v="4457129"/>
    <n v="6410038721.6999998"/>
    <n v="194507"/>
    <x v="1"/>
    <n v="44.400000000000091"/>
    <x v="1"/>
    <n v="9"/>
    <x v="3"/>
    <n v="-0.15097152122178931"/>
  </r>
  <r>
    <d v="2025-09-19T00:00:00"/>
    <s v="EQ"/>
    <n v="1493.8"/>
    <n v="1493.8"/>
    <n v="1464"/>
    <n v="1493.8"/>
    <n v="1470"/>
    <n v="1467.4"/>
    <n v="1470.86"/>
    <n v="2012.2"/>
    <n v="1302.75"/>
    <n v="3197957"/>
    <n v="4703762937.1000004"/>
    <n v="76807"/>
    <x v="1"/>
    <n v="0"/>
    <x v="1"/>
    <n v="9"/>
    <x v="3"/>
    <n v="-0.15097152122178931"/>
  </r>
  <r>
    <d v="2025-09-18T00:00:00"/>
    <s v="EQ"/>
    <n v="1492.6"/>
    <n v="1502.9"/>
    <n v="1486.1"/>
    <n v="1481.5"/>
    <n v="1491.9"/>
    <n v="1493.8"/>
    <n v="1494.93"/>
    <n v="2012.2"/>
    <n v="1302.75"/>
    <n v="2792406"/>
    <n v="4174450282.0999999"/>
    <n v="85648"/>
    <x v="1"/>
    <n v="-11.099999999999909"/>
    <x v="1"/>
    <n v="9"/>
    <x v="3"/>
    <n v="-0.15097152122178931"/>
  </r>
  <r>
    <d v="2025-09-17T00:00:00"/>
    <s v="EQ"/>
    <n v="1490.8"/>
    <n v="1499"/>
    <n v="1475.3"/>
    <n v="1483.1"/>
    <n v="1480.6"/>
    <n v="1481.5"/>
    <n v="1486.66"/>
    <n v="2012.2"/>
    <n v="1302.75"/>
    <n v="2656774"/>
    <n v="3949730390.5"/>
    <n v="86652"/>
    <x v="1"/>
    <n v="-7.7000000000000455"/>
    <x v="1"/>
    <n v="9"/>
    <x v="3"/>
    <n v="-0.15097152122178931"/>
  </r>
  <r>
    <d v="2025-09-16T00:00:00"/>
    <s v="EQ"/>
    <n v="1463.9"/>
    <n v="1485.2"/>
    <n v="1461.1"/>
    <n v="1466.5"/>
    <n v="1483"/>
    <n v="1483.1"/>
    <n v="1474.82"/>
    <n v="2012.2"/>
    <n v="1302.75"/>
    <n v="1724524"/>
    <n v="2543354258.8000002"/>
    <n v="50634"/>
    <x v="1"/>
    <n v="2.5999999999999091"/>
    <x v="1"/>
    <n v="9"/>
    <x v="3"/>
    <n v="-0.15097152122178931"/>
  </r>
  <r>
    <d v="2025-09-15T00:00:00"/>
    <s v="EQ"/>
    <n v="1467.2"/>
    <n v="1468.3"/>
    <n v="1452"/>
    <n v="1467.2"/>
    <n v="1465.4"/>
    <n v="1466.5"/>
    <n v="1461.11"/>
    <n v="2012.2"/>
    <n v="1302.75"/>
    <n v="1725617"/>
    <n v="2521324464.3000002"/>
    <n v="47559"/>
    <x v="1"/>
    <n v="0"/>
    <x v="1"/>
    <n v="9"/>
    <x v="3"/>
    <n v="-0.15097152122178931"/>
  </r>
  <r>
    <d v="2025-09-12T00:00:00"/>
    <s v="EQ"/>
    <n v="1475"/>
    <n v="1480"/>
    <n v="1463"/>
    <n v="1467.7"/>
    <n v="1466"/>
    <n v="1467.2"/>
    <n v="1467.45"/>
    <n v="2012.2"/>
    <n v="1302.75"/>
    <n v="2110883"/>
    <n v="3097622960.5999999"/>
    <n v="63606"/>
    <x v="1"/>
    <n v="-7.2999999999999545"/>
    <x v="1"/>
    <n v="9"/>
    <x v="3"/>
    <n v="-0.15097152122178931"/>
  </r>
  <r>
    <d v="2025-09-11T00:00:00"/>
    <s v="EQ"/>
    <n v="1463.9"/>
    <n v="1470.4"/>
    <n v="1458.3"/>
    <n v="1463.9"/>
    <n v="1468.3"/>
    <n v="1467.7"/>
    <n v="1464.18"/>
    <n v="2012.2"/>
    <n v="1302.75"/>
    <n v="1982922"/>
    <n v="2903348006.5999999"/>
    <n v="104762"/>
    <x v="1"/>
    <n v="0"/>
    <x v="1"/>
    <n v="9"/>
    <x v="3"/>
    <n v="-0.15097152122178931"/>
  </r>
  <r>
    <d v="2025-09-10T00:00:00"/>
    <s v="EQ"/>
    <n v="1434.9"/>
    <n v="1471.9"/>
    <n v="1432.1"/>
    <n v="1427.1"/>
    <n v="1464.2"/>
    <n v="1463.9"/>
    <n v="1462.85"/>
    <n v="2012.2"/>
    <n v="1302.75"/>
    <n v="3205017"/>
    <n v="4688445299.6000004"/>
    <n v="108930"/>
    <x v="1"/>
    <n v="-7.8000000000001819"/>
    <x v="1"/>
    <n v="9"/>
    <x v="3"/>
    <n v="-0.15097152122178931"/>
  </r>
  <r>
    <d v="2025-09-09T00:00:00"/>
    <s v="EQ"/>
    <n v="1410.2"/>
    <n v="1431.8"/>
    <n v="1409.1"/>
    <n v="1403"/>
    <n v="1425"/>
    <n v="1427.1"/>
    <n v="1424.97"/>
    <n v="2012.2"/>
    <n v="1302.75"/>
    <n v="2906889"/>
    <n v="4142226337.0999999"/>
    <n v="120265"/>
    <x v="1"/>
    <n v="-7.2000000000000455"/>
    <x v="1"/>
    <n v="9"/>
    <x v="3"/>
    <n v="-0.15097152122178931"/>
  </r>
  <r>
    <d v="2025-09-08T00:00:00"/>
    <s v="EQ"/>
    <n v="1423.9"/>
    <n v="1428.6"/>
    <n v="1401"/>
    <n v="1419"/>
    <n v="1403.3"/>
    <n v="1403"/>
    <n v="1412.11"/>
    <n v="2012.2"/>
    <n v="1302.75"/>
    <n v="2929976"/>
    <n v="4137443516"/>
    <n v="82764"/>
    <x v="1"/>
    <n v="-4.9000000000000909"/>
    <x v="1"/>
    <n v="9"/>
    <x v="3"/>
    <n v="-0.15097152122178931"/>
  </r>
  <r>
    <d v="2025-09-05T00:00:00"/>
    <s v="EQ"/>
    <n v="1448"/>
    <n v="1452.3"/>
    <n v="1402.8"/>
    <n v="1443.3"/>
    <n v="1420.1"/>
    <n v="1419"/>
    <n v="1423.2"/>
    <n v="2012.2"/>
    <n v="1302.75"/>
    <n v="3895199"/>
    <n v="5543657851.1999998"/>
    <n v="174752"/>
    <x v="1"/>
    <n v="-4.7000000000000455"/>
    <x v="1"/>
    <n v="9"/>
    <x v="3"/>
    <n v="-0.15097152122178931"/>
  </r>
  <r>
    <d v="2025-09-04T00:00:00"/>
    <s v="EQ"/>
    <n v="1465.1"/>
    <n v="1465.9"/>
    <n v="1440.9"/>
    <n v="1466.1"/>
    <n v="1444.2"/>
    <n v="1443.3"/>
    <n v="1452.76"/>
    <n v="2012.2"/>
    <n v="1302.75"/>
    <n v="2192155"/>
    <n v="3184676714.6999998"/>
    <n v="140871"/>
    <x v="1"/>
    <n v="1"/>
    <x v="1"/>
    <n v="9"/>
    <x v="3"/>
    <n v="-0.15097152122178931"/>
  </r>
  <r>
    <d v="2025-09-03T00:00:00"/>
    <s v="EQ"/>
    <n v="1475"/>
    <n v="1475"/>
    <n v="1452.6"/>
    <n v="1465.7"/>
    <n v="1465.2"/>
    <n v="1466.1"/>
    <n v="1460.87"/>
    <n v="2012.2"/>
    <n v="1302.75"/>
    <n v="1800307"/>
    <n v="2630020249.1999998"/>
    <n v="67692"/>
    <x v="1"/>
    <n v="-9.2999999999999545"/>
    <x v="1"/>
    <n v="9"/>
    <x v="3"/>
    <n v="-0.15097152122178931"/>
  </r>
  <r>
    <d v="2025-09-02T00:00:00"/>
    <s v="EQ"/>
    <n v="1469"/>
    <n v="1477.4"/>
    <n v="1459.7"/>
    <n v="1468.4"/>
    <n v="1465"/>
    <n v="1465.7"/>
    <n v="1467.23"/>
    <n v="2012.2"/>
    <n v="1302.75"/>
    <n v="1295198"/>
    <n v="1900348772.3"/>
    <n v="68937"/>
    <x v="1"/>
    <n v="-0.59999999999990905"/>
    <x v="1"/>
    <n v="9"/>
    <x v="3"/>
    <n v="-0.15097152122178931"/>
  </r>
  <r>
    <d v="2025-09-01T00:00:00"/>
    <s v="EQ"/>
    <n v="1446"/>
    <n v="1472.5"/>
    <n v="1446"/>
    <n v="1454.8"/>
    <n v="1469"/>
    <n v="1468.4"/>
    <n v="1466.84"/>
    <n v="2012.2"/>
    <n v="1302.75"/>
    <n v="2105254"/>
    <n v="3088075836.5"/>
    <n v="70246"/>
    <x v="1"/>
    <n v="8.7999999999999545"/>
    <x v="1"/>
    <n v="9"/>
    <x v="3"/>
    <n v="-0.15097152122178931"/>
  </r>
  <r>
    <d v="2025-08-29T00:00:00"/>
    <s v="EQ"/>
    <n v="1449.8"/>
    <n v="1462.6"/>
    <n v="1439.2"/>
    <n v="1449.8"/>
    <n v="1453.7"/>
    <n v="1454.8"/>
    <n v="1455.83"/>
    <n v="2012.2"/>
    <n v="1302.75"/>
    <n v="3404604"/>
    <n v="4956533680.8000002"/>
    <n v="82963"/>
    <x v="1"/>
    <n v="0"/>
    <x v="1"/>
    <n v="8"/>
    <x v="4"/>
    <n v="-0.15097152122178931"/>
  </r>
  <r>
    <d v="2025-08-28T00:00:00"/>
    <s v="EQ"/>
    <n v="1488"/>
    <n v="1488"/>
    <n v="1446"/>
    <n v="1492.8"/>
    <n v="1450.2"/>
    <n v="1449.8"/>
    <n v="1457.19"/>
    <n v="2012.2"/>
    <n v="1302.75"/>
    <n v="4367902"/>
    <n v="6364870712.1000004"/>
    <n v="170218"/>
    <x v="1"/>
    <n v="4.7999999999999545"/>
    <x v="1"/>
    <n v="8"/>
    <x v="4"/>
    <n v="-0.15097152122178931"/>
  </r>
  <r>
    <d v="2025-08-26T00:00:00"/>
    <s v="EQ"/>
    <n v="1501.9"/>
    <n v="1506.5"/>
    <n v="1485"/>
    <n v="1504.2"/>
    <n v="1489.3"/>
    <n v="1492.8"/>
    <n v="1495.22"/>
    <n v="2012.2"/>
    <n v="1302.75"/>
    <n v="4092265"/>
    <n v="6118849339.1999998"/>
    <n v="90975"/>
    <x v="1"/>
    <n v="2.2999999999999545"/>
    <x v="1"/>
    <n v="8"/>
    <x v="4"/>
    <n v="-0.15097152122178931"/>
  </r>
  <r>
    <d v="2025-08-25T00:00:00"/>
    <s v="EQ"/>
    <n v="1480"/>
    <n v="1509.7"/>
    <n v="1476.2"/>
    <n v="1466.3"/>
    <n v="1505"/>
    <n v="1504.2"/>
    <n v="1500.79"/>
    <n v="2012.2"/>
    <n v="1302.75"/>
    <n v="2764914"/>
    <n v="4149544169.5"/>
    <n v="131390"/>
    <x v="1"/>
    <n v="-13.700000000000045"/>
    <x v="1"/>
    <n v="8"/>
    <x v="4"/>
    <n v="-0.15097152122178931"/>
  </r>
  <r>
    <d v="2025-08-22T00:00:00"/>
    <s v="EQ"/>
    <n v="1489.6"/>
    <n v="1491.5"/>
    <n v="1464"/>
    <n v="1493.5"/>
    <n v="1467.1"/>
    <n v="1466.3"/>
    <n v="1470.96"/>
    <n v="2012.2"/>
    <n v="1302.75"/>
    <n v="2802805"/>
    <n v="4122818257.0999999"/>
    <n v="97554"/>
    <x v="1"/>
    <n v="3.9000000000000909"/>
    <x v="1"/>
    <n v="8"/>
    <x v="4"/>
    <n v="-0.15097152122178931"/>
  </r>
  <r>
    <d v="2025-08-21T00:00:00"/>
    <s v="EQ"/>
    <n v="1500"/>
    <n v="1505"/>
    <n v="1486.1"/>
    <n v="1496"/>
    <n v="1495"/>
    <n v="1493.5"/>
    <n v="1495.28"/>
    <n v="2012.2"/>
    <n v="1302.75"/>
    <n v="2157601"/>
    <n v="3226215087.9000001"/>
    <n v="83784"/>
    <x v="1"/>
    <n v="-4"/>
    <x v="1"/>
    <n v="8"/>
    <x v="4"/>
    <n v="-0.15097152122178931"/>
  </r>
  <r>
    <d v="2025-08-20T00:00:00"/>
    <s v="EQ"/>
    <n v="1468"/>
    <n v="1500.3"/>
    <n v="1458"/>
    <n v="1476.1"/>
    <n v="1496"/>
    <n v="1496"/>
    <n v="1478.37"/>
    <n v="2012.2"/>
    <n v="1302.75"/>
    <n v="10219330"/>
    <n v="15107972962.9"/>
    <n v="135680"/>
    <x v="1"/>
    <n v="8.0999999999999091"/>
    <x v="1"/>
    <n v="8"/>
    <x v="4"/>
    <n v="-0.15097152122178931"/>
  </r>
  <r>
    <d v="2025-08-19T00:00:00"/>
    <s v="EQ"/>
    <n v="1476.3"/>
    <n v="1482.6"/>
    <n v="1469.2"/>
    <n v="1485"/>
    <n v="1479.7"/>
    <n v="1476.1"/>
    <n v="1476.27"/>
    <n v="2012.2"/>
    <n v="1302.75"/>
    <n v="2515817"/>
    <n v="3714033649"/>
    <n v="119284"/>
    <x v="1"/>
    <n v="8.7000000000000455"/>
    <x v="1"/>
    <n v="8"/>
    <x v="4"/>
    <n v="-0.15097152122178931"/>
  </r>
  <r>
    <d v="2025-08-18T00:00:00"/>
    <s v="EQ"/>
    <n v="1498.1"/>
    <n v="1501.9"/>
    <n v="1475.9"/>
    <n v="1489.8"/>
    <n v="1481.6"/>
    <n v="1485"/>
    <n v="1483.48"/>
    <n v="2012.2"/>
    <n v="1302.75"/>
    <n v="2795155"/>
    <n v="4146546206.9000001"/>
    <n v="82653"/>
    <x v="1"/>
    <n v="-8.2999999999999545"/>
    <x v="1"/>
    <n v="8"/>
    <x v="4"/>
    <n v="-0.15097152122178931"/>
  </r>
  <r>
    <d v="2025-08-14T00:00:00"/>
    <s v="EQ"/>
    <n v="1501"/>
    <n v="1516.2"/>
    <n v="1485.8"/>
    <n v="1501.1"/>
    <n v="1489"/>
    <n v="1489.8"/>
    <n v="1501.41"/>
    <n v="2012.2"/>
    <n v="1302.75"/>
    <n v="4227538"/>
    <n v="6347285518.5"/>
    <n v="111160"/>
    <x v="1"/>
    <n v="9.9999999999909051E-2"/>
    <x v="1"/>
    <n v="8"/>
    <x v="4"/>
    <n v="-0.15097152122178931"/>
  </r>
  <r>
    <d v="2025-08-13T00:00:00"/>
    <s v="EQ"/>
    <n v="1500"/>
    <n v="1507.5"/>
    <n v="1489"/>
    <n v="1499.1"/>
    <n v="1498.8"/>
    <n v="1501.1"/>
    <n v="1500"/>
    <n v="2012.2"/>
    <n v="1302.75"/>
    <n v="2916128"/>
    <n v="4374180694.8000002"/>
    <n v="63563"/>
    <x v="1"/>
    <n v="-0.90000000000009095"/>
    <x v="1"/>
    <n v="8"/>
    <x v="4"/>
    <n v="-0.15097152122178931"/>
  </r>
  <r>
    <d v="2025-08-12T00:00:00"/>
    <s v="EQ"/>
    <n v="1490"/>
    <n v="1509.9"/>
    <n v="1489"/>
    <n v="1488"/>
    <n v="1498"/>
    <n v="1499.1"/>
    <n v="1501.89"/>
    <n v="2012.2"/>
    <n v="1302.75"/>
    <n v="3422656"/>
    <n v="5140444209.3999996"/>
    <n v="120984"/>
    <x v="1"/>
    <n v="-2"/>
    <x v="1"/>
    <n v="8"/>
    <x v="4"/>
    <n v="-0.15097152122178931"/>
  </r>
  <r>
    <d v="2025-08-11T00:00:00"/>
    <s v="EQ"/>
    <n v="1475"/>
    <n v="1531"/>
    <n v="1465.6"/>
    <n v="1475.7"/>
    <n v="1484.1"/>
    <n v="1488"/>
    <n v="1484.68"/>
    <n v="2012.2"/>
    <n v="1302.75"/>
    <n v="2374556"/>
    <n v="3525455889.1999998"/>
    <n v="92769"/>
    <x v="1"/>
    <n v="0.70000000000004547"/>
    <x v="1"/>
    <n v="8"/>
    <x v="4"/>
    <n v="-0.15097152122178931"/>
  </r>
  <r>
    <d v="2025-08-08T00:00:00"/>
    <s v="EQ"/>
    <n v="1474.8"/>
    <n v="1482.2"/>
    <n v="1459"/>
    <n v="1475.5"/>
    <n v="1476.3"/>
    <n v="1475.7"/>
    <n v="1473.68"/>
    <n v="2012.2"/>
    <n v="1302.75"/>
    <n v="2815614"/>
    <n v="4149299969.9000001"/>
    <n v="82918"/>
    <x v="1"/>
    <n v="0.70000000000004547"/>
    <x v="1"/>
    <n v="8"/>
    <x v="4"/>
    <n v="-0.15097152122178931"/>
  </r>
  <r>
    <d v="2025-08-07T00:00:00"/>
    <s v="EQ"/>
    <n v="1458"/>
    <n v="1479.2"/>
    <n v="1451"/>
    <n v="1463.2"/>
    <n v="1479.1"/>
    <n v="1475.5"/>
    <n v="1462.9"/>
    <n v="2012.2"/>
    <n v="1302.75"/>
    <n v="1495363"/>
    <n v="2187569625.5"/>
    <n v="70071"/>
    <x v="1"/>
    <n v="5.2000000000000455"/>
    <x v="1"/>
    <n v="8"/>
    <x v="4"/>
    <n v="-0.15097152122178931"/>
  </r>
  <r>
    <d v="2025-08-06T00:00:00"/>
    <s v="EQ"/>
    <n v="1480.9"/>
    <n v="1483.7"/>
    <n v="1456.4"/>
    <n v="1482.7"/>
    <n v="1459.9"/>
    <n v="1463.2"/>
    <n v="1465.98"/>
    <n v="2012.2"/>
    <n v="1302.75"/>
    <n v="1735697"/>
    <n v="2544501469.1999998"/>
    <n v="93730"/>
    <x v="1"/>
    <n v="1.7999999999999545"/>
    <x v="1"/>
    <n v="8"/>
    <x v="4"/>
    <n v="-0.15097152122178931"/>
  </r>
  <r>
    <d v="2025-08-05T00:00:00"/>
    <s v="EQ"/>
    <n v="1479.9"/>
    <n v="1485.4"/>
    <n v="1471.2"/>
    <n v="1474.4"/>
    <n v="1480.9"/>
    <n v="1482.7"/>
    <n v="1480.25"/>
    <n v="2012.2"/>
    <n v="1302.75"/>
    <n v="2614394"/>
    <n v="3869964552.0999999"/>
    <n v="99995"/>
    <x v="1"/>
    <n v="-5.5"/>
    <x v="1"/>
    <n v="8"/>
    <x v="4"/>
    <n v="-0.15097152122178931"/>
  </r>
  <r>
    <d v="2025-08-04T00:00:00"/>
    <s v="EQ"/>
    <n v="1452.1"/>
    <n v="1475.4"/>
    <n v="1440.6"/>
    <n v="1452.1"/>
    <n v="1470.4"/>
    <n v="1474.4"/>
    <n v="1460.11"/>
    <n v="2012.2"/>
    <n v="1302.75"/>
    <n v="2384774"/>
    <n v="3482029698"/>
    <n v="89707"/>
    <x v="1"/>
    <n v="0"/>
    <x v="1"/>
    <n v="8"/>
    <x v="4"/>
    <n v="-0.15097152122178931"/>
  </r>
  <r>
    <d v="2025-08-01T00:00:00"/>
    <s v="EQ"/>
    <n v="1465"/>
    <n v="1466.9"/>
    <n v="1450"/>
    <n v="1467.9"/>
    <n v="1450.2"/>
    <n v="1452.1"/>
    <n v="1455.75"/>
    <n v="2012.2"/>
    <n v="1302.75"/>
    <n v="2152783"/>
    <n v="3133915241.5999999"/>
    <n v="68532"/>
    <x v="1"/>
    <n v="2.9000000000000909"/>
    <x v="1"/>
    <n v="8"/>
    <x v="4"/>
    <n v="-0.15097152122178931"/>
  </r>
  <r>
    <d v="2025-07-31T00:00:00"/>
    <s v="EQ"/>
    <n v="1465"/>
    <n v="1482.7"/>
    <n v="1459.5"/>
    <n v="1476.5"/>
    <n v="1465.2"/>
    <n v="1467.9"/>
    <n v="1469.99"/>
    <n v="2012.2"/>
    <n v="1302.75"/>
    <n v="2306285"/>
    <n v="3390207270.5"/>
    <n v="85966"/>
    <x v="1"/>
    <n v="11.5"/>
    <x v="1"/>
    <n v="7"/>
    <x v="5"/>
    <n v="-0.15097152122178931"/>
  </r>
  <r>
    <d v="2025-07-30T00:00:00"/>
    <s v="EQ"/>
    <n v="1480.5"/>
    <n v="1484.3"/>
    <n v="1468.8"/>
    <n v="1472.4"/>
    <n v="1478"/>
    <n v="1476.5"/>
    <n v="1474.63"/>
    <n v="2012.2"/>
    <n v="1302.75"/>
    <n v="1642426"/>
    <n v="2421970361.6999998"/>
    <n v="67844"/>
    <x v="1"/>
    <n v="-8.0999999999999091"/>
    <x v="1"/>
    <n v="7"/>
    <x v="5"/>
    <n v="-0.15097152122178931"/>
  </r>
  <r>
    <d v="2025-07-29T00:00:00"/>
    <s v="EQ"/>
    <n v="1466.1"/>
    <n v="1477.5"/>
    <n v="1461"/>
    <n v="1466.1"/>
    <n v="1475"/>
    <n v="1472.4"/>
    <n v="1470"/>
    <n v="2012.2"/>
    <n v="1302.75"/>
    <n v="6223556"/>
    <n v="9148599091.1000004"/>
    <n v="120183"/>
    <x v="1"/>
    <n v="0"/>
    <x v="1"/>
    <n v="7"/>
    <x v="5"/>
    <n v="-0.15097152122178931"/>
  </r>
  <r>
    <d v="2025-07-28T00:00:00"/>
    <s v="EQ"/>
    <n v="1490.1"/>
    <n v="1494.2"/>
    <n v="1463.5"/>
    <n v="1490.1"/>
    <n v="1468"/>
    <n v="1466.1"/>
    <n v="1474.52"/>
    <n v="2012.2"/>
    <n v="1302.75"/>
    <n v="4404841"/>
    <n v="6495043431.3000002"/>
    <n v="158378"/>
    <x v="1"/>
    <n v="0"/>
    <x v="1"/>
    <n v="7"/>
    <x v="5"/>
    <n v="-0.15097152122178931"/>
  </r>
  <r>
    <d v="2025-07-25T00:00:00"/>
    <s v="EQ"/>
    <n v="1501.1"/>
    <n v="1512.2"/>
    <n v="1486.6"/>
    <n v="1507.2"/>
    <n v="1490"/>
    <n v="1490.1"/>
    <n v="1499.87"/>
    <n v="2012.2"/>
    <n v="1302.75"/>
    <n v="2733655"/>
    <n v="4100140037.4000001"/>
    <n v="100304"/>
    <x v="1"/>
    <n v="6.1000000000001364"/>
    <x v="1"/>
    <n v="7"/>
    <x v="5"/>
    <n v="-0.15097152122178931"/>
  </r>
  <r>
    <d v="2025-07-24T00:00:00"/>
    <s v="EQ"/>
    <n v="1530"/>
    <n v="1537.9"/>
    <n v="1501.6"/>
    <n v="1529.8"/>
    <n v="1510.1"/>
    <n v="1507.2"/>
    <n v="1515.11"/>
    <n v="2012.2"/>
    <n v="1302.75"/>
    <n v="4654421"/>
    <n v="7051940202.5"/>
    <n v="99951"/>
    <x v="1"/>
    <n v="-0.20000000000004547"/>
    <x v="1"/>
    <n v="7"/>
    <x v="5"/>
    <n v="-0.15097152122178931"/>
  </r>
  <r>
    <d v="2025-07-23T00:00:00"/>
    <s v="EQ"/>
    <n v="1524.1"/>
    <n v="1536"/>
    <n v="1518"/>
    <n v="1520.1"/>
    <n v="1528.8"/>
    <n v="1529.8"/>
    <n v="1527.16"/>
    <n v="2012.2"/>
    <n v="1302.75"/>
    <n v="3471536"/>
    <n v="5301591458.1999998"/>
    <n v="75211"/>
    <x v="1"/>
    <n v="-4"/>
    <x v="1"/>
    <n v="7"/>
    <x v="5"/>
    <n v="-0.15097152122178931"/>
  </r>
  <r>
    <d v="2025-07-22T00:00:00"/>
    <s v="EQ"/>
    <n v="1533.1"/>
    <n v="1539.8"/>
    <n v="1518.3"/>
    <n v="1530.4"/>
    <n v="1520.5"/>
    <n v="1520.1"/>
    <n v="1528.68"/>
    <n v="2012.2"/>
    <n v="1302.75"/>
    <n v="3218227"/>
    <n v="4919633245"/>
    <n v="72081"/>
    <x v="1"/>
    <n v="-2.6999999999998181"/>
    <x v="1"/>
    <n v="7"/>
    <x v="5"/>
    <n v="-0.15097152122178931"/>
  </r>
  <r>
    <d v="2025-07-21T00:00:00"/>
    <s v="EQ"/>
    <n v="1548.8"/>
    <n v="1550.7"/>
    <n v="1526"/>
    <n v="1548.8"/>
    <n v="1530.8"/>
    <n v="1530.4"/>
    <n v="1532.77"/>
    <n v="2012.2"/>
    <n v="1302.75"/>
    <n v="3368842"/>
    <n v="5163643439.5"/>
    <n v="90546"/>
    <x v="1"/>
    <n v="0"/>
    <x v="1"/>
    <n v="7"/>
    <x v="5"/>
    <n v="-0.15097152122178931"/>
  </r>
  <r>
    <d v="2025-07-18T00:00:00"/>
    <s v="EQ"/>
    <n v="1544"/>
    <n v="1550"/>
    <n v="1530"/>
    <n v="1543.9"/>
    <n v="1549.1"/>
    <n v="1548.8"/>
    <n v="1541.04"/>
    <n v="2012.2"/>
    <n v="1302.75"/>
    <n v="3902458"/>
    <n v="6013841093.8000002"/>
    <n v="88894"/>
    <x v="1"/>
    <n v="-9.9999999999909051E-2"/>
    <x v="1"/>
    <n v="7"/>
    <x v="5"/>
    <n v="-0.15097152122178931"/>
  </r>
  <r>
    <d v="2025-07-17T00:00:00"/>
    <s v="EQ"/>
    <n v="1563.6"/>
    <n v="1566.8"/>
    <n v="1542.4"/>
    <n v="1562.8"/>
    <n v="1544.2"/>
    <n v="1543.9"/>
    <n v="1555.4"/>
    <n v="2012.2"/>
    <n v="1302.75"/>
    <n v="4966082"/>
    <n v="7724220966.6999998"/>
    <n v="127217"/>
    <x v="1"/>
    <n v="-0.79999999999995453"/>
    <x v="1"/>
    <n v="7"/>
    <x v="5"/>
    <n v="-0.15097152122178931"/>
  </r>
  <r>
    <d v="2025-07-16T00:00:00"/>
    <s v="EQ"/>
    <n v="1566.4"/>
    <n v="1574"/>
    <n v="1560"/>
    <n v="1566.4"/>
    <n v="1562"/>
    <n v="1562.8"/>
    <n v="1567.13"/>
    <n v="2012.2"/>
    <n v="1302.75"/>
    <n v="5218099"/>
    <n v="8177462798.5"/>
    <n v="98177"/>
    <x v="1"/>
    <n v="0"/>
    <x v="1"/>
    <n v="7"/>
    <x v="5"/>
    <n v="-0.15097152122178931"/>
  </r>
  <r>
    <d v="2025-07-15T00:00:00"/>
    <s v="EQ"/>
    <n v="1590"/>
    <n v="1621.4"/>
    <n v="1550"/>
    <n v="1619.8"/>
    <n v="1567"/>
    <n v="1566.4"/>
    <n v="1573.16"/>
    <n v="2012.2"/>
    <n v="1302.75"/>
    <n v="14685607"/>
    <n v="23102790220.900002"/>
    <n v="326840"/>
    <x v="1"/>
    <n v="29.799999999999955"/>
    <x v="1"/>
    <n v="7"/>
    <x v="5"/>
    <n v="-0.15097152122178931"/>
  </r>
  <r>
    <d v="2025-07-14T00:00:00"/>
    <s v="EQ"/>
    <n v="1640"/>
    <n v="1642.4"/>
    <n v="1607"/>
    <n v="1638.3"/>
    <n v="1613.5"/>
    <n v="1619.8"/>
    <n v="1617.76"/>
    <n v="2012.2"/>
    <n v="1302.75"/>
    <n v="3334703"/>
    <n v="5394743355"/>
    <n v="100025"/>
    <x v="1"/>
    <n v="-1.7000000000000455"/>
    <x v="1"/>
    <n v="7"/>
    <x v="5"/>
    <n v="-0.15097152122178931"/>
  </r>
  <r>
    <d v="2025-07-11T00:00:00"/>
    <s v="EQ"/>
    <n v="1643.2"/>
    <n v="1655.5"/>
    <n v="1630"/>
    <n v="1663.7"/>
    <n v="1633.3"/>
    <n v="1638.3"/>
    <n v="1640.55"/>
    <n v="2012.2"/>
    <n v="1302.75"/>
    <n v="2548153"/>
    <n v="4180370504.4000001"/>
    <n v="91088"/>
    <x v="1"/>
    <n v="20.5"/>
    <x v="1"/>
    <n v="7"/>
    <x v="5"/>
    <n v="-0.15097152122178931"/>
  </r>
  <r>
    <d v="2025-07-10T00:00:00"/>
    <s v="EQ"/>
    <n v="1675"/>
    <n v="1679.9"/>
    <n v="1649"/>
    <n v="1674"/>
    <n v="1660.1"/>
    <n v="1663.7"/>
    <n v="1661.89"/>
    <n v="2012.2"/>
    <n v="1302.75"/>
    <n v="2740853"/>
    <n v="4554994008.6999998"/>
    <n v="87108"/>
    <x v="1"/>
    <n v="-1"/>
    <x v="1"/>
    <n v="7"/>
    <x v="5"/>
    <n v="-0.15097152122178931"/>
  </r>
  <r>
    <d v="2025-07-09T00:00:00"/>
    <s v="EQ"/>
    <n v="1710"/>
    <n v="1714.3"/>
    <n v="1671"/>
    <n v="1708.1"/>
    <n v="1673"/>
    <n v="1674"/>
    <n v="1680.92"/>
    <n v="2012.2"/>
    <n v="1302.75"/>
    <n v="2894808"/>
    <n v="4865926573.8000002"/>
    <n v="107899"/>
    <x v="1"/>
    <n v="-1.9000000000000909"/>
    <x v="1"/>
    <n v="7"/>
    <x v="5"/>
    <n v="-0.15097152122178931"/>
  </r>
  <r>
    <d v="2025-07-08T00:00:00"/>
    <s v="EQ"/>
    <n v="1700"/>
    <n v="1718.9"/>
    <n v="1687.5"/>
    <n v="1710.4"/>
    <n v="1700.1"/>
    <n v="1708.1"/>
    <n v="1704.55"/>
    <n v="2012.2"/>
    <n v="1302.75"/>
    <n v="2139193"/>
    <n v="3646356920.9000001"/>
    <n v="78574"/>
    <x v="1"/>
    <n v="10.400000000000091"/>
    <x v="1"/>
    <n v="7"/>
    <x v="5"/>
    <n v="-0.15097152122178931"/>
  </r>
  <r>
    <d v="2025-07-07T00:00:00"/>
    <s v="EQ"/>
    <n v="1725.5"/>
    <n v="1725.5"/>
    <n v="1703.3"/>
    <n v="1725.9"/>
    <n v="1707"/>
    <n v="1710.4"/>
    <n v="1711.09"/>
    <n v="2012.2"/>
    <n v="1302.75"/>
    <n v="1366412"/>
    <n v="2338060639.9000001"/>
    <n v="56478"/>
    <x v="1"/>
    <n v="0.40000000000009095"/>
    <x v="1"/>
    <n v="7"/>
    <x v="5"/>
    <n v="-0.15097152122178931"/>
  </r>
  <r>
    <d v="2025-07-04T00:00:00"/>
    <s v="EQ"/>
    <n v="1715"/>
    <n v="1729"/>
    <n v="1706.2"/>
    <n v="1711.9"/>
    <n v="1725.9"/>
    <n v="1725.9"/>
    <n v="1719.03"/>
    <n v="2012.2"/>
    <n v="1302.75"/>
    <n v="768500"/>
    <n v="1321075472.4000001"/>
    <n v="30997"/>
    <x v="1"/>
    <n v="-3.0999999999999091"/>
    <x v="1"/>
    <n v="7"/>
    <x v="5"/>
    <n v="-0.15097152122178931"/>
  </r>
  <r>
    <d v="2025-07-03T00:00:00"/>
    <s v="EQ"/>
    <n v="1716"/>
    <n v="1730.5"/>
    <n v="1706.5"/>
    <n v="1718.6"/>
    <n v="1710"/>
    <n v="1711.9"/>
    <n v="1718.24"/>
    <n v="2012.2"/>
    <n v="1302.75"/>
    <n v="1839063"/>
    <n v="3159957227.3000002"/>
    <n v="75766"/>
    <x v="1"/>
    <n v="2.5999999999999091"/>
    <x v="1"/>
    <n v="7"/>
    <x v="5"/>
    <n v="-0.15097152122178931"/>
  </r>
  <r>
    <d v="2025-07-02T00:00:00"/>
    <s v="EQ"/>
    <n v="1722"/>
    <n v="1738.5"/>
    <n v="1711"/>
    <n v="1718.3"/>
    <n v="1715"/>
    <n v="1718.6"/>
    <n v="1721.52"/>
    <n v="2012.2"/>
    <n v="1302.75"/>
    <n v="2069447"/>
    <n v="3562584157.8000002"/>
    <n v="80448"/>
    <x v="1"/>
    <n v="-3.7000000000000455"/>
    <x v="1"/>
    <n v="7"/>
    <x v="5"/>
    <n v="-0.15097152122178931"/>
  </r>
  <r>
    <d v="2025-07-01T00:00:00"/>
    <s v="EQ"/>
    <n v="1728.6"/>
    <n v="1745"/>
    <n v="1714"/>
    <n v="1728.6"/>
    <n v="1718"/>
    <n v="1718.3"/>
    <n v="1724.9"/>
    <n v="2012.2"/>
    <n v="1302.75"/>
    <n v="1639826"/>
    <n v="2828538647.3000002"/>
    <n v="87719"/>
    <x v="1"/>
    <n v="0"/>
    <x v="1"/>
    <n v="7"/>
    <x v="5"/>
    <n v="-0.15097152122178931"/>
  </r>
  <r>
    <d v="2025-06-30T00:00:00"/>
    <s v="EQ"/>
    <n v="1725"/>
    <n v="1734.8"/>
    <n v="1713.3"/>
    <n v="1723.3"/>
    <n v="1732"/>
    <n v="1728.6"/>
    <n v="1725.82"/>
    <n v="2012.2"/>
    <n v="1302.75"/>
    <n v="1855229"/>
    <n v="3201797967"/>
    <n v="79062"/>
    <x v="1"/>
    <n v="-1.7000000000000455"/>
    <x v="1"/>
    <n v="6"/>
    <x v="6"/>
    <n v="-0.15097152122178931"/>
  </r>
  <r>
    <d v="2025-06-27T00:00:00"/>
    <s v="EQ"/>
    <n v="1735"/>
    <n v="1752.5"/>
    <n v="1710.8"/>
    <n v="1724.1"/>
    <n v="1728.7"/>
    <n v="1723.3"/>
    <n v="1725.28"/>
    <n v="2012.2"/>
    <n v="1302.75"/>
    <n v="6478283"/>
    <n v="11176867159.6"/>
    <n v="150371"/>
    <x v="1"/>
    <n v="-10.900000000000091"/>
    <x v="1"/>
    <n v="6"/>
    <x v="6"/>
    <n v="-0.15097152122178931"/>
  </r>
  <r>
    <d v="2025-06-26T00:00:00"/>
    <s v="EQ"/>
    <n v="1710"/>
    <n v="1726.9"/>
    <n v="1702.7"/>
    <n v="1717.1"/>
    <n v="1722"/>
    <n v="1724.1"/>
    <n v="1719.14"/>
    <n v="2012.2"/>
    <n v="1302.75"/>
    <n v="2971055"/>
    <n v="5107646173.3999996"/>
    <n v="109096"/>
    <x v="1"/>
    <n v="7.0999999999999091"/>
    <x v="1"/>
    <n v="6"/>
    <x v="6"/>
    <n v="-0.15097152122178931"/>
  </r>
  <r>
    <d v="2025-06-25T00:00:00"/>
    <s v="EQ"/>
    <n v="1702"/>
    <n v="1720.7"/>
    <n v="1701"/>
    <n v="1691.8"/>
    <n v="1713.9"/>
    <n v="1717.1"/>
    <n v="1714.03"/>
    <n v="2012.2"/>
    <n v="1302.75"/>
    <n v="1307518"/>
    <n v="2241127887.5"/>
    <n v="67381"/>
    <x v="1"/>
    <n v="-10.200000000000045"/>
    <x v="1"/>
    <n v="6"/>
    <x v="6"/>
    <n v="-0.15097152122178931"/>
  </r>
  <r>
    <d v="2025-06-24T00:00:00"/>
    <s v="EQ"/>
    <n v="1719.9"/>
    <n v="1732.6"/>
    <n v="1689.2"/>
    <n v="1703.2"/>
    <n v="1691"/>
    <n v="1691.8"/>
    <n v="1704.45"/>
    <n v="2012.2"/>
    <n v="1302.75"/>
    <n v="3601071"/>
    <n v="6137832585.5"/>
    <n v="131869"/>
    <x v="1"/>
    <n v="-16.700000000000045"/>
    <x v="1"/>
    <n v="6"/>
    <x v="6"/>
    <n v="-0.15097152122178931"/>
  </r>
  <r>
    <d v="2025-06-23T00:00:00"/>
    <s v="EQ"/>
    <n v="1729.2"/>
    <n v="1729.8"/>
    <n v="1699.2"/>
    <n v="1739.9"/>
    <n v="1699.9"/>
    <n v="1703.2"/>
    <n v="1709.85"/>
    <n v="2012.2"/>
    <n v="1302.75"/>
    <n v="2221446"/>
    <n v="3798348110"/>
    <n v="78517"/>
    <x v="1"/>
    <n v="10.700000000000045"/>
    <x v="1"/>
    <n v="6"/>
    <x v="6"/>
    <n v="-0.15097152122178931"/>
  </r>
  <r>
    <d v="2025-06-20T00:00:00"/>
    <s v="EQ"/>
    <n v="1713.9"/>
    <n v="1742.6"/>
    <n v="1709.1"/>
    <n v="1713.9"/>
    <n v="1736.9"/>
    <n v="1739.9"/>
    <n v="1735.97"/>
    <n v="2012.2"/>
    <n v="1302.75"/>
    <n v="2719770"/>
    <n v="4721430011.8000002"/>
    <n v="77792"/>
    <x v="1"/>
    <n v="0"/>
    <x v="1"/>
    <n v="6"/>
    <x v="6"/>
    <n v="-0.15097152122178931"/>
  </r>
  <r>
    <d v="2025-06-19T00:00:00"/>
    <s v="EQ"/>
    <n v="1719.7"/>
    <n v="1719.7"/>
    <n v="1697.2"/>
    <n v="1715.9"/>
    <n v="1706.8"/>
    <n v="1713.9"/>
    <n v="1707.25"/>
    <n v="2012.2"/>
    <n v="1302.75"/>
    <n v="2514527"/>
    <n v="4292931949"/>
    <n v="110611"/>
    <x v="1"/>
    <n v="-3.7999999999999545"/>
    <x v="1"/>
    <n v="6"/>
    <x v="6"/>
    <n v="-0.15097152122178931"/>
  </r>
  <r>
    <d v="2025-06-18T00:00:00"/>
    <s v="EQ"/>
    <n v="1727.9"/>
    <n v="1745"/>
    <n v="1710"/>
    <n v="1729.6"/>
    <n v="1719.7"/>
    <n v="1715.9"/>
    <n v="1720.55"/>
    <n v="2012.2"/>
    <n v="1302.75"/>
    <n v="1794428"/>
    <n v="3087397101"/>
    <n v="73006"/>
    <x v="1"/>
    <n v="1.6999999999998181"/>
    <x v="1"/>
    <n v="6"/>
    <x v="6"/>
    <n v="-0.15097152122178931"/>
  </r>
  <r>
    <d v="2025-06-17T00:00:00"/>
    <s v="EQ"/>
    <n v="1728"/>
    <n v="1738.8"/>
    <n v="1720"/>
    <n v="1723"/>
    <n v="1728"/>
    <n v="1729.6"/>
    <n v="1731.35"/>
    <n v="2012.2"/>
    <n v="1302.75"/>
    <n v="1777245"/>
    <n v="3077026497.5"/>
    <n v="89362"/>
    <x v="1"/>
    <n v="-5"/>
    <x v="1"/>
    <n v="6"/>
    <x v="6"/>
    <n v="-0.15097152122178931"/>
  </r>
  <r>
    <d v="2025-06-16T00:00:00"/>
    <s v="EQ"/>
    <n v="1692"/>
    <n v="1729.4"/>
    <n v="1683.4"/>
    <n v="1695.3"/>
    <n v="1722"/>
    <n v="1723"/>
    <n v="1719.53"/>
    <n v="2012.2"/>
    <n v="1302.75"/>
    <n v="2116100"/>
    <n v="3638696112.5"/>
    <n v="80549"/>
    <x v="1"/>
    <n v="3.2999999999999545"/>
    <x v="1"/>
    <n v="6"/>
    <x v="6"/>
    <n v="-0.15097152122178931"/>
  </r>
  <r>
    <d v="2025-06-13T00:00:00"/>
    <s v="EQ"/>
    <n v="1666"/>
    <n v="1711"/>
    <n v="1664.6"/>
    <n v="1701.2"/>
    <n v="1697.4"/>
    <n v="1695.3"/>
    <n v="1693.86"/>
    <n v="2012.2"/>
    <n v="1302.75"/>
    <n v="1988422"/>
    <n v="3368100354.5"/>
    <n v="73815"/>
    <x v="1"/>
    <n v="35.200000000000045"/>
    <x v="1"/>
    <n v="6"/>
    <x v="6"/>
    <n v="-0.15097152122178931"/>
  </r>
  <r>
    <d v="2025-06-12T00:00:00"/>
    <s v="EQ"/>
    <n v="1725"/>
    <n v="1726"/>
    <n v="1695"/>
    <n v="1721.9"/>
    <n v="1702.4"/>
    <n v="1701.2"/>
    <n v="1706.01"/>
    <n v="2012.2"/>
    <n v="1302.75"/>
    <n v="3607962"/>
    <n v="6155229559.8999996"/>
    <n v="139910"/>
    <x v="1"/>
    <n v="-3.0999999999999091"/>
    <x v="1"/>
    <n v="6"/>
    <x v="6"/>
    <n v="-0.15097152122178931"/>
  </r>
  <r>
    <d v="2025-06-11T00:00:00"/>
    <s v="EQ"/>
    <n v="1676"/>
    <n v="1725.4"/>
    <n v="1666"/>
    <n v="1668.1"/>
    <n v="1721.3"/>
    <n v="1721.9"/>
    <n v="1707.99"/>
    <n v="2012.2"/>
    <n v="1302.75"/>
    <n v="5085821"/>
    <n v="8686517262.7000008"/>
    <n v="151276"/>
    <x v="1"/>
    <n v="-7.9000000000000909"/>
    <x v="1"/>
    <n v="6"/>
    <x v="6"/>
    <n v="-0.15097152122178931"/>
  </r>
  <r>
    <d v="2025-06-10T00:00:00"/>
    <s v="EQ"/>
    <n v="1653.3"/>
    <n v="1684.9"/>
    <n v="1649"/>
    <n v="1648.3"/>
    <n v="1670.7"/>
    <n v="1668.1"/>
    <n v="1671.68"/>
    <n v="2012.2"/>
    <n v="1302.75"/>
    <n v="3055223"/>
    <n v="5107346354.5"/>
    <n v="117723"/>
    <x v="1"/>
    <n v="-5"/>
    <x v="1"/>
    <n v="6"/>
    <x v="6"/>
    <n v="-0.15097152122178931"/>
  </r>
  <r>
    <d v="2025-06-09T00:00:00"/>
    <s v="EQ"/>
    <n v="1648"/>
    <n v="1658"/>
    <n v="1639"/>
    <n v="1637.7"/>
    <n v="1648.5"/>
    <n v="1648.3"/>
    <n v="1650.6"/>
    <n v="2012.2"/>
    <n v="1302.75"/>
    <n v="1299786"/>
    <n v="2145421805"/>
    <n v="78967"/>
    <x v="1"/>
    <n v="-10.299999999999955"/>
    <x v="1"/>
    <n v="6"/>
    <x v="6"/>
    <n v="-0.15097152122178931"/>
  </r>
  <r>
    <d v="2025-06-06T00:00:00"/>
    <s v="EQ"/>
    <n v="1631.2"/>
    <n v="1639.8"/>
    <n v="1622"/>
    <n v="1632.4"/>
    <n v="1638"/>
    <n v="1637.7"/>
    <n v="1633.47"/>
    <n v="2012.2"/>
    <n v="1235"/>
    <n v="1261281"/>
    <n v="2060270888.7"/>
    <n v="46092"/>
    <x v="1"/>
    <n v="1.2000000000000455"/>
    <x v="1"/>
    <n v="6"/>
    <x v="6"/>
    <n v="-0.15097152122178931"/>
  </r>
  <r>
    <d v="2025-06-05T00:00:00"/>
    <s v="EQ"/>
    <n v="1634.9"/>
    <n v="1653.9"/>
    <n v="1624.6"/>
    <n v="1626.1"/>
    <n v="1632.3"/>
    <n v="1632.4"/>
    <n v="1634.36"/>
    <n v="2012.2"/>
    <n v="1235"/>
    <n v="1409322"/>
    <n v="2303345799.8000002"/>
    <n v="67216"/>
    <x v="1"/>
    <n v="-8.8000000000001819"/>
    <x v="1"/>
    <n v="6"/>
    <x v="6"/>
    <n v="-0.15097152122178931"/>
  </r>
  <r>
    <d v="2025-06-04T00:00:00"/>
    <s v="EQ"/>
    <n v="1631"/>
    <n v="1644.6"/>
    <n v="1622.2"/>
    <n v="1630.4"/>
    <n v="1625.4"/>
    <n v="1626.1"/>
    <n v="1631.91"/>
    <n v="2012.2"/>
    <n v="1235"/>
    <n v="1659720"/>
    <n v="2708512287.0999999"/>
    <n v="70129"/>
    <x v="1"/>
    <n v="-0.59999999999990905"/>
    <x v="1"/>
    <n v="6"/>
    <x v="6"/>
    <n v="-0.15097152122178931"/>
  </r>
  <r>
    <d v="2025-06-03T00:00:00"/>
    <s v="EQ"/>
    <n v="1646.9"/>
    <n v="1651.7"/>
    <n v="1617"/>
    <n v="1631.5"/>
    <n v="1630.5"/>
    <n v="1630.4"/>
    <n v="1631.03"/>
    <n v="2012.2"/>
    <n v="1235"/>
    <n v="2380133"/>
    <n v="3882076505"/>
    <n v="117240"/>
    <x v="1"/>
    <n v="-15.400000000000091"/>
    <x v="1"/>
    <n v="6"/>
    <x v="6"/>
    <n v="-0.15097152122178931"/>
  </r>
  <r>
    <d v="2025-06-02T00:00:00"/>
    <s v="EQ"/>
    <n v="1625.1"/>
    <n v="1635.2"/>
    <n v="1605.7"/>
    <n v="1636.6"/>
    <n v="1628"/>
    <n v="1631.5"/>
    <n v="1624.66"/>
    <n v="2012.2"/>
    <n v="1235"/>
    <n v="1883100"/>
    <n v="3059394023.0999999"/>
    <n v="87270"/>
    <x v="1"/>
    <n v="11.5"/>
    <x v="1"/>
    <n v="6"/>
    <x v="6"/>
    <n v="-0.15097152122178931"/>
  </r>
  <r>
    <d v="2025-05-30T00:00:00"/>
    <s v="EQ"/>
    <n v="1664.7"/>
    <n v="1664.7"/>
    <n v="1627.3"/>
    <n v="1664.7"/>
    <n v="1631.5"/>
    <n v="1636.6"/>
    <n v="1640.93"/>
    <n v="2012.2"/>
    <n v="1235"/>
    <n v="4408910"/>
    <n v="7234713454"/>
    <n v="100975"/>
    <x v="1"/>
    <n v="0"/>
    <x v="1"/>
    <n v="5"/>
    <x v="7"/>
    <n v="-0.15097152122178931"/>
  </r>
  <r>
    <d v="2025-05-29T00:00:00"/>
    <s v="EQ"/>
    <n v="1670"/>
    <n v="1675.5"/>
    <n v="1655.6"/>
    <n v="1657.3"/>
    <n v="1665.5"/>
    <n v="1664.7"/>
    <n v="1663.36"/>
    <n v="2012.2"/>
    <n v="1235"/>
    <n v="2374051"/>
    <n v="3948895883.1999998"/>
    <n v="81223"/>
    <x v="1"/>
    <n v="-12.700000000000045"/>
    <x v="1"/>
    <n v="5"/>
    <x v="7"/>
    <n v="-0.15097152122178931"/>
  </r>
  <r>
    <d v="2025-05-28T00:00:00"/>
    <s v="EQ"/>
    <n v="1664"/>
    <n v="1666.8"/>
    <n v="1647"/>
    <n v="1652.1"/>
    <n v="1660"/>
    <n v="1657.3"/>
    <n v="1654.59"/>
    <n v="2012.2"/>
    <n v="1235"/>
    <n v="1775441"/>
    <n v="2937633522.5"/>
    <n v="59437"/>
    <x v="1"/>
    <n v="-11.900000000000091"/>
    <x v="1"/>
    <n v="5"/>
    <x v="7"/>
    <n v="-0.15097152122178931"/>
  </r>
  <r>
    <d v="2025-05-27T00:00:00"/>
    <s v="EQ"/>
    <n v="1673.8"/>
    <n v="1675.5"/>
    <n v="1641.5"/>
    <n v="1673.6"/>
    <n v="1654.9"/>
    <n v="1652.1"/>
    <n v="1654.27"/>
    <n v="2012.2"/>
    <n v="1235"/>
    <n v="2740015"/>
    <n v="4532722727.3000002"/>
    <n v="97349"/>
    <x v="1"/>
    <n v="-0.20000000000004547"/>
    <x v="1"/>
    <n v="5"/>
    <x v="7"/>
    <n v="-0.15097152122178931"/>
  </r>
  <r>
    <d v="2025-05-26T00:00:00"/>
    <s v="EQ"/>
    <n v="1652.4"/>
    <n v="1675.8"/>
    <n v="1645.6"/>
    <n v="1648.2"/>
    <n v="1673.8"/>
    <n v="1673.6"/>
    <n v="1669.56"/>
    <n v="2012.2"/>
    <n v="1235"/>
    <n v="1078813"/>
    <n v="1801147339.4000001"/>
    <n v="46732"/>
    <x v="1"/>
    <n v="-4.2000000000000455"/>
    <x v="1"/>
    <n v="5"/>
    <x v="7"/>
    <n v="-0.15097152122178931"/>
  </r>
  <r>
    <d v="2025-05-23T00:00:00"/>
    <s v="EQ"/>
    <n v="1633"/>
    <n v="1670.8"/>
    <n v="1622.5"/>
    <n v="1633"/>
    <n v="1649.5"/>
    <n v="1648.2"/>
    <n v="1655.65"/>
    <n v="2012.2"/>
    <n v="1235"/>
    <n v="1459454"/>
    <n v="2416346063.5999999"/>
    <n v="52849"/>
    <x v="1"/>
    <n v="0"/>
    <x v="1"/>
    <n v="5"/>
    <x v="7"/>
    <n v="-0.15097152122178931"/>
  </r>
  <r>
    <d v="2025-05-22T00:00:00"/>
    <s v="EQ"/>
    <n v="1638.4"/>
    <n v="1640.7"/>
    <n v="1614"/>
    <n v="1652"/>
    <n v="1640"/>
    <n v="1633"/>
    <n v="1629.6"/>
    <n v="2012.2"/>
    <n v="1235"/>
    <n v="2202093"/>
    <n v="3588534592.5"/>
    <n v="87046"/>
    <x v="1"/>
    <n v="13.599999999999909"/>
    <x v="1"/>
    <n v="5"/>
    <x v="7"/>
    <n v="-0.15097152122178931"/>
  </r>
  <r>
    <d v="2025-05-21T00:00:00"/>
    <s v="EQ"/>
    <n v="1645"/>
    <n v="1657.5"/>
    <n v="1628.4"/>
    <n v="1638.3"/>
    <n v="1649"/>
    <n v="1652"/>
    <n v="1648.03"/>
    <n v="2012.2"/>
    <n v="1235"/>
    <n v="1420835"/>
    <n v="2341573076.5"/>
    <n v="51082"/>
    <x v="1"/>
    <n v="-6.7000000000000455"/>
    <x v="1"/>
    <n v="5"/>
    <x v="7"/>
    <n v="-0.15097152122178931"/>
  </r>
  <r>
    <d v="2025-05-20T00:00:00"/>
    <s v="EQ"/>
    <n v="1660.8"/>
    <n v="1666"/>
    <n v="1636.4"/>
    <n v="1649.6"/>
    <n v="1640"/>
    <n v="1638.3"/>
    <n v="1645.92"/>
    <n v="2012.2"/>
    <n v="1235"/>
    <n v="2421580"/>
    <n v="3985723342.6999998"/>
    <n v="80612"/>
    <x v="1"/>
    <n v="-11.200000000000045"/>
    <x v="1"/>
    <n v="5"/>
    <x v="7"/>
    <n v="-0.15097152122178931"/>
  </r>
  <r>
    <d v="2025-05-19T00:00:00"/>
    <s v="EQ"/>
    <n v="1661"/>
    <n v="1664"/>
    <n v="1638.1"/>
    <n v="1659.9"/>
    <n v="1651"/>
    <n v="1649.6"/>
    <n v="1648.41"/>
    <n v="2012.2"/>
    <n v="1235"/>
    <n v="1642018"/>
    <n v="2706723262.1999998"/>
    <n v="91252"/>
    <x v="1"/>
    <n v="-1.0999999999999091"/>
    <x v="1"/>
    <n v="5"/>
    <x v="7"/>
    <n v="-0.15097152122178931"/>
  </r>
  <r>
    <d v="2025-05-16T00:00:00"/>
    <s v="EQ"/>
    <n v="1691.9"/>
    <n v="1693.5"/>
    <n v="1658"/>
    <n v="1696"/>
    <n v="1661"/>
    <n v="1659.9"/>
    <n v="1667.09"/>
    <n v="2012.2"/>
    <n v="1235"/>
    <n v="2586263"/>
    <n v="4311543189.1999998"/>
    <n v="99649"/>
    <x v="1"/>
    <n v="4.0999999999999091"/>
    <x v="1"/>
    <n v="5"/>
    <x v="7"/>
    <n v="-0.15097152122178931"/>
  </r>
  <r>
    <d v="2025-05-15T00:00:00"/>
    <s v="EQ"/>
    <n v="1650"/>
    <n v="1702.6"/>
    <n v="1625"/>
    <n v="1637.7"/>
    <n v="1692"/>
    <n v="1696"/>
    <n v="1671.48"/>
    <n v="2012.2"/>
    <n v="1235"/>
    <n v="4961582"/>
    <n v="8293207213.5"/>
    <n v="184925"/>
    <x v="1"/>
    <n v="-12.299999999999955"/>
    <x v="1"/>
    <n v="5"/>
    <x v="7"/>
    <n v="-0.15097152122178931"/>
  </r>
  <r>
    <d v="2025-05-14T00:00:00"/>
    <s v="EQ"/>
    <n v="1630"/>
    <n v="1642.3"/>
    <n v="1617"/>
    <n v="1619.6"/>
    <n v="1641.3"/>
    <n v="1637.7"/>
    <n v="1632.79"/>
    <n v="2012.2"/>
    <n v="1235"/>
    <n v="1569126"/>
    <n v="2562050834.0999999"/>
    <n v="83272"/>
    <x v="1"/>
    <n v="-10.400000000000091"/>
    <x v="1"/>
    <n v="5"/>
    <x v="7"/>
    <n v="-0.15097152122178931"/>
  </r>
  <r>
    <d v="2025-05-13T00:00:00"/>
    <s v="EQ"/>
    <n v="1685"/>
    <n v="1688.1"/>
    <n v="1615.2"/>
    <n v="1670.3"/>
    <n v="1619.9"/>
    <n v="1619.6"/>
    <n v="1632.9"/>
    <n v="2012.2"/>
    <n v="1235"/>
    <n v="3118470"/>
    <n v="5092158125.3000002"/>
    <n v="119292"/>
    <x v="1"/>
    <n v="-14.700000000000045"/>
    <x v="1"/>
    <n v="5"/>
    <x v="7"/>
    <n v="-0.15097152122178931"/>
  </r>
  <r>
    <d v="2025-05-12T00:00:00"/>
    <s v="EQ"/>
    <n v="1598.8"/>
    <n v="1675"/>
    <n v="1594"/>
    <n v="1569.4"/>
    <n v="1663"/>
    <n v="1670.3"/>
    <n v="1651.26"/>
    <n v="2012.2"/>
    <n v="1235"/>
    <n v="4028207"/>
    <n v="6651610416"/>
    <n v="133071"/>
    <x v="1"/>
    <n v="-29.399999999999864"/>
    <x v="1"/>
    <n v="5"/>
    <x v="7"/>
    <n v="-0.15097152122178931"/>
  </r>
  <r>
    <d v="2025-05-09T00:00:00"/>
    <s v="EQ"/>
    <n v="1566"/>
    <n v="1577.7"/>
    <n v="1557.3"/>
    <n v="1580.7"/>
    <n v="1572.5"/>
    <n v="1569.4"/>
    <n v="1569.43"/>
    <n v="2012.2"/>
    <n v="1235"/>
    <n v="2035161"/>
    <n v="3194047826.0999999"/>
    <n v="85397"/>
    <x v="1"/>
    <n v="14.700000000000045"/>
    <x v="1"/>
    <n v="5"/>
    <x v="7"/>
    <n v="-0.15097152122178931"/>
  </r>
  <r>
    <d v="2025-05-08T00:00:00"/>
    <s v="EQ"/>
    <n v="1561.9"/>
    <n v="1598"/>
    <n v="1555.8"/>
    <n v="1563.3"/>
    <n v="1572.1"/>
    <n v="1580.7"/>
    <n v="1581.65"/>
    <n v="2012.2"/>
    <n v="1235"/>
    <n v="2789018"/>
    <n v="4411248439"/>
    <n v="98946"/>
    <x v="1"/>
    <n v="1.3999999999998636"/>
    <x v="1"/>
    <n v="5"/>
    <x v="7"/>
    <n v="-0.15097152122178931"/>
  </r>
  <r>
    <d v="2025-05-07T00:00:00"/>
    <s v="EQ"/>
    <n v="1552"/>
    <n v="1578.4"/>
    <n v="1545"/>
    <n v="1579.1"/>
    <n v="1565.3"/>
    <n v="1563.3"/>
    <n v="1562.62"/>
    <n v="2012.2"/>
    <n v="1235"/>
    <n v="5469936"/>
    <n v="8547406780.5"/>
    <n v="128223"/>
    <x v="1"/>
    <n v="27.099999999999909"/>
    <x v="1"/>
    <n v="5"/>
    <x v="7"/>
    <n v="-0.15097152122178931"/>
  </r>
  <r>
    <d v="2025-05-06T00:00:00"/>
    <s v="EQ"/>
    <n v="1576.8"/>
    <n v="1583.8"/>
    <n v="1565.1"/>
    <n v="1568.6"/>
    <n v="1570"/>
    <n v="1579.1"/>
    <n v="1575.07"/>
    <n v="2012.2"/>
    <n v="1235"/>
    <n v="2055057"/>
    <n v="3236859717.5999999"/>
    <n v="86060"/>
    <x v="1"/>
    <n v="-8.2000000000000455"/>
    <x v="1"/>
    <n v="5"/>
    <x v="7"/>
    <n v="-0.15097152122178931"/>
  </r>
  <r>
    <d v="2025-05-05T00:00:00"/>
    <s v="EQ"/>
    <n v="1580"/>
    <n v="1597.7"/>
    <n v="1563.3"/>
    <n v="1576.5"/>
    <n v="1569"/>
    <n v="1568.6"/>
    <n v="1577.67"/>
    <n v="2012.2"/>
    <n v="1235"/>
    <n v="1012225"/>
    <n v="1596953874.3"/>
    <n v="59357"/>
    <x v="1"/>
    <n v="-3.5"/>
    <x v="1"/>
    <n v="5"/>
    <x v="7"/>
    <n v="-0.15097152122178931"/>
  </r>
  <r>
    <d v="2025-05-02T00:00:00"/>
    <s v="EQ"/>
    <n v="1567"/>
    <n v="1581"/>
    <n v="1557.1"/>
    <n v="1567.5"/>
    <n v="1572.4"/>
    <n v="1576.5"/>
    <n v="1573.44"/>
    <n v="2012.2"/>
    <n v="1235"/>
    <n v="1895904"/>
    <n v="2983089247.1999998"/>
    <n v="93227"/>
    <x v="1"/>
    <n v="0.5"/>
    <x v="1"/>
    <n v="5"/>
    <x v="7"/>
    <n v="-0.15097152122178931"/>
  </r>
  <r>
    <d v="2025-04-30T00:00:00"/>
    <s v="EQ"/>
    <n v="1571"/>
    <n v="1587.9"/>
    <n v="1554"/>
    <n v="1569"/>
    <n v="1556.5"/>
    <n v="1567.5"/>
    <n v="1569.92"/>
    <n v="2012.2"/>
    <n v="1235"/>
    <n v="3682256"/>
    <n v="5780840520.3000002"/>
    <n v="129457"/>
    <x v="1"/>
    <n v="-2"/>
    <x v="1"/>
    <n v="4"/>
    <x v="8"/>
    <n v="-0.15097152122178931"/>
  </r>
  <r>
    <d v="2025-04-29T00:00:00"/>
    <s v="EQ"/>
    <n v="1555"/>
    <n v="1580.8"/>
    <n v="1548.1"/>
    <n v="1549.3"/>
    <n v="1570"/>
    <n v="1569"/>
    <n v="1564.53"/>
    <n v="2012.2"/>
    <n v="1235"/>
    <n v="2231069"/>
    <n v="3490564859.9000001"/>
    <n v="89109"/>
    <x v="1"/>
    <n v="-5.7000000000000455"/>
    <x v="1"/>
    <n v="4"/>
    <x v="8"/>
    <n v="-0.15097152122178931"/>
  </r>
  <r>
    <d v="2025-04-28T00:00:00"/>
    <s v="EQ"/>
    <n v="1565"/>
    <n v="1569.4"/>
    <n v="1537.1"/>
    <n v="1578.2"/>
    <n v="1550"/>
    <n v="1549.3"/>
    <n v="1548.84"/>
    <n v="2012.2"/>
    <n v="1235"/>
    <n v="2618810"/>
    <n v="4056115149.6999998"/>
    <n v="107060"/>
    <x v="1"/>
    <n v="13.200000000000045"/>
    <x v="1"/>
    <n v="4"/>
    <x v="8"/>
    <n v="-0.15097152122178931"/>
  </r>
  <r>
    <d v="2025-04-25T00:00:00"/>
    <s v="EQ"/>
    <n v="1590"/>
    <n v="1618"/>
    <n v="1568.1"/>
    <n v="1586.7"/>
    <n v="1576.4"/>
    <n v="1578.2"/>
    <n v="1583.92"/>
    <n v="2012.2"/>
    <n v="1235"/>
    <n v="3800415"/>
    <n v="6019563732.6000004"/>
    <n v="118647"/>
    <x v="1"/>
    <n v="-3.2999999999999545"/>
    <x v="1"/>
    <n v="4"/>
    <x v="8"/>
    <n v="-0.15097152122178931"/>
  </r>
  <r>
    <d v="2025-04-24T00:00:00"/>
    <s v="EQ"/>
    <n v="1595"/>
    <n v="1603.3"/>
    <n v="1576.1"/>
    <n v="1594"/>
    <n v="1590.3"/>
    <n v="1586.7"/>
    <n v="1587.95"/>
    <n v="2012.2"/>
    <n v="1235"/>
    <n v="3193118"/>
    <n v="5070521059.3000002"/>
    <n v="123766"/>
    <x v="1"/>
    <n v="-1"/>
    <x v="1"/>
    <n v="4"/>
    <x v="8"/>
    <n v="-0.15097152122178931"/>
  </r>
  <r>
    <d v="2025-04-23T00:00:00"/>
    <s v="EQ"/>
    <n v="1555"/>
    <n v="1600"/>
    <n v="1543.7"/>
    <n v="1479.9"/>
    <n v="1594.4"/>
    <n v="1594"/>
    <n v="1583.28"/>
    <n v="2012.2"/>
    <n v="1235"/>
    <n v="13293318"/>
    <n v="21046993578.599998"/>
    <n v="329993"/>
    <x v="1"/>
    <n v="-75.099999999999909"/>
    <x v="1"/>
    <n v="4"/>
    <x v="8"/>
    <n v="-0.15097152122178931"/>
  </r>
  <r>
    <d v="2025-04-22T00:00:00"/>
    <s v="EQ"/>
    <n v="1490"/>
    <n v="1499.9"/>
    <n v="1464.5"/>
    <n v="1482"/>
    <n v="1485.9"/>
    <n v="1479.9"/>
    <n v="1480.59"/>
    <n v="2012.2"/>
    <n v="1235"/>
    <n v="2608145"/>
    <n v="3861596452.8000002"/>
    <n v="95264"/>
    <x v="1"/>
    <n v="-8"/>
    <x v="1"/>
    <n v="4"/>
    <x v="8"/>
    <n v="-0.15097152122178931"/>
  </r>
  <r>
    <d v="2025-04-21T00:00:00"/>
    <s v="EQ"/>
    <n v="1435"/>
    <n v="1499"/>
    <n v="1430"/>
    <n v="1438"/>
    <n v="1478"/>
    <n v="1482"/>
    <n v="1473.95"/>
    <n v="2012.2"/>
    <n v="1235"/>
    <n v="2840104"/>
    <n v="4186173438.5999999"/>
    <n v="97809"/>
    <x v="1"/>
    <n v="3"/>
    <x v="1"/>
    <n v="4"/>
    <x v="8"/>
    <n v="-0.15097152122178931"/>
  </r>
  <r>
    <d v="2025-04-17T00:00:00"/>
    <s v="EQ"/>
    <n v="1420"/>
    <n v="1442.1"/>
    <n v="1384"/>
    <n v="1431.7"/>
    <n v="1439"/>
    <n v="1438"/>
    <n v="1409.58"/>
    <n v="2012.2"/>
    <n v="1235"/>
    <n v="3549969"/>
    <n v="5003973557.1999998"/>
    <n v="168356"/>
    <x v="1"/>
    <n v="11.700000000000045"/>
    <x v="1"/>
    <n v="4"/>
    <x v="8"/>
    <n v="-0.15097152122178931"/>
  </r>
  <r>
    <d v="2025-04-16T00:00:00"/>
    <s v="EQ"/>
    <n v="1415"/>
    <n v="1436.1"/>
    <n v="1405.5"/>
    <n v="1426.5"/>
    <n v="1434"/>
    <n v="1431.7"/>
    <n v="1424.34"/>
    <n v="2012.2"/>
    <n v="1235"/>
    <n v="2553111"/>
    <n v="3636487592.8000002"/>
    <n v="93892"/>
    <x v="1"/>
    <n v="11.5"/>
    <x v="1"/>
    <n v="4"/>
    <x v="8"/>
    <n v="-0.15097152122178931"/>
  </r>
  <r>
    <d v="2025-04-15T00:00:00"/>
    <s v="EQ"/>
    <n v="1420"/>
    <n v="1428.8"/>
    <n v="1406"/>
    <n v="1390.55"/>
    <n v="1426"/>
    <n v="1426.5"/>
    <n v="1420.09"/>
    <n v="2012.2"/>
    <n v="1235"/>
    <n v="3265147"/>
    <n v="4636787070.1000004"/>
    <n v="94027"/>
    <x v="1"/>
    <n v="-29.450000000000045"/>
    <x v="1"/>
    <n v="4"/>
    <x v="8"/>
    <n v="-0.15097152122178931"/>
  </r>
  <r>
    <d v="2025-04-11T00:00:00"/>
    <s v="EQ"/>
    <n v="1360"/>
    <n v="1425"/>
    <n v="1360"/>
    <n v="1380"/>
    <n v="1393.5"/>
    <n v="1390.55"/>
    <n v="1399.73"/>
    <n v="2012.2"/>
    <n v="1235"/>
    <n v="4859622"/>
    <n v="6802145997.6000004"/>
    <n v="185045"/>
    <x v="1"/>
    <n v="20"/>
    <x v="1"/>
    <n v="4"/>
    <x v="8"/>
    <n v="-0.15097152122178931"/>
  </r>
  <r>
    <d v="2025-04-09T00:00:00"/>
    <s v="EQ"/>
    <n v="1380.65"/>
    <n v="1388.7"/>
    <n v="1357.05"/>
    <n v="1403.35"/>
    <n v="1380.7"/>
    <n v="1380"/>
    <n v="1377.67"/>
    <n v="2012.2"/>
    <n v="1235"/>
    <n v="3306801"/>
    <n v="4555685085.3500004"/>
    <n v="135840"/>
    <x v="1"/>
    <n v="22.699999999999818"/>
    <x v="1"/>
    <n v="4"/>
    <x v="8"/>
    <n v="-0.15097152122178931"/>
  </r>
  <r>
    <d v="2025-04-08T00:00:00"/>
    <s v="EQ"/>
    <n v="1380"/>
    <n v="1424.25"/>
    <n v="1372"/>
    <n v="1374.1"/>
    <n v="1402.9"/>
    <n v="1403.35"/>
    <n v="1396.09"/>
    <n v="2012.2"/>
    <n v="1235"/>
    <n v="3938359"/>
    <n v="5498293565.6000004"/>
    <n v="147712"/>
    <x v="1"/>
    <n v="-5.9000000000000909"/>
    <x v="1"/>
    <n v="4"/>
    <x v="8"/>
    <n v="-0.15097152122178931"/>
  </r>
  <r>
    <d v="2025-04-07T00:00:00"/>
    <s v="EQ"/>
    <n v="1345"/>
    <n v="1383.75"/>
    <n v="1302.75"/>
    <n v="1422.1"/>
    <n v="1377.95"/>
    <n v="1374.1"/>
    <n v="1341.53"/>
    <n v="2012.2"/>
    <n v="1235"/>
    <n v="6484139"/>
    <n v="8698642588.8500004"/>
    <n v="266089"/>
    <x v="1"/>
    <n v="77.099999999999909"/>
    <x v="1"/>
    <n v="4"/>
    <x v="8"/>
    <n v="-0.15097152122178931"/>
  </r>
  <r>
    <d v="2025-04-04T00:00:00"/>
    <s v="EQ"/>
    <n v="1449"/>
    <n v="1456.2"/>
    <n v="1419.1"/>
    <n v="1470.1"/>
    <n v="1427"/>
    <n v="1422.1"/>
    <n v="1433.64"/>
    <n v="2012.2"/>
    <n v="1235"/>
    <n v="4421312"/>
    <n v="6338587669.1999998"/>
    <n v="196195"/>
    <x v="1"/>
    <n v="21.099999999999909"/>
    <x v="1"/>
    <n v="4"/>
    <x v="8"/>
    <n v="-0.15097152122178931"/>
  </r>
  <r>
    <d v="2025-04-03T00:00:00"/>
    <s v="EQ"/>
    <n v="1500"/>
    <n v="1500"/>
    <n v="1465"/>
    <n v="1527.55"/>
    <n v="1468.4"/>
    <n v="1470.1"/>
    <n v="1477.26"/>
    <n v="2012.2"/>
    <n v="1235"/>
    <n v="3966161"/>
    <n v="5859047298.6999998"/>
    <n v="214252"/>
    <x v="1"/>
    <n v="27.549999999999955"/>
    <x v="1"/>
    <n v="4"/>
    <x v="8"/>
    <n v="-0.15097152122178931"/>
  </r>
  <r>
    <d v="2025-04-02T00:00:00"/>
    <s v="EQ"/>
    <n v="1515"/>
    <n v="1538.55"/>
    <n v="1506.4"/>
    <n v="1530.35"/>
    <n v="1531"/>
    <n v="1527.55"/>
    <n v="1524.27"/>
    <n v="2012.2"/>
    <n v="1235"/>
    <n v="3167863"/>
    <n v="4828663976.3999996"/>
    <n v="108710"/>
    <x v="1"/>
    <n v="15.349999999999909"/>
    <x v="1"/>
    <n v="4"/>
    <x v="8"/>
    <n v="-0.15097152122178931"/>
  </r>
  <r>
    <d v="2025-04-01T00:00:00"/>
    <s v="EQ"/>
    <n v="1577"/>
    <n v="1585"/>
    <n v="1526.1"/>
    <n v="1592.5"/>
    <n v="1534.5"/>
    <n v="1530.35"/>
    <n v="1549.26"/>
    <n v="2012.2"/>
    <n v="1235"/>
    <n v="4126827"/>
    <n v="6393517652.3500004"/>
    <n v="191916"/>
    <x v="1"/>
    <n v="15.5"/>
    <x v="1"/>
    <n v="4"/>
    <x v="8"/>
    <n v="-0.15097152122178931"/>
  </r>
  <r>
    <d v="2025-03-28T00:00:00"/>
    <s v="EQ"/>
    <n v="1616.1"/>
    <n v="1625.55"/>
    <n v="1581.6"/>
    <n v="1630.15"/>
    <n v="1591"/>
    <n v="1592.5"/>
    <n v="1603.17"/>
    <n v="2012.2"/>
    <n v="1235"/>
    <n v="2211077"/>
    <n v="3544737955.4499998"/>
    <n v="80891"/>
    <x v="1"/>
    <n v="14.050000000000182"/>
    <x v="1"/>
    <n v="3"/>
    <x v="9"/>
    <n v="-0.15097152122178931"/>
  </r>
  <r>
    <d v="2025-03-27T00:00:00"/>
    <s v="EQ"/>
    <n v="1625.65"/>
    <n v="1645"/>
    <n v="1613.55"/>
    <n v="1633.4"/>
    <n v="1637.25"/>
    <n v="1630.15"/>
    <n v="1626.44"/>
    <n v="2012.2"/>
    <n v="1235"/>
    <n v="3383080"/>
    <n v="5502369601.75"/>
    <n v="112017"/>
    <x v="1"/>
    <n v="7.75"/>
    <x v="1"/>
    <n v="3"/>
    <x v="9"/>
    <n v="-0.15097152122178931"/>
  </r>
  <r>
    <d v="2025-03-26T00:00:00"/>
    <s v="EQ"/>
    <n v="1624.9"/>
    <n v="1644.95"/>
    <n v="1622"/>
    <n v="1624.9"/>
    <n v="1625.65"/>
    <n v="1633.4"/>
    <n v="1634.48"/>
    <n v="2012.2"/>
    <n v="1235"/>
    <n v="3096513"/>
    <n v="5061183927.4499998"/>
    <n v="106271"/>
    <x v="1"/>
    <n v="0"/>
    <x v="1"/>
    <n v="3"/>
    <x v="9"/>
    <n v="-0.15097152122178931"/>
  </r>
  <r>
    <d v="2025-03-25T00:00:00"/>
    <s v="EQ"/>
    <n v="1622"/>
    <n v="1658.95"/>
    <n v="1618.95"/>
    <n v="1604.15"/>
    <n v="1621.05"/>
    <n v="1624.9"/>
    <n v="1633.44"/>
    <n v="2012.2"/>
    <n v="1235"/>
    <n v="4906013"/>
    <n v="8013690211.6499996"/>
    <n v="175718"/>
    <x v="1"/>
    <n v="-17.849999999999909"/>
    <x v="1"/>
    <n v="3"/>
    <x v="9"/>
    <n v="-0.15097152122178931"/>
  </r>
  <r>
    <d v="2025-03-24T00:00:00"/>
    <s v="EQ"/>
    <n v="1591"/>
    <n v="1610.9"/>
    <n v="1560"/>
    <n v="1566.7"/>
    <n v="1602.85"/>
    <n v="1604.15"/>
    <n v="1590.29"/>
    <n v="2012.2"/>
    <n v="1235"/>
    <n v="2487843"/>
    <n v="3956391435.8000002"/>
    <n v="100840"/>
    <x v="1"/>
    <n v="-24.299999999999955"/>
    <x v="1"/>
    <n v="3"/>
    <x v="9"/>
    <n v="-0.15097152122178931"/>
  </r>
  <r>
    <d v="2025-03-21T00:00:00"/>
    <s v="EQ"/>
    <n v="1535.1"/>
    <n v="1592.05"/>
    <n v="1521.5"/>
    <n v="1562"/>
    <n v="1565"/>
    <n v="1566.7"/>
    <n v="1567.64"/>
    <n v="2012.2"/>
    <n v="1235"/>
    <n v="8109210"/>
    <n v="12712307970.700001"/>
    <n v="157465"/>
    <x v="1"/>
    <n v="26.900000000000091"/>
    <x v="1"/>
    <n v="3"/>
    <x v="9"/>
    <n v="-0.15097152122178931"/>
  </r>
  <r>
    <d v="2025-03-20T00:00:00"/>
    <s v="EQ"/>
    <n v="1547.85"/>
    <n v="1582.1"/>
    <n v="1547.05"/>
    <n v="1544.45"/>
    <n v="1555"/>
    <n v="1562"/>
    <n v="1568.78"/>
    <n v="2012.2"/>
    <n v="1235"/>
    <n v="4608677"/>
    <n v="7229982395.5"/>
    <n v="183935"/>
    <x v="1"/>
    <n v="-3.3999999999998636"/>
    <x v="1"/>
    <n v="3"/>
    <x v="9"/>
    <n v="-0.15097152122178931"/>
  </r>
  <r>
    <d v="2025-03-19T00:00:00"/>
    <s v="EQ"/>
    <n v="1558.5"/>
    <n v="1561.35"/>
    <n v="1525.1"/>
    <n v="1558.2"/>
    <n v="1547"/>
    <n v="1544.45"/>
    <n v="1536.19"/>
    <n v="2012.2"/>
    <n v="1235"/>
    <n v="4522829"/>
    <n v="6947916763.1000004"/>
    <n v="163793"/>
    <x v="1"/>
    <n v="-0.29999999999995453"/>
    <x v="1"/>
    <n v="3"/>
    <x v="9"/>
    <n v="-0.15097152122178931"/>
  </r>
  <r>
    <d v="2025-03-18T00:00:00"/>
    <s v="EQ"/>
    <n v="1545.15"/>
    <n v="1560.95"/>
    <n v="1530.65"/>
    <n v="1545.15"/>
    <n v="1560.95"/>
    <n v="1558.2"/>
    <n v="1553.11"/>
    <n v="2012.2"/>
    <n v="1235"/>
    <n v="2930865"/>
    <n v="4551948771.1499996"/>
    <n v="110392"/>
    <x v="1"/>
    <n v="0"/>
    <x v="1"/>
    <n v="3"/>
    <x v="9"/>
    <n v="-0.15097152122178931"/>
  </r>
  <r>
    <d v="2025-03-17T00:00:00"/>
    <s v="EQ"/>
    <n v="1528"/>
    <n v="1547.55"/>
    <n v="1519.05"/>
    <n v="1534.75"/>
    <n v="1545"/>
    <n v="1545.15"/>
    <n v="1532.81"/>
    <n v="2012.2"/>
    <n v="1235"/>
    <n v="2029100"/>
    <n v="3110221525.1999998"/>
    <n v="102852"/>
    <x v="1"/>
    <n v="6.75"/>
    <x v="1"/>
    <n v="3"/>
    <x v="9"/>
    <n v="-0.15097152122178931"/>
  </r>
  <r>
    <d v="2025-03-13T00:00:00"/>
    <s v="EQ"/>
    <n v="1540.6"/>
    <n v="1547.95"/>
    <n v="1529.15"/>
    <n v="1540.6"/>
    <n v="1532"/>
    <n v="1534.75"/>
    <n v="1536.04"/>
    <n v="2012.2"/>
    <n v="1235"/>
    <n v="1983351"/>
    <n v="3046509090.1999998"/>
    <n v="109012"/>
    <x v="1"/>
    <n v="0"/>
    <x v="1"/>
    <n v="3"/>
    <x v="9"/>
    <n v="-0.15097152122178931"/>
  </r>
  <r>
    <d v="2025-03-12T00:00:00"/>
    <s v="EQ"/>
    <n v="1556"/>
    <n v="1565"/>
    <n v="1507.1"/>
    <n v="1567.85"/>
    <n v="1537.6"/>
    <n v="1540.6"/>
    <n v="1526.42"/>
    <n v="2012.2"/>
    <n v="1235"/>
    <n v="3113860"/>
    <n v="4753043277.8999996"/>
    <n v="127422"/>
    <x v="1"/>
    <n v="11.849999999999909"/>
    <x v="1"/>
    <n v="3"/>
    <x v="9"/>
    <n v="-0.15097152122178931"/>
  </r>
  <r>
    <d v="2025-03-11T00:00:00"/>
    <s v="EQ"/>
    <n v="1529.95"/>
    <n v="1573.95"/>
    <n v="1522.6"/>
    <n v="1549.3"/>
    <n v="1567"/>
    <n v="1567.85"/>
    <n v="1553.21"/>
    <n v="2012.2"/>
    <n v="1235"/>
    <n v="1846190"/>
    <n v="2867523976"/>
    <n v="116653"/>
    <x v="1"/>
    <n v="19.349999999999909"/>
    <x v="1"/>
    <n v="3"/>
    <x v="9"/>
    <n v="-0.15097152122178931"/>
  </r>
  <r>
    <d v="2025-03-10T00:00:00"/>
    <s v="EQ"/>
    <n v="1557"/>
    <n v="1572.45"/>
    <n v="1547"/>
    <n v="1557.95"/>
    <n v="1549.8"/>
    <n v="1549.3"/>
    <n v="1558.35"/>
    <n v="2012.2"/>
    <n v="1235"/>
    <n v="1855766"/>
    <n v="2891926346.0999999"/>
    <n v="111573"/>
    <x v="1"/>
    <n v="0.95000000000004547"/>
    <x v="1"/>
    <n v="3"/>
    <x v="9"/>
    <n v="-0.15097152122178931"/>
  </r>
  <r>
    <d v="2025-03-07T00:00:00"/>
    <s v="EQ"/>
    <n v="1582.65"/>
    <n v="1587"/>
    <n v="1555.6"/>
    <n v="1585.45"/>
    <n v="1558.6"/>
    <n v="1557.95"/>
    <n v="1564.26"/>
    <n v="2012.2"/>
    <n v="1235"/>
    <n v="2091986"/>
    <n v="3272406893.8499999"/>
    <n v="117645"/>
    <x v="1"/>
    <n v="2.7999999999999545"/>
    <x v="1"/>
    <n v="3"/>
    <x v="9"/>
    <n v="-0.15097152122178931"/>
  </r>
  <r>
    <d v="2025-03-06T00:00:00"/>
    <s v="EQ"/>
    <n v="1580"/>
    <n v="1594.7"/>
    <n v="1575.15"/>
    <n v="1572.95"/>
    <n v="1582.65"/>
    <n v="1585.45"/>
    <n v="1584.44"/>
    <n v="2012.2"/>
    <n v="1235"/>
    <n v="2011489"/>
    <n v="3187093190.9499998"/>
    <n v="107474"/>
    <x v="1"/>
    <n v="-7.0499999999999545"/>
    <x v="1"/>
    <n v="3"/>
    <x v="9"/>
    <n v="-0.15097152122178931"/>
  </r>
  <r>
    <d v="2025-03-05T00:00:00"/>
    <s v="EQ"/>
    <n v="1532"/>
    <n v="1581.4"/>
    <n v="1531.05"/>
    <n v="1535.5"/>
    <n v="1573"/>
    <n v="1572.95"/>
    <n v="1569.69"/>
    <n v="2012.2"/>
    <n v="1235"/>
    <n v="3112003"/>
    <n v="4884879584.8000002"/>
    <n v="132849"/>
    <x v="1"/>
    <n v="3.5"/>
    <x v="1"/>
    <n v="3"/>
    <x v="9"/>
    <n v="-0.15097152122178931"/>
  </r>
  <r>
    <d v="2025-03-04T00:00:00"/>
    <s v="EQ"/>
    <n v="1560"/>
    <n v="1560"/>
    <n v="1523"/>
    <n v="1572.4"/>
    <n v="1536.5"/>
    <n v="1535.5"/>
    <n v="1539.73"/>
    <n v="2012.2"/>
    <n v="1235"/>
    <n v="3246644"/>
    <n v="4998968940.1999998"/>
    <n v="143743"/>
    <x v="1"/>
    <n v="12.400000000000091"/>
    <x v="1"/>
    <n v="3"/>
    <x v="9"/>
    <n v="-0.15097152122178931"/>
  </r>
  <r>
    <d v="2025-03-03T00:00:00"/>
    <s v="EQ"/>
    <n v="1575.05"/>
    <n v="1603.4"/>
    <n v="1568.45"/>
    <n v="1575.05"/>
    <n v="1573.8"/>
    <n v="1572.4"/>
    <n v="1579.48"/>
    <n v="2012.2"/>
    <n v="1235"/>
    <n v="1784684"/>
    <n v="2818878989.6999998"/>
    <n v="113522"/>
    <x v="1"/>
    <n v="0"/>
    <x v="1"/>
    <n v="3"/>
    <x v="9"/>
    <n v="-0.15097152122178931"/>
  </r>
  <r>
    <d v="2025-02-28T00:00:00"/>
    <s v="EQ"/>
    <n v="1612"/>
    <n v="1614.95"/>
    <n v="1562.45"/>
    <n v="1629.2"/>
    <n v="1576.7"/>
    <n v="1575.05"/>
    <n v="1574.6"/>
    <n v="2012.2"/>
    <n v="1235"/>
    <n v="4910121"/>
    <n v="7731460507.5"/>
    <n v="257806"/>
    <x v="1"/>
    <n v="17.200000000000045"/>
    <x v="1"/>
    <n v="2"/>
    <x v="10"/>
    <n v="-0.15097152122178931"/>
  </r>
  <r>
    <d v="2025-02-27T00:00:00"/>
    <s v="EQ"/>
    <n v="1620"/>
    <n v="1660"/>
    <n v="1615.2"/>
    <n v="1636.1"/>
    <n v="1621"/>
    <n v="1629.2"/>
    <n v="1626.13"/>
    <n v="2012.2"/>
    <n v="1235"/>
    <n v="2266866"/>
    <n v="3686219278"/>
    <n v="123330"/>
    <x v="1"/>
    <n v="16.099999999999909"/>
    <x v="1"/>
    <n v="2"/>
    <x v="10"/>
    <n v="-0.15097152122178931"/>
  </r>
  <r>
    <d v="2025-02-25T00:00:00"/>
    <s v="EQ"/>
    <n v="1636"/>
    <n v="1651.95"/>
    <n v="1631.25"/>
    <n v="1644.05"/>
    <n v="1635.1"/>
    <n v="1636.1"/>
    <n v="1640.84"/>
    <n v="2012.2"/>
    <n v="1235"/>
    <n v="1951519"/>
    <n v="3202123013.9000001"/>
    <n v="102638"/>
    <x v="1"/>
    <n v="8.0499999999999545"/>
    <x v="1"/>
    <n v="2"/>
    <x v="10"/>
    <n v="-0.15097152122178931"/>
  </r>
  <r>
    <d v="2025-02-24T00:00:00"/>
    <s v="EQ"/>
    <n v="1685"/>
    <n v="1690"/>
    <n v="1637.6"/>
    <n v="1700.7"/>
    <n v="1642.75"/>
    <n v="1644.05"/>
    <n v="1649.63"/>
    <n v="2012.2"/>
    <n v="1235"/>
    <n v="4455420"/>
    <n v="7349803888.0500002"/>
    <n v="253025"/>
    <x v="1"/>
    <n v="15.700000000000045"/>
    <x v="1"/>
    <n v="2"/>
    <x v="10"/>
    <n v="-0.15097152122178931"/>
  </r>
  <r>
    <d v="2025-02-21T00:00:00"/>
    <s v="EQ"/>
    <n v="1690"/>
    <n v="1704.15"/>
    <n v="1685.15"/>
    <n v="1687.55"/>
    <n v="1695.65"/>
    <n v="1700.7"/>
    <n v="1696.62"/>
    <n v="2012.2"/>
    <n v="1235"/>
    <n v="1222563"/>
    <n v="2074229080.55"/>
    <n v="113308"/>
    <x v="1"/>
    <n v="-2.4500000000000455"/>
    <x v="1"/>
    <n v="2"/>
    <x v="10"/>
    <n v="-0.15097152122178931"/>
  </r>
  <r>
    <d v="2025-02-20T00:00:00"/>
    <s v="EQ"/>
    <n v="1705.2"/>
    <n v="1714.55"/>
    <n v="1683.55"/>
    <n v="1712.3"/>
    <n v="1690.9"/>
    <n v="1687.55"/>
    <n v="1696.15"/>
    <n v="2012.2"/>
    <n v="1235"/>
    <n v="1681532"/>
    <n v="2852128062.3499999"/>
    <n v="127006"/>
    <x v="1"/>
    <n v="7.0999999999999091"/>
    <x v="1"/>
    <n v="2"/>
    <x v="10"/>
    <n v="-0.15097152122178931"/>
  </r>
  <r>
    <d v="2025-02-19T00:00:00"/>
    <s v="EQ"/>
    <n v="1723.2"/>
    <n v="1731.6"/>
    <n v="1703.45"/>
    <n v="1725.5"/>
    <n v="1710"/>
    <n v="1712.3"/>
    <n v="1714.19"/>
    <n v="2012.2"/>
    <n v="1235"/>
    <n v="1294110"/>
    <n v="2218347233.6500001"/>
    <n v="76094"/>
    <x v="1"/>
    <n v="2.2999999999999545"/>
    <x v="1"/>
    <n v="2"/>
    <x v="10"/>
    <n v="-0.15097152122178931"/>
  </r>
  <r>
    <d v="2025-02-18T00:00:00"/>
    <s v="EQ"/>
    <n v="1706"/>
    <n v="1728.5"/>
    <n v="1701.25"/>
    <n v="1709.9"/>
    <n v="1725"/>
    <n v="1725.5"/>
    <n v="1719.23"/>
    <n v="2012.2"/>
    <n v="1235"/>
    <n v="1511900"/>
    <n v="2599301789.5999999"/>
    <n v="81098"/>
    <x v="1"/>
    <n v="3.9000000000000909"/>
    <x v="1"/>
    <n v="2"/>
    <x v="10"/>
    <n v="-0.15097152122178931"/>
  </r>
  <r>
    <d v="2025-02-17T00:00:00"/>
    <s v="EQ"/>
    <n v="1711.25"/>
    <n v="1720.15"/>
    <n v="1694.1"/>
    <n v="1711.25"/>
    <n v="1709.6"/>
    <n v="1709.9"/>
    <n v="1707.8"/>
    <n v="2012.2"/>
    <n v="1235"/>
    <n v="1127023"/>
    <n v="1924733916.9000001"/>
    <n v="126871"/>
    <x v="1"/>
    <n v="0"/>
    <x v="1"/>
    <n v="2"/>
    <x v="10"/>
    <n v="-0.15097152122178931"/>
  </r>
  <r>
    <d v="2025-02-14T00:00:00"/>
    <s v="EQ"/>
    <n v="1711"/>
    <n v="1723.4"/>
    <n v="1699.95"/>
    <n v="1703.1"/>
    <n v="1711.6"/>
    <n v="1711.25"/>
    <n v="1709.15"/>
    <n v="2012.2"/>
    <n v="1235"/>
    <n v="1460459"/>
    <n v="2496148466.25"/>
    <n v="80952"/>
    <x v="1"/>
    <n v="-7.9000000000000909"/>
    <x v="1"/>
    <n v="2"/>
    <x v="10"/>
    <n v="-0.15097152122178931"/>
  </r>
  <r>
    <d v="2025-02-13T00:00:00"/>
    <s v="EQ"/>
    <n v="1712"/>
    <n v="1729.95"/>
    <n v="1700.25"/>
    <n v="1717.3"/>
    <n v="1704.8"/>
    <n v="1703.1"/>
    <n v="1712.75"/>
    <n v="2012.2"/>
    <n v="1235"/>
    <n v="1838463"/>
    <n v="3148828257.8499999"/>
    <n v="91677"/>
    <x v="1"/>
    <n v="5.2999999999999545"/>
    <x v="1"/>
    <n v="2"/>
    <x v="10"/>
    <n v="-0.15097152122178931"/>
  </r>
  <r>
    <d v="2025-02-12T00:00:00"/>
    <s v="EQ"/>
    <n v="1723.9"/>
    <n v="1742.4"/>
    <n v="1699.15"/>
    <n v="1723.2"/>
    <n v="1716.05"/>
    <n v="1717.3"/>
    <n v="1717.61"/>
    <n v="2012.2"/>
    <n v="1235"/>
    <n v="2214307"/>
    <n v="3803306655.25"/>
    <n v="142727"/>
    <x v="1"/>
    <n v="-0.70000000000004547"/>
    <x v="1"/>
    <n v="2"/>
    <x v="10"/>
    <n v="-0.15097152122178931"/>
  </r>
  <r>
    <d v="2025-02-11T00:00:00"/>
    <s v="EQ"/>
    <n v="1742.8"/>
    <n v="1749"/>
    <n v="1715"/>
    <n v="1733.85"/>
    <n v="1723.9"/>
    <n v="1723.2"/>
    <n v="1732.76"/>
    <n v="2012.2"/>
    <n v="1235"/>
    <n v="1702553"/>
    <n v="2950109312.0500002"/>
    <n v="90830"/>
    <x v="1"/>
    <n v="-8.9500000000000455"/>
    <x v="1"/>
    <n v="2"/>
    <x v="10"/>
    <n v="-0.15097152122178931"/>
  </r>
  <r>
    <d v="2025-02-10T00:00:00"/>
    <s v="EQ"/>
    <n v="1723.95"/>
    <n v="1740"/>
    <n v="1712.1"/>
    <n v="1725.65"/>
    <n v="1734"/>
    <n v="1733.85"/>
    <n v="1728.54"/>
    <n v="2012.2"/>
    <n v="1235"/>
    <n v="1823071"/>
    <n v="3151248711.6999998"/>
    <n v="68108"/>
    <x v="1"/>
    <n v="1.7000000000000455"/>
    <x v="1"/>
    <n v="2"/>
    <x v="10"/>
    <n v="-0.15097152122178931"/>
  </r>
  <r>
    <d v="2025-02-07T00:00:00"/>
    <s v="EQ"/>
    <n v="1723.15"/>
    <n v="1731"/>
    <n v="1700.65"/>
    <n v="1723.5"/>
    <n v="1724"/>
    <n v="1725.65"/>
    <n v="1720.82"/>
    <n v="2012.2"/>
    <n v="1235"/>
    <n v="2428098"/>
    <n v="4178325236.5"/>
    <n v="76538"/>
    <x v="1"/>
    <n v="0.34999999999990905"/>
    <x v="1"/>
    <n v="2"/>
    <x v="10"/>
    <n v="-0.15097152122178931"/>
  </r>
  <r>
    <d v="2025-02-06T00:00:00"/>
    <s v="EQ"/>
    <n v="1723.85"/>
    <n v="1728.45"/>
    <n v="1712.85"/>
    <n v="1712.85"/>
    <n v="1724.1"/>
    <n v="1723.5"/>
    <n v="1719.71"/>
    <n v="2012.2"/>
    <n v="1235"/>
    <n v="2057798"/>
    <n v="3538821096.4000001"/>
    <n v="135442"/>
    <x v="1"/>
    <n v="-11"/>
    <x v="1"/>
    <n v="2"/>
    <x v="10"/>
    <n v="-0.15097152122178931"/>
  </r>
  <r>
    <d v="2025-02-05T00:00:00"/>
    <s v="EQ"/>
    <n v="1730"/>
    <n v="1746.8"/>
    <n v="1710"/>
    <n v="1732.55"/>
    <n v="1712"/>
    <n v="1712.85"/>
    <n v="1718.44"/>
    <n v="2012.2"/>
    <n v="1235"/>
    <n v="2681942"/>
    <n v="4608759100.8500004"/>
    <n v="106585"/>
    <x v="1"/>
    <n v="2.5499999999999545"/>
    <x v="1"/>
    <n v="2"/>
    <x v="10"/>
    <n v="-0.15097152122178931"/>
  </r>
  <r>
    <d v="2025-02-04T00:00:00"/>
    <s v="EQ"/>
    <n v="1695.1"/>
    <n v="1735.9"/>
    <n v="1692.05"/>
    <n v="1692"/>
    <n v="1732.45"/>
    <n v="1732.55"/>
    <n v="1712.68"/>
    <n v="2012.2"/>
    <n v="1235"/>
    <n v="3647768"/>
    <n v="6247459080.8999996"/>
    <n v="159207"/>
    <x v="1"/>
    <n v="-3.0999999999999091"/>
    <x v="1"/>
    <n v="2"/>
    <x v="10"/>
    <n v="-0.15097152122178931"/>
  </r>
  <r>
    <d v="2025-02-03T00:00:00"/>
    <s v="EQ"/>
    <n v="1665"/>
    <n v="1700.6"/>
    <n v="1661.5"/>
    <n v="1694"/>
    <n v="1693"/>
    <n v="1692"/>
    <n v="1686.67"/>
    <n v="2012.2"/>
    <n v="1235"/>
    <n v="2659929"/>
    <n v="4486418428.4499998"/>
    <n v="150634"/>
    <x v="1"/>
    <n v="29"/>
    <x v="1"/>
    <n v="2"/>
    <x v="10"/>
    <n v="-0.15097152122178931"/>
  </r>
  <r>
    <d v="2025-02-01T00:00:00"/>
    <s v="EQ"/>
    <n v="1726"/>
    <n v="1731.95"/>
    <n v="1688"/>
    <n v="1725.45"/>
    <n v="1694.7"/>
    <n v="1694"/>
    <n v="1704.35"/>
    <n v="2012.2"/>
    <n v="1235"/>
    <n v="569018"/>
    <n v="969808246.14999998"/>
    <n v="39652"/>
    <x v="1"/>
    <n v="-0.54999999999995453"/>
    <x v="1"/>
    <n v="2"/>
    <x v="10"/>
    <n v="-0.15097152122178931"/>
  </r>
  <r>
    <d v="2025-01-31T00:00:00"/>
    <s v="EQ"/>
    <n v="1709.05"/>
    <n v="1738.2"/>
    <n v="1709.05"/>
    <n v="1713.1"/>
    <n v="1730"/>
    <n v="1725.45"/>
    <n v="1724.09"/>
    <n v="2012.2"/>
    <n v="1235"/>
    <n v="2033832"/>
    <n v="3506506163.3000002"/>
    <n v="79215"/>
    <x v="1"/>
    <n v="4.0499999999999545"/>
    <x v="1"/>
    <n v="1"/>
    <x v="11"/>
    <n v="-0.15097152122178931"/>
  </r>
  <r>
    <d v="2025-01-30T00:00:00"/>
    <s v="EQ"/>
    <n v="1722"/>
    <n v="1732.95"/>
    <n v="1697.85"/>
    <n v="1719"/>
    <n v="1717.9"/>
    <n v="1713.1"/>
    <n v="1716.41"/>
    <n v="2012.2"/>
    <n v="1235"/>
    <n v="2543744"/>
    <n v="4366105666.3000002"/>
    <n v="125674"/>
    <x v="1"/>
    <n v="-3"/>
    <x v="1"/>
    <n v="1"/>
    <x v="11"/>
    <n v="-0.15097152122178931"/>
  </r>
  <r>
    <d v="2025-01-29T00:00:00"/>
    <s v="EQ"/>
    <n v="1696"/>
    <n v="1724.1"/>
    <n v="1696"/>
    <n v="1693.25"/>
    <n v="1720.65"/>
    <n v="1719"/>
    <n v="1715.29"/>
    <n v="2012.2"/>
    <n v="1235"/>
    <n v="3733620"/>
    <n v="6404245749.1999998"/>
    <n v="117810"/>
    <x v="1"/>
    <n v="-2.75"/>
    <x v="1"/>
    <n v="1"/>
    <x v="11"/>
    <n v="-0.15097152122178931"/>
  </r>
  <r>
    <d v="2025-01-28T00:00:00"/>
    <s v="EQ"/>
    <n v="1711.95"/>
    <n v="1730.5"/>
    <n v="1691"/>
    <n v="1711.95"/>
    <n v="1694.5"/>
    <n v="1693.25"/>
    <n v="1707.81"/>
    <n v="2012.2"/>
    <n v="1235"/>
    <n v="5079829"/>
    <n v="8675376616.75"/>
    <n v="194141"/>
    <x v="1"/>
    <n v="0"/>
    <x v="1"/>
    <n v="1"/>
    <x v="11"/>
    <n v="-0.15097152122178931"/>
  </r>
  <r>
    <d v="2025-01-27T00:00:00"/>
    <s v="EQ"/>
    <n v="1775"/>
    <n v="1779.75"/>
    <n v="1707.3"/>
    <n v="1792.85"/>
    <n v="1710.55"/>
    <n v="1711.95"/>
    <n v="1734.65"/>
    <n v="2012.2"/>
    <n v="1235"/>
    <n v="4174844"/>
    <n v="7241906323.3000002"/>
    <n v="143422"/>
    <x v="1"/>
    <n v="17.849999999999909"/>
    <x v="1"/>
    <n v="1"/>
    <x v="11"/>
    <n v="-0.15097152122178931"/>
  </r>
  <r>
    <d v="2025-01-24T00:00:00"/>
    <s v="EQ"/>
    <n v="1800"/>
    <n v="1829.4"/>
    <n v="1791.1"/>
    <n v="1807"/>
    <n v="1796"/>
    <n v="1792.85"/>
    <n v="1803.18"/>
    <n v="2012.2"/>
    <n v="1235"/>
    <n v="3171259"/>
    <n v="5718348831.8000002"/>
    <n v="98899"/>
    <x v="1"/>
    <n v="7"/>
    <x v="1"/>
    <n v="1"/>
    <x v="11"/>
    <n v="-0.15097152122178931"/>
  </r>
  <r>
    <d v="2025-01-23T00:00:00"/>
    <s v="EQ"/>
    <n v="1817.05"/>
    <n v="1828.95"/>
    <n v="1804.2"/>
    <n v="1827.7"/>
    <n v="1806.95"/>
    <n v="1807"/>
    <n v="1814.54"/>
    <n v="2012.2"/>
    <n v="1235"/>
    <n v="3750930"/>
    <n v="6806227425.6499996"/>
    <n v="146553"/>
    <x v="1"/>
    <n v="10.650000000000091"/>
    <x v="1"/>
    <n v="1"/>
    <x v="11"/>
    <n v="-0.15097152122178931"/>
  </r>
  <r>
    <d v="2025-01-22T00:00:00"/>
    <s v="EQ"/>
    <n v="1808.2"/>
    <n v="1831.45"/>
    <n v="1804.05"/>
    <n v="1802.4"/>
    <n v="1828"/>
    <n v="1827.7"/>
    <n v="1820.11"/>
    <n v="2012.2"/>
    <n v="1235"/>
    <n v="3009261"/>
    <n v="5477174600.4499998"/>
    <n v="176695"/>
    <x v="1"/>
    <n v="-5.7999999999999545"/>
    <x v="1"/>
    <n v="1"/>
    <x v="11"/>
    <n v="-0.15097152122178931"/>
  </r>
  <r>
    <d v="2025-01-21T00:00:00"/>
    <s v="EQ"/>
    <n v="1791.4"/>
    <n v="1820.75"/>
    <n v="1791.4"/>
    <n v="1796.2"/>
    <n v="1804.05"/>
    <n v="1802.4"/>
    <n v="1805.77"/>
    <n v="2012.2"/>
    <n v="1235"/>
    <n v="4005357"/>
    <n v="7232759540.3500004"/>
    <n v="200700"/>
    <x v="1"/>
    <n v="4.7999999999999545"/>
    <x v="1"/>
    <n v="1"/>
    <x v="11"/>
    <n v="-0.15097152122178931"/>
  </r>
  <r>
    <d v="2025-01-20T00:00:00"/>
    <s v="EQ"/>
    <n v="1790.1"/>
    <n v="1799"/>
    <n v="1762.6"/>
    <n v="1788.9"/>
    <n v="1794.95"/>
    <n v="1796.2"/>
    <n v="1785.22"/>
    <n v="2012.2"/>
    <n v="1235"/>
    <n v="3401004"/>
    <n v="6071550248.5500002"/>
    <n v="156557"/>
    <x v="1"/>
    <n v="-1.1999999999998181"/>
    <x v="1"/>
    <n v="1"/>
    <x v="11"/>
    <n v="-0.15097152122178931"/>
  </r>
  <r>
    <d v="2025-01-17T00:00:00"/>
    <s v="EQ"/>
    <n v="1773"/>
    <n v="1793.1"/>
    <n v="1750.05"/>
    <n v="1792.25"/>
    <n v="1789.45"/>
    <n v="1788.9"/>
    <n v="1776.06"/>
    <n v="2012.2"/>
    <n v="1235"/>
    <n v="2424374"/>
    <n v="4305821954.9499998"/>
    <n v="176981"/>
    <x v="1"/>
    <n v="19.25"/>
    <x v="1"/>
    <n v="1"/>
    <x v="11"/>
    <n v="-0.15097152122178931"/>
  </r>
  <r>
    <d v="2025-01-16T00:00:00"/>
    <s v="EQ"/>
    <n v="1833"/>
    <n v="1837.95"/>
    <n v="1785.3"/>
    <n v="1825.7"/>
    <n v="1790.15"/>
    <n v="1792.25"/>
    <n v="1796.66"/>
    <n v="2012.2"/>
    <n v="1235"/>
    <n v="5362008"/>
    <n v="9633692689.3999996"/>
    <n v="260626"/>
    <x v="1"/>
    <n v="-7.2999999999999545"/>
    <x v="1"/>
    <n v="1"/>
    <x v="11"/>
    <n v="-0.15097152122178931"/>
  </r>
  <r>
    <d v="2025-01-15T00:00:00"/>
    <s v="EQ"/>
    <n v="1836"/>
    <n v="1843.55"/>
    <n v="1812.55"/>
    <n v="1813.55"/>
    <n v="1825.7"/>
    <n v="1825.7"/>
    <n v="1824.99"/>
    <n v="2012.2"/>
    <n v="1235"/>
    <n v="3350594"/>
    <n v="6114802982.4499998"/>
    <n v="221654"/>
    <x v="1"/>
    <n v="-22.450000000000045"/>
    <x v="1"/>
    <n v="1"/>
    <x v="11"/>
    <n v="-0.15097152122178931"/>
  </r>
  <r>
    <d v="2025-01-14T00:00:00"/>
    <s v="EQ"/>
    <n v="1936.1"/>
    <n v="1939"/>
    <n v="1797.75"/>
    <n v="1989.4"/>
    <n v="1819.95"/>
    <n v="1813.55"/>
    <n v="1824.43"/>
    <n v="2012.2"/>
    <n v="1235"/>
    <n v="15819311"/>
    <n v="28861217134.400002"/>
    <n v="600156"/>
    <x v="1"/>
    <n v="53.300000000000182"/>
    <x v="1"/>
    <n v="1"/>
    <x v="11"/>
    <n v="-0.15097152122178931"/>
  </r>
  <r>
    <d v="2025-01-13T00:00:00"/>
    <s v="EQ"/>
    <n v="1994.9"/>
    <n v="2012.2"/>
    <n v="1965.4"/>
    <n v="1995.1"/>
    <n v="1975"/>
    <n v="1989.4"/>
    <n v="1992.36"/>
    <n v="2012.2"/>
    <n v="1235"/>
    <n v="5694121"/>
    <n v="11344760287.75"/>
    <n v="180247"/>
    <x v="1"/>
    <n v="0.1999999999998181"/>
    <x v="1"/>
    <n v="1"/>
    <x v="11"/>
    <n v="-0.15097152122178931"/>
  </r>
  <r>
    <d v="2025-01-10T00:00:00"/>
    <s v="EQ"/>
    <n v="1936"/>
    <n v="2002.35"/>
    <n v="1935.25"/>
    <n v="1934.8"/>
    <n v="1997.1"/>
    <n v="1995.1"/>
    <n v="1977.11"/>
    <n v="2002.35"/>
    <n v="1235"/>
    <n v="4802079"/>
    <n v="9494250831.6000004"/>
    <n v="234018"/>
    <x v="1"/>
    <n v="-1.2000000000000455"/>
    <x v="1"/>
    <n v="1"/>
    <x v="11"/>
    <n v="-0.15097152122178931"/>
  </r>
  <r>
    <d v="2025-01-09T00:00:00"/>
    <s v="EQ"/>
    <n v="1926.8"/>
    <n v="1944.45"/>
    <n v="1920"/>
    <n v="1932.25"/>
    <n v="1934"/>
    <n v="1934.8"/>
    <n v="1935.7"/>
    <n v="1992.1"/>
    <n v="1235"/>
    <n v="2742139"/>
    <n v="5307958003.9499998"/>
    <n v="127128"/>
    <x v="1"/>
    <n v="5.4500000000000455"/>
    <x v="1"/>
    <n v="1"/>
    <x v="11"/>
    <n v="-0.15097152122178931"/>
  </r>
  <r>
    <d v="2025-01-08T00:00:00"/>
    <s v="EQ"/>
    <n v="1906.3"/>
    <n v="1938.5"/>
    <n v="1894.55"/>
    <n v="1915.9"/>
    <n v="1932.9"/>
    <n v="1932.25"/>
    <n v="1915"/>
    <n v="1992.1"/>
    <n v="1235"/>
    <n v="2372138"/>
    <n v="4542649572.1999998"/>
    <n v="161359"/>
    <x v="1"/>
    <n v="9.6000000000001364"/>
    <x v="1"/>
    <n v="1"/>
    <x v="11"/>
    <n v="-0.15097152122178931"/>
  </r>
  <r>
    <d v="2025-01-07T00:00:00"/>
    <s v="EQ"/>
    <n v="1960"/>
    <n v="1981"/>
    <n v="1908.9"/>
    <n v="1953.05"/>
    <n v="1916.75"/>
    <n v="1915.9"/>
    <n v="1930.16"/>
    <n v="1992.1"/>
    <n v="1235"/>
    <n v="2494547"/>
    <n v="4814870548.3000002"/>
    <n v="117446"/>
    <x v="1"/>
    <n v="-6.9500000000000455"/>
    <x v="1"/>
    <n v="1"/>
    <x v="11"/>
    <n v="-0.15097152122178931"/>
  </r>
  <r>
    <d v="2025-01-06T00:00:00"/>
    <s v="EQ"/>
    <n v="1951.25"/>
    <n v="1973.4"/>
    <n v="1930"/>
    <n v="1946.65"/>
    <n v="1948.6"/>
    <n v="1953.05"/>
    <n v="1951.88"/>
    <n v="1992.1"/>
    <n v="1235"/>
    <n v="1789037"/>
    <n v="3491988428.3499999"/>
    <n v="105379"/>
    <x v="1"/>
    <n v="-4.5999999999999091"/>
    <x v="1"/>
    <n v="1"/>
    <x v="11"/>
    <n v="-0.15097152122178931"/>
  </r>
  <r>
    <d v="2025-01-03T00:00:00"/>
    <s v="EQ"/>
    <n v="1980"/>
    <n v="1992.1"/>
    <n v="1941"/>
    <n v="1972.2"/>
    <n v="1943"/>
    <n v="1946.65"/>
    <n v="1956.95"/>
    <n v="1992.1"/>
    <n v="1235"/>
    <n v="2853344"/>
    <n v="5583862264.8000002"/>
    <n v="148177"/>
    <x v="1"/>
    <n v="-7.7999999999999545"/>
    <x v="1"/>
    <n v="1"/>
    <x v="11"/>
    <n v="-0.15097152122178931"/>
  </r>
  <r>
    <d v="2025-01-02T00:00:00"/>
    <s v="EQ"/>
    <n v="1911.95"/>
    <n v="1976.3"/>
    <n v="1910.05"/>
    <n v="1911.95"/>
    <n v="1966.45"/>
    <n v="1972.2"/>
    <n v="1956.3"/>
    <n v="1980"/>
    <n v="1235"/>
    <n v="3487645"/>
    <n v="6822864745.3000002"/>
    <n v="172843"/>
    <x v="1"/>
    <n v="0"/>
    <x v="1"/>
    <n v="1"/>
    <x v="11"/>
    <n v="-0.15097152122178931"/>
  </r>
  <r>
    <d v="2025-01-01T00:00:00"/>
    <s v="EQ"/>
    <n v="1917.4"/>
    <n v="1936.95"/>
    <n v="1907.9"/>
    <n v="1917.4"/>
    <n v="1911.6"/>
    <n v="1911.95"/>
    <n v="1918.88"/>
    <n v="1980"/>
    <n v="1235"/>
    <n v="880695"/>
    <n v="1689945501.45"/>
    <n v="53268"/>
    <x v="1"/>
    <n v="0"/>
    <x v="1"/>
    <n v="1"/>
    <x v="11"/>
    <n v="-0.15097152122178931"/>
  </r>
  <r>
    <d v="2025-12-31T00:00:00"/>
    <s v="EQ"/>
    <n v="991"/>
    <n v="997.6"/>
    <n v="987.6"/>
    <n v="990.9"/>
    <n v="992.9"/>
    <n v="991.2"/>
    <n v="992.61"/>
    <n v="2037.7"/>
    <n v="939.1"/>
    <n v="10963454"/>
    <n v="10882483821.4"/>
    <n v="193549"/>
    <x v="2"/>
    <n v="-0.10000000000002274"/>
    <x v="2"/>
    <n v="12"/>
    <x v="0"/>
    <n v="-0.4440050483803113"/>
  </r>
  <r>
    <d v="2025-12-30T00:00:00"/>
    <s v="EQ"/>
    <n v="990.2"/>
    <n v="995"/>
    <n v="982.2"/>
    <n v="991.7"/>
    <n v="995"/>
    <n v="990.9"/>
    <n v="989.16"/>
    <n v="2037.7"/>
    <n v="939.1"/>
    <n v="33155849"/>
    <n v="32796279701.400002"/>
    <n v="393869"/>
    <x v="2"/>
    <n v="1.5"/>
    <x v="2"/>
    <n v="12"/>
    <x v="0"/>
    <n v="-0.4440050483803113"/>
  </r>
  <r>
    <d v="2025-12-29T00:00:00"/>
    <s v="EQ"/>
    <n v="993.1"/>
    <n v="997.4"/>
    <n v="987.2"/>
    <n v="992.1"/>
    <n v="992.8"/>
    <n v="991.7"/>
    <n v="991.31"/>
    <n v="2037.7"/>
    <n v="939.1"/>
    <n v="13545749"/>
    <n v="13427999756"/>
    <n v="190711"/>
    <x v="2"/>
    <n v="-1"/>
    <x v="2"/>
    <n v="12"/>
    <x v="0"/>
    <n v="-0.4440050483803113"/>
  </r>
  <r>
    <d v="2025-12-26T00:00:00"/>
    <s v="EQ"/>
    <n v="996"/>
    <n v="997.2"/>
    <n v="987.7"/>
    <n v="997.2"/>
    <n v="992"/>
    <n v="992.1"/>
    <n v="992.32"/>
    <n v="2037.7"/>
    <n v="939.1"/>
    <n v="9360853"/>
    <n v="9288952052.7000008"/>
    <n v="196688"/>
    <x v="2"/>
    <n v="1.2000000000000455"/>
    <x v="2"/>
    <n v="12"/>
    <x v="0"/>
    <n v="-0.4440050483803113"/>
  </r>
  <r>
    <d v="2025-12-24T00:00:00"/>
    <s v="EQ"/>
    <n v="993"/>
    <n v="999.4"/>
    <n v="993"/>
    <n v="996.6"/>
    <n v="995.3"/>
    <n v="997.2"/>
    <n v="996.34"/>
    <n v="2037.7"/>
    <n v="939.1"/>
    <n v="13699996"/>
    <n v="13649827358.4"/>
    <n v="203107"/>
    <x v="2"/>
    <n v="3.6000000000000227"/>
    <x v="2"/>
    <n v="12"/>
    <x v="0"/>
    <n v="-0.4440050483803113"/>
  </r>
  <r>
    <d v="2025-12-23T00:00:00"/>
    <s v="EQ"/>
    <n v="990.5"/>
    <n v="998.9"/>
    <n v="987.7"/>
    <n v="987.7"/>
    <n v="997"/>
    <n v="996.6"/>
    <n v="994.81"/>
    <n v="2037.7"/>
    <n v="939.1"/>
    <n v="17927849"/>
    <n v="17834864449.299999"/>
    <n v="227121"/>
    <x v="2"/>
    <n v="-2.7999999999999545"/>
    <x v="2"/>
    <n v="12"/>
    <x v="0"/>
    <n v="-0.4440050483803113"/>
  </r>
  <r>
    <d v="2025-12-22T00:00:00"/>
    <s v="EQ"/>
    <n v="988"/>
    <n v="992.9"/>
    <n v="983.9"/>
    <n v="985.5"/>
    <n v="987.2"/>
    <n v="987.7"/>
    <n v="987.63"/>
    <n v="2037.7"/>
    <n v="939.1"/>
    <n v="13540411"/>
    <n v="13372875582.700001"/>
    <n v="253393"/>
    <x v="2"/>
    <n v="-2.5"/>
    <x v="2"/>
    <n v="12"/>
    <x v="0"/>
    <n v="-0.4440050483803113"/>
  </r>
  <r>
    <d v="2025-12-19T00:00:00"/>
    <s v="EQ"/>
    <n v="987"/>
    <n v="988"/>
    <n v="978.7"/>
    <n v="979.7"/>
    <n v="985.2"/>
    <n v="985.5"/>
    <n v="984.91"/>
    <n v="2037.7"/>
    <n v="939.1"/>
    <n v="25952384"/>
    <n v="25560667946"/>
    <n v="246675"/>
    <x v="2"/>
    <n v="-7.2999999999999545"/>
    <x v="2"/>
    <n v="12"/>
    <x v="0"/>
    <n v="-0.4440050483803113"/>
  </r>
  <r>
    <d v="2025-12-18T00:00:00"/>
    <s v="EQ"/>
    <n v="973.3"/>
    <n v="987.4"/>
    <n v="973.3"/>
    <n v="984"/>
    <n v="980"/>
    <n v="979.7"/>
    <n v="981.48"/>
    <n v="2037.7"/>
    <n v="939.1"/>
    <n v="14912404"/>
    <n v="14636196743"/>
    <n v="412559"/>
    <x v="2"/>
    <n v="10.700000000000045"/>
    <x v="2"/>
    <n v="12"/>
    <x v="0"/>
    <n v="-0.4440050483803113"/>
  </r>
  <r>
    <d v="2025-12-17T00:00:00"/>
    <s v="EQ"/>
    <n v="996"/>
    <n v="996"/>
    <n v="980.8"/>
    <n v="994.3"/>
    <n v="985.2"/>
    <n v="984"/>
    <n v="985.22"/>
    <n v="2037.7"/>
    <n v="939.1"/>
    <n v="19080922"/>
    <n v="18798880243.799999"/>
    <n v="288605"/>
    <x v="2"/>
    <n v="-1.7000000000000455"/>
    <x v="2"/>
    <n v="12"/>
    <x v="0"/>
    <n v="-0.4440050483803113"/>
  </r>
  <r>
    <d v="2025-12-16T00:00:00"/>
    <s v="EQ"/>
    <n v="990.1"/>
    <n v="998.7"/>
    <n v="990.1"/>
    <n v="996.1"/>
    <n v="994.2"/>
    <n v="994.3"/>
    <n v="994.74"/>
    <n v="2037.7"/>
    <n v="939.1"/>
    <n v="20049088"/>
    <n v="19943698733.599998"/>
    <n v="307140"/>
    <x v="2"/>
    <n v="6"/>
    <x v="2"/>
    <n v="12"/>
    <x v="0"/>
    <n v="-0.4440050483803113"/>
  </r>
  <r>
    <d v="2025-12-15T00:00:00"/>
    <s v="EQ"/>
    <n v="992"/>
    <n v="1001.8"/>
    <n v="992"/>
    <n v="1001.5"/>
    <n v="995"/>
    <n v="996.1"/>
    <n v="995.95"/>
    <n v="2037.7"/>
    <n v="939.1"/>
    <n v="9790060"/>
    <n v="9750388373.6000004"/>
    <n v="182612"/>
    <x v="2"/>
    <n v="9.5"/>
    <x v="2"/>
    <n v="12"/>
    <x v="0"/>
    <n v="-0.4440050483803113"/>
  </r>
  <r>
    <d v="2025-12-12T00:00:00"/>
    <s v="EQ"/>
    <n v="1003"/>
    <n v="1004.7"/>
    <n v="998.2"/>
    <n v="1000.3"/>
    <n v="1002.9"/>
    <n v="1001.5"/>
    <n v="1001.52"/>
    <n v="2037.7"/>
    <n v="939.1"/>
    <n v="11988618"/>
    <n v="12006883854.1"/>
    <n v="153825"/>
    <x v="2"/>
    <n v="-2.7000000000000455"/>
    <x v="2"/>
    <n v="12"/>
    <x v="0"/>
    <n v="-0.4440050483803113"/>
  </r>
  <r>
    <d v="2025-12-11T00:00:00"/>
    <s v="EQ"/>
    <n v="990"/>
    <n v="1002.7"/>
    <n v="988.5"/>
    <n v="989.8"/>
    <n v="999.9"/>
    <n v="1000.3"/>
    <n v="996.96"/>
    <n v="2037.7"/>
    <n v="939.1"/>
    <n v="11844809"/>
    <n v="11808832354.299999"/>
    <n v="177935"/>
    <x v="2"/>
    <n v="-0.20000000000004547"/>
    <x v="2"/>
    <n v="12"/>
    <x v="0"/>
    <n v="-0.4440050483803113"/>
  </r>
  <r>
    <d v="2025-12-10T00:00:00"/>
    <s v="EQ"/>
    <n v="997.5"/>
    <n v="998.5"/>
    <n v="985.3"/>
    <n v="997.1"/>
    <n v="990.4"/>
    <n v="989.8"/>
    <n v="990.9"/>
    <n v="2037.7"/>
    <n v="939.1"/>
    <n v="15322830"/>
    <n v="15183409188.4"/>
    <n v="275347"/>
    <x v="2"/>
    <n v="-0.39999999999997726"/>
    <x v="2"/>
    <n v="12"/>
    <x v="0"/>
    <n v="-0.4440050483803113"/>
  </r>
  <r>
    <d v="2025-12-09T00:00:00"/>
    <s v="EQ"/>
    <n v="994.9"/>
    <n v="1002.8"/>
    <n v="994"/>
    <n v="1003.1"/>
    <n v="997"/>
    <n v="997.1"/>
    <n v="998.68"/>
    <n v="2037.7"/>
    <n v="939.1"/>
    <n v="15294322"/>
    <n v="15274186067.4"/>
    <n v="206598"/>
    <x v="2"/>
    <n v="8.2000000000000455"/>
    <x v="2"/>
    <n v="12"/>
    <x v="0"/>
    <n v="-0.4440050483803113"/>
  </r>
  <r>
    <d v="2025-12-08T00:00:00"/>
    <s v="EQ"/>
    <n v="1000"/>
    <n v="1006.5"/>
    <n v="997.5"/>
    <n v="1003.3"/>
    <n v="1001.8"/>
    <n v="1003.1"/>
    <n v="1002.21"/>
    <n v="2037.7"/>
    <n v="939.1"/>
    <n v="12901022"/>
    <n v="12929480947.9"/>
    <n v="219872"/>
    <x v="2"/>
    <n v="3.2999999999999545"/>
    <x v="2"/>
    <n v="12"/>
    <x v="0"/>
    <n v="-0.4440050483803113"/>
  </r>
  <r>
    <d v="2025-12-05T00:00:00"/>
    <s v="EQ"/>
    <n v="992"/>
    <n v="1008"/>
    <n v="990.2"/>
    <n v="997.2"/>
    <n v="1001.2"/>
    <n v="1003.3"/>
    <n v="1000.86"/>
    <n v="2037.7"/>
    <n v="939.1"/>
    <n v="12843366"/>
    <n v="12854350197.299999"/>
    <n v="192024"/>
    <x v="2"/>
    <n v="5.2000000000000455"/>
    <x v="2"/>
    <n v="12"/>
    <x v="0"/>
    <n v="-0.4440050483803113"/>
  </r>
  <r>
    <d v="2025-12-04T00:00:00"/>
    <s v="EQ"/>
    <n v="1000"/>
    <n v="1004.7"/>
    <n v="993"/>
    <n v="1000.5"/>
    <n v="998.5"/>
    <n v="997.2"/>
    <n v="998.28"/>
    <n v="2037.7"/>
    <n v="939.1"/>
    <n v="14528169"/>
    <n v="14503248744"/>
    <n v="241847"/>
    <x v="2"/>
    <n v="0.5"/>
    <x v="2"/>
    <n v="12"/>
    <x v="0"/>
    <n v="-0.4440050483803113"/>
  </r>
  <r>
    <d v="2025-12-03T00:00:00"/>
    <s v="EQ"/>
    <n v="986"/>
    <n v="1002.3"/>
    <n v="986"/>
    <n v="989.8"/>
    <n v="1000.1"/>
    <n v="1000.5"/>
    <n v="993.84"/>
    <n v="2037.7"/>
    <n v="939.1"/>
    <n v="15448777"/>
    <n v="15353618863.9"/>
    <n v="222651"/>
    <x v="2"/>
    <n v="3.7999999999999545"/>
    <x v="2"/>
    <n v="12"/>
    <x v="0"/>
    <n v="-0.4440050483803113"/>
  </r>
  <r>
    <d v="2025-12-02T00:00:00"/>
    <s v="EQ"/>
    <n v="988"/>
    <n v="994.4"/>
    <n v="985"/>
    <n v="1002.1"/>
    <n v="991.4"/>
    <n v="989.8"/>
    <n v="990.24"/>
    <n v="2037.7"/>
    <n v="939.1"/>
    <n v="27316662"/>
    <n v="27050186723.200001"/>
    <n v="363303"/>
    <x v="2"/>
    <n v="14.100000000000023"/>
    <x v="2"/>
    <n v="12"/>
    <x v="0"/>
    <n v="-0.4440050483803113"/>
  </r>
  <r>
    <d v="2025-12-01T00:00:00"/>
    <s v="EQ"/>
    <n v="1017.5"/>
    <n v="1017.5"/>
    <n v="999.3"/>
    <n v="1007.6"/>
    <n v="1002.9"/>
    <n v="1002.1"/>
    <n v="1005.66"/>
    <n v="2037.7"/>
    <n v="939.1"/>
    <n v="16746566"/>
    <n v="16841329243.200001"/>
    <n v="282719"/>
    <x v="2"/>
    <n v="-9.8999999999999773"/>
    <x v="2"/>
    <n v="12"/>
    <x v="0"/>
    <n v="-0.4440050483803113"/>
  </r>
  <r>
    <d v="2025-11-28T00:00:00"/>
    <s v="EQ"/>
    <n v="1007"/>
    <n v="1012.05"/>
    <n v="1004.2"/>
    <n v="1009.5"/>
    <n v="1006.7"/>
    <n v="1007.6"/>
    <n v="1008.93"/>
    <n v="2037.7"/>
    <n v="939.1"/>
    <n v="15988807"/>
    <n v="16131518093.4"/>
    <n v="178196"/>
    <x v="2"/>
    <n v="2.5"/>
    <x v="2"/>
    <n v="11"/>
    <x v="1"/>
    <n v="-0.4440050483803113"/>
  </r>
  <r>
    <d v="2025-11-27T00:00:00"/>
    <s v="EQ"/>
    <n v="1002.1"/>
    <n v="1016.8"/>
    <n v="1001"/>
    <n v="1003.9"/>
    <n v="1009.05"/>
    <n v="1009.5"/>
    <n v="1010.95"/>
    <n v="2037.7"/>
    <n v="939.1"/>
    <n v="25536848"/>
    <n v="25816356116.099998"/>
    <n v="313073"/>
    <x v="2"/>
    <n v="1.7999999999999545"/>
    <x v="2"/>
    <n v="11"/>
    <x v="1"/>
    <n v="-0.4440050483803113"/>
  </r>
  <r>
    <d v="2025-11-26T00:00:00"/>
    <s v="EQ"/>
    <n v="981.3"/>
    <n v="1006.95"/>
    <n v="981.3"/>
    <n v="989.8"/>
    <n v="1005"/>
    <n v="1003.9"/>
    <n v="999.58"/>
    <n v="2037.7"/>
    <n v="939.1"/>
    <n v="19494356"/>
    <n v="19486197443.700001"/>
    <n v="207998"/>
    <x v="2"/>
    <n v="8.5"/>
    <x v="2"/>
    <n v="11"/>
    <x v="1"/>
    <n v="-0.4440050483803113"/>
  </r>
  <r>
    <d v="2025-11-25T00:00:00"/>
    <s v="EQ"/>
    <n v="1004"/>
    <n v="1006.1"/>
    <n v="988.4"/>
    <n v="999.15"/>
    <n v="989.45"/>
    <n v="989.8"/>
    <n v="995.08"/>
    <n v="2037.7"/>
    <n v="939.1"/>
    <n v="24989383"/>
    <n v="24866505641.799999"/>
    <n v="275451"/>
    <x v="2"/>
    <n v="-4.8500000000000227"/>
    <x v="2"/>
    <n v="11"/>
    <x v="1"/>
    <n v="-0.4440050483803113"/>
  </r>
  <r>
    <d v="2025-11-24T00:00:00"/>
    <s v="EQ"/>
    <n v="1000"/>
    <n v="1011.45"/>
    <n v="993.6"/>
    <n v="998.05"/>
    <n v="997.85"/>
    <n v="999.15"/>
    <n v="1001.79"/>
    <n v="2037.7"/>
    <n v="939.1"/>
    <n v="32204053"/>
    <n v="32261618761.75"/>
    <n v="280226"/>
    <x v="2"/>
    <n v="-1.9500000000000455"/>
    <x v="2"/>
    <n v="11"/>
    <x v="1"/>
    <n v="-0.4440050483803113"/>
  </r>
  <r>
    <d v="2025-11-21T00:00:00"/>
    <s v="EQ"/>
    <n v="1003.1"/>
    <n v="1008.3"/>
    <n v="996.55"/>
    <n v="1008.85"/>
    <n v="998"/>
    <n v="998.05"/>
    <n v="1001.07"/>
    <n v="2037.7"/>
    <n v="939.1"/>
    <n v="17499897"/>
    <n v="17518694760"/>
    <n v="271649"/>
    <x v="2"/>
    <n v="5.75"/>
    <x v="2"/>
    <n v="11"/>
    <x v="1"/>
    <n v="-0.4440050483803113"/>
  </r>
  <r>
    <d v="2025-11-20T00:00:00"/>
    <s v="EQ"/>
    <n v="995.3"/>
    <n v="1011.6"/>
    <n v="992.45"/>
    <n v="994.6"/>
    <n v="1008.6"/>
    <n v="1008.85"/>
    <n v="1003.81"/>
    <n v="2037.7"/>
    <n v="939.1"/>
    <n v="19850865"/>
    <n v="19926417239.25"/>
    <n v="254686"/>
    <x v="2"/>
    <n v="-0.69999999999993179"/>
    <x v="2"/>
    <n v="11"/>
    <x v="1"/>
    <n v="-0.4440050483803113"/>
  </r>
  <r>
    <d v="2025-11-19T00:00:00"/>
    <s v="EQ"/>
    <n v="990"/>
    <n v="996.55"/>
    <n v="984"/>
    <n v="992.45"/>
    <n v="994.8"/>
    <n v="994.6"/>
    <n v="989.67"/>
    <n v="2037.7"/>
    <n v="939.1"/>
    <n v="19813847"/>
    <n v="19609199278.349998"/>
    <n v="201324"/>
    <x v="2"/>
    <n v="2.4500000000000455"/>
    <x v="2"/>
    <n v="11"/>
    <x v="1"/>
    <n v="-0.4440050483803113"/>
  </r>
  <r>
    <d v="2025-11-18T00:00:00"/>
    <s v="EQ"/>
    <n v="997.65"/>
    <n v="999"/>
    <n v="990"/>
    <n v="996.55"/>
    <n v="990.85"/>
    <n v="992.45"/>
    <n v="994.68"/>
    <n v="2037.7"/>
    <n v="939.1"/>
    <n v="20002640"/>
    <n v="19896287879.549999"/>
    <n v="217914"/>
    <x v="2"/>
    <n v="-1.1000000000000227"/>
    <x v="2"/>
    <n v="11"/>
    <x v="1"/>
    <n v="-0.4440050483803113"/>
  </r>
  <r>
    <d v="2025-11-17T00:00:00"/>
    <s v="EQ"/>
    <n v="991.25"/>
    <n v="997.95"/>
    <n v="985.6"/>
    <n v="989.6"/>
    <n v="996.45"/>
    <n v="996.55"/>
    <n v="993.87"/>
    <n v="2037.7"/>
    <n v="939.1"/>
    <n v="18396408"/>
    <n v="18283667280.450001"/>
    <n v="197155"/>
    <x v="2"/>
    <n v="-1.6499999999999773"/>
    <x v="2"/>
    <n v="11"/>
    <x v="1"/>
    <n v="-0.4440050483803113"/>
  </r>
  <r>
    <d v="2025-11-14T00:00:00"/>
    <s v="EQ"/>
    <n v="976.05"/>
    <n v="991.65"/>
    <n v="976.05"/>
    <n v="986.65"/>
    <n v="989"/>
    <n v="989.6"/>
    <n v="984.95"/>
    <n v="2037.7"/>
    <n v="939.1"/>
    <n v="21386965"/>
    <n v="21065033481.450001"/>
    <n v="301431"/>
    <x v="2"/>
    <n v="10.600000000000023"/>
    <x v="2"/>
    <n v="11"/>
    <x v="1"/>
    <n v="-0.4440050483803113"/>
  </r>
  <r>
    <d v="2025-11-13T00:00:00"/>
    <s v="EQ"/>
    <n v="984"/>
    <n v="990.1"/>
    <n v="982.6"/>
    <n v="989.5"/>
    <n v="985.75"/>
    <n v="986.65"/>
    <n v="986.34"/>
    <n v="2037.7"/>
    <n v="939.1"/>
    <n v="14124839"/>
    <n v="13931855903.950001"/>
    <n v="289471"/>
    <x v="2"/>
    <n v="5.5"/>
    <x v="2"/>
    <n v="11"/>
    <x v="1"/>
    <n v="-0.4440050483803113"/>
  </r>
  <r>
    <d v="2025-11-12T00:00:00"/>
    <s v="EQ"/>
    <n v="998.8"/>
    <n v="999"/>
    <n v="987.7"/>
    <n v="991.7"/>
    <n v="990.25"/>
    <n v="989.5"/>
    <n v="992.14"/>
    <n v="2037.7"/>
    <n v="939.1"/>
    <n v="13137263"/>
    <n v="13034039694.950001"/>
    <n v="166500"/>
    <x v="2"/>
    <n v="-7.0999999999999091"/>
    <x v="2"/>
    <n v="11"/>
    <x v="1"/>
    <n v="-0.4440050483803113"/>
  </r>
  <r>
    <d v="2025-11-11T00:00:00"/>
    <s v="EQ"/>
    <n v="983.5"/>
    <n v="993.5"/>
    <n v="978"/>
    <n v="984.5"/>
    <n v="992"/>
    <n v="991.7"/>
    <n v="987.26"/>
    <n v="2037.7"/>
    <n v="939.1"/>
    <n v="10200530"/>
    <n v="10070524484.25"/>
    <n v="229810"/>
    <x v="2"/>
    <n v="1"/>
    <x v="2"/>
    <n v="11"/>
    <x v="1"/>
    <n v="-0.4440050483803113"/>
  </r>
  <r>
    <d v="2025-11-10T00:00:00"/>
    <s v="EQ"/>
    <n v="982.3"/>
    <n v="990.95"/>
    <n v="980.2"/>
    <n v="982.3"/>
    <n v="984.6"/>
    <n v="984.5"/>
    <n v="986.19"/>
    <n v="2037.7"/>
    <n v="939.1"/>
    <n v="15988262"/>
    <n v="15767386584"/>
    <n v="373004"/>
    <x v="2"/>
    <n v="0"/>
    <x v="2"/>
    <n v="11"/>
    <x v="1"/>
    <n v="-0.4440050483803113"/>
  </r>
  <r>
    <d v="2025-11-07T00:00:00"/>
    <s v="EQ"/>
    <n v="980"/>
    <n v="984.9"/>
    <n v="974.75"/>
    <n v="984.65"/>
    <n v="984.3"/>
    <n v="982.3"/>
    <n v="979.96"/>
    <n v="2037.7"/>
    <n v="939.1"/>
    <n v="15004568"/>
    <n v="14703832279.799999"/>
    <n v="315369"/>
    <x v="2"/>
    <n v="4.6499999999999773"/>
    <x v="2"/>
    <n v="11"/>
    <x v="1"/>
    <n v="-0.4440050483803113"/>
  </r>
  <r>
    <d v="2025-11-06T00:00:00"/>
    <s v="EQ"/>
    <n v="981"/>
    <n v="991.05"/>
    <n v="974"/>
    <n v="985.25"/>
    <n v="987.5"/>
    <n v="984.65"/>
    <n v="984.48"/>
    <n v="2037.7"/>
    <n v="939.1"/>
    <n v="22279516"/>
    <n v="21933818395.900002"/>
    <n v="278532"/>
    <x v="2"/>
    <n v="4.25"/>
    <x v="2"/>
    <n v="11"/>
    <x v="1"/>
    <n v="-0.4440050483803113"/>
  </r>
  <r>
    <d v="2025-11-04T00:00:00"/>
    <s v="EQ"/>
    <n v="987"/>
    <n v="997"/>
    <n v="983.7"/>
    <n v="992.65"/>
    <n v="985.7"/>
    <n v="985.25"/>
    <n v="990.21"/>
    <n v="2037.7"/>
    <n v="939.1"/>
    <n v="20024544"/>
    <n v="19828527608.75"/>
    <n v="302828"/>
    <x v="2"/>
    <n v="5.6499999999999773"/>
    <x v="2"/>
    <n v="11"/>
    <x v="1"/>
    <n v="-0.4440050483803113"/>
  </r>
  <r>
    <d v="2025-11-03T00:00:00"/>
    <s v="EQ"/>
    <n v="985"/>
    <n v="994.55"/>
    <n v="983.3"/>
    <n v="987.3"/>
    <n v="993.4"/>
    <n v="992.65"/>
    <n v="991.15"/>
    <n v="2037.7"/>
    <n v="939.1"/>
    <n v="16607180"/>
    <n v="16460236700.549999"/>
    <n v="288032"/>
    <x v="2"/>
    <n v="2.2999999999999545"/>
    <x v="2"/>
    <n v="11"/>
    <x v="1"/>
    <n v="-0.4440050483803113"/>
  </r>
  <r>
    <d v="2025-10-31T00:00:00"/>
    <s v="EQ"/>
    <n v="994"/>
    <n v="1004.45"/>
    <n v="981.15"/>
    <n v="998.15"/>
    <n v="987.95"/>
    <n v="987.3"/>
    <n v="989.37"/>
    <n v="2037.7"/>
    <n v="939.1"/>
    <n v="23221330"/>
    <n v="22974558984.150002"/>
    <n v="454775"/>
    <x v="2"/>
    <n v="4.1499999999999773"/>
    <x v="2"/>
    <n v="10"/>
    <x v="2"/>
    <n v="-0.4440050483803113"/>
  </r>
  <r>
    <d v="2025-10-30T00:00:00"/>
    <s v="EQ"/>
    <n v="1000"/>
    <n v="1009.5"/>
    <n v="997.1"/>
    <n v="1007.85"/>
    <n v="999.95"/>
    <n v="998.15"/>
    <n v="1001.53"/>
    <n v="2037.7"/>
    <n v="939.1"/>
    <n v="19962917"/>
    <n v="19993506579.25"/>
    <n v="365104"/>
    <x v="2"/>
    <n v="7.8500000000000227"/>
    <x v="2"/>
    <n v="10"/>
    <x v="2"/>
    <n v="-0.4440050483803113"/>
  </r>
  <r>
    <d v="2025-10-29T00:00:00"/>
    <s v="EQ"/>
    <n v="1004.9"/>
    <n v="1012.5"/>
    <n v="1000"/>
    <n v="1003.55"/>
    <n v="1008.5"/>
    <n v="1007.85"/>
    <n v="1007.89"/>
    <n v="2037.7"/>
    <n v="939.1"/>
    <n v="17769445"/>
    <n v="17909676109.650002"/>
    <n v="281715"/>
    <x v="2"/>
    <n v="-1.3500000000000227"/>
    <x v="2"/>
    <n v="10"/>
    <x v="2"/>
    <n v="-0.4440050483803113"/>
  </r>
  <r>
    <d v="2025-10-28T00:00:00"/>
    <s v="EQ"/>
    <n v="997.65"/>
    <n v="1008"/>
    <n v="995"/>
    <n v="1002.95"/>
    <n v="1004.9"/>
    <n v="1003.55"/>
    <n v="1001.18"/>
    <n v="2037.7"/>
    <n v="939.1"/>
    <n v="33904289"/>
    <n v="33944177651.400002"/>
    <n v="423621"/>
    <x v="2"/>
    <n v="5.3000000000000682"/>
    <x v="2"/>
    <n v="10"/>
    <x v="2"/>
    <n v="-0.4440050483803113"/>
  </r>
  <r>
    <d v="2025-10-27T00:00:00"/>
    <s v="EQ"/>
    <n v="996.5"/>
    <n v="1009.05"/>
    <n v="996.2"/>
    <n v="994.75"/>
    <n v="1003.5"/>
    <n v="1002.95"/>
    <n v="1003.92"/>
    <n v="2037.7"/>
    <n v="939.1"/>
    <n v="15700796"/>
    <n v="15762265430.25"/>
    <n v="297938"/>
    <x v="2"/>
    <n v="-1.75"/>
    <x v="2"/>
    <n v="10"/>
    <x v="2"/>
    <n v="-0.4440050483803113"/>
  </r>
  <r>
    <d v="2025-10-24T00:00:00"/>
    <s v="EQ"/>
    <n v="1011"/>
    <n v="1011.95"/>
    <n v="991.3"/>
    <n v="1008.8"/>
    <n v="995.9"/>
    <n v="994.75"/>
    <n v="999.4"/>
    <n v="2037.7"/>
    <n v="939.1"/>
    <n v="17707768"/>
    <n v="17697089817.299999"/>
    <n v="362016"/>
    <x v="2"/>
    <n v="-2.2000000000000455"/>
    <x v="2"/>
    <n v="10"/>
    <x v="2"/>
    <n v="-0.4440050483803113"/>
  </r>
  <r>
    <d v="2025-10-23T00:00:00"/>
    <s v="EQ"/>
    <n v="1016"/>
    <n v="1020.5"/>
    <n v="1006"/>
    <n v="1007.7"/>
    <n v="1006.6"/>
    <n v="1008.8"/>
    <n v="1013.19"/>
    <n v="2037.7"/>
    <n v="939.1"/>
    <n v="43526526"/>
    <n v="44100430667.150002"/>
    <n v="518216"/>
    <x v="2"/>
    <n v="-8.2999999999999545"/>
    <x v="2"/>
    <n v="10"/>
    <x v="2"/>
    <n v="-0.4440050483803113"/>
  </r>
  <r>
    <d v="2025-10-21T00:00:00"/>
    <s v="EQ"/>
    <n v="1006"/>
    <n v="1010"/>
    <n v="1004"/>
    <n v="1002.95"/>
    <n v="1004"/>
    <n v="1007.7"/>
    <n v="1008.15"/>
    <n v="2037.7"/>
    <n v="939.1"/>
    <n v="3471600"/>
    <n v="3499906215.3499999"/>
    <n v="88749"/>
    <x v="2"/>
    <n v="-3.0499999999999545"/>
    <x v="2"/>
    <n v="10"/>
    <x v="2"/>
    <n v="-0.4440050483803113"/>
  </r>
  <r>
    <d v="2025-10-20T00:00:00"/>
    <s v="EQ"/>
    <n v="997"/>
    <n v="1020"/>
    <n v="997"/>
    <n v="1002.55"/>
    <n v="1003.6"/>
    <n v="1002.95"/>
    <n v="1005.08"/>
    <n v="2037.7"/>
    <n v="939.1"/>
    <n v="22195202"/>
    <n v="22307932790.700001"/>
    <n v="416206"/>
    <x v="2"/>
    <n v="5.5499999999999545"/>
    <x v="2"/>
    <n v="10"/>
    <x v="2"/>
    <n v="-0.4440050483803113"/>
  </r>
  <r>
    <d v="2025-10-17T00:00:00"/>
    <s v="EQ"/>
    <n v="993.95"/>
    <n v="1009"/>
    <n v="986"/>
    <n v="994.35"/>
    <n v="1000.6"/>
    <n v="1002.55"/>
    <n v="1001.76"/>
    <n v="2037.7"/>
    <n v="939.1"/>
    <n v="25210511"/>
    <n v="25254761309.799999"/>
    <n v="371430"/>
    <x v="2"/>
    <n v="0.39999999999997726"/>
    <x v="2"/>
    <n v="10"/>
    <x v="2"/>
    <n v="-0.4440050483803113"/>
  </r>
  <r>
    <d v="2025-10-16T00:00:00"/>
    <s v="EQ"/>
    <n v="982.65"/>
    <n v="996.6"/>
    <n v="981.5"/>
    <n v="978.25"/>
    <n v="993.6"/>
    <n v="994.35"/>
    <n v="989.28"/>
    <n v="2037.7"/>
    <n v="939.1"/>
    <n v="22936566"/>
    <n v="22690615843.349998"/>
    <n v="362882"/>
    <x v="2"/>
    <n v="-4.3999999999999773"/>
    <x v="2"/>
    <n v="10"/>
    <x v="2"/>
    <n v="-0.4440050483803113"/>
  </r>
  <r>
    <d v="2025-10-15T00:00:00"/>
    <s v="EQ"/>
    <n v="975"/>
    <n v="984.9"/>
    <n v="973.35"/>
    <n v="977.15"/>
    <n v="978.5"/>
    <n v="978.25"/>
    <n v="979.29"/>
    <n v="2037.7"/>
    <n v="939.1"/>
    <n v="23310447"/>
    <n v="22827742875.950001"/>
    <n v="251500"/>
    <x v="2"/>
    <n v="2.1499999999999773"/>
    <x v="2"/>
    <n v="10"/>
    <x v="2"/>
    <n v="-0.4440050483803113"/>
  </r>
  <r>
    <d v="2025-10-14T00:00:00"/>
    <s v="EQ"/>
    <n v="970"/>
    <n v="980.45"/>
    <n v="967"/>
    <n v="977"/>
    <n v="976.25"/>
    <n v="977.15"/>
    <n v="975.43"/>
    <n v="2037.7"/>
    <n v="939.1"/>
    <n v="22934382"/>
    <n v="22370980681.75"/>
    <n v="217173"/>
    <x v="2"/>
    <n v="7"/>
    <x v="2"/>
    <n v="10"/>
    <x v="2"/>
    <n v="-0.4440050483803113"/>
  </r>
  <r>
    <d v="2025-10-13T00:00:00"/>
    <s v="EQ"/>
    <n v="974.3"/>
    <n v="981"/>
    <n v="972"/>
    <n v="980.9"/>
    <n v="977.1"/>
    <n v="977"/>
    <n v="977.15"/>
    <n v="2037.7"/>
    <n v="939.1"/>
    <n v="18634254"/>
    <n v="18208400781.700001"/>
    <n v="280003"/>
    <x v="2"/>
    <n v="6.6000000000000227"/>
    <x v="2"/>
    <n v="10"/>
    <x v="2"/>
    <n v="-0.4440050483803113"/>
  </r>
  <r>
    <d v="2025-10-10T00:00:00"/>
    <s v="EQ"/>
    <n v="979"/>
    <n v="986.2"/>
    <n v="978.1"/>
    <n v="977.1"/>
    <n v="981.45"/>
    <n v="980.9"/>
    <n v="982.56"/>
    <n v="2037.7"/>
    <n v="939.1"/>
    <n v="13757080"/>
    <n v="13517176056.049999"/>
    <n v="237034"/>
    <x v="2"/>
    <n v="-1.8999999999999773"/>
    <x v="2"/>
    <n v="10"/>
    <x v="2"/>
    <n v="-0.4440050483803113"/>
  </r>
  <r>
    <d v="2025-10-09T00:00:00"/>
    <s v="EQ"/>
    <n v="974.5"/>
    <n v="979"/>
    <n v="970.15"/>
    <n v="978.7"/>
    <n v="975"/>
    <n v="977.1"/>
    <n v="976"/>
    <n v="2037.7"/>
    <n v="939.1"/>
    <n v="15370950"/>
    <n v="15001996973.25"/>
    <n v="213008"/>
    <x v="2"/>
    <n v="4.2000000000000455"/>
    <x v="2"/>
    <n v="10"/>
    <x v="2"/>
    <n v="-0.4440050483803113"/>
  </r>
  <r>
    <d v="2025-10-08T00:00:00"/>
    <s v="EQ"/>
    <n v="976"/>
    <n v="985.9"/>
    <n v="974.55"/>
    <n v="982.5"/>
    <n v="977.2"/>
    <n v="978.7"/>
    <n v="979.57"/>
    <n v="2037.7"/>
    <n v="939.1"/>
    <n v="15939710"/>
    <n v="15613997664.15"/>
    <n v="209764"/>
    <x v="2"/>
    <n v="6.5"/>
    <x v="2"/>
    <n v="10"/>
    <x v="2"/>
    <n v="-0.4440050483803113"/>
  </r>
  <r>
    <d v="2025-10-07T00:00:00"/>
    <s v="EQ"/>
    <n v="974"/>
    <n v="989.85"/>
    <n v="971"/>
    <n v="973.45"/>
    <n v="981.8"/>
    <n v="982.5"/>
    <n v="983.54"/>
    <n v="2037.7"/>
    <n v="939.1"/>
    <n v="25535736"/>
    <n v="25115433186.599998"/>
    <n v="246182"/>
    <x v="2"/>
    <n v="-0.54999999999995453"/>
    <x v="2"/>
    <n v="10"/>
    <x v="2"/>
    <n v="-0.4440050483803113"/>
  </r>
  <r>
    <d v="2025-10-06T00:00:00"/>
    <s v="EQ"/>
    <n v="971.9"/>
    <n v="977.4"/>
    <n v="962"/>
    <n v="965.15"/>
    <n v="973.9"/>
    <n v="973.45"/>
    <n v="973.33"/>
    <n v="2037.7"/>
    <n v="939.1"/>
    <n v="18542683"/>
    <n v="18048185820.200001"/>
    <n v="242243"/>
    <x v="2"/>
    <n v="-6.75"/>
    <x v="2"/>
    <n v="10"/>
    <x v="2"/>
    <n v="-0.4440050483803113"/>
  </r>
  <r>
    <d v="2025-10-03T00:00:00"/>
    <s v="EQ"/>
    <n v="952"/>
    <n v="966.75"/>
    <n v="952"/>
    <n v="965.25"/>
    <n v="963.7"/>
    <n v="965.15"/>
    <n v="960.81"/>
    <n v="2037.7"/>
    <n v="939.1"/>
    <n v="26658296"/>
    <n v="25613477189.5"/>
    <n v="262320"/>
    <x v="2"/>
    <n v="13.25"/>
    <x v="2"/>
    <n v="10"/>
    <x v="2"/>
    <n v="-0.4440050483803113"/>
  </r>
  <r>
    <d v="2025-10-01T00:00:00"/>
    <s v="EQ"/>
    <n v="952.7"/>
    <n v="969.6"/>
    <n v="946"/>
    <n v="951"/>
    <n v="965.8"/>
    <n v="965.25"/>
    <n v="961.75"/>
    <n v="2037.7"/>
    <n v="939.1"/>
    <n v="25350832"/>
    <n v="24381070597.700001"/>
    <n v="284713"/>
    <x v="2"/>
    <n v="-1.7000000000000455"/>
    <x v="2"/>
    <n v="10"/>
    <x v="2"/>
    <n v="-0.4440050483803113"/>
  </r>
  <r>
    <d v="2025-09-30T00:00:00"/>
    <s v="EQ"/>
    <n v="958.05"/>
    <n v="960"/>
    <n v="946.3"/>
    <n v="950.3"/>
    <n v="952.5"/>
    <n v="951"/>
    <n v="951.48"/>
    <n v="2037.7"/>
    <n v="939.1"/>
    <n v="28296687"/>
    <n v="26923671201.950001"/>
    <n v="254597"/>
    <x v="2"/>
    <n v="-7.75"/>
    <x v="2"/>
    <n v="9"/>
    <x v="3"/>
    <n v="-0.4440050483803113"/>
  </r>
  <r>
    <d v="2025-09-29T00:00:00"/>
    <s v="EQ"/>
    <n v="946.05"/>
    <n v="956.8"/>
    <n v="939.1"/>
    <n v="945.05"/>
    <n v="953.4"/>
    <n v="950.3"/>
    <n v="950.17"/>
    <n v="2037.7"/>
    <n v="939.1"/>
    <n v="32398179"/>
    <n v="30783888581.799999"/>
    <n v="296694"/>
    <x v="2"/>
    <n v="-1"/>
    <x v="2"/>
    <n v="9"/>
    <x v="3"/>
    <n v="-0.4440050483803113"/>
  </r>
  <r>
    <d v="2025-09-26T00:00:00"/>
    <s v="EQ"/>
    <n v="945.1"/>
    <n v="951.45"/>
    <n v="941.3"/>
    <n v="949.85"/>
    <n v="944.25"/>
    <n v="945.05"/>
    <n v="945.96"/>
    <n v="2037.7"/>
    <n v="940"/>
    <n v="14874656"/>
    <n v="14070786048.15"/>
    <n v="209563"/>
    <x v="2"/>
    <n v="4.75"/>
    <x v="2"/>
    <n v="9"/>
    <x v="3"/>
    <n v="-0.4440050483803113"/>
  </r>
  <r>
    <d v="2025-09-25T00:00:00"/>
    <s v="EQ"/>
    <n v="952.5"/>
    <n v="958"/>
    <n v="947.4"/>
    <n v="951.05"/>
    <n v="951.2"/>
    <n v="949.85"/>
    <n v="952.03"/>
    <n v="2037.7"/>
    <n v="940"/>
    <n v="31413279"/>
    <n v="29906381362.700001"/>
    <n v="256060"/>
    <x v="2"/>
    <n v="-1.4500000000000455"/>
    <x v="2"/>
    <n v="9"/>
    <x v="3"/>
    <n v="-0.4440050483803113"/>
  </r>
  <r>
    <d v="2025-09-24T00:00:00"/>
    <s v="EQ"/>
    <n v="952.2"/>
    <n v="956.45"/>
    <n v="943"/>
    <n v="957.2"/>
    <n v="951"/>
    <n v="951.05"/>
    <n v="949.21"/>
    <n v="2037.7"/>
    <n v="940"/>
    <n v="15117220"/>
    <n v="14349411269.75"/>
    <n v="248417"/>
    <x v="2"/>
    <n v="5"/>
    <x v="2"/>
    <n v="9"/>
    <x v="3"/>
    <n v="-0.4440050483803113"/>
  </r>
  <r>
    <d v="2025-09-23T00:00:00"/>
    <s v="EQ"/>
    <n v="967"/>
    <n v="968.2"/>
    <n v="955.5"/>
    <n v="964.2"/>
    <n v="958.45"/>
    <n v="957.2"/>
    <n v="960.1"/>
    <n v="2037.7"/>
    <n v="940"/>
    <n v="21022298"/>
    <n v="20183427172.900002"/>
    <n v="190721"/>
    <x v="2"/>
    <n v="-2.7999999999999545"/>
    <x v="2"/>
    <n v="9"/>
    <x v="3"/>
    <n v="-0.4440050483803113"/>
  </r>
  <r>
    <d v="2025-09-22T00:00:00"/>
    <s v="EQ"/>
    <n v="964"/>
    <n v="971.2"/>
    <n v="961.95"/>
    <n v="966.9"/>
    <n v="965.4"/>
    <n v="964.2"/>
    <n v="966.4"/>
    <n v="2037.7"/>
    <n v="940"/>
    <n v="10854415"/>
    <n v="10489724995.75"/>
    <n v="139126"/>
    <x v="2"/>
    <n v="2.8999999999999773"/>
    <x v="2"/>
    <n v="9"/>
    <x v="3"/>
    <n v="-0.4440050483803113"/>
  </r>
  <r>
    <d v="2025-09-19T00:00:00"/>
    <s v="EQ"/>
    <n v="974.9"/>
    <n v="976.7"/>
    <n v="962.1"/>
    <n v="976.9"/>
    <n v="967"/>
    <n v="966.9"/>
    <n v="967.22"/>
    <n v="2037.7"/>
    <n v="940"/>
    <n v="31243267"/>
    <n v="30219230008.150002"/>
    <n v="220137"/>
    <x v="2"/>
    <n v="2"/>
    <x v="2"/>
    <n v="9"/>
    <x v="3"/>
    <n v="-0.4440050483803113"/>
  </r>
  <r>
    <d v="2025-09-18T00:00:00"/>
    <s v="EQ"/>
    <n v="973.3"/>
    <n v="979.65"/>
    <n v="969.25"/>
    <n v="966.5"/>
    <n v="976"/>
    <n v="976.9"/>
    <n v="974.66"/>
    <n v="2037.7"/>
    <n v="940"/>
    <n v="17791598"/>
    <n v="17340847521.599998"/>
    <n v="267040"/>
    <x v="2"/>
    <n v="-6.7999999999999545"/>
    <x v="2"/>
    <n v="9"/>
    <x v="3"/>
    <n v="-0.4440050483803113"/>
  </r>
  <r>
    <d v="2025-09-17T00:00:00"/>
    <s v="EQ"/>
    <n v="965.15"/>
    <n v="974.4"/>
    <n v="964.35"/>
    <n v="966.85"/>
    <n v="967"/>
    <n v="966.5"/>
    <n v="968.39"/>
    <n v="2037.7"/>
    <n v="940"/>
    <n v="17361476"/>
    <n v="16812655777.9"/>
    <n v="269236"/>
    <x v="2"/>
    <n v="1.7000000000000455"/>
    <x v="2"/>
    <n v="9"/>
    <x v="3"/>
    <n v="-0.4440050483803113"/>
  </r>
  <r>
    <d v="2025-09-16T00:00:00"/>
    <s v="EQ"/>
    <n v="961.2"/>
    <n v="969.35"/>
    <n v="961.2"/>
    <n v="967.05"/>
    <n v="966.3"/>
    <n v="966.85"/>
    <n v="966.32"/>
    <n v="2037.7"/>
    <n v="940"/>
    <n v="18661794"/>
    <n v="18033279292.75"/>
    <n v="201920"/>
    <x v="2"/>
    <n v="5.8499999999999091"/>
    <x v="2"/>
    <n v="9"/>
    <x v="3"/>
    <n v="-0.4440050483803113"/>
  </r>
  <r>
    <d v="2025-09-15T00:00:00"/>
    <s v="EQ"/>
    <n v="969.6"/>
    <n v="972.35"/>
    <n v="965"/>
    <n v="967.3"/>
    <n v="966.1"/>
    <n v="967.05"/>
    <n v="968.58"/>
    <n v="2037.7"/>
    <n v="940"/>
    <n v="14486377"/>
    <n v="14031209535.6"/>
    <n v="198502"/>
    <x v="2"/>
    <n v="-2.3000000000000682"/>
    <x v="2"/>
    <n v="9"/>
    <x v="3"/>
    <n v="-0.4440050483803113"/>
  </r>
  <r>
    <d v="2025-09-12T00:00:00"/>
    <s v="EQ"/>
    <n v="969.9"/>
    <n v="970.75"/>
    <n v="962.25"/>
    <n v="967.8"/>
    <n v="966.9"/>
    <n v="967.3"/>
    <n v="966.65"/>
    <n v="2037.7"/>
    <n v="940"/>
    <n v="14363519"/>
    <n v="13884430847.5"/>
    <n v="265851"/>
    <x v="2"/>
    <n v="-2.1000000000000227"/>
    <x v="2"/>
    <n v="9"/>
    <x v="3"/>
    <n v="-0.4440050483803113"/>
  </r>
  <r>
    <d v="2025-09-11T00:00:00"/>
    <s v="EQ"/>
    <n v="960.3"/>
    <n v="969.25"/>
    <n v="959.9"/>
    <n v="965.9"/>
    <n v="966.5"/>
    <n v="967.8"/>
    <n v="965.95"/>
    <n v="2037.7"/>
    <n v="940"/>
    <n v="15113633"/>
    <n v="14598945433.15"/>
    <n v="220801"/>
    <x v="2"/>
    <n v="5.6000000000000227"/>
    <x v="2"/>
    <n v="9"/>
    <x v="3"/>
    <n v="-0.4440050483803113"/>
  </r>
  <r>
    <d v="2025-09-10T00:00:00"/>
    <s v="EQ"/>
    <n v="973.9"/>
    <n v="973.9"/>
    <n v="961.7"/>
    <n v="965.15"/>
    <n v="965.5"/>
    <n v="965.9"/>
    <n v="966.21"/>
    <n v="2037.7"/>
    <n v="940"/>
    <n v="18091100"/>
    <n v="17479779505.299999"/>
    <n v="218336"/>
    <x v="2"/>
    <n v="-8.75"/>
    <x v="2"/>
    <n v="9"/>
    <x v="3"/>
    <n v="-0.4440050483803113"/>
  </r>
  <r>
    <d v="2025-09-09T00:00:00"/>
    <s v="EQ"/>
    <n v="974"/>
    <n v="974.4"/>
    <n v="962.7"/>
    <n v="966"/>
    <n v="966.45"/>
    <n v="965.15"/>
    <n v="967.81"/>
    <n v="2037.7"/>
    <n v="940"/>
    <n v="13985539"/>
    <n v="13535396477.200001"/>
    <n v="181800"/>
    <x v="2"/>
    <n v="-8"/>
    <x v="2"/>
    <n v="9"/>
    <x v="3"/>
    <n v="-0.4440050483803113"/>
  </r>
  <r>
    <d v="2025-09-08T00:00:00"/>
    <s v="EQ"/>
    <n v="969"/>
    <n v="973.15"/>
    <n v="960.45"/>
    <n v="963.4"/>
    <n v="967.35"/>
    <n v="966"/>
    <n v="967.58"/>
    <n v="2037.7"/>
    <n v="940"/>
    <n v="11711307"/>
    <n v="11331677355.700001"/>
    <n v="193535"/>
    <x v="2"/>
    <n v="-5.6000000000000227"/>
    <x v="2"/>
    <n v="9"/>
    <x v="3"/>
    <n v="-0.4440050483803113"/>
  </r>
  <r>
    <d v="2025-09-05T00:00:00"/>
    <s v="EQ"/>
    <n v="967.5"/>
    <n v="967.5"/>
    <n v="954.05"/>
    <n v="961.25"/>
    <n v="962.6"/>
    <n v="963.4"/>
    <n v="960.7"/>
    <n v="2037.7"/>
    <n v="940"/>
    <n v="11602111"/>
    <n v="11146202039.65"/>
    <n v="210037"/>
    <x v="2"/>
    <n v="-6.25"/>
    <x v="2"/>
    <n v="9"/>
    <x v="3"/>
    <n v="-0.4440050483803113"/>
  </r>
  <r>
    <d v="2025-09-04T00:00:00"/>
    <s v="EQ"/>
    <n v="960.2"/>
    <n v="965.7"/>
    <n v="956.25"/>
    <n v="954.45"/>
    <n v="960.95"/>
    <n v="961.25"/>
    <n v="961.34"/>
    <n v="2037.7"/>
    <n v="940"/>
    <n v="17597657"/>
    <n v="16917300954.6"/>
    <n v="212281"/>
    <x v="2"/>
    <n v="-5.75"/>
    <x v="2"/>
    <n v="9"/>
    <x v="3"/>
    <n v="-0.4440050483803113"/>
  </r>
  <r>
    <d v="2025-09-03T00:00:00"/>
    <s v="EQ"/>
    <n v="945"/>
    <n v="956.3"/>
    <n v="940"/>
    <n v="944.5"/>
    <n v="953.95"/>
    <n v="954.45"/>
    <n v="947.66"/>
    <n v="2037.7"/>
    <n v="940"/>
    <n v="16083481"/>
    <n v="15241746460.65"/>
    <n v="288240"/>
    <x v="2"/>
    <n v="-0.5"/>
    <x v="2"/>
    <n v="9"/>
    <x v="3"/>
    <n v="-0.4440050483803113"/>
  </r>
  <r>
    <d v="2025-09-02T00:00:00"/>
    <s v="EQ"/>
    <n v="951"/>
    <n v="954.8"/>
    <n v="944"/>
    <n v="950.6"/>
    <n v="944.7"/>
    <n v="944.5"/>
    <n v="948.8"/>
    <n v="2037.7"/>
    <n v="944"/>
    <n v="14196320"/>
    <n v="13469417784.700001"/>
    <n v="343637"/>
    <x v="2"/>
    <n v="-0.39999999999997726"/>
    <x v="2"/>
    <n v="9"/>
    <x v="3"/>
    <n v="-0.4440050483803113"/>
  </r>
  <r>
    <d v="2025-09-01T00:00:00"/>
    <s v="EQ"/>
    <n v="949.6"/>
    <n v="957.45"/>
    <n v="946.35"/>
    <n v="951.6"/>
    <n v="950.8"/>
    <n v="950.6"/>
    <n v="950.62"/>
    <n v="2037.7"/>
    <n v="946.35"/>
    <n v="20178344"/>
    <n v="19181919082.150002"/>
    <n v="410933"/>
    <x v="2"/>
    <n v="2"/>
    <x v="2"/>
    <n v="9"/>
    <x v="3"/>
    <n v="-0.4440050483803113"/>
  </r>
  <r>
    <d v="2025-08-29T00:00:00"/>
    <s v="EQ"/>
    <n v="954"/>
    <n v="963.3"/>
    <n v="950.1"/>
    <n v="957.8"/>
    <n v="953.4"/>
    <n v="951.6"/>
    <n v="955.24"/>
    <n v="2037.7"/>
    <n v="950.1"/>
    <n v="14823813"/>
    <n v="14160314228.1"/>
    <n v="260839"/>
    <x v="2"/>
    <n v="3.7999999999999545"/>
    <x v="2"/>
    <n v="8"/>
    <x v="4"/>
    <n v="-0.4440050483803113"/>
  </r>
  <r>
    <d v="2025-08-28T00:00:00"/>
    <s v="EQ"/>
    <n v="967"/>
    <n v="972.2"/>
    <n v="955"/>
    <n v="973.4"/>
    <n v="961.8"/>
    <n v="957.8"/>
    <n v="962.09"/>
    <n v="2037.7"/>
    <n v="955"/>
    <n v="25438255"/>
    <n v="24473886027.799999"/>
    <n v="377835"/>
    <x v="2"/>
    <n v="6.3999999999999773"/>
    <x v="2"/>
    <n v="8"/>
    <x v="4"/>
    <n v="-0.4440050483803113"/>
  </r>
  <r>
    <d v="2025-08-26T00:00:00"/>
    <s v="EQ"/>
    <n v="979.5"/>
    <n v="985.7"/>
    <n v="968"/>
    <n v="1964.1"/>
    <n v="972.3"/>
    <n v="973.4"/>
    <n v="973.26"/>
    <n v="2037.7"/>
    <n v="968"/>
    <n v="16917731"/>
    <n v="16465410030.9"/>
    <n v="296302"/>
    <x v="2"/>
    <n v="984.59999999999991"/>
    <x v="2"/>
    <n v="8"/>
    <x v="4"/>
    <n v="-0.4440050483803113"/>
  </r>
  <r>
    <d v="2025-08-25T00:00:00"/>
    <s v="EQ"/>
    <n v="1960.2"/>
    <n v="1977.4"/>
    <n v="1957"/>
    <n v="1964.6"/>
    <n v="1969.2"/>
    <n v="1964.1"/>
    <n v="1967.27"/>
    <n v="2037.7"/>
    <n v="1613"/>
    <n v="8759022"/>
    <n v="17231388424.400002"/>
    <n v="217503"/>
    <x v="2"/>
    <n v="4.3999999999998636"/>
    <x v="2"/>
    <n v="8"/>
    <x v="4"/>
    <n v="-0.4440050483803113"/>
  </r>
  <r>
    <d v="2025-08-22T00:00:00"/>
    <s v="EQ"/>
    <n v="1989.9"/>
    <n v="1996"/>
    <n v="1957.1"/>
    <n v="1991.2"/>
    <n v="1965.5"/>
    <n v="1964.6"/>
    <n v="1968.66"/>
    <n v="2037.7"/>
    <n v="1613"/>
    <n v="9916751"/>
    <n v="19522714269.099998"/>
    <n v="253318"/>
    <x v="2"/>
    <n v="1.2999999999999545"/>
    <x v="2"/>
    <n v="8"/>
    <x v="4"/>
    <n v="-0.4440050483803113"/>
  </r>
  <r>
    <d v="2025-08-21T00:00:00"/>
    <s v="EQ"/>
    <n v="1997.5"/>
    <n v="1997.5"/>
    <n v="1983.2"/>
    <n v="1988.2"/>
    <n v="1990.5"/>
    <n v="1991.2"/>
    <n v="1991.62"/>
    <n v="2037.7"/>
    <n v="1613"/>
    <n v="6219925"/>
    <n v="12387722464"/>
    <n v="160599"/>
    <x v="2"/>
    <n v="-9.2999999999999545"/>
    <x v="2"/>
    <n v="8"/>
    <x v="4"/>
    <n v="-0.4440050483803113"/>
  </r>
  <r>
    <d v="2025-08-20T00:00:00"/>
    <s v="EQ"/>
    <n v="1987"/>
    <n v="1992"/>
    <n v="1979"/>
    <n v="1991.1"/>
    <n v="1988.3"/>
    <n v="1988.2"/>
    <n v="1985.13"/>
    <n v="2037.7"/>
    <n v="1613"/>
    <n v="4975114"/>
    <n v="9876263155.2999992"/>
    <n v="173424"/>
    <x v="2"/>
    <n v="4.0999999999999091"/>
    <x v="2"/>
    <n v="8"/>
    <x v="4"/>
    <n v="-0.4440050483803113"/>
  </r>
  <r>
    <d v="2025-08-19T00:00:00"/>
    <s v="EQ"/>
    <n v="1998.3"/>
    <n v="2006.1"/>
    <n v="1986.7"/>
    <n v="2003.6"/>
    <n v="1990"/>
    <n v="1991.1"/>
    <n v="1995.49"/>
    <n v="2037.7"/>
    <n v="1613"/>
    <n v="6176219"/>
    <n v="12324574114.9"/>
    <n v="170899"/>
    <x v="2"/>
    <n v="5.2999999999999545"/>
    <x v="2"/>
    <n v="8"/>
    <x v="4"/>
    <n v="-0.4440050483803113"/>
  </r>
  <r>
    <d v="2025-08-18T00:00:00"/>
    <s v="EQ"/>
    <n v="2010"/>
    <n v="2026.6"/>
    <n v="1995.6"/>
    <n v="1991.1"/>
    <n v="2005"/>
    <n v="2003.6"/>
    <n v="2008.73"/>
    <n v="2037.7"/>
    <n v="1613"/>
    <n v="9642398"/>
    <n v="19368989917.900002"/>
    <n v="220027"/>
    <x v="2"/>
    <n v="-18.900000000000091"/>
    <x v="2"/>
    <n v="8"/>
    <x v="4"/>
    <n v="-0.4440050483803113"/>
  </r>
  <r>
    <d v="2025-08-14T00:00:00"/>
    <s v="EQ"/>
    <n v="1978"/>
    <n v="1996"/>
    <n v="1971.2"/>
    <n v="1980.3"/>
    <n v="1989.5"/>
    <n v="1991.1"/>
    <n v="1990.18"/>
    <n v="2037.7"/>
    <n v="1601.15"/>
    <n v="8755858"/>
    <n v="17425742818.700001"/>
    <n v="174342"/>
    <x v="2"/>
    <n v="2.2999999999999545"/>
    <x v="2"/>
    <n v="8"/>
    <x v="4"/>
    <n v="-0.4440050483803113"/>
  </r>
  <r>
    <d v="2025-08-13T00:00:00"/>
    <s v="EQ"/>
    <n v="1994"/>
    <n v="1994"/>
    <n v="1969.1"/>
    <n v="1969.9"/>
    <n v="1979.9"/>
    <n v="1980.3"/>
    <n v="1977.14"/>
    <n v="2037.7"/>
    <n v="1601.15"/>
    <n v="6788698"/>
    <n v="13422176534.1"/>
    <n v="177703"/>
    <x v="2"/>
    <n v="-24.099999999999909"/>
    <x v="2"/>
    <n v="8"/>
    <x v="4"/>
    <n v="-0.4440050483803113"/>
  </r>
  <r>
    <d v="2025-08-12T00:00:00"/>
    <s v="EQ"/>
    <n v="1991.9"/>
    <n v="1996"/>
    <n v="1967.5"/>
    <n v="1995.6"/>
    <n v="1969.7"/>
    <n v="1969.9"/>
    <n v="1978.54"/>
    <n v="2037.7"/>
    <n v="1601.15"/>
    <n v="6468901"/>
    <n v="12798999218.200001"/>
    <n v="237925"/>
    <x v="2"/>
    <n v="3.6999999999998181"/>
    <x v="2"/>
    <n v="8"/>
    <x v="4"/>
    <n v="-0.4440050483803113"/>
  </r>
  <r>
    <d v="2025-08-11T00:00:00"/>
    <s v="EQ"/>
    <n v="1975.9"/>
    <n v="1997.6"/>
    <n v="1973.1"/>
    <n v="1973.9"/>
    <n v="1992"/>
    <n v="1995.6"/>
    <n v="1986.89"/>
    <n v="2037.7"/>
    <n v="1601.15"/>
    <n v="4552927"/>
    <n v="9046155578.7000008"/>
    <n v="165998"/>
    <x v="2"/>
    <n v="-2"/>
    <x v="2"/>
    <n v="8"/>
    <x v="4"/>
    <n v="-0.4440050483803113"/>
  </r>
  <r>
    <d v="2025-08-08T00:00:00"/>
    <s v="EQ"/>
    <n v="1987.1"/>
    <n v="1992.8"/>
    <n v="1970"/>
    <n v="1995.4"/>
    <n v="1972"/>
    <n v="1973.9"/>
    <n v="1978.99"/>
    <n v="2037.7"/>
    <n v="1593.3"/>
    <n v="6947632"/>
    <n v="13749288126.4"/>
    <n v="178320"/>
    <x v="2"/>
    <n v="8.3000000000001819"/>
    <x v="2"/>
    <n v="8"/>
    <x v="4"/>
    <n v="-0.4440050483803113"/>
  </r>
  <r>
    <d v="2025-08-07T00:00:00"/>
    <s v="EQ"/>
    <n v="1980.1"/>
    <n v="2001.6"/>
    <n v="1976.8"/>
    <n v="1985.3"/>
    <n v="1998"/>
    <n v="1995.4"/>
    <n v="1986.09"/>
    <n v="2037.7"/>
    <n v="1593.3"/>
    <n v="6540593"/>
    <n v="12990237207.700001"/>
    <n v="223527"/>
    <x v="2"/>
    <n v="5.2000000000000455"/>
    <x v="2"/>
    <n v="8"/>
    <x v="4"/>
    <n v="-0.4440050483803113"/>
  </r>
  <r>
    <d v="2025-08-06T00:00:00"/>
    <s v="EQ"/>
    <n v="1971.1"/>
    <n v="1988"/>
    <n v="1970"/>
    <n v="1977.6"/>
    <n v="1987"/>
    <n v="1985.3"/>
    <n v="1978.39"/>
    <n v="2037.7"/>
    <n v="1593.3"/>
    <n v="7040102"/>
    <n v="13928074705.9"/>
    <n v="211058"/>
    <x v="2"/>
    <n v="6.5"/>
    <x v="2"/>
    <n v="8"/>
    <x v="4"/>
    <n v="-0.4440050483803113"/>
  </r>
  <r>
    <d v="2025-08-05T00:00:00"/>
    <s v="EQ"/>
    <n v="1986.5"/>
    <n v="1994.4"/>
    <n v="1965.5"/>
    <n v="1992"/>
    <n v="1981"/>
    <n v="1977.6"/>
    <n v="1975.61"/>
    <n v="2037.7"/>
    <n v="1593.3"/>
    <n v="11989029"/>
    <n v="23685633703.599998"/>
    <n v="194332"/>
    <x v="2"/>
    <n v="5.5"/>
    <x v="2"/>
    <n v="8"/>
    <x v="4"/>
    <n v="-0.4440050483803113"/>
  </r>
  <r>
    <d v="2025-08-04T00:00:00"/>
    <s v="EQ"/>
    <n v="2010.1"/>
    <n v="2018.5"/>
    <n v="1988.1"/>
    <n v="2012.2"/>
    <n v="1994.4"/>
    <n v="1992"/>
    <n v="1997.96"/>
    <n v="2037.7"/>
    <n v="1593.3"/>
    <n v="6966973"/>
    <n v="13919756957.200001"/>
    <n v="248150"/>
    <x v="2"/>
    <n v="2.1000000000001364"/>
    <x v="2"/>
    <n v="8"/>
    <x v="4"/>
    <n v="-0.4440050483803113"/>
  </r>
  <r>
    <d v="2025-08-01T00:00:00"/>
    <s v="EQ"/>
    <n v="2014"/>
    <n v="2028.3"/>
    <n v="2009.3"/>
    <n v="2018.2"/>
    <n v="2016.9"/>
    <n v="2012.2"/>
    <n v="2015.24"/>
    <n v="2037.7"/>
    <n v="1593.3"/>
    <n v="5658629"/>
    <n v="11403473962.299999"/>
    <n v="138595"/>
    <x v="2"/>
    <n v="4.2000000000000455"/>
    <x v="2"/>
    <n v="8"/>
    <x v="4"/>
    <n v="-0.4440050483803113"/>
  </r>
  <r>
    <d v="2025-07-31T00:00:00"/>
    <s v="EQ"/>
    <n v="2014.6"/>
    <n v="2031.4"/>
    <n v="2008"/>
    <n v="2025.8"/>
    <n v="2018"/>
    <n v="2018.2"/>
    <n v="2020.81"/>
    <n v="2037.7"/>
    <n v="1593.3"/>
    <n v="11091516"/>
    <n v="22413795872.200001"/>
    <n v="199191"/>
    <x v="2"/>
    <n v="11.200000000000045"/>
    <x v="2"/>
    <n v="7"/>
    <x v="5"/>
    <n v="-0.4440050483803113"/>
  </r>
  <r>
    <d v="2025-07-30T00:00:00"/>
    <s v="EQ"/>
    <n v="2028"/>
    <n v="2032.6"/>
    <n v="2017"/>
    <n v="2021.6"/>
    <n v="2025.9"/>
    <n v="2025.8"/>
    <n v="2023.94"/>
    <n v="2037.7"/>
    <n v="1593.3"/>
    <n v="7577018"/>
    <n v="15335457713.700001"/>
    <n v="152763"/>
    <x v="2"/>
    <n v="-6.4000000000000909"/>
    <x v="2"/>
    <n v="7"/>
    <x v="5"/>
    <n v="-0.4440050483803113"/>
  </r>
  <r>
    <d v="2025-07-29T00:00:00"/>
    <s v="EQ"/>
    <n v="1999.9"/>
    <n v="2026.5"/>
    <n v="1996.3"/>
    <n v="2008.5"/>
    <n v="2023"/>
    <n v="2021.6"/>
    <n v="2015.07"/>
    <n v="2037.7"/>
    <n v="1593.3"/>
    <n v="9947848"/>
    <n v="20045635384.900002"/>
    <n v="234546"/>
    <x v="2"/>
    <n v="8.5999999999999091"/>
    <x v="2"/>
    <n v="7"/>
    <x v="5"/>
    <n v="-0.4440050483803113"/>
  </r>
  <r>
    <d v="2025-07-28T00:00:00"/>
    <s v="EQ"/>
    <n v="2003"/>
    <n v="2021.4"/>
    <n v="2000.5"/>
    <n v="2004.6"/>
    <n v="2009.9"/>
    <n v="2008.5"/>
    <n v="2011.08"/>
    <n v="2037.7"/>
    <n v="1593.3"/>
    <n v="6029790"/>
    <n v="12126412272.799999"/>
    <n v="219624"/>
    <x v="2"/>
    <n v="1.5999999999999091"/>
    <x v="2"/>
    <n v="7"/>
    <x v="5"/>
    <n v="-0.4440050483803113"/>
  </r>
  <r>
    <d v="2025-07-25T00:00:00"/>
    <s v="EQ"/>
    <n v="2015"/>
    <n v="2015"/>
    <n v="1999"/>
    <n v="2014.2"/>
    <n v="2005"/>
    <n v="2004.6"/>
    <n v="2005.63"/>
    <n v="2037.7"/>
    <n v="1588.05"/>
    <n v="4653299"/>
    <n v="9332802398.7999992"/>
    <n v="163735"/>
    <x v="2"/>
    <n v="-0.79999999999995453"/>
    <x v="2"/>
    <n v="7"/>
    <x v="5"/>
    <n v="-0.4440050483803113"/>
  </r>
  <r>
    <d v="2025-07-24T00:00:00"/>
    <s v="EQ"/>
    <n v="2037.7"/>
    <n v="2037.7"/>
    <n v="2008.4"/>
    <n v="2024.3"/>
    <n v="2011.7"/>
    <n v="2014.2"/>
    <n v="2019.12"/>
    <n v="2037.7"/>
    <n v="1588.05"/>
    <n v="9553588"/>
    <n v="19289876404.200001"/>
    <n v="183573"/>
    <x v="2"/>
    <n v="-13.400000000000091"/>
    <x v="2"/>
    <n v="7"/>
    <x v="5"/>
    <n v="-0.4440050483803113"/>
  </r>
  <r>
    <d v="2025-07-23T00:00:00"/>
    <s v="EQ"/>
    <n v="2011"/>
    <n v="2029.8"/>
    <n v="2003"/>
    <n v="2007.1"/>
    <n v="2024.5"/>
    <n v="2024.3"/>
    <n v="2019.97"/>
    <n v="2029.8"/>
    <n v="1588.05"/>
    <n v="6817458"/>
    <n v="13771089884.700001"/>
    <n v="191989"/>
    <x v="2"/>
    <n v="-3.9000000000000909"/>
    <x v="2"/>
    <n v="7"/>
    <x v="5"/>
    <n v="-0.4440050483803113"/>
  </r>
  <r>
    <d v="2025-07-22T00:00:00"/>
    <s v="EQ"/>
    <n v="2013.1"/>
    <n v="2018"/>
    <n v="2003"/>
    <n v="2000.5"/>
    <n v="2005"/>
    <n v="2007.1"/>
    <n v="2009.05"/>
    <n v="2027.1"/>
    <n v="1588.05"/>
    <n v="7418407"/>
    <n v="14903939836.299999"/>
    <n v="226727"/>
    <x v="2"/>
    <n v="-12.599999999999909"/>
    <x v="2"/>
    <n v="7"/>
    <x v="5"/>
    <n v="-0.4440050483803113"/>
  </r>
  <r>
    <d v="2025-07-21T00:00:00"/>
    <s v="EQ"/>
    <n v="1978.2"/>
    <n v="2002"/>
    <n v="1976.5"/>
    <n v="1957.4"/>
    <n v="2001.5"/>
    <n v="2000.5"/>
    <n v="1993.45"/>
    <n v="2027.1"/>
    <n v="1588.05"/>
    <n v="11154539"/>
    <n v="22236041336.400002"/>
    <n v="275691"/>
    <x v="2"/>
    <n v="-20.799999999999955"/>
    <x v="2"/>
    <n v="7"/>
    <x v="5"/>
    <n v="-0.4440050483803113"/>
  </r>
  <r>
    <d v="2025-07-18T00:00:00"/>
    <s v="EQ"/>
    <n v="1986.9"/>
    <n v="1997"/>
    <n v="1953"/>
    <n v="1986.9"/>
    <n v="1956"/>
    <n v="1957.4"/>
    <n v="1968.8"/>
    <n v="2027.1"/>
    <n v="1588.05"/>
    <n v="8064723"/>
    <n v="15877808287.5"/>
    <n v="221823"/>
    <x v="2"/>
    <n v="0"/>
    <x v="2"/>
    <n v="7"/>
    <x v="5"/>
    <n v="-0.4440050483803113"/>
  </r>
  <r>
    <d v="2025-07-17T00:00:00"/>
    <s v="EQ"/>
    <n v="2004"/>
    <n v="2004.8"/>
    <n v="1982.7"/>
    <n v="1996.3"/>
    <n v="1986"/>
    <n v="1986.9"/>
    <n v="1991.85"/>
    <n v="2027.1"/>
    <n v="1588.05"/>
    <n v="11264579"/>
    <n v="22437406105.599998"/>
    <n v="256020"/>
    <x v="2"/>
    <n v="-7.7000000000000455"/>
    <x v="2"/>
    <n v="7"/>
    <x v="5"/>
    <n v="-0.4440050483803113"/>
  </r>
  <r>
    <d v="2025-07-16T00:00:00"/>
    <s v="EQ"/>
    <n v="2018"/>
    <n v="2022.7"/>
    <n v="1992.6"/>
    <n v="1995.5"/>
    <n v="1996"/>
    <n v="1996.3"/>
    <n v="2005.54"/>
    <n v="2027.1"/>
    <n v="1588.05"/>
    <n v="8997306"/>
    <n v="18044432313.400002"/>
    <n v="216845"/>
    <x v="2"/>
    <n v="-22.5"/>
    <x v="2"/>
    <n v="7"/>
    <x v="5"/>
    <n v="-0.4440050483803113"/>
  </r>
  <r>
    <d v="2025-07-15T00:00:00"/>
    <s v="EQ"/>
    <n v="1973"/>
    <n v="2003.6"/>
    <n v="1973"/>
    <n v="1983"/>
    <n v="1998"/>
    <n v="1995.5"/>
    <n v="1993.02"/>
    <n v="2027.1"/>
    <n v="1588.05"/>
    <n v="7249084"/>
    <n v="14447599382.1"/>
    <n v="157806"/>
    <x v="2"/>
    <n v="10"/>
    <x v="2"/>
    <n v="7"/>
    <x v="5"/>
    <n v="-0.4440050483803113"/>
  </r>
  <r>
    <d v="2025-07-14T00:00:00"/>
    <s v="EQ"/>
    <n v="1983"/>
    <n v="1988.7"/>
    <n v="1970.6"/>
    <n v="1983.7"/>
    <n v="1982.9"/>
    <n v="1983"/>
    <n v="1978.8"/>
    <n v="2027.1"/>
    <n v="1588.05"/>
    <n v="6544425"/>
    <n v="12950097345.9"/>
    <n v="132854"/>
    <x v="2"/>
    <n v="0.70000000000004547"/>
    <x v="2"/>
    <n v="7"/>
    <x v="5"/>
    <n v="-0.4440050483803113"/>
  </r>
  <r>
    <d v="2025-07-11T00:00:00"/>
    <s v="EQ"/>
    <n v="1998"/>
    <n v="2004.8"/>
    <n v="1980.9"/>
    <n v="2006.2"/>
    <n v="1983"/>
    <n v="1983.7"/>
    <n v="1987.41"/>
    <n v="2027.1"/>
    <n v="1588.05"/>
    <n v="6258461"/>
    <n v="12438153798.200001"/>
    <n v="125871"/>
    <x v="2"/>
    <n v="8.2000000000000455"/>
    <x v="2"/>
    <n v="7"/>
    <x v="5"/>
    <n v="-0.4440050483803113"/>
  </r>
  <r>
    <d v="2025-07-10T00:00:00"/>
    <s v="EQ"/>
    <n v="2016"/>
    <n v="2017"/>
    <n v="2000"/>
    <n v="2011.2"/>
    <n v="2002.8"/>
    <n v="2006.2"/>
    <n v="2008.54"/>
    <n v="2027.1"/>
    <n v="1588.05"/>
    <n v="8515155"/>
    <n v="17103052403.799999"/>
    <n v="184619"/>
    <x v="2"/>
    <n v="-4.7999999999999545"/>
    <x v="2"/>
    <n v="7"/>
    <x v="5"/>
    <n v="-0.4440050483803113"/>
  </r>
  <r>
    <d v="2025-07-09T00:00:00"/>
    <s v="EQ"/>
    <n v="2007"/>
    <n v="2013.8"/>
    <n v="1998.1"/>
    <n v="2001.4"/>
    <n v="2008.5"/>
    <n v="2011.2"/>
    <n v="2007.1"/>
    <n v="2027.1"/>
    <n v="1588.05"/>
    <n v="6930714"/>
    <n v="13910645549.4"/>
    <n v="151284"/>
    <x v="2"/>
    <n v="-5.5999999999999091"/>
    <x v="2"/>
    <n v="7"/>
    <x v="5"/>
    <n v="-0.4440050483803113"/>
  </r>
  <r>
    <d v="2025-07-08T00:00:00"/>
    <s v="EQ"/>
    <n v="1977"/>
    <n v="2005"/>
    <n v="1977"/>
    <n v="1987.4"/>
    <n v="1999.4"/>
    <n v="2001.4"/>
    <n v="1992.88"/>
    <n v="2027.1"/>
    <n v="1588.05"/>
    <n v="7612158"/>
    <n v="15170095365.5"/>
    <n v="199823"/>
    <x v="2"/>
    <n v="10.400000000000091"/>
    <x v="2"/>
    <n v="7"/>
    <x v="5"/>
    <n v="-0.4440050483803113"/>
  </r>
  <r>
    <d v="2025-07-07T00:00:00"/>
    <s v="EQ"/>
    <n v="1989"/>
    <n v="1998.4"/>
    <n v="1983.8"/>
    <n v="1989.3"/>
    <n v="1985.5"/>
    <n v="1987.4"/>
    <n v="1989.37"/>
    <n v="2027.1"/>
    <n v="1588.05"/>
    <n v="5674713"/>
    <n v="11289078543"/>
    <n v="163393"/>
    <x v="2"/>
    <n v="0.29999999999995453"/>
    <x v="2"/>
    <n v="7"/>
    <x v="5"/>
    <n v="-0.4440050483803113"/>
  </r>
  <r>
    <d v="2025-07-04T00:00:00"/>
    <s v="EQ"/>
    <n v="1987.1"/>
    <n v="2003.5"/>
    <n v="1980"/>
    <n v="1987.1"/>
    <n v="1992.7"/>
    <n v="1989.3"/>
    <n v="1987.51"/>
    <n v="2027.1"/>
    <n v="1588.05"/>
    <n v="3931972"/>
    <n v="7814832915.6000004"/>
    <n v="150676"/>
    <x v="2"/>
    <n v="0"/>
    <x v="2"/>
    <n v="7"/>
    <x v="5"/>
    <n v="-0.4440050483803113"/>
  </r>
  <r>
    <d v="2025-07-03T00:00:00"/>
    <s v="EQ"/>
    <n v="1994.9"/>
    <n v="2008"/>
    <n v="1984.3"/>
    <n v="1986"/>
    <n v="1985.9"/>
    <n v="1987.1"/>
    <n v="1993.22"/>
    <n v="2027.1"/>
    <n v="1588.05"/>
    <n v="8430253"/>
    <n v="16803371805.6"/>
    <n v="182242"/>
    <x v="2"/>
    <n v="-8.9000000000000909"/>
    <x v="2"/>
    <n v="7"/>
    <x v="5"/>
    <n v="-0.4440050483803113"/>
  </r>
  <r>
    <d v="2025-07-02T00:00:00"/>
    <s v="EQ"/>
    <n v="2019.9"/>
    <n v="2019.9"/>
    <n v="1977.9"/>
    <n v="2012.1"/>
    <n v="1985.5"/>
    <n v="1986"/>
    <n v="1990.25"/>
    <n v="2027.1"/>
    <n v="1588.05"/>
    <n v="9439125"/>
    <n v="18786219250.599998"/>
    <n v="268429"/>
    <x v="2"/>
    <n v="-7.8000000000001819"/>
    <x v="2"/>
    <n v="7"/>
    <x v="5"/>
    <n v="-0.4440050483803113"/>
  </r>
  <r>
    <d v="2025-07-01T00:00:00"/>
    <s v="EQ"/>
    <n v="2005"/>
    <n v="2016"/>
    <n v="2004"/>
    <n v="2001.5"/>
    <n v="2011.1"/>
    <n v="2012.1"/>
    <n v="2010.15"/>
    <n v="2027.1"/>
    <n v="1588.05"/>
    <n v="7194693"/>
    <n v="14462421818.6"/>
    <n v="169976"/>
    <x v="2"/>
    <n v="-3.5"/>
    <x v="2"/>
    <n v="7"/>
    <x v="5"/>
    <n v="-0.4440050483803113"/>
  </r>
  <r>
    <d v="2025-06-30T00:00:00"/>
    <s v="EQ"/>
    <n v="2011.5"/>
    <n v="2013.8"/>
    <n v="1995.5"/>
    <n v="2014.9"/>
    <n v="2000"/>
    <n v="2001.5"/>
    <n v="2001.16"/>
    <n v="2027.1"/>
    <n v="1588.05"/>
    <n v="6824510"/>
    <n v="13656939181"/>
    <n v="199780"/>
    <x v="2"/>
    <n v="3.4000000000000909"/>
    <x v="2"/>
    <n v="6"/>
    <x v="6"/>
    <n v="-0.4440050483803113"/>
  </r>
  <r>
    <d v="2025-06-27T00:00:00"/>
    <s v="EQ"/>
    <n v="2013"/>
    <n v="2019.8"/>
    <n v="1993.4"/>
    <n v="2021.8"/>
    <n v="2011.5"/>
    <n v="2014.9"/>
    <n v="2011.75"/>
    <n v="2027.1"/>
    <n v="1588.05"/>
    <n v="14106692"/>
    <n v="28379071385.700001"/>
    <n v="226961"/>
    <x v="2"/>
    <n v="8.7999999999999545"/>
    <x v="2"/>
    <n v="6"/>
    <x v="6"/>
    <n v="-0.4440050483803113"/>
  </r>
  <r>
    <d v="2025-06-26T00:00:00"/>
    <s v="EQ"/>
    <n v="1981.4"/>
    <n v="2027.1"/>
    <n v="1980"/>
    <n v="1980.2"/>
    <n v="2017.7"/>
    <n v="2021.8"/>
    <n v="2011.21"/>
    <n v="2027.1"/>
    <n v="1588.05"/>
    <n v="25042415"/>
    <n v="50365656414.5"/>
    <n v="343662"/>
    <x v="2"/>
    <n v="-1.2000000000000455"/>
    <x v="2"/>
    <n v="6"/>
    <x v="6"/>
    <n v="-0.4440050483803113"/>
  </r>
  <r>
    <d v="2025-06-25T00:00:00"/>
    <s v="EQ"/>
    <n v="1966"/>
    <n v="1982"/>
    <n v="1963.9"/>
    <n v="1960.9"/>
    <n v="1980"/>
    <n v="1980.2"/>
    <n v="1977.13"/>
    <n v="1996.3"/>
    <n v="1588.05"/>
    <n v="9202966"/>
    <n v="18195446515.700001"/>
    <n v="206190"/>
    <x v="2"/>
    <n v="-5.0999999999999091"/>
    <x v="2"/>
    <n v="6"/>
    <x v="6"/>
    <n v="-0.4440050483803113"/>
  </r>
  <r>
    <d v="2025-06-24T00:00:00"/>
    <s v="EQ"/>
    <n v="1965"/>
    <n v="1979"/>
    <n v="1955.6"/>
    <n v="1948.4"/>
    <n v="1963.7"/>
    <n v="1960.9"/>
    <n v="1964.12"/>
    <n v="1996.3"/>
    <n v="1588.05"/>
    <n v="11312661"/>
    <n v="22219442191.5"/>
    <n v="231814"/>
    <x v="2"/>
    <n v="-16.599999999999909"/>
    <x v="2"/>
    <n v="6"/>
    <x v="6"/>
    <n v="-0.4440050483803113"/>
  </r>
  <r>
    <d v="2025-06-23T00:00:00"/>
    <s v="EQ"/>
    <n v="1948.4"/>
    <n v="1957.9"/>
    <n v="1941.8"/>
    <n v="1964.7"/>
    <n v="1948.1"/>
    <n v="1948.4"/>
    <n v="1948.19"/>
    <n v="1996.3"/>
    <n v="1588.05"/>
    <n v="5869759"/>
    <n v="11435395881.1"/>
    <n v="176324"/>
    <x v="2"/>
    <n v="16.299999999999955"/>
    <x v="2"/>
    <n v="6"/>
    <x v="6"/>
    <n v="-0.4440050483803113"/>
  </r>
  <r>
    <d v="2025-06-20T00:00:00"/>
    <s v="EQ"/>
    <n v="1931.6"/>
    <n v="1969.9"/>
    <n v="1931.6"/>
    <n v="1935.3"/>
    <n v="1963.1"/>
    <n v="1964.7"/>
    <n v="1960.39"/>
    <n v="1996.3"/>
    <n v="1588.05"/>
    <n v="16450204"/>
    <n v="32248839586.400002"/>
    <n v="261970"/>
    <x v="2"/>
    <n v="3.7000000000000455"/>
    <x v="2"/>
    <n v="6"/>
    <x v="6"/>
    <n v="-0.4440050483803113"/>
  </r>
  <r>
    <d v="2025-06-19T00:00:00"/>
    <s v="EQ"/>
    <n v="1933.9"/>
    <n v="1946.8"/>
    <n v="1925.6"/>
    <n v="1933.9"/>
    <n v="1933.1"/>
    <n v="1935.3"/>
    <n v="1937.61"/>
    <n v="1996.3"/>
    <n v="1588.05"/>
    <n v="8438110"/>
    <n v="16349732658.700001"/>
    <n v="202215"/>
    <x v="2"/>
    <n v="0"/>
    <x v="2"/>
    <n v="6"/>
    <x v="6"/>
    <n v="-0.4440050483803113"/>
  </r>
  <r>
    <d v="2025-06-18T00:00:00"/>
    <s v="EQ"/>
    <n v="1917"/>
    <n v="1936.3"/>
    <n v="1917"/>
    <n v="1929.6"/>
    <n v="1932.5"/>
    <n v="1933.9"/>
    <n v="1928.12"/>
    <n v="1996.3"/>
    <n v="1588.05"/>
    <n v="9216908"/>
    <n v="17771302525.400002"/>
    <n v="251910"/>
    <x v="2"/>
    <n v="12.599999999999909"/>
    <x v="2"/>
    <n v="6"/>
    <x v="6"/>
    <n v="-0.4440050483803113"/>
  </r>
  <r>
    <d v="2025-06-17T00:00:00"/>
    <s v="EQ"/>
    <n v="1937"/>
    <n v="1941.6"/>
    <n v="1919.1"/>
    <n v="1935.4"/>
    <n v="1926"/>
    <n v="1929.6"/>
    <n v="1927.55"/>
    <n v="1996.3"/>
    <n v="1588.05"/>
    <n v="8489368"/>
    <n v="16363691276.799999"/>
    <n v="219738"/>
    <x v="2"/>
    <n v="-1.5999999999999091"/>
    <x v="2"/>
    <n v="6"/>
    <x v="6"/>
    <n v="-0.4440050483803113"/>
  </r>
  <r>
    <d v="2025-06-16T00:00:00"/>
    <s v="EQ"/>
    <n v="1924"/>
    <n v="1938.9"/>
    <n v="1920.1"/>
    <n v="1917.6"/>
    <n v="1936.9"/>
    <n v="1935.4"/>
    <n v="1933.31"/>
    <n v="1996.3"/>
    <n v="1588.05"/>
    <n v="8256873"/>
    <n v="15963122374.700001"/>
    <n v="199177"/>
    <x v="2"/>
    <n v="-6.4000000000000909"/>
    <x v="2"/>
    <n v="6"/>
    <x v="6"/>
    <n v="-0.4440050483803113"/>
  </r>
  <r>
    <d v="2025-06-13T00:00:00"/>
    <s v="EQ"/>
    <n v="1920"/>
    <n v="1933"/>
    <n v="1913"/>
    <n v="1943.4"/>
    <n v="1919.5"/>
    <n v="1917.6"/>
    <n v="1920.08"/>
    <n v="1996.3"/>
    <n v="1552.2"/>
    <n v="6058881"/>
    <n v="11633522704.6"/>
    <n v="187789"/>
    <x v="2"/>
    <n v="23.400000000000091"/>
    <x v="2"/>
    <n v="6"/>
    <x v="6"/>
    <n v="-0.4440050483803113"/>
  </r>
  <r>
    <d v="2025-06-12T00:00:00"/>
    <s v="EQ"/>
    <n v="1950"/>
    <n v="1961"/>
    <n v="1935.3"/>
    <n v="1950.4"/>
    <n v="1940"/>
    <n v="1943.4"/>
    <n v="1945.18"/>
    <n v="1996.3"/>
    <n v="1552.2"/>
    <n v="8174565"/>
    <n v="15901014848.9"/>
    <n v="179174"/>
    <x v="2"/>
    <n v="0.40000000000009095"/>
    <x v="2"/>
    <n v="6"/>
    <x v="6"/>
    <n v="-0.4440050483803113"/>
  </r>
  <r>
    <d v="2025-06-11T00:00:00"/>
    <s v="EQ"/>
    <n v="1967.6"/>
    <n v="1967.6"/>
    <n v="1947"/>
    <n v="1965.3"/>
    <n v="1947.9"/>
    <n v="1950.4"/>
    <n v="1956.28"/>
    <n v="1996.3"/>
    <n v="1552.2"/>
    <n v="5548197"/>
    <n v="10853832767"/>
    <n v="181762"/>
    <x v="2"/>
    <n v="-2.2999999999999545"/>
    <x v="2"/>
    <n v="6"/>
    <x v="6"/>
    <n v="-0.4440050483803113"/>
  </r>
  <r>
    <d v="2025-06-10T00:00:00"/>
    <s v="EQ"/>
    <n v="1982.8"/>
    <n v="1982.8"/>
    <n v="1961.1"/>
    <n v="1978.9"/>
    <n v="1962.8"/>
    <n v="1965.3"/>
    <n v="1967.94"/>
    <n v="1996.3"/>
    <n v="1552.2"/>
    <n v="7766563"/>
    <n v="15284154944.5"/>
    <n v="281306"/>
    <x v="2"/>
    <n v="-3.8999999999998636"/>
    <x v="2"/>
    <n v="6"/>
    <x v="6"/>
    <n v="-0.4440050483803113"/>
  </r>
  <r>
    <d v="2025-06-09T00:00:00"/>
    <s v="EQ"/>
    <n v="1995"/>
    <n v="1995"/>
    <n v="1975.9"/>
    <n v="1978.7"/>
    <n v="1980.1"/>
    <n v="1978.9"/>
    <n v="1982.15"/>
    <n v="1996.3"/>
    <n v="1552.2"/>
    <n v="6601294"/>
    <n v="13084780209.799999"/>
    <n v="203285"/>
    <x v="2"/>
    <n v="-16.299999999999955"/>
    <x v="2"/>
    <n v="6"/>
    <x v="6"/>
    <n v="-0.4440050483803113"/>
  </r>
  <r>
    <d v="2025-06-06T00:00:00"/>
    <s v="EQ"/>
    <n v="1944"/>
    <n v="1996.3"/>
    <n v="1942.7"/>
    <n v="1949.6"/>
    <n v="1978"/>
    <n v="1978.7"/>
    <n v="1976.03"/>
    <n v="1996.3"/>
    <n v="1454"/>
    <n v="15063504"/>
    <n v="29765991590.299999"/>
    <n v="354572"/>
    <x v="2"/>
    <n v="5.5999999999999091"/>
    <x v="2"/>
    <n v="6"/>
    <x v="6"/>
    <n v="-0.4440050483803113"/>
  </r>
  <r>
    <d v="2025-06-05T00:00:00"/>
    <s v="EQ"/>
    <n v="1948"/>
    <n v="1958.9"/>
    <n v="1940.2"/>
    <n v="1941.2"/>
    <n v="1952"/>
    <n v="1949.6"/>
    <n v="1950.15"/>
    <n v="1978.9"/>
    <n v="1454"/>
    <n v="11127709"/>
    <n v="21700698216.200001"/>
    <n v="216860"/>
    <x v="2"/>
    <n v="-6.7999999999999545"/>
    <x v="2"/>
    <n v="6"/>
    <x v="6"/>
    <n v="-0.4440050483803113"/>
  </r>
  <r>
    <d v="2025-06-04T00:00:00"/>
    <s v="EQ"/>
    <n v="1921"/>
    <n v="1943.3"/>
    <n v="1920.9"/>
    <n v="1924.6"/>
    <n v="1939.5"/>
    <n v="1941.2"/>
    <n v="1935.52"/>
    <n v="1978.9"/>
    <n v="1454"/>
    <n v="6480771"/>
    <n v="12543693178.6"/>
    <n v="205372"/>
    <x v="2"/>
    <n v="3.5999999999999091"/>
    <x v="2"/>
    <n v="6"/>
    <x v="6"/>
    <n v="-0.4440050483803113"/>
  </r>
  <r>
    <d v="2025-06-03T00:00:00"/>
    <s v="EQ"/>
    <n v="1938"/>
    <n v="1952"/>
    <n v="1920"/>
    <n v="1932.1"/>
    <n v="1923.5"/>
    <n v="1924.6"/>
    <n v="1933.85"/>
    <n v="1978.9"/>
    <n v="1454"/>
    <n v="12188792"/>
    <n v="23571332796.700001"/>
    <n v="202204"/>
    <x v="2"/>
    <n v="-5.9000000000000909"/>
    <x v="2"/>
    <n v="6"/>
    <x v="6"/>
    <n v="-0.4440050483803113"/>
  </r>
  <r>
    <d v="2025-06-02T00:00:00"/>
    <s v="EQ"/>
    <n v="1930.1"/>
    <n v="1936"/>
    <n v="1908"/>
    <n v="1944.9"/>
    <n v="1931"/>
    <n v="1932.1"/>
    <n v="1924.65"/>
    <n v="1978.9"/>
    <n v="1454"/>
    <n v="7334411"/>
    <n v="14116152681.299999"/>
    <n v="202297"/>
    <x v="2"/>
    <n v="14.800000000000182"/>
    <x v="2"/>
    <n v="6"/>
    <x v="6"/>
    <n v="-0.4440050483803113"/>
  </r>
  <r>
    <d v="2025-05-30T00:00:00"/>
    <s v="EQ"/>
    <n v="1931.9"/>
    <n v="1948.8"/>
    <n v="1925.4"/>
    <n v="1927.5"/>
    <n v="1941.5"/>
    <n v="1944.9"/>
    <n v="1939.36"/>
    <n v="1978.9"/>
    <n v="1454"/>
    <n v="14374039"/>
    <n v="27876395261.099998"/>
    <n v="152055"/>
    <x v="2"/>
    <n v="-4.4000000000000909"/>
    <x v="2"/>
    <n v="5"/>
    <x v="7"/>
    <n v="-0.4440050483803113"/>
  </r>
  <r>
    <d v="2025-05-29T00:00:00"/>
    <s v="EQ"/>
    <n v="1928"/>
    <n v="1940.8"/>
    <n v="1907.3"/>
    <n v="1923.5"/>
    <n v="1937.6"/>
    <n v="1927.5"/>
    <n v="1921.28"/>
    <n v="1978.9"/>
    <n v="1454"/>
    <n v="14458897"/>
    <n v="27779560938.599998"/>
    <n v="215462"/>
    <x v="2"/>
    <n v="-4.5"/>
    <x v="2"/>
    <n v="5"/>
    <x v="7"/>
    <n v="-0.4440050483803113"/>
  </r>
  <r>
    <d v="2025-05-28T00:00:00"/>
    <s v="EQ"/>
    <n v="1920.2"/>
    <n v="1934.5"/>
    <n v="1917.7"/>
    <n v="1926.3"/>
    <n v="1928.4"/>
    <n v="1923.5"/>
    <n v="1922.92"/>
    <n v="1978.9"/>
    <n v="1454"/>
    <n v="9078797"/>
    <n v="17457806722.099998"/>
    <n v="179687"/>
    <x v="2"/>
    <n v="6.0999999999999091"/>
    <x v="2"/>
    <n v="5"/>
    <x v="7"/>
    <n v="-0.4440050483803113"/>
  </r>
  <r>
    <d v="2025-05-27T00:00:00"/>
    <s v="EQ"/>
    <n v="1931.6"/>
    <n v="1948"/>
    <n v="1916.3"/>
    <n v="1940.2"/>
    <n v="1926.8"/>
    <n v="1926.3"/>
    <n v="1927.12"/>
    <n v="1978.9"/>
    <n v="1454"/>
    <n v="13081074"/>
    <n v="25208751300.700001"/>
    <n v="202672"/>
    <x v="2"/>
    <n v="8.6000000000001364"/>
    <x v="2"/>
    <n v="5"/>
    <x v="7"/>
    <n v="-0.4440050483803113"/>
  </r>
  <r>
    <d v="2025-05-26T00:00:00"/>
    <s v="EQ"/>
    <n v="1935"/>
    <n v="1949.9"/>
    <n v="1926.9"/>
    <n v="1933.6"/>
    <n v="1940.3"/>
    <n v="1940.2"/>
    <n v="1939.47"/>
    <n v="1978.9"/>
    <n v="1454"/>
    <n v="5401430"/>
    <n v="10475911940.9"/>
    <n v="201842"/>
    <x v="2"/>
    <n v="-1.4000000000000909"/>
    <x v="2"/>
    <n v="5"/>
    <x v="7"/>
    <n v="-0.4440050483803113"/>
  </r>
  <r>
    <d v="2025-05-23T00:00:00"/>
    <s v="EQ"/>
    <n v="1920.1"/>
    <n v="1937"/>
    <n v="1914.5"/>
    <n v="1919.9"/>
    <n v="1933.5"/>
    <n v="1933.6"/>
    <n v="1929.98"/>
    <n v="1978.9"/>
    <n v="1448.15"/>
    <n v="4783036"/>
    <n v="9231150800.3999996"/>
    <n v="116301"/>
    <x v="2"/>
    <n v="-0.1999999999998181"/>
    <x v="2"/>
    <n v="5"/>
    <x v="7"/>
    <n v="-0.4440050483803113"/>
  </r>
  <r>
    <d v="2025-05-22T00:00:00"/>
    <s v="EQ"/>
    <n v="1915.2"/>
    <n v="1924.2"/>
    <n v="1905.2"/>
    <n v="1926.8"/>
    <n v="1924"/>
    <n v="1919.9"/>
    <n v="1914.84"/>
    <n v="1978.9"/>
    <n v="1448.15"/>
    <n v="10653335"/>
    <n v="20399411133.400002"/>
    <n v="255429"/>
    <x v="2"/>
    <n v="11.599999999999909"/>
    <x v="2"/>
    <n v="5"/>
    <x v="7"/>
    <n v="-0.4440050483803113"/>
  </r>
  <r>
    <d v="2025-05-21T00:00:00"/>
    <s v="EQ"/>
    <n v="1927"/>
    <n v="1946.9"/>
    <n v="1921.1"/>
    <n v="1914.9"/>
    <n v="1925.2"/>
    <n v="1926.8"/>
    <n v="1930.42"/>
    <n v="1978.9"/>
    <n v="1448.15"/>
    <n v="7566020"/>
    <n v="14605582585.700001"/>
    <n v="205548"/>
    <x v="2"/>
    <n v="-12.099999999999909"/>
    <x v="2"/>
    <n v="5"/>
    <x v="7"/>
    <n v="-0.4440050483803113"/>
  </r>
  <r>
    <d v="2025-05-20T00:00:00"/>
    <s v="EQ"/>
    <n v="1928.1"/>
    <n v="1934.6"/>
    <n v="1913"/>
    <n v="1938.7"/>
    <n v="1917.1"/>
    <n v="1914.9"/>
    <n v="1918.55"/>
    <n v="1978.9"/>
    <n v="1448.15"/>
    <n v="11939545"/>
    <n v="22906655882.099998"/>
    <n v="176524"/>
    <x v="2"/>
    <n v="10.600000000000136"/>
    <x v="2"/>
    <n v="5"/>
    <x v="7"/>
    <n v="-0.4440050483803113"/>
  </r>
  <r>
    <d v="2025-05-19T00:00:00"/>
    <s v="EQ"/>
    <n v="1937"/>
    <n v="1945"/>
    <n v="1931"/>
    <n v="1934.7"/>
    <n v="1937.1"/>
    <n v="1938.7"/>
    <n v="1938.13"/>
    <n v="1978.9"/>
    <n v="1448.15"/>
    <n v="5101482"/>
    <n v="9887338159.2000008"/>
    <n v="156815"/>
    <x v="2"/>
    <n v="-2.2999999999999545"/>
    <x v="2"/>
    <n v="5"/>
    <x v="7"/>
    <n v="-0.4440050483803113"/>
  </r>
  <r>
    <d v="2025-05-16T00:00:00"/>
    <s v="EQ"/>
    <n v="1933.8"/>
    <n v="1943.8"/>
    <n v="1928.4"/>
    <n v="1933.8"/>
    <n v="1934.5"/>
    <n v="1934.7"/>
    <n v="1933.5"/>
    <n v="1978.9"/>
    <n v="1430.3"/>
    <n v="7934005"/>
    <n v="15340426257"/>
    <n v="175140"/>
    <x v="2"/>
    <n v="0"/>
    <x v="2"/>
    <n v="5"/>
    <x v="7"/>
    <n v="-0.4440050483803113"/>
  </r>
  <r>
    <d v="2025-05-15T00:00:00"/>
    <s v="EQ"/>
    <n v="1913.5"/>
    <n v="1944.8"/>
    <n v="1897"/>
    <n v="1910.6"/>
    <n v="1933.8"/>
    <n v="1933.8"/>
    <n v="1923.01"/>
    <n v="1978.9"/>
    <n v="1430.3"/>
    <n v="16120729"/>
    <n v="31000329957.900002"/>
    <n v="224596"/>
    <x v="2"/>
    <n v="-2.9000000000000909"/>
    <x v="2"/>
    <n v="5"/>
    <x v="7"/>
    <n v="-0.4440050483803113"/>
  </r>
  <r>
    <d v="2025-05-14T00:00:00"/>
    <s v="EQ"/>
    <n v="1922.1"/>
    <n v="1930.2"/>
    <n v="1903"/>
    <n v="1922.6"/>
    <n v="1913.5"/>
    <n v="1910.6"/>
    <n v="1914.76"/>
    <n v="1978.9"/>
    <n v="1430.3"/>
    <n v="7722654"/>
    <n v="14787000374.5"/>
    <n v="189542"/>
    <x v="2"/>
    <n v="0.5"/>
    <x v="2"/>
    <n v="5"/>
    <x v="7"/>
    <n v="-0.4440050483803113"/>
  </r>
  <r>
    <d v="2025-05-13T00:00:00"/>
    <s v="EQ"/>
    <n v="1950"/>
    <n v="1961.7"/>
    <n v="1920"/>
    <n v="1957.2"/>
    <n v="1924.9"/>
    <n v="1922.6"/>
    <n v="1930.6"/>
    <n v="1978.9"/>
    <n v="1430.3"/>
    <n v="12121051"/>
    <n v="23400936924.400002"/>
    <n v="234495"/>
    <x v="2"/>
    <n v="7.2000000000000455"/>
    <x v="2"/>
    <n v="5"/>
    <x v="7"/>
    <n v="-0.4440050483803113"/>
  </r>
  <r>
    <d v="2025-05-12T00:00:00"/>
    <s v="EQ"/>
    <n v="1917.6"/>
    <n v="1959.9"/>
    <n v="1912.3"/>
    <n v="1889.7"/>
    <n v="1956.4"/>
    <n v="1957.2"/>
    <n v="1948.86"/>
    <n v="1978.9"/>
    <n v="1430.3"/>
    <n v="9309486"/>
    <n v="18142865391.200001"/>
    <n v="207249"/>
    <x v="2"/>
    <n v="-27.899999999999864"/>
    <x v="2"/>
    <n v="5"/>
    <x v="7"/>
    <n v="-0.4440050483803113"/>
  </r>
  <r>
    <d v="2025-05-09T00:00:00"/>
    <s v="EQ"/>
    <n v="1910.1"/>
    <n v="1919"/>
    <n v="1886.8"/>
    <n v="1928.5"/>
    <n v="1893.3"/>
    <n v="1889.7"/>
    <n v="1894.97"/>
    <n v="1978.9"/>
    <n v="1426.8"/>
    <n v="8594398"/>
    <n v="16286144558.6"/>
    <n v="292155"/>
    <x v="2"/>
    <n v="18.400000000000091"/>
    <x v="2"/>
    <n v="5"/>
    <x v="7"/>
    <n v="-0.4440050483803113"/>
  </r>
  <r>
    <d v="2025-05-08T00:00:00"/>
    <s v="EQ"/>
    <n v="1954.8"/>
    <n v="1954.8"/>
    <n v="1919.1"/>
    <n v="1945.6"/>
    <n v="1921.5"/>
    <n v="1928.5"/>
    <n v="1933.8"/>
    <n v="1978.9"/>
    <n v="1426.8"/>
    <n v="17401715"/>
    <n v="33651432174.299999"/>
    <n v="280256"/>
    <x v="2"/>
    <n v="-9.2000000000000455"/>
    <x v="2"/>
    <n v="5"/>
    <x v="7"/>
    <n v="-0.4440050483803113"/>
  </r>
  <r>
    <d v="2025-05-07T00:00:00"/>
    <s v="EQ"/>
    <n v="1934"/>
    <n v="1948.7"/>
    <n v="1922.4"/>
    <n v="1931.7"/>
    <n v="1945"/>
    <n v="1945.6"/>
    <n v="1939.91"/>
    <n v="1978.9"/>
    <n v="1426.8"/>
    <n v="10710389"/>
    <n v="20777145511"/>
    <n v="178998"/>
    <x v="2"/>
    <n v="-2.2999999999999545"/>
    <x v="2"/>
    <n v="5"/>
    <x v="7"/>
    <n v="-0.4440050483803113"/>
  </r>
  <r>
    <d v="2025-05-06T00:00:00"/>
    <s v="EQ"/>
    <n v="1930"/>
    <n v="1940.1"/>
    <n v="1924.3"/>
    <n v="1936.8"/>
    <n v="1928.6"/>
    <n v="1931.7"/>
    <n v="1931.89"/>
    <n v="1978.9"/>
    <n v="1426.8"/>
    <n v="8745078"/>
    <n v="16894488689.1"/>
    <n v="140830"/>
    <x v="2"/>
    <n v="6.7999999999999545"/>
    <x v="2"/>
    <n v="5"/>
    <x v="7"/>
    <n v="-0.4440050483803113"/>
  </r>
  <r>
    <d v="2025-05-05T00:00:00"/>
    <s v="EQ"/>
    <n v="1939"/>
    <n v="1952"/>
    <n v="1932.3"/>
    <n v="1925"/>
    <n v="1935.8"/>
    <n v="1936.8"/>
    <n v="1940.79"/>
    <n v="1978.9"/>
    <n v="1426.8"/>
    <n v="7534012"/>
    <n v="14621940034"/>
    <n v="160044"/>
    <x v="2"/>
    <n v="-14"/>
    <x v="2"/>
    <n v="5"/>
    <x v="7"/>
    <n v="-0.4440050483803113"/>
  </r>
  <r>
    <d v="2025-05-02T00:00:00"/>
    <s v="EQ"/>
    <n v="1929.8"/>
    <n v="1941.9"/>
    <n v="1920"/>
    <n v="1925"/>
    <n v="1923.5"/>
    <n v="1925"/>
    <n v="1930.63"/>
    <n v="1978.9"/>
    <n v="1426.8"/>
    <n v="11406024"/>
    <n v="22020820771.5"/>
    <n v="236285"/>
    <x v="2"/>
    <n v="-4.7999999999999545"/>
    <x v="2"/>
    <n v="5"/>
    <x v="7"/>
    <n v="-0.4440050483803113"/>
  </r>
  <r>
    <d v="2025-04-30T00:00:00"/>
    <s v="EQ"/>
    <n v="1913"/>
    <n v="1936.9"/>
    <n v="1910.3"/>
    <n v="1908.8"/>
    <n v="1920.1"/>
    <n v="1925"/>
    <n v="1925.02"/>
    <n v="1978.9"/>
    <n v="1426.8"/>
    <n v="15968435"/>
    <n v="30739492241.200001"/>
    <n v="275126"/>
    <x v="2"/>
    <n v="-4.2000000000000455"/>
    <x v="2"/>
    <n v="4"/>
    <x v="8"/>
    <n v="-0.4440050483803113"/>
  </r>
  <r>
    <d v="2025-04-29T00:00:00"/>
    <s v="EQ"/>
    <n v="1918.8"/>
    <n v="1928.8"/>
    <n v="1900.2"/>
    <n v="1920.2"/>
    <n v="1906"/>
    <n v="1908.8"/>
    <n v="1909.52"/>
    <n v="1978.9"/>
    <n v="1426.8"/>
    <n v="9459154"/>
    <n v="18062438512.299999"/>
    <n v="186299"/>
    <x v="2"/>
    <n v="1.4000000000000909"/>
    <x v="2"/>
    <n v="4"/>
    <x v="8"/>
    <n v="-0.4440050483803113"/>
  </r>
  <r>
    <d v="2025-04-28T00:00:00"/>
    <s v="EQ"/>
    <n v="1911.2"/>
    <n v="1929.7"/>
    <n v="1908.4"/>
    <n v="1911.2"/>
    <n v="1921"/>
    <n v="1920.2"/>
    <n v="1922.17"/>
    <n v="1978.9"/>
    <n v="1426.8"/>
    <n v="6960246"/>
    <n v="13378745824.700001"/>
    <n v="155527"/>
    <x v="2"/>
    <n v="0"/>
    <x v="2"/>
    <n v="4"/>
    <x v="8"/>
    <n v="-0.4440050483803113"/>
  </r>
  <r>
    <d v="2025-04-25T00:00:00"/>
    <s v="EQ"/>
    <n v="1924.8"/>
    <n v="1933"/>
    <n v="1891.8"/>
    <n v="1916.8"/>
    <n v="1908"/>
    <n v="1911.2"/>
    <n v="1911.37"/>
    <n v="1978.9"/>
    <n v="1426.8"/>
    <n v="9250439"/>
    <n v="17681017343.799999"/>
    <n v="201781"/>
    <x v="2"/>
    <n v="-8"/>
    <x v="2"/>
    <n v="4"/>
    <x v="8"/>
    <n v="-0.4440050483803113"/>
  </r>
  <r>
    <d v="2025-04-24T00:00:00"/>
    <s v="EQ"/>
    <n v="1910"/>
    <n v="1923.9"/>
    <n v="1905.1"/>
    <n v="1923.9"/>
    <n v="1914.9"/>
    <n v="1916.8"/>
    <n v="1916.73"/>
    <n v="1978.9"/>
    <n v="1426.8"/>
    <n v="12965877"/>
    <n v="24852091752.799999"/>
    <n v="227034"/>
    <x v="2"/>
    <n v="13.900000000000091"/>
    <x v="2"/>
    <n v="4"/>
    <x v="8"/>
    <n v="-0.4440050483803113"/>
  </r>
  <r>
    <d v="2025-04-23T00:00:00"/>
    <s v="EQ"/>
    <n v="1978.9"/>
    <n v="1978.9"/>
    <n v="1920.5"/>
    <n v="1961.7"/>
    <n v="1920.7"/>
    <n v="1923.9"/>
    <n v="1939.04"/>
    <n v="1978.9"/>
    <n v="1426.8"/>
    <n v="15285321"/>
    <n v="29638923676.099998"/>
    <n v="247823"/>
    <x v="2"/>
    <n v="-17.200000000000045"/>
    <x v="2"/>
    <n v="4"/>
    <x v="8"/>
    <n v="-0.4440050483803113"/>
  </r>
  <r>
    <d v="2025-04-22T00:00:00"/>
    <s v="EQ"/>
    <n v="1935"/>
    <n v="1970.6"/>
    <n v="1935"/>
    <n v="1927.1"/>
    <n v="1960"/>
    <n v="1961.7"/>
    <n v="1957.16"/>
    <n v="1970.6"/>
    <n v="1426.8"/>
    <n v="22980875"/>
    <n v="44977215852.400002"/>
    <n v="512026"/>
    <x v="2"/>
    <n v="-7.9000000000000909"/>
    <x v="2"/>
    <n v="4"/>
    <x v="8"/>
    <n v="-0.4440050483803113"/>
  </r>
  <r>
    <d v="2025-04-21T00:00:00"/>
    <s v="EQ"/>
    <n v="1924"/>
    <n v="1950.7"/>
    <n v="1910"/>
    <n v="1906.7"/>
    <n v="1925.2"/>
    <n v="1927.1"/>
    <n v="1930.83"/>
    <n v="1950.7"/>
    <n v="1426.8"/>
    <n v="17123649"/>
    <n v="33062832499.299999"/>
    <n v="411337"/>
    <x v="2"/>
    <n v="-17.299999999999955"/>
    <x v="2"/>
    <n v="4"/>
    <x v="8"/>
    <n v="-0.4440050483803113"/>
  </r>
  <r>
    <d v="2025-04-17T00:00:00"/>
    <s v="EQ"/>
    <n v="1882"/>
    <n v="1919.7"/>
    <n v="1876.7"/>
    <n v="1878"/>
    <n v="1905.8"/>
    <n v="1906.7"/>
    <n v="1901.41"/>
    <n v="1919.7"/>
    <n v="1426.8"/>
    <n v="17851542"/>
    <n v="33943168763.200001"/>
    <n v="394807"/>
    <x v="2"/>
    <n v="-4"/>
    <x v="2"/>
    <n v="4"/>
    <x v="8"/>
    <n v="-0.4440050483803113"/>
  </r>
  <r>
    <d v="2025-04-16T00:00:00"/>
    <s v="EQ"/>
    <n v="1883.8"/>
    <n v="1883.8"/>
    <n v="1860.5"/>
    <n v="1864.9"/>
    <n v="1875.9"/>
    <n v="1878"/>
    <n v="1874.15"/>
    <n v="1883.8"/>
    <n v="1426.8"/>
    <n v="9568410"/>
    <n v="17932665363.900002"/>
    <n v="252887"/>
    <x v="2"/>
    <n v="-18.899999999999864"/>
    <x v="2"/>
    <n v="4"/>
    <x v="8"/>
    <n v="-0.4440050483803113"/>
  </r>
  <r>
    <d v="2025-04-15T00:00:00"/>
    <s v="EQ"/>
    <n v="1865"/>
    <n v="1876.8"/>
    <n v="1855"/>
    <n v="1806.75"/>
    <n v="1865.6"/>
    <n v="1864.9"/>
    <n v="1866.76"/>
    <n v="1880"/>
    <n v="1426.8"/>
    <n v="24649172"/>
    <n v="46014108976"/>
    <n v="360194"/>
    <x v="2"/>
    <n v="-58.25"/>
    <x v="2"/>
    <n v="4"/>
    <x v="8"/>
    <n v="-0.4440050483803113"/>
  </r>
  <r>
    <d v="2025-04-11T00:00:00"/>
    <s v="EQ"/>
    <n v="1774.75"/>
    <n v="1819.4"/>
    <n v="1774.75"/>
    <n v="1765"/>
    <n v="1805.2"/>
    <n v="1806.75"/>
    <n v="1803.31"/>
    <n v="1880"/>
    <n v="1426.8"/>
    <n v="16387883"/>
    <n v="29552499474.849998"/>
    <n v="395826"/>
    <x v="2"/>
    <n v="-9.75"/>
    <x v="2"/>
    <n v="4"/>
    <x v="8"/>
    <n v="-0.4440050483803113"/>
  </r>
  <r>
    <d v="2025-04-09T00:00:00"/>
    <s v="EQ"/>
    <n v="1765"/>
    <n v="1775"/>
    <n v="1753.5"/>
    <n v="1769.15"/>
    <n v="1765.3"/>
    <n v="1765"/>
    <n v="1761.66"/>
    <n v="1880"/>
    <n v="1426.8"/>
    <n v="11227304"/>
    <n v="19778728957.549999"/>
    <n v="207950"/>
    <x v="2"/>
    <n v="4.1500000000000909"/>
    <x v="2"/>
    <n v="4"/>
    <x v="8"/>
    <n v="-0.4440050483803113"/>
  </r>
  <r>
    <d v="2025-04-08T00:00:00"/>
    <s v="EQ"/>
    <n v="1765"/>
    <n v="1782"/>
    <n v="1750.3"/>
    <n v="1757.7"/>
    <n v="1770.15"/>
    <n v="1769.15"/>
    <n v="1769.16"/>
    <n v="1880"/>
    <n v="1426.8"/>
    <n v="17781936"/>
    <n v="31459003790.150002"/>
    <n v="355184"/>
    <x v="2"/>
    <n v="-7.2999999999999545"/>
    <x v="2"/>
    <n v="4"/>
    <x v="8"/>
    <n v="-0.4440050483803113"/>
  </r>
  <r>
    <d v="2025-04-07T00:00:00"/>
    <s v="EQ"/>
    <n v="1762.8"/>
    <n v="1779.85"/>
    <n v="1738.2"/>
    <n v="1817.3"/>
    <n v="1760.05"/>
    <n v="1757.7"/>
    <n v="1759.15"/>
    <n v="1880"/>
    <n v="1426.8"/>
    <n v="18997725"/>
    <n v="33419875202"/>
    <n v="374557"/>
    <x v="2"/>
    <n v="54.5"/>
    <x v="2"/>
    <n v="4"/>
    <x v="8"/>
    <n v="-0.4440050483803113"/>
  </r>
  <r>
    <d v="2025-04-04T00:00:00"/>
    <s v="EQ"/>
    <n v="1813"/>
    <n v="1841.95"/>
    <n v="1811.1"/>
    <n v="1794.85"/>
    <n v="1816.8"/>
    <n v="1817.3"/>
    <n v="1824.22"/>
    <n v="1880"/>
    <n v="1426.8"/>
    <n v="16770227"/>
    <n v="30592639918.200001"/>
    <n v="316416"/>
    <x v="2"/>
    <n v="-18.150000000000091"/>
    <x v="2"/>
    <n v="4"/>
    <x v="8"/>
    <n v="-0.4440050483803113"/>
  </r>
  <r>
    <d v="2025-04-03T00:00:00"/>
    <s v="EQ"/>
    <n v="1781.1"/>
    <n v="1804"/>
    <n v="1777"/>
    <n v="1796.9"/>
    <n v="1792.8"/>
    <n v="1794.85"/>
    <n v="1794.09"/>
    <n v="1880"/>
    <n v="1426.8"/>
    <n v="5625019"/>
    <n v="10091817304.1"/>
    <n v="147618"/>
    <x v="2"/>
    <n v="15.800000000000182"/>
    <x v="2"/>
    <n v="4"/>
    <x v="8"/>
    <n v="-0.4440050483803113"/>
  </r>
  <r>
    <d v="2025-04-02T00:00:00"/>
    <s v="EQ"/>
    <n v="1770.7"/>
    <n v="1799.2"/>
    <n v="1770.7"/>
    <n v="1767.85"/>
    <n v="1798.9"/>
    <n v="1796.9"/>
    <n v="1791.24"/>
    <n v="1880"/>
    <n v="1426.8"/>
    <n v="5786782"/>
    <n v="10365535361.9"/>
    <n v="144509"/>
    <x v="2"/>
    <n v="-2.8500000000001364"/>
    <x v="2"/>
    <n v="4"/>
    <x v="8"/>
    <n v="-0.4440050483803113"/>
  </r>
  <r>
    <d v="2025-04-01T00:00:00"/>
    <s v="EQ"/>
    <n v="1802"/>
    <n v="1809.9"/>
    <n v="1765.35"/>
    <n v="1828.2"/>
    <n v="1769.9"/>
    <n v="1767.85"/>
    <n v="1781.74"/>
    <n v="1880"/>
    <n v="1426.8"/>
    <n v="14255503"/>
    <n v="25399632617.349998"/>
    <n v="409481"/>
    <x v="2"/>
    <n v="26.200000000000045"/>
    <x v="2"/>
    <n v="4"/>
    <x v="8"/>
    <n v="-0.4440050483803113"/>
  </r>
  <r>
    <d v="2025-03-28T00:00:00"/>
    <s v="EQ"/>
    <n v="1829"/>
    <n v="1836"/>
    <n v="1805.85"/>
    <n v="1825.35"/>
    <n v="1825.5"/>
    <n v="1828.2"/>
    <n v="1821.88"/>
    <n v="1880"/>
    <n v="1421.25"/>
    <n v="14386824"/>
    <n v="26211031845.900002"/>
    <n v="276619"/>
    <x v="2"/>
    <n v="-3.6500000000000909"/>
    <x v="2"/>
    <n v="3"/>
    <x v="9"/>
    <n v="-0.4440050483803113"/>
  </r>
  <r>
    <d v="2025-03-27T00:00:00"/>
    <s v="EQ"/>
    <n v="1800"/>
    <n v="1841"/>
    <n v="1798.1"/>
    <n v="1806.55"/>
    <n v="1821.2"/>
    <n v="1825.35"/>
    <n v="1827.55"/>
    <n v="1880"/>
    <n v="1421.25"/>
    <n v="20829050"/>
    <n v="38066130418.300003"/>
    <n v="416415"/>
    <x v="2"/>
    <n v="6.5499999999999545"/>
    <x v="2"/>
    <n v="3"/>
    <x v="9"/>
    <n v="-0.4440050483803113"/>
  </r>
  <r>
    <d v="2025-03-26T00:00:00"/>
    <s v="EQ"/>
    <n v="1825"/>
    <n v="1827.5"/>
    <n v="1802"/>
    <n v="1821.45"/>
    <n v="1803"/>
    <n v="1806.55"/>
    <n v="1814.11"/>
    <n v="1880"/>
    <n v="1421.25"/>
    <n v="12239221"/>
    <n v="22203311052.099998"/>
    <n v="265431"/>
    <x v="2"/>
    <n v="-3.5499999999999545"/>
    <x v="2"/>
    <n v="3"/>
    <x v="9"/>
    <n v="-0.4440050483803113"/>
  </r>
  <r>
    <d v="2025-03-25T00:00:00"/>
    <s v="EQ"/>
    <n v="1804.9"/>
    <n v="1843.7"/>
    <n v="1801.5"/>
    <n v="1800"/>
    <n v="1816"/>
    <n v="1821.45"/>
    <n v="1825.84"/>
    <n v="1880"/>
    <n v="1421.25"/>
    <n v="19550708"/>
    <n v="35696516139.199997"/>
    <n v="407401"/>
    <x v="2"/>
    <n v="-4.9000000000000909"/>
    <x v="2"/>
    <n v="3"/>
    <x v="9"/>
    <n v="-0.4440050483803113"/>
  </r>
  <r>
    <d v="2025-03-24T00:00:00"/>
    <s v="EQ"/>
    <n v="1779"/>
    <n v="1804.4"/>
    <n v="1773.65"/>
    <n v="1770.35"/>
    <n v="1802.8"/>
    <n v="1800"/>
    <n v="1794.28"/>
    <n v="1880"/>
    <n v="1421.25"/>
    <n v="8696868"/>
    <n v="15604655158.799999"/>
    <n v="286856"/>
    <x v="2"/>
    <n v="-8.6500000000000909"/>
    <x v="2"/>
    <n v="3"/>
    <x v="9"/>
    <n v="-0.4440050483803113"/>
  </r>
  <r>
    <d v="2025-03-21T00:00:00"/>
    <s v="EQ"/>
    <n v="1755.55"/>
    <n v="1774.1"/>
    <n v="1755.55"/>
    <n v="1768.75"/>
    <n v="1772.5"/>
    <n v="1770.35"/>
    <n v="1766.98"/>
    <n v="1880"/>
    <n v="1421.25"/>
    <n v="16754132"/>
    <n v="29604196148.950001"/>
    <n v="210244"/>
    <x v="2"/>
    <n v="13.200000000000045"/>
    <x v="2"/>
    <n v="3"/>
    <x v="9"/>
    <n v="-0.4440050483803113"/>
  </r>
  <r>
    <d v="2025-03-20T00:00:00"/>
    <s v="EQ"/>
    <n v="1754"/>
    <n v="1774"/>
    <n v="1749.3"/>
    <n v="1744.1"/>
    <n v="1766.6"/>
    <n v="1768.75"/>
    <n v="1760.62"/>
    <n v="1880"/>
    <n v="1421.25"/>
    <n v="8916989"/>
    <n v="15699398473.15"/>
    <n v="218030"/>
    <x v="2"/>
    <n v="-9.9000000000000909"/>
    <x v="2"/>
    <n v="3"/>
    <x v="9"/>
    <n v="-0.4440050483803113"/>
  </r>
  <r>
    <d v="2025-03-19T00:00:00"/>
    <s v="EQ"/>
    <n v="1735"/>
    <n v="1751"/>
    <n v="1732.2"/>
    <n v="1732.2"/>
    <n v="1743.95"/>
    <n v="1744.1"/>
    <n v="1743.72"/>
    <n v="1880"/>
    <n v="1421.25"/>
    <n v="7610703"/>
    <n v="13270934759.25"/>
    <n v="201878"/>
    <x v="2"/>
    <n v="-2.7999999999999545"/>
    <x v="2"/>
    <n v="3"/>
    <x v="9"/>
    <n v="-0.4440050483803113"/>
  </r>
  <r>
    <d v="2025-03-18T00:00:00"/>
    <s v="EQ"/>
    <n v="1728"/>
    <n v="1737.4"/>
    <n v="1715.05"/>
    <n v="1710.4"/>
    <n v="1735.6"/>
    <n v="1732.2"/>
    <n v="1729.28"/>
    <n v="1880"/>
    <n v="1421.25"/>
    <n v="10953589"/>
    <n v="18941785563.700001"/>
    <n v="248631"/>
    <x v="2"/>
    <n v="-17.599999999999909"/>
    <x v="2"/>
    <n v="3"/>
    <x v="9"/>
    <n v="-0.4440050483803113"/>
  </r>
  <r>
    <d v="2025-03-17T00:00:00"/>
    <s v="EQ"/>
    <n v="1705"/>
    <n v="1724"/>
    <n v="1705"/>
    <n v="1706.6"/>
    <n v="1710.5"/>
    <n v="1710.4"/>
    <n v="1711.13"/>
    <n v="1880"/>
    <n v="1421.25"/>
    <n v="9475957"/>
    <n v="16214635449.549999"/>
    <n v="365060"/>
    <x v="2"/>
    <n v="1.5999999999999091"/>
    <x v="2"/>
    <n v="3"/>
    <x v="9"/>
    <n v="-0.4440050483803113"/>
  </r>
  <r>
    <d v="2025-03-13T00:00:00"/>
    <s v="EQ"/>
    <n v="1716.05"/>
    <n v="1720.8"/>
    <n v="1700.05"/>
    <n v="1711.15"/>
    <n v="1705"/>
    <n v="1706.6"/>
    <n v="1711.11"/>
    <n v="1880"/>
    <n v="1421.25"/>
    <n v="7868132"/>
    <n v="13463215400.700001"/>
    <n v="185351"/>
    <x v="2"/>
    <n v="-4.8999999999998636"/>
    <x v="2"/>
    <n v="3"/>
    <x v="9"/>
    <n v="-0.4440050483803113"/>
  </r>
  <r>
    <d v="2025-03-12T00:00:00"/>
    <s v="EQ"/>
    <n v="1691.55"/>
    <n v="1718.5"/>
    <n v="1691.55"/>
    <n v="1685.5"/>
    <n v="1711.8"/>
    <n v="1711.15"/>
    <n v="1710.44"/>
    <n v="1880"/>
    <n v="1421.25"/>
    <n v="9392053"/>
    <n v="16064564334.1"/>
    <n v="277146"/>
    <x v="2"/>
    <n v="-6.0499999999999545"/>
    <x v="2"/>
    <n v="3"/>
    <x v="9"/>
    <n v="-0.4440050483803113"/>
  </r>
  <r>
    <d v="2025-03-11T00:00:00"/>
    <s v="EQ"/>
    <n v="1682.4"/>
    <n v="1694"/>
    <n v="1670.05"/>
    <n v="1687.5"/>
    <n v="1687.9"/>
    <n v="1685.5"/>
    <n v="1685.65"/>
    <n v="1880"/>
    <n v="1421.25"/>
    <n v="9949215"/>
    <n v="16770918814.65"/>
    <n v="272484"/>
    <x v="2"/>
    <n v="5.0999999999999091"/>
    <x v="2"/>
    <n v="3"/>
    <x v="9"/>
    <n v="-0.4440050483803113"/>
  </r>
  <r>
    <d v="2025-03-10T00:00:00"/>
    <s v="EQ"/>
    <n v="1689"/>
    <n v="1699.9"/>
    <n v="1683.05"/>
    <n v="1689.25"/>
    <n v="1688.7"/>
    <n v="1687.5"/>
    <n v="1689.67"/>
    <n v="1880"/>
    <n v="1421.25"/>
    <n v="7802025"/>
    <n v="13182846005.049999"/>
    <n v="284969"/>
    <x v="2"/>
    <n v="0.25"/>
    <x v="2"/>
    <n v="3"/>
    <x v="9"/>
    <n v="-0.4440050483803113"/>
  </r>
  <r>
    <d v="2025-03-07T00:00:00"/>
    <s v="EQ"/>
    <n v="1682"/>
    <n v="1701.15"/>
    <n v="1677.6"/>
    <n v="1691.2"/>
    <n v="1688"/>
    <n v="1689.25"/>
    <n v="1690.66"/>
    <n v="1880"/>
    <n v="1421.25"/>
    <n v="6686457"/>
    <n v="11304555576.9"/>
    <n v="191461"/>
    <x v="2"/>
    <n v="9.2000000000000455"/>
    <x v="2"/>
    <n v="3"/>
    <x v="9"/>
    <n v="-0.4440050483803113"/>
  </r>
  <r>
    <d v="2025-03-06T00:00:00"/>
    <s v="EQ"/>
    <n v="1687"/>
    <n v="1699.9"/>
    <n v="1672.25"/>
    <n v="1690"/>
    <n v="1692.4"/>
    <n v="1691.2"/>
    <n v="1686.14"/>
    <n v="1880"/>
    <n v="1421.25"/>
    <n v="16483044"/>
    <n v="27792685275.849998"/>
    <n v="399697"/>
    <x v="2"/>
    <n v="3"/>
    <x v="2"/>
    <n v="3"/>
    <x v="9"/>
    <n v="-0.4440050483803113"/>
  </r>
  <r>
    <d v="2025-03-05T00:00:00"/>
    <s v="EQ"/>
    <n v="1701.95"/>
    <n v="1710.8"/>
    <n v="1688.25"/>
    <n v="1710"/>
    <n v="1692.1"/>
    <n v="1690"/>
    <n v="1695.97"/>
    <n v="1880"/>
    <n v="1421.25"/>
    <n v="10791936"/>
    <n v="18302795483"/>
    <n v="361183"/>
    <x v="2"/>
    <n v="8.0499999999999545"/>
    <x v="2"/>
    <n v="3"/>
    <x v="9"/>
    <n v="-0.4440050483803113"/>
  </r>
  <r>
    <d v="2025-03-04T00:00:00"/>
    <s v="EQ"/>
    <n v="1698"/>
    <n v="1714.3"/>
    <n v="1693.25"/>
    <n v="1701.55"/>
    <n v="1711.3"/>
    <n v="1710"/>
    <n v="1706.3"/>
    <n v="1880"/>
    <n v="1421.25"/>
    <n v="9960479"/>
    <n v="16995592810.65"/>
    <n v="323741"/>
    <x v="2"/>
    <n v="3.5499999999999545"/>
    <x v="2"/>
    <n v="3"/>
    <x v="9"/>
    <n v="-0.4440050483803113"/>
  </r>
  <r>
    <d v="2025-03-03T00:00:00"/>
    <s v="EQ"/>
    <n v="1739.8"/>
    <n v="1743.05"/>
    <n v="1694.1"/>
    <n v="1732.4"/>
    <n v="1703.55"/>
    <n v="1701.55"/>
    <n v="1709.27"/>
    <n v="1880"/>
    <n v="1421.25"/>
    <n v="10602682"/>
    <n v="18122815702.349998"/>
    <n v="298350"/>
    <x v="2"/>
    <n v="-7.3999999999998636"/>
    <x v="2"/>
    <n v="3"/>
    <x v="9"/>
    <n v="-0.4440050483803113"/>
  </r>
  <r>
    <d v="2025-02-28T00:00:00"/>
    <s v="EQ"/>
    <n v="1685"/>
    <n v="1737.25"/>
    <n v="1685"/>
    <n v="1700.7"/>
    <n v="1730.15"/>
    <n v="1732.4"/>
    <n v="1721.14"/>
    <n v="1880"/>
    <n v="1397.3"/>
    <n v="27258364"/>
    <n v="46915554649.050003"/>
    <n v="439035"/>
    <x v="2"/>
    <n v="15.700000000000045"/>
    <x v="2"/>
    <n v="2"/>
    <x v="10"/>
    <n v="-0.4440050483803113"/>
  </r>
  <r>
    <d v="2025-02-27T00:00:00"/>
    <s v="EQ"/>
    <n v="1682.55"/>
    <n v="1710.75"/>
    <n v="1682.55"/>
    <n v="1682.35"/>
    <n v="1698.25"/>
    <n v="1700.7"/>
    <n v="1701.04"/>
    <n v="1880"/>
    <n v="1397.3"/>
    <n v="17893400"/>
    <n v="30437323745"/>
    <n v="333728"/>
    <x v="2"/>
    <n v="-0.20000000000004547"/>
    <x v="2"/>
    <n v="2"/>
    <x v="10"/>
    <n v="-0.4440050483803113"/>
  </r>
  <r>
    <d v="2025-02-25T00:00:00"/>
    <s v="EQ"/>
    <n v="1671.1"/>
    <n v="1688"/>
    <n v="1671.1"/>
    <n v="1677.1"/>
    <n v="1680.85"/>
    <n v="1682.35"/>
    <n v="1681.8"/>
    <n v="1880"/>
    <n v="1397.3"/>
    <n v="12069354"/>
    <n v="20298255600.950001"/>
    <n v="222521"/>
    <x v="2"/>
    <n v="6"/>
    <x v="2"/>
    <n v="2"/>
    <x v="10"/>
    <n v="-0.4440050483803113"/>
  </r>
  <r>
    <d v="2025-02-24T00:00:00"/>
    <s v="EQ"/>
    <n v="1681.1"/>
    <n v="1684.2"/>
    <n v="1661.1"/>
    <n v="1692.5"/>
    <n v="1677"/>
    <n v="1677.1"/>
    <n v="1672.34"/>
    <n v="1880"/>
    <n v="1397.3"/>
    <n v="10346823"/>
    <n v="17303402535.099998"/>
    <n v="245559"/>
    <x v="2"/>
    <n v="11.400000000000091"/>
    <x v="2"/>
    <n v="2"/>
    <x v="10"/>
    <n v="-0.4440050483803113"/>
  </r>
  <r>
    <d v="2025-02-21T00:00:00"/>
    <s v="EQ"/>
    <n v="1680.9"/>
    <n v="1694.95"/>
    <n v="1677.25"/>
    <n v="1687.1"/>
    <n v="1690"/>
    <n v="1692.5"/>
    <n v="1686.23"/>
    <n v="1880"/>
    <n v="1397.3"/>
    <n v="7840470"/>
    <n v="13220829593.15"/>
    <n v="292907"/>
    <x v="2"/>
    <n v="6.1999999999998181"/>
    <x v="2"/>
    <n v="2"/>
    <x v="10"/>
    <n v="-0.4440050483803113"/>
  </r>
  <r>
    <d v="2025-02-20T00:00:00"/>
    <s v="EQ"/>
    <n v="1711"/>
    <n v="1714.7"/>
    <n v="1685.3"/>
    <n v="1727.2"/>
    <n v="1685.95"/>
    <n v="1687.1"/>
    <n v="1695.04"/>
    <n v="1880"/>
    <n v="1397.3"/>
    <n v="13195255"/>
    <n v="22366435828.299999"/>
    <n v="246655"/>
    <x v="2"/>
    <n v="16.200000000000045"/>
    <x v="2"/>
    <n v="2"/>
    <x v="10"/>
    <n v="-0.4440050483803113"/>
  </r>
  <r>
    <d v="2025-02-19T00:00:00"/>
    <s v="EQ"/>
    <n v="1717"/>
    <n v="1737.9"/>
    <n v="1712.45"/>
    <n v="1723.05"/>
    <n v="1725.05"/>
    <n v="1727.2"/>
    <n v="1727.42"/>
    <n v="1880"/>
    <n v="1397.3"/>
    <n v="5942056"/>
    <n v="10264454339.75"/>
    <n v="300603"/>
    <x v="2"/>
    <n v="6.0499999999999545"/>
    <x v="2"/>
    <n v="2"/>
    <x v="10"/>
    <n v="-0.4440050483803113"/>
  </r>
  <r>
    <d v="2025-02-18T00:00:00"/>
    <s v="EQ"/>
    <n v="1713.05"/>
    <n v="1731.55"/>
    <n v="1706.15"/>
    <n v="1717.35"/>
    <n v="1723"/>
    <n v="1723.05"/>
    <n v="1721.09"/>
    <n v="1880"/>
    <n v="1397.3"/>
    <n v="8175455"/>
    <n v="14070671116.4"/>
    <n v="322226"/>
    <x v="2"/>
    <n v="4.2999999999999545"/>
    <x v="2"/>
    <n v="2"/>
    <x v="10"/>
    <n v="-0.4440050483803113"/>
  </r>
  <r>
    <d v="2025-02-17T00:00:00"/>
    <s v="EQ"/>
    <n v="1685.2"/>
    <n v="1720"/>
    <n v="1681.25"/>
    <n v="1694.85"/>
    <n v="1719"/>
    <n v="1717.35"/>
    <n v="1702.14"/>
    <n v="1880"/>
    <n v="1397.3"/>
    <n v="6469473"/>
    <n v="11011975039"/>
    <n v="262946"/>
    <x v="2"/>
    <n v="9.6499999999998636"/>
    <x v="2"/>
    <n v="2"/>
    <x v="10"/>
    <n v="-0.4440050483803113"/>
  </r>
  <r>
    <d v="2025-02-14T00:00:00"/>
    <s v="EQ"/>
    <n v="1701.9"/>
    <n v="1701.9"/>
    <n v="1680"/>
    <n v="1697.7"/>
    <n v="1694.4"/>
    <n v="1694.85"/>
    <n v="1690.46"/>
    <n v="1880"/>
    <n v="1363.55"/>
    <n v="9979946"/>
    <n v="16870660139.450001"/>
    <n v="309031"/>
    <x v="2"/>
    <n v="-4.2000000000000455"/>
    <x v="2"/>
    <n v="2"/>
    <x v="10"/>
    <n v="-0.4440050483803113"/>
  </r>
  <r>
    <d v="2025-02-13T00:00:00"/>
    <s v="EQ"/>
    <n v="1699"/>
    <n v="1714.25"/>
    <n v="1693.55"/>
    <n v="1706.8"/>
    <n v="1698.95"/>
    <n v="1697.7"/>
    <n v="1702.88"/>
    <n v="1880"/>
    <n v="1363.55"/>
    <n v="6301217"/>
    <n v="10730216799.15"/>
    <n v="200278"/>
    <x v="2"/>
    <n v="7.7999999999999545"/>
    <x v="2"/>
    <n v="2"/>
    <x v="10"/>
    <n v="-0.4440050483803113"/>
  </r>
  <r>
    <d v="2025-02-12T00:00:00"/>
    <s v="EQ"/>
    <n v="1693"/>
    <n v="1712"/>
    <n v="1681.2"/>
    <n v="1701.4"/>
    <n v="1710.65"/>
    <n v="1706.8"/>
    <n v="1696.59"/>
    <n v="1880"/>
    <n v="1363.55"/>
    <n v="11404785"/>
    <n v="19349271431.549999"/>
    <n v="286053"/>
    <x v="2"/>
    <n v="8.4000000000000909"/>
    <x v="2"/>
    <n v="2"/>
    <x v="10"/>
    <n v="-0.4440050483803113"/>
  </r>
  <r>
    <d v="2025-02-11T00:00:00"/>
    <s v="EQ"/>
    <n v="1703"/>
    <n v="1711"/>
    <n v="1688.7"/>
    <n v="1715.75"/>
    <n v="1700.95"/>
    <n v="1701.4"/>
    <n v="1700.06"/>
    <n v="1880"/>
    <n v="1363.55"/>
    <n v="11362352"/>
    <n v="19316630388.150002"/>
    <n v="182730"/>
    <x v="2"/>
    <n v="12.75"/>
    <x v="2"/>
    <n v="2"/>
    <x v="10"/>
    <n v="-0.4440050483803113"/>
  </r>
  <r>
    <d v="2025-02-10T00:00:00"/>
    <s v="EQ"/>
    <n v="1717.3"/>
    <n v="1723.45"/>
    <n v="1708.5"/>
    <n v="1732.75"/>
    <n v="1716.6"/>
    <n v="1715.75"/>
    <n v="1715.57"/>
    <n v="1880"/>
    <n v="1363.55"/>
    <n v="8597975"/>
    <n v="14750390095.15"/>
    <n v="175150"/>
    <x v="2"/>
    <n v="15.450000000000045"/>
    <x v="2"/>
    <n v="2"/>
    <x v="10"/>
    <n v="-0.4440050483803113"/>
  </r>
  <r>
    <d v="2025-02-07T00:00:00"/>
    <s v="EQ"/>
    <n v="1750"/>
    <n v="1767"/>
    <n v="1725"/>
    <n v="1743.85"/>
    <n v="1732"/>
    <n v="1732.75"/>
    <n v="1744.99"/>
    <n v="1880"/>
    <n v="1363.55"/>
    <n v="11754800"/>
    <n v="20512007682.549999"/>
    <n v="326327"/>
    <x v="2"/>
    <n v="-6.1500000000000909"/>
    <x v="2"/>
    <n v="2"/>
    <x v="10"/>
    <n v="-0.4440050483803113"/>
  </r>
  <r>
    <d v="2025-02-06T00:00:00"/>
    <s v="EQ"/>
    <n v="1735.5"/>
    <n v="1749"/>
    <n v="1724"/>
    <n v="1737.8"/>
    <n v="1746.5"/>
    <n v="1743.85"/>
    <n v="1735.75"/>
    <n v="1880"/>
    <n v="1363.55"/>
    <n v="13380358"/>
    <n v="23225008521.549999"/>
    <n v="225108"/>
    <x v="2"/>
    <n v="2.2999999999999545"/>
    <x v="2"/>
    <n v="2"/>
    <x v="10"/>
    <n v="-0.4440050483803113"/>
  </r>
  <r>
    <d v="2025-02-05T00:00:00"/>
    <s v="EQ"/>
    <n v="1733"/>
    <n v="1744.2"/>
    <n v="1718.9"/>
    <n v="1720.9"/>
    <n v="1734.8"/>
    <n v="1737.8"/>
    <n v="1733.84"/>
    <n v="1880"/>
    <n v="1363.55"/>
    <n v="11837753"/>
    <n v="20524785237.349998"/>
    <n v="275185"/>
    <x v="2"/>
    <n v="-12.099999999999909"/>
    <x v="2"/>
    <n v="2"/>
    <x v="10"/>
    <n v="-0.4440050483803113"/>
  </r>
  <r>
    <d v="2025-02-04T00:00:00"/>
    <s v="EQ"/>
    <n v="1688.7"/>
    <n v="1725.8"/>
    <n v="1680.05"/>
    <n v="1678"/>
    <n v="1716.3"/>
    <n v="1720.9"/>
    <n v="1710.93"/>
    <n v="1880"/>
    <n v="1363.55"/>
    <n v="14308251"/>
    <n v="24480395914.25"/>
    <n v="342091"/>
    <x v="2"/>
    <n v="-10.700000000000045"/>
    <x v="2"/>
    <n v="2"/>
    <x v="10"/>
    <n v="-0.4440050483803113"/>
  </r>
  <r>
    <d v="2025-02-03T00:00:00"/>
    <s v="EQ"/>
    <n v="1670"/>
    <n v="1686.8"/>
    <n v="1663.45"/>
    <n v="1690.95"/>
    <n v="1679.6"/>
    <n v="1678"/>
    <n v="1679.49"/>
    <n v="1880"/>
    <n v="1363.55"/>
    <n v="10138270"/>
    <n v="17027093333.700001"/>
    <n v="230780"/>
    <x v="2"/>
    <n v="20.950000000000045"/>
    <x v="2"/>
    <n v="2"/>
    <x v="10"/>
    <n v="-0.4440050483803113"/>
  </r>
  <r>
    <d v="2025-02-01T00:00:00"/>
    <s v="EQ"/>
    <n v="1697.5"/>
    <n v="1713"/>
    <n v="1676.05"/>
    <n v="1698.75"/>
    <n v="1692"/>
    <n v="1690.95"/>
    <n v="1694.22"/>
    <n v="1880"/>
    <n v="1363.55"/>
    <n v="2793764"/>
    <n v="4733238897.9499998"/>
    <n v="88839"/>
    <x v="2"/>
    <n v="1.25"/>
    <x v="2"/>
    <n v="2"/>
    <x v="10"/>
    <n v="-0.4440050483803113"/>
  </r>
  <r>
    <d v="2025-01-31T00:00:00"/>
    <s v="EQ"/>
    <n v="1687.25"/>
    <n v="1704.7"/>
    <n v="1683.95"/>
    <n v="1691.5"/>
    <n v="1699.5"/>
    <n v="1698.75"/>
    <n v="1696.52"/>
    <n v="1880"/>
    <n v="1363.55"/>
    <n v="7910843"/>
    <n v="13420873179.4"/>
    <n v="215938"/>
    <x v="2"/>
    <n v="4.25"/>
    <x v="2"/>
    <n v="1"/>
    <x v="11"/>
    <n v="-0.4440050483803113"/>
  </r>
  <r>
    <d v="2025-01-30T00:00:00"/>
    <s v="EQ"/>
    <n v="1681"/>
    <n v="1697.9"/>
    <n v="1672.55"/>
    <n v="1677.3"/>
    <n v="1693.1"/>
    <n v="1691.5"/>
    <n v="1685.73"/>
    <n v="1880"/>
    <n v="1363.55"/>
    <n v="12872423"/>
    <n v="21699404205.049999"/>
    <n v="263161"/>
    <x v="2"/>
    <n v="-3.7000000000000455"/>
    <x v="2"/>
    <n v="1"/>
    <x v="11"/>
    <n v="-0.4440050483803113"/>
  </r>
  <r>
    <d v="2025-01-29T00:00:00"/>
    <s v="EQ"/>
    <n v="1675"/>
    <n v="1681.15"/>
    <n v="1668.85"/>
    <n v="1670.4"/>
    <n v="1676"/>
    <n v="1677.3"/>
    <n v="1675.45"/>
    <n v="1880"/>
    <n v="1363.55"/>
    <n v="6309945"/>
    <n v="10571994646.450001"/>
    <n v="196187"/>
    <x v="2"/>
    <n v="-4.5999999999999091"/>
    <x v="2"/>
    <n v="1"/>
    <x v="11"/>
    <n v="-0.4440050483803113"/>
  </r>
  <r>
    <d v="2025-01-28T00:00:00"/>
    <s v="EQ"/>
    <n v="1647"/>
    <n v="1684.3"/>
    <n v="1647"/>
    <n v="1629.8"/>
    <n v="1673.3"/>
    <n v="1670.4"/>
    <n v="1670.57"/>
    <n v="1880"/>
    <n v="1363.55"/>
    <n v="15089656"/>
    <n v="25208271808.849998"/>
    <n v="350835"/>
    <x v="2"/>
    <n v="-17.200000000000045"/>
    <x v="2"/>
    <n v="1"/>
    <x v="11"/>
    <n v="-0.4440050483803113"/>
  </r>
  <r>
    <d v="2025-01-27T00:00:00"/>
    <s v="EQ"/>
    <n v="1641.1"/>
    <n v="1643.6"/>
    <n v="1626"/>
    <n v="1649.8"/>
    <n v="1629.5"/>
    <n v="1629.8"/>
    <n v="1632.37"/>
    <n v="1880"/>
    <n v="1363.55"/>
    <n v="11402083"/>
    <n v="18612439467.950001"/>
    <n v="277125"/>
    <x v="2"/>
    <n v="8.7000000000000455"/>
    <x v="2"/>
    <n v="1"/>
    <x v="11"/>
    <n v="-0.4440050483803113"/>
  </r>
  <r>
    <d v="2025-01-24T00:00:00"/>
    <s v="EQ"/>
    <n v="1660"/>
    <n v="1670.3"/>
    <n v="1644.5"/>
    <n v="1664.9"/>
    <n v="1645"/>
    <n v="1649.8"/>
    <n v="1658.68"/>
    <n v="1880"/>
    <n v="1363.55"/>
    <n v="12118100"/>
    <n v="20100037678.049999"/>
    <n v="271994"/>
    <x v="2"/>
    <n v="4.9000000000000909"/>
    <x v="2"/>
    <n v="1"/>
    <x v="11"/>
    <n v="-0.4440050483803113"/>
  </r>
  <r>
    <d v="2025-01-23T00:00:00"/>
    <s v="EQ"/>
    <n v="1687"/>
    <n v="1687"/>
    <n v="1651.25"/>
    <n v="1666.05"/>
    <n v="1665"/>
    <n v="1664.9"/>
    <n v="1665.84"/>
    <n v="1880"/>
    <n v="1363.55"/>
    <n v="17454579"/>
    <n v="29076566202.700001"/>
    <n v="445411"/>
    <x v="2"/>
    <n v="-20.950000000000045"/>
    <x v="2"/>
    <n v="1"/>
    <x v="11"/>
    <n v="-0.4440050483803113"/>
  </r>
  <r>
    <d v="2025-01-22T00:00:00"/>
    <s v="EQ"/>
    <n v="1642.4"/>
    <n v="1671.9"/>
    <n v="1625.45"/>
    <n v="1642.4"/>
    <n v="1671.9"/>
    <n v="1666.05"/>
    <n v="1653.85"/>
    <n v="1880"/>
    <n v="1363.55"/>
    <n v="15309653"/>
    <n v="25319845164.799999"/>
    <n v="367130"/>
    <x v="2"/>
    <n v="0"/>
    <x v="2"/>
    <n v="1"/>
    <x v="11"/>
    <n v="-0.4440050483803113"/>
  </r>
  <r>
    <d v="2025-01-21T00:00:00"/>
    <s v="EQ"/>
    <n v="1658.25"/>
    <n v="1661.05"/>
    <n v="1633.05"/>
    <n v="1651.25"/>
    <n v="1645.75"/>
    <n v="1642.4"/>
    <n v="1645.24"/>
    <n v="1880"/>
    <n v="1363.55"/>
    <n v="15579072"/>
    <n v="25631380761.950001"/>
    <n v="270722"/>
    <x v="2"/>
    <n v="-7"/>
    <x v="2"/>
    <n v="1"/>
    <x v="11"/>
    <n v="-0.4440050483803113"/>
  </r>
  <r>
    <d v="2025-01-20T00:00:00"/>
    <s v="EQ"/>
    <n v="1626"/>
    <n v="1660.95"/>
    <n v="1626"/>
    <n v="1636.75"/>
    <n v="1652.85"/>
    <n v="1651.25"/>
    <n v="1646.81"/>
    <n v="1880"/>
    <n v="1363.55"/>
    <n v="8778809"/>
    <n v="14457009775.1"/>
    <n v="226533"/>
    <x v="2"/>
    <n v="10.75"/>
    <x v="2"/>
    <n v="1"/>
    <x v="11"/>
    <n v="-0.4440050483803113"/>
  </r>
  <r>
    <d v="2025-01-17T00:00:00"/>
    <s v="EQ"/>
    <n v="1643.5"/>
    <n v="1650.5"/>
    <n v="1628.5"/>
    <n v="1652.05"/>
    <n v="1636.7"/>
    <n v="1636.75"/>
    <n v="1636.01"/>
    <n v="1880"/>
    <n v="1363.55"/>
    <n v="11556038"/>
    <n v="18905738551"/>
    <n v="214237"/>
    <x v="2"/>
    <n v="8.5499999999999545"/>
    <x v="2"/>
    <n v="1"/>
    <x v="11"/>
    <n v="-0.4440050483803113"/>
  </r>
  <r>
    <d v="2025-01-16T00:00:00"/>
    <s v="EQ"/>
    <n v="1652.85"/>
    <n v="1660.55"/>
    <n v="1642.85"/>
    <n v="1643.05"/>
    <n v="1654.85"/>
    <n v="1652.05"/>
    <n v="1650.92"/>
    <n v="1880"/>
    <n v="1363.55"/>
    <n v="10606227"/>
    <n v="17510025478.450001"/>
    <n v="215124"/>
    <x v="2"/>
    <n v="-9.7999999999999545"/>
    <x v="2"/>
    <n v="1"/>
    <x v="11"/>
    <n v="-0.4440050483803113"/>
  </r>
  <r>
    <d v="2025-01-15T00:00:00"/>
    <s v="EQ"/>
    <n v="1656.5"/>
    <n v="1662.7"/>
    <n v="1636.3"/>
    <n v="1646.6"/>
    <n v="1645.7"/>
    <n v="1643.05"/>
    <n v="1648.56"/>
    <n v="1880"/>
    <n v="1363.55"/>
    <n v="7011446"/>
    <n v="11558819066.049999"/>
    <n v="207907"/>
    <x v="2"/>
    <n v="-9.9000000000000909"/>
    <x v="2"/>
    <n v="1"/>
    <x v="11"/>
    <n v="-0.4440050483803113"/>
  </r>
  <r>
    <d v="2025-01-14T00:00:00"/>
    <s v="EQ"/>
    <n v="1639.9"/>
    <n v="1656.2"/>
    <n v="1637"/>
    <n v="1630.85"/>
    <n v="1650.75"/>
    <n v="1646.6"/>
    <n v="1646.85"/>
    <n v="1880"/>
    <n v="1363.55"/>
    <n v="13330716"/>
    <n v="21953639202.099998"/>
    <n v="315905"/>
    <x v="2"/>
    <n v="-9.0500000000001819"/>
    <x v="2"/>
    <n v="1"/>
    <x v="11"/>
    <n v="-0.4440050483803113"/>
  </r>
  <r>
    <d v="2025-01-13T00:00:00"/>
    <s v="EQ"/>
    <n v="1640"/>
    <n v="1646.75"/>
    <n v="1624.3"/>
    <n v="1656.75"/>
    <n v="1632.1"/>
    <n v="1630.85"/>
    <n v="1634.5"/>
    <n v="1880"/>
    <n v="1363.55"/>
    <n v="10834533"/>
    <n v="17709048137.700001"/>
    <n v="275849"/>
    <x v="2"/>
    <n v="16.75"/>
    <x v="2"/>
    <n v="1"/>
    <x v="11"/>
    <n v="-0.4440050483803113"/>
  </r>
  <r>
    <d v="2025-01-10T00:00:00"/>
    <s v="EQ"/>
    <n v="1671"/>
    <n v="1674.9"/>
    <n v="1654"/>
    <n v="1667.8"/>
    <n v="1657"/>
    <n v="1656.75"/>
    <n v="1664.65"/>
    <n v="1880"/>
    <n v="1363.55"/>
    <n v="8726640"/>
    <n v="14526837756.799999"/>
    <n v="215325"/>
    <x v="2"/>
    <n v="-3.2000000000000455"/>
    <x v="2"/>
    <n v="1"/>
    <x v="11"/>
    <n v="-0.4440050483803113"/>
  </r>
  <r>
    <d v="2025-01-09T00:00:00"/>
    <s v="EQ"/>
    <n v="1684.15"/>
    <n v="1689"/>
    <n v="1658.1"/>
    <n v="1694.3"/>
    <n v="1668.8"/>
    <n v="1667.8"/>
    <n v="1668.1"/>
    <n v="1880"/>
    <n v="1363.55"/>
    <n v="20210111"/>
    <n v="33712559507.349998"/>
    <n v="484900"/>
    <x v="2"/>
    <n v="10.149999999999864"/>
    <x v="2"/>
    <n v="1"/>
    <x v="11"/>
    <n v="-0.4440050483803113"/>
  </r>
  <r>
    <d v="2025-01-08T00:00:00"/>
    <s v="EQ"/>
    <n v="1708.25"/>
    <n v="1711.65"/>
    <n v="1683.35"/>
    <n v="1713.4"/>
    <n v="1694.2"/>
    <n v="1694.3"/>
    <n v="1694.07"/>
    <n v="1880"/>
    <n v="1363.55"/>
    <n v="9869095"/>
    <n v="16718930725.700001"/>
    <n v="333259"/>
    <x v="2"/>
    <n v="5.1500000000000909"/>
    <x v="2"/>
    <n v="1"/>
    <x v="11"/>
    <n v="-0.4440050483803113"/>
  </r>
  <r>
    <d v="2025-01-07T00:00:00"/>
    <s v="EQ"/>
    <n v="1715"/>
    <n v="1721"/>
    <n v="1700"/>
    <n v="1710.5"/>
    <n v="1712.95"/>
    <n v="1713.4"/>
    <n v="1712.76"/>
    <n v="1880"/>
    <n v="1363.55"/>
    <n v="6763953"/>
    <n v="11585014112.5"/>
    <n v="183035"/>
    <x v="2"/>
    <n v="-4.5"/>
    <x v="2"/>
    <n v="1"/>
    <x v="11"/>
    <n v="-0.4440050483803113"/>
  </r>
  <r>
    <d v="2025-01-06T00:00:00"/>
    <s v="EQ"/>
    <n v="1740.1"/>
    <n v="1757.2"/>
    <n v="1705.8"/>
    <n v="1749.2"/>
    <n v="1711"/>
    <n v="1710.5"/>
    <n v="1725.21"/>
    <n v="1880"/>
    <n v="1363.55"/>
    <n v="9408174"/>
    <n v="16231088938.6"/>
    <n v="286152"/>
    <x v="2"/>
    <n v="9.1000000000001364"/>
    <x v="2"/>
    <n v="1"/>
    <x v="11"/>
    <n v="-0.4440050483803113"/>
  </r>
  <r>
    <d v="2025-01-03T00:00:00"/>
    <s v="EQ"/>
    <n v="1791"/>
    <n v="1795.25"/>
    <n v="1746.3"/>
    <n v="1793.75"/>
    <n v="1748.4"/>
    <n v="1749.2"/>
    <n v="1758.6"/>
    <n v="1880"/>
    <n v="1363.55"/>
    <n v="12213097"/>
    <n v="21477958569.150002"/>
    <n v="331392"/>
    <x v="2"/>
    <n v="2.75"/>
    <x v="2"/>
    <n v="1"/>
    <x v="11"/>
    <n v="-0.4440050483803113"/>
  </r>
  <r>
    <d v="2025-01-02T00:00:00"/>
    <s v="EQ"/>
    <n v="1777.1"/>
    <n v="1803.45"/>
    <n v="1773"/>
    <n v="1782.75"/>
    <n v="1792.35"/>
    <n v="1793.75"/>
    <n v="1792"/>
    <n v="1880"/>
    <n v="1363.55"/>
    <n v="9279288"/>
    <n v="16628452536.950001"/>
    <n v="207825"/>
    <x v="2"/>
    <n v="5.6500000000000909"/>
    <x v="2"/>
    <n v="1"/>
    <x v="11"/>
    <n v="-0.4440050483803113"/>
  </r>
  <r>
    <d v="2025-01-01T00:00:00"/>
    <s v="EQ"/>
    <n v="1773.45"/>
    <n v="1794"/>
    <n v="1761.1"/>
    <n v="1772.85"/>
    <n v="1784.95"/>
    <n v="1782.75"/>
    <n v="1781.22"/>
    <n v="1880"/>
    <n v="1363.55"/>
    <n v="3656903"/>
    <n v="6513766065.6999998"/>
    <n v="137050"/>
    <x v="2"/>
    <n v="-0.60000000000013642"/>
    <x v="2"/>
    <n v="1"/>
    <x v="11"/>
    <n v="-0.4440050483803113"/>
  </r>
  <r>
    <d v="2025-12-31T00:00:00"/>
    <s v="EQ"/>
    <n v="2290"/>
    <n v="2325.5"/>
    <n v="2286.8000000000002"/>
    <n v="2290.1999999999998"/>
    <n v="2317"/>
    <n v="2315.9"/>
    <n v="2314.36"/>
    <n v="2422"/>
    <n v="2244.6999999999998"/>
    <n v="1324220"/>
    <n v="3064723304.4000001"/>
    <n v="52630"/>
    <x v="3"/>
    <n v="0.1999999999998181"/>
    <x v="3"/>
    <n v="12"/>
    <x v="0"/>
    <n v="-2.6699969854871962E-3"/>
  </r>
  <r>
    <d v="2025-12-30T00:00:00"/>
    <s v="EQ"/>
    <n v="2293.3000000000002"/>
    <n v="2298"/>
    <n v="2283"/>
    <n v="2293.3000000000002"/>
    <n v="2290"/>
    <n v="2290.1999999999998"/>
    <n v="2290.4899999999998"/>
    <n v="2422"/>
    <n v="2244.6999999999998"/>
    <n v="1556717"/>
    <n v="3565647742.9000001"/>
    <n v="71285"/>
    <x v="3"/>
    <n v="0"/>
    <x v="3"/>
    <n v="12"/>
    <x v="0"/>
    <n v="-2.6699969854871962E-3"/>
  </r>
  <r>
    <d v="2025-12-29T00:00:00"/>
    <s v="EQ"/>
    <n v="2288.9"/>
    <n v="2298.6999999999998"/>
    <n v="2280"/>
    <n v="2285.4"/>
    <n v="2295.9"/>
    <n v="2293.3000000000002"/>
    <n v="2289.6999999999998"/>
    <n v="2422"/>
    <n v="2244.6999999999998"/>
    <n v="1086695"/>
    <n v="2488207876.8000002"/>
    <n v="40468"/>
    <x v="3"/>
    <n v="-3.5"/>
    <x v="3"/>
    <n v="12"/>
    <x v="0"/>
    <n v="-2.6699969854871962E-3"/>
  </r>
  <r>
    <d v="2025-12-26T00:00:00"/>
    <s v="EQ"/>
    <n v="2282.3000000000002"/>
    <n v="2290"/>
    <n v="2275"/>
    <n v="2282.1999999999998"/>
    <n v="2288"/>
    <n v="2285.4"/>
    <n v="2283.65"/>
    <n v="2422"/>
    <n v="2244.6999999999998"/>
    <n v="533626"/>
    <n v="1218616715.4000001"/>
    <n v="33805"/>
    <x v="3"/>
    <n v="-0.1000000000003638"/>
    <x v="3"/>
    <n v="12"/>
    <x v="0"/>
    <n v="-2.6699969854871962E-3"/>
  </r>
  <r>
    <d v="2025-12-24T00:00:00"/>
    <s v="EQ"/>
    <n v="2302.6"/>
    <n v="2305"/>
    <n v="2278.1"/>
    <n v="2302.6"/>
    <n v="2283"/>
    <n v="2282.1999999999998"/>
    <n v="2289.59"/>
    <n v="2422"/>
    <n v="2244.6999999999998"/>
    <n v="519380"/>
    <n v="1189168583"/>
    <n v="38856"/>
    <x v="3"/>
    <n v="0"/>
    <x v="3"/>
    <n v="12"/>
    <x v="0"/>
    <n v="-2.6699969854871962E-3"/>
  </r>
  <r>
    <d v="2025-12-23T00:00:00"/>
    <s v="EQ"/>
    <n v="2289.3000000000002"/>
    <n v="2310"/>
    <n v="2280.6999999999998"/>
    <n v="2289.5"/>
    <n v="2298.1"/>
    <n v="2302.6"/>
    <n v="2298.5500000000002"/>
    <n v="2422"/>
    <n v="2244.6999999999998"/>
    <n v="1128801"/>
    <n v="2594608686.0999999"/>
    <n v="61566"/>
    <x v="3"/>
    <n v="0.1999999999998181"/>
    <x v="3"/>
    <n v="12"/>
    <x v="0"/>
    <n v="-2.6699969854871962E-3"/>
  </r>
  <r>
    <d v="2025-12-22T00:00:00"/>
    <s v="EQ"/>
    <n v="2280"/>
    <n v="2295"/>
    <n v="2280"/>
    <n v="2280"/>
    <n v="2285.1999999999998"/>
    <n v="2289.5"/>
    <n v="2289.08"/>
    <n v="2422"/>
    <n v="2244.6999999999998"/>
    <n v="790773"/>
    <n v="1810139800.9000001"/>
    <n v="56057"/>
    <x v="3"/>
    <n v="0"/>
    <x v="3"/>
    <n v="12"/>
    <x v="0"/>
    <n v="-2.6699969854871962E-3"/>
  </r>
  <r>
    <d v="2025-12-19T00:00:00"/>
    <s v="EQ"/>
    <n v="2263.6999999999998"/>
    <n v="2284.8000000000002"/>
    <n v="2263.6999999999998"/>
    <n v="2265.5"/>
    <n v="2281"/>
    <n v="2280"/>
    <n v="2278.62"/>
    <n v="2422"/>
    <n v="2244.6999999999998"/>
    <n v="1237214"/>
    <n v="2819139655.5"/>
    <n v="53549"/>
    <x v="3"/>
    <n v="1.8000000000001819"/>
    <x v="3"/>
    <n v="12"/>
    <x v="0"/>
    <n v="-2.6699969854871962E-3"/>
  </r>
  <r>
    <d v="2025-12-18T00:00:00"/>
    <s v="EQ"/>
    <n v="2270"/>
    <n v="2278.3000000000002"/>
    <n v="2255.3000000000002"/>
    <n v="2275.6"/>
    <n v="2268.9"/>
    <n v="2265.5"/>
    <n v="2266.63"/>
    <n v="2422"/>
    <n v="2244.6999999999998"/>
    <n v="1057295"/>
    <n v="2396492508.1999998"/>
    <n v="54095"/>
    <x v="3"/>
    <n v="5.5999999999999091"/>
    <x v="3"/>
    <n v="12"/>
    <x v="0"/>
    <n v="-2.6699969854871962E-3"/>
  </r>
  <r>
    <d v="2025-12-17T00:00:00"/>
    <s v="EQ"/>
    <n v="2281.1999999999998"/>
    <n v="2286.1999999999998"/>
    <n v="2268.3000000000002"/>
    <n v="2281.1"/>
    <n v="2278"/>
    <n v="2275.6"/>
    <n v="2276.4299999999998"/>
    <n v="2422"/>
    <n v="2244.6999999999998"/>
    <n v="808100"/>
    <n v="1839586244.5999999"/>
    <n v="63322"/>
    <x v="3"/>
    <n v="-9.9999999999909051E-2"/>
    <x v="3"/>
    <n v="12"/>
    <x v="0"/>
    <n v="-2.6699969854871962E-3"/>
  </r>
  <r>
    <d v="2025-12-16T00:00:00"/>
    <s v="EQ"/>
    <n v="2293.4"/>
    <n v="2302.6999999999998"/>
    <n v="2276"/>
    <n v="2293.5"/>
    <n v="2279.9"/>
    <n v="2281.1"/>
    <n v="2290.1799999999998"/>
    <n v="2422"/>
    <n v="2244.6999999999998"/>
    <n v="1256042"/>
    <n v="2876563734.6999998"/>
    <n v="82714"/>
    <x v="3"/>
    <n v="9.9999999999909051E-2"/>
    <x v="3"/>
    <n v="12"/>
    <x v="0"/>
    <n v="-2.6699969854871962E-3"/>
  </r>
  <r>
    <d v="2025-12-15T00:00:00"/>
    <s v="EQ"/>
    <n v="2260.6"/>
    <n v="2299"/>
    <n v="2252"/>
    <n v="2260.6"/>
    <n v="2288"/>
    <n v="2293.5"/>
    <n v="2284.7800000000002"/>
    <n v="2422"/>
    <n v="2244.6999999999998"/>
    <n v="1274115"/>
    <n v="2911075995.9000001"/>
    <n v="89211"/>
    <x v="3"/>
    <n v="0"/>
    <x v="3"/>
    <n v="12"/>
    <x v="0"/>
    <n v="-2.6699969854871962E-3"/>
  </r>
  <r>
    <d v="2025-12-12T00:00:00"/>
    <s v="EQ"/>
    <n v="2306.9"/>
    <n v="2309"/>
    <n v="2244.6999999999998"/>
    <n v="2305.6"/>
    <n v="2264"/>
    <n v="2260.6"/>
    <n v="2262.88"/>
    <n v="2422"/>
    <n v="2244.6999999999998"/>
    <n v="3203114"/>
    <n v="7248276437.1000004"/>
    <n v="144063"/>
    <x v="3"/>
    <n v="-1.3000000000001819"/>
    <x v="3"/>
    <n v="12"/>
    <x v="0"/>
    <n v="-2.6699969854871962E-3"/>
  </r>
  <r>
    <d v="2025-12-11T00:00:00"/>
    <s v="EQ"/>
    <n v="2296.3000000000002"/>
    <n v="2313"/>
    <n v="2292"/>
    <n v="2301.6999999999998"/>
    <n v="2309"/>
    <n v="2305.6"/>
    <n v="2303.36"/>
    <n v="2422"/>
    <n v="2286.6999999999998"/>
    <n v="1108032"/>
    <n v="2552192072.0999999"/>
    <n v="77354"/>
    <x v="3"/>
    <n v="5.3999999999996362"/>
    <x v="3"/>
    <n v="12"/>
    <x v="0"/>
    <n v="-2.6699969854871962E-3"/>
  </r>
  <r>
    <d v="2025-12-10T00:00:00"/>
    <s v="EQ"/>
    <n v="2306.5"/>
    <n v="2316.9"/>
    <n v="2295"/>
    <n v="2306.5"/>
    <n v="2301"/>
    <n v="2301.6999999999998"/>
    <n v="2302.04"/>
    <n v="2422"/>
    <n v="2286.6999999999998"/>
    <n v="2857290"/>
    <n v="6577609007.8999996"/>
    <n v="98617"/>
    <x v="3"/>
    <n v="0"/>
    <x v="3"/>
    <n v="12"/>
    <x v="0"/>
    <n v="-2.6699969854871962E-3"/>
  </r>
  <r>
    <d v="2025-12-09T00:00:00"/>
    <s v="EQ"/>
    <n v="2318"/>
    <n v="2330.4"/>
    <n v="2298.1"/>
    <n v="2314"/>
    <n v="2305"/>
    <n v="2306.5"/>
    <n v="2311.4899999999998"/>
    <n v="2422"/>
    <n v="2286.6999999999998"/>
    <n v="1471488"/>
    <n v="3401324931.8000002"/>
    <n v="70079"/>
    <x v="3"/>
    <n v="-4"/>
    <x v="3"/>
    <n v="12"/>
    <x v="0"/>
    <n v="-2.6699969854871962E-3"/>
  </r>
  <r>
    <d v="2025-12-08T00:00:00"/>
    <s v="EQ"/>
    <n v="2350.1"/>
    <n v="2355.1"/>
    <n v="2302"/>
    <n v="2338.6"/>
    <n v="2318"/>
    <n v="2314"/>
    <n v="2322.65"/>
    <n v="2422"/>
    <n v="2286.6999999999998"/>
    <n v="1898154"/>
    <n v="4408740243.1999998"/>
    <n v="72452"/>
    <x v="3"/>
    <n v="-11.5"/>
    <x v="3"/>
    <n v="12"/>
    <x v="0"/>
    <n v="-2.6699969854871962E-3"/>
  </r>
  <r>
    <d v="2025-12-05T00:00:00"/>
    <s v="EQ"/>
    <n v="2422"/>
    <n v="2422"/>
    <n v="2286.6999999999998"/>
    <n v="2462.1999999999998"/>
    <n v="2341"/>
    <n v="2338.6"/>
    <n v="2346.41"/>
    <n v="2422"/>
    <n v="2286.6999999999998"/>
    <n v="4008271"/>
    <n v="9405032414.7000008"/>
    <n v="135326"/>
    <x v="3"/>
    <n v="40.199999999999818"/>
    <x v="3"/>
    <n v="12"/>
    <x v="0"/>
    <n v="-2.6699969854871962E-3"/>
  </r>
  <r>
    <d v="2025-12-04T00:00:00"/>
    <s v="EQ"/>
    <n v="2440"/>
    <n v="2483"/>
    <n v="2423.1999999999998"/>
    <n v="2448"/>
    <n v="2464.1"/>
    <n v="2462.1999999999998"/>
    <n v="2461.5300000000002"/>
    <n v="2750"/>
    <n v="2136"/>
    <n v="2587753"/>
    <n v="6369837735.1999998"/>
    <n v="116175"/>
    <x v="3"/>
    <n v="8"/>
    <x v="3"/>
    <n v="12"/>
    <x v="0"/>
    <n v="-2.6699969854871962E-3"/>
  </r>
  <r>
    <d v="2025-12-03T00:00:00"/>
    <s v="EQ"/>
    <n v="2478.1999999999998"/>
    <n v="2484.9"/>
    <n v="2403.1"/>
    <n v="2477.8000000000002"/>
    <n v="2441.5"/>
    <n v="2448"/>
    <n v="2454.52"/>
    <n v="2750"/>
    <n v="2136"/>
    <n v="3535932"/>
    <n v="8678999288.2999992"/>
    <n v="131931"/>
    <x v="3"/>
    <n v="-0.3999999999996362"/>
    <x v="3"/>
    <n v="12"/>
    <x v="0"/>
    <n v="-2.6699969854871962E-3"/>
  </r>
  <r>
    <d v="2025-12-02T00:00:00"/>
    <s v="EQ"/>
    <n v="2471"/>
    <n v="2484.4"/>
    <n v="2460"/>
    <n v="2464.5"/>
    <n v="2475"/>
    <n v="2477.8000000000002"/>
    <n v="2474.16"/>
    <n v="2750"/>
    <n v="2136"/>
    <n v="2179406"/>
    <n v="5392202360.8000002"/>
    <n v="95719"/>
    <x v="3"/>
    <n v="-6.5"/>
    <x v="3"/>
    <n v="12"/>
    <x v="0"/>
    <n v="-2.6699969854871962E-3"/>
  </r>
  <r>
    <d v="2025-12-01T00:00:00"/>
    <s v="EQ"/>
    <n v="2466.6"/>
    <n v="2488"/>
    <n v="2458.8000000000002"/>
    <n v="2466.6"/>
    <n v="2458.9"/>
    <n v="2464.5"/>
    <n v="2474.65"/>
    <n v="2750"/>
    <n v="2136"/>
    <n v="1924828"/>
    <n v="4763281452.3999996"/>
    <n v="66030"/>
    <x v="3"/>
    <n v="0"/>
    <x v="3"/>
    <n v="12"/>
    <x v="0"/>
    <n v="-2.6699969854871962E-3"/>
  </r>
  <r>
    <d v="2025-11-28T00:00:00"/>
    <s v="EQ"/>
    <n v="2450"/>
    <n v="2470"/>
    <n v="2447.1999999999998"/>
    <n v="2451.6999999999998"/>
    <n v="2468"/>
    <n v="2466.6"/>
    <n v="2463.35"/>
    <n v="2750"/>
    <n v="2136"/>
    <n v="973225"/>
    <n v="2397389736.8000002"/>
    <n v="51567"/>
    <x v="3"/>
    <n v="1.6999999999998181"/>
    <x v="3"/>
    <n v="11"/>
    <x v="1"/>
    <n v="-2.6699969854871962E-3"/>
  </r>
  <r>
    <d v="2025-11-27T00:00:00"/>
    <s v="EQ"/>
    <n v="2426.1"/>
    <n v="2459.6999999999998"/>
    <n v="2425"/>
    <n v="2425.1999999999998"/>
    <n v="2455"/>
    <n v="2451.6999999999998"/>
    <n v="2449.98"/>
    <n v="2750"/>
    <n v="2136"/>
    <n v="1872248"/>
    <n v="4586979275"/>
    <n v="87101"/>
    <x v="3"/>
    <n v="-0.90000000000009095"/>
    <x v="3"/>
    <n v="11"/>
    <x v="1"/>
    <n v="-2.6699969854871962E-3"/>
  </r>
  <r>
    <d v="2025-11-26T00:00:00"/>
    <s v="EQ"/>
    <n v="2412"/>
    <n v="2427.6999999999998"/>
    <n v="2409"/>
    <n v="2414.1"/>
    <n v="2426.1"/>
    <n v="2425.1999999999998"/>
    <n v="2422.02"/>
    <n v="2750"/>
    <n v="2136"/>
    <n v="1242683"/>
    <n v="3009806109.4000001"/>
    <n v="80197"/>
    <x v="3"/>
    <n v="2.0999999999999091"/>
    <x v="3"/>
    <n v="11"/>
    <x v="1"/>
    <n v="-2.6699969854871962E-3"/>
  </r>
  <r>
    <d v="2025-11-25T00:00:00"/>
    <s v="EQ"/>
    <n v="2422"/>
    <n v="2424.1999999999998"/>
    <n v="2406"/>
    <n v="2424.1999999999998"/>
    <n v="2411"/>
    <n v="2414.1"/>
    <n v="2416.92"/>
    <n v="2750"/>
    <n v="2136"/>
    <n v="1240672"/>
    <n v="2998602832.5999999"/>
    <n v="86768"/>
    <x v="3"/>
    <n v="2.1999999999998181"/>
    <x v="3"/>
    <n v="11"/>
    <x v="1"/>
    <n v="-2.6699969854871962E-3"/>
  </r>
  <r>
    <d v="2025-11-24T00:00:00"/>
    <s v="EQ"/>
    <n v="2441.9"/>
    <n v="2444.9"/>
    <n v="2413"/>
    <n v="2433.6999999999998"/>
    <n v="2420.9"/>
    <n v="2424.1999999999998"/>
    <n v="2426.19"/>
    <n v="2750"/>
    <n v="2136"/>
    <n v="4092327"/>
    <n v="9928751679.8999996"/>
    <n v="80146"/>
    <x v="3"/>
    <n v="-8.2000000000002728"/>
    <x v="3"/>
    <n v="11"/>
    <x v="1"/>
    <n v="-2.6699969854871962E-3"/>
  </r>
  <r>
    <d v="2025-11-21T00:00:00"/>
    <s v="EQ"/>
    <n v="2436.1999999999998"/>
    <n v="2443.1999999999998"/>
    <n v="2413"/>
    <n v="2428.4"/>
    <n v="2440"/>
    <n v="2433.6999999999998"/>
    <n v="2427.38"/>
    <n v="2750"/>
    <n v="2136"/>
    <n v="1840712"/>
    <n v="4468105625.1999998"/>
    <n v="70142"/>
    <x v="3"/>
    <n v="-7.7999999999997272"/>
    <x v="3"/>
    <n v="11"/>
    <x v="1"/>
    <n v="-2.6699969854871962E-3"/>
  </r>
  <r>
    <d v="2025-11-20T00:00:00"/>
    <s v="EQ"/>
    <n v="2445.1"/>
    <n v="2459"/>
    <n v="2425"/>
    <n v="2441.6"/>
    <n v="2429"/>
    <n v="2428.4"/>
    <n v="2438.84"/>
    <n v="2750"/>
    <n v="2136"/>
    <n v="1396929"/>
    <n v="3406880058.0999999"/>
    <n v="82178"/>
    <x v="3"/>
    <n v="-3.5"/>
    <x v="3"/>
    <n v="11"/>
    <x v="1"/>
    <n v="-2.6699969854871962E-3"/>
  </r>
  <r>
    <d v="2025-11-19T00:00:00"/>
    <s v="EQ"/>
    <n v="2412"/>
    <n v="2450.6999999999998"/>
    <n v="2411"/>
    <n v="2404"/>
    <n v="2443.6999999999998"/>
    <n v="2441.6"/>
    <n v="2439.89"/>
    <n v="2750"/>
    <n v="2136"/>
    <n v="1465143"/>
    <n v="3574787771.5999999"/>
    <n v="60539"/>
    <x v="3"/>
    <n v="-8"/>
    <x v="3"/>
    <n v="11"/>
    <x v="1"/>
    <n v="-2.6699969854871962E-3"/>
  </r>
  <r>
    <d v="2025-11-18T00:00:00"/>
    <s v="EQ"/>
    <n v="2415.8000000000002"/>
    <n v="2422.9"/>
    <n v="2401.9"/>
    <n v="2425"/>
    <n v="2404.1"/>
    <n v="2404"/>
    <n v="2408.4899999999998"/>
    <n v="2750"/>
    <n v="2136"/>
    <n v="1229034"/>
    <n v="2960110187.5"/>
    <n v="54505"/>
    <x v="3"/>
    <n v="9.1999999999998181"/>
    <x v="3"/>
    <n v="11"/>
    <x v="1"/>
    <n v="-2.6699969854871962E-3"/>
  </r>
  <r>
    <d v="2025-11-17T00:00:00"/>
    <s v="EQ"/>
    <n v="2431.4"/>
    <n v="2438.4"/>
    <n v="2416"/>
    <n v="2427.6999999999998"/>
    <n v="2425.5"/>
    <n v="2425"/>
    <n v="2423.25"/>
    <n v="2750"/>
    <n v="2136"/>
    <n v="920038"/>
    <n v="2229481983"/>
    <n v="63161"/>
    <x v="3"/>
    <n v="-3.7000000000002728"/>
    <x v="3"/>
    <n v="11"/>
    <x v="1"/>
    <n v="-2.6699969854871962E-3"/>
  </r>
  <r>
    <d v="2025-11-14T00:00:00"/>
    <s v="EQ"/>
    <n v="2405.1"/>
    <n v="2430.1999999999998"/>
    <n v="2392"/>
    <n v="2407.6"/>
    <n v="2426"/>
    <n v="2427.6999999999998"/>
    <n v="2420.64"/>
    <n v="2750"/>
    <n v="2136"/>
    <n v="975973"/>
    <n v="2362479701"/>
    <n v="59056"/>
    <x v="3"/>
    <n v="2.5"/>
    <x v="3"/>
    <n v="11"/>
    <x v="1"/>
    <n v="-2.6699969854871962E-3"/>
  </r>
  <r>
    <d v="2025-11-13T00:00:00"/>
    <s v="EQ"/>
    <n v="2429"/>
    <n v="2431"/>
    <n v="2405"/>
    <n v="2424.5"/>
    <n v="2409.9"/>
    <n v="2407.6"/>
    <n v="2416.6"/>
    <n v="2750"/>
    <n v="2136"/>
    <n v="1256059"/>
    <n v="3035397278.6999998"/>
    <n v="69811"/>
    <x v="3"/>
    <n v="-4.5"/>
    <x v="3"/>
    <n v="11"/>
    <x v="1"/>
    <n v="-2.6699969854871962E-3"/>
  </r>
  <r>
    <d v="2025-11-12T00:00:00"/>
    <s v="EQ"/>
    <n v="2430.6"/>
    <n v="2434.8000000000002"/>
    <n v="2416.1999999999998"/>
    <n v="2427.5"/>
    <n v="2426"/>
    <n v="2424.5"/>
    <n v="2423.71"/>
    <n v="2750"/>
    <n v="2136"/>
    <n v="1680827"/>
    <n v="4073843253.5"/>
    <n v="106929"/>
    <x v="3"/>
    <n v="-3.0999999999999091"/>
    <x v="3"/>
    <n v="11"/>
    <x v="1"/>
    <n v="-2.6699969854871962E-3"/>
  </r>
  <r>
    <d v="2025-11-11T00:00:00"/>
    <s v="EQ"/>
    <n v="2422.1999999999998"/>
    <n v="2433.6999999999998"/>
    <n v="2403.1"/>
    <n v="2408.8000000000002"/>
    <n v="2430"/>
    <n v="2427.5"/>
    <n v="2420.73"/>
    <n v="2750"/>
    <n v="2136"/>
    <n v="1422399"/>
    <n v="3443241465.6999998"/>
    <n v="78852"/>
    <x v="3"/>
    <n v="-13.399999999999636"/>
    <x v="3"/>
    <n v="11"/>
    <x v="1"/>
    <n v="-2.6699969854871962E-3"/>
  </r>
  <r>
    <d v="2025-11-10T00:00:00"/>
    <s v="EQ"/>
    <n v="2405"/>
    <n v="2429.3000000000002"/>
    <n v="2404"/>
    <n v="2414"/>
    <n v="2409"/>
    <n v="2408.8000000000002"/>
    <n v="2412.2800000000002"/>
    <n v="2750"/>
    <n v="2136"/>
    <n v="780558"/>
    <n v="1882928221.4000001"/>
    <n v="67685"/>
    <x v="3"/>
    <n v="9"/>
    <x v="3"/>
    <n v="11"/>
    <x v="1"/>
    <n v="-2.6699969854871962E-3"/>
  </r>
  <r>
    <d v="2025-11-07T00:00:00"/>
    <s v="EQ"/>
    <n v="2417"/>
    <n v="2425"/>
    <n v="2400.6"/>
    <n v="2436"/>
    <n v="2416.8000000000002"/>
    <n v="2414"/>
    <n v="2415.4699999999998"/>
    <n v="2750"/>
    <n v="2136"/>
    <n v="817896"/>
    <n v="1975599206.2"/>
    <n v="55901"/>
    <x v="3"/>
    <n v="19"/>
    <x v="3"/>
    <n v="11"/>
    <x v="1"/>
    <n v="-2.6699969854871962E-3"/>
  </r>
  <r>
    <d v="2025-11-06T00:00:00"/>
    <s v="EQ"/>
    <n v="2463.9"/>
    <n v="2463.9"/>
    <n v="2432.6"/>
    <n v="2445.6999999999998"/>
    <n v="2439"/>
    <n v="2436"/>
    <n v="2442.42"/>
    <n v="2750"/>
    <n v="2136"/>
    <n v="1329256"/>
    <n v="3246607239.0999999"/>
    <n v="86424"/>
    <x v="3"/>
    <n v="-18.200000000000273"/>
    <x v="3"/>
    <n v="11"/>
    <x v="1"/>
    <n v="-2.6699969854871962E-3"/>
  </r>
  <r>
    <d v="2025-11-04T00:00:00"/>
    <s v="EQ"/>
    <n v="2460"/>
    <n v="2463.3000000000002"/>
    <n v="2441.3000000000002"/>
    <n v="2460"/>
    <n v="2443.9"/>
    <n v="2445.6999999999998"/>
    <n v="2448.66"/>
    <n v="2750"/>
    <n v="2136"/>
    <n v="1251588"/>
    <n v="3064715959.5"/>
    <n v="69387"/>
    <x v="3"/>
    <n v="0"/>
    <x v="3"/>
    <n v="11"/>
    <x v="1"/>
    <n v="-2.6699969854871962E-3"/>
  </r>
  <r>
    <d v="2025-11-03T00:00:00"/>
    <s v="EQ"/>
    <n v="2456.1"/>
    <n v="2474.9"/>
    <n v="2440.3000000000002"/>
    <n v="2465.5"/>
    <n v="2460"/>
    <n v="2460"/>
    <n v="2456.9299999999998"/>
    <n v="2750"/>
    <n v="2136"/>
    <n v="1049185"/>
    <n v="2577770223.9000001"/>
    <n v="48953"/>
    <x v="3"/>
    <n v="9.4000000000000909"/>
    <x v="3"/>
    <n v="11"/>
    <x v="1"/>
    <n v="-2.6699969854871962E-3"/>
  </r>
  <r>
    <d v="2025-10-31T00:00:00"/>
    <s v="EQ"/>
    <n v="2469"/>
    <n v="2479.5"/>
    <n v="2452.9"/>
    <n v="2469.6"/>
    <n v="2461.1999999999998"/>
    <n v="2465.5"/>
    <n v="2464.4299999999998"/>
    <n v="2750"/>
    <n v="2136"/>
    <n v="1401937"/>
    <n v="3454972548.9000001"/>
    <n v="56237"/>
    <x v="3"/>
    <n v="0.59999999999990905"/>
    <x v="3"/>
    <n v="10"/>
    <x v="2"/>
    <n v="-2.6699969854871962E-3"/>
  </r>
  <r>
    <d v="2025-10-30T00:00:00"/>
    <s v="EQ"/>
    <n v="2491"/>
    <n v="2497"/>
    <n v="2454.9"/>
    <n v="2488.1"/>
    <n v="2470"/>
    <n v="2469.6"/>
    <n v="2470.5"/>
    <n v="2750"/>
    <n v="2136"/>
    <n v="1195631"/>
    <n v="2953803987.5"/>
    <n v="57460"/>
    <x v="3"/>
    <n v="-2.9000000000000909"/>
    <x v="3"/>
    <n v="10"/>
    <x v="2"/>
    <n v="-2.6699969854871962E-3"/>
  </r>
  <r>
    <d v="2025-10-29T00:00:00"/>
    <s v="EQ"/>
    <n v="2512.6"/>
    <n v="2513.6"/>
    <n v="2484"/>
    <n v="2497.1"/>
    <n v="2490"/>
    <n v="2488.1"/>
    <n v="2492.63"/>
    <n v="2750"/>
    <n v="2136"/>
    <n v="1870143"/>
    <n v="4661569499.8999996"/>
    <n v="59711"/>
    <x v="3"/>
    <n v="-15.5"/>
    <x v="3"/>
    <n v="10"/>
    <x v="2"/>
    <n v="-2.6699969854871962E-3"/>
  </r>
  <r>
    <d v="2025-10-28T00:00:00"/>
    <s v="EQ"/>
    <n v="2519"/>
    <n v="2526"/>
    <n v="2481.9"/>
    <n v="2511.8000000000002"/>
    <n v="2500"/>
    <n v="2497.1"/>
    <n v="2496.9499999999998"/>
    <n v="2750"/>
    <n v="2136"/>
    <n v="2294976"/>
    <n v="5730442781.3999996"/>
    <n v="107397"/>
    <x v="3"/>
    <n v="-7.1999999999998181"/>
    <x v="3"/>
    <n v="10"/>
    <x v="2"/>
    <n v="-2.6699969854871962E-3"/>
  </r>
  <r>
    <d v="2025-10-27T00:00:00"/>
    <s v="EQ"/>
    <n v="2516.4"/>
    <n v="2525"/>
    <n v="2506"/>
    <n v="2516.4"/>
    <n v="2512.6999999999998"/>
    <n v="2511.8000000000002"/>
    <n v="2514.8200000000002"/>
    <n v="2750"/>
    <n v="2136"/>
    <n v="2127832"/>
    <n v="5351105578.3999996"/>
    <n v="107131"/>
    <x v="3"/>
    <n v="0"/>
    <x v="3"/>
    <n v="10"/>
    <x v="2"/>
    <n v="-2.6699969854871962E-3"/>
  </r>
  <r>
    <d v="2025-10-24T00:00:00"/>
    <s v="EQ"/>
    <n v="2584"/>
    <n v="2584"/>
    <n v="2474.5"/>
    <n v="2601.6"/>
    <n v="2515"/>
    <n v="2516.4"/>
    <n v="2512.2800000000002"/>
    <n v="2750"/>
    <n v="2136"/>
    <n v="3110800"/>
    <n v="7815198611.8000002"/>
    <n v="142162"/>
    <x v="3"/>
    <n v="17.599999999999909"/>
    <x v="3"/>
    <n v="10"/>
    <x v="2"/>
    <n v="-2.6699969854871962E-3"/>
  </r>
  <r>
    <d v="2025-10-23T00:00:00"/>
    <s v="EQ"/>
    <n v="2601"/>
    <n v="2667.2"/>
    <n v="2596.1"/>
    <n v="2591.6999999999998"/>
    <n v="2601"/>
    <n v="2601.6"/>
    <n v="2623.02"/>
    <n v="2750"/>
    <n v="2136"/>
    <n v="3386744"/>
    <n v="8883502957"/>
    <n v="153645"/>
    <x v="3"/>
    <n v="-9.3000000000001819"/>
    <x v="3"/>
    <n v="10"/>
    <x v="2"/>
    <n v="-2.6699969854871962E-3"/>
  </r>
  <r>
    <d v="2025-10-21T00:00:00"/>
    <s v="EQ"/>
    <n v="2594"/>
    <n v="2606.6999999999998"/>
    <n v="2585.1"/>
    <n v="2594.4"/>
    <n v="2588"/>
    <n v="2591.6999999999998"/>
    <n v="2594.5300000000002"/>
    <n v="2750"/>
    <n v="2136"/>
    <n v="82020"/>
    <n v="212803041.19999999"/>
    <n v="8723"/>
    <x v="3"/>
    <n v="0.40000000000009095"/>
    <x v="3"/>
    <n v="10"/>
    <x v="2"/>
    <n v="-2.6699969854871962E-3"/>
  </r>
  <r>
    <d v="2025-10-20T00:00:00"/>
    <s v="EQ"/>
    <n v="2609"/>
    <n v="2624.7"/>
    <n v="2585.6"/>
    <n v="2603.6999999999998"/>
    <n v="2601.1"/>
    <n v="2594.4"/>
    <n v="2601.65"/>
    <n v="2750"/>
    <n v="2136"/>
    <n v="1011485"/>
    <n v="2631528206.6999998"/>
    <n v="62291"/>
    <x v="3"/>
    <n v="-5.3000000000001819"/>
    <x v="3"/>
    <n v="10"/>
    <x v="2"/>
    <n v="-2.6699969854871962E-3"/>
  </r>
  <r>
    <d v="2025-10-17T00:00:00"/>
    <s v="EQ"/>
    <n v="2565.5"/>
    <n v="2615"/>
    <n v="2560"/>
    <n v="2561.5"/>
    <n v="2603.4"/>
    <n v="2603.6999999999998"/>
    <n v="2599.89"/>
    <n v="2804.7"/>
    <n v="2136"/>
    <n v="2050690"/>
    <n v="5331566195"/>
    <n v="123072"/>
    <x v="3"/>
    <n v="-4"/>
    <x v="3"/>
    <n v="10"/>
    <x v="2"/>
    <n v="-2.6699969854871962E-3"/>
  </r>
  <r>
    <d v="2025-10-16T00:00:00"/>
    <s v="EQ"/>
    <n v="2517.8000000000002"/>
    <n v="2568.5"/>
    <n v="2507.1"/>
    <n v="2519"/>
    <n v="2560"/>
    <n v="2561.5"/>
    <n v="2541.35"/>
    <n v="2804.7"/>
    <n v="2136"/>
    <n v="1446646"/>
    <n v="3676427185.6999998"/>
    <n v="68156"/>
    <x v="3"/>
    <n v="1.1999999999998181"/>
    <x v="3"/>
    <n v="10"/>
    <x v="2"/>
    <n v="-2.6699969854871962E-3"/>
  </r>
  <r>
    <d v="2025-10-15T00:00:00"/>
    <s v="EQ"/>
    <n v="2502.6"/>
    <n v="2531.8000000000002"/>
    <n v="2502.6"/>
    <n v="2502.3000000000002"/>
    <n v="2515"/>
    <n v="2519"/>
    <n v="2520.1799999999998"/>
    <n v="2804.7"/>
    <n v="2136"/>
    <n v="881070"/>
    <n v="2220456153.6999998"/>
    <n v="52395"/>
    <x v="3"/>
    <n v="-0.29999999999972715"/>
    <x v="3"/>
    <n v="10"/>
    <x v="2"/>
    <n v="-2.6699969854871962E-3"/>
  </r>
  <r>
    <d v="2025-10-14T00:00:00"/>
    <s v="EQ"/>
    <n v="2493"/>
    <n v="2509.1999999999998"/>
    <n v="2482.3000000000002"/>
    <n v="2492.8000000000002"/>
    <n v="2502"/>
    <n v="2502.3000000000002"/>
    <n v="2500.58"/>
    <n v="2804.7"/>
    <n v="2136"/>
    <n v="1461017"/>
    <n v="3653393248.1999998"/>
    <n v="64421"/>
    <x v="3"/>
    <n v="-0.1999999999998181"/>
    <x v="3"/>
    <n v="10"/>
    <x v="2"/>
    <n v="-2.6699969854871962E-3"/>
  </r>
  <r>
    <d v="2025-10-13T00:00:00"/>
    <s v="EQ"/>
    <n v="2519.1999999999998"/>
    <n v="2531.6"/>
    <n v="2485.4"/>
    <n v="2528.9"/>
    <n v="2496.6"/>
    <n v="2492.8000000000002"/>
    <n v="2497.33"/>
    <n v="2804.7"/>
    <n v="2136"/>
    <n v="1114750"/>
    <n v="2783896682"/>
    <n v="49171"/>
    <x v="3"/>
    <n v="9.7000000000002728"/>
    <x v="3"/>
    <n v="10"/>
    <x v="2"/>
    <n v="-2.6699969854871962E-3"/>
  </r>
  <r>
    <d v="2025-10-10T00:00:00"/>
    <s v="EQ"/>
    <n v="2510"/>
    <n v="2534.9"/>
    <n v="2506.5"/>
    <n v="2517.6"/>
    <n v="2526"/>
    <n v="2528.9"/>
    <n v="2523.6"/>
    <n v="2886"/>
    <n v="2136"/>
    <n v="1018875"/>
    <n v="2571231935.5999999"/>
    <n v="57092"/>
    <x v="3"/>
    <n v="7.5999999999999091"/>
    <x v="3"/>
    <n v="10"/>
    <x v="2"/>
    <n v="-2.6699969854871962E-3"/>
  </r>
  <r>
    <d v="2025-10-09T00:00:00"/>
    <s v="EQ"/>
    <n v="2501"/>
    <n v="2523"/>
    <n v="2498.3000000000002"/>
    <n v="2500.1"/>
    <n v="2522.4"/>
    <n v="2517.6"/>
    <n v="2514.04"/>
    <n v="2886"/>
    <n v="2136"/>
    <n v="1259173"/>
    <n v="3165612003.0999999"/>
    <n v="75193"/>
    <x v="3"/>
    <n v="-0.90000000000009095"/>
    <x v="3"/>
    <n v="10"/>
    <x v="2"/>
    <n v="-2.6699969854871962E-3"/>
  </r>
  <r>
    <d v="2025-10-08T00:00:00"/>
    <s v="EQ"/>
    <n v="2511"/>
    <n v="2525"/>
    <n v="2486.1"/>
    <n v="2517.1999999999998"/>
    <n v="2496"/>
    <n v="2500.1"/>
    <n v="2505.48"/>
    <n v="2886"/>
    <n v="2136"/>
    <n v="1225128"/>
    <n v="3069533352.6999998"/>
    <n v="58033"/>
    <x v="3"/>
    <n v="6.1999999999998181"/>
    <x v="3"/>
    <n v="10"/>
    <x v="2"/>
    <n v="-2.6699969854871962E-3"/>
  </r>
  <r>
    <d v="2025-10-07T00:00:00"/>
    <s v="EQ"/>
    <n v="2540"/>
    <n v="2559.4"/>
    <n v="2508.3000000000002"/>
    <n v="2541.8000000000002"/>
    <n v="2530"/>
    <n v="2517.1999999999998"/>
    <n v="2521.6799999999998"/>
    <n v="2886"/>
    <n v="2136"/>
    <n v="1291750"/>
    <n v="3257385826.8000002"/>
    <n v="68679"/>
    <x v="3"/>
    <n v="1.8000000000001819"/>
    <x v="3"/>
    <n v="10"/>
    <x v="2"/>
    <n v="-2.6699969854871962E-3"/>
  </r>
  <r>
    <d v="2025-10-06T00:00:00"/>
    <s v="EQ"/>
    <n v="2535.1999999999998"/>
    <n v="2549.6"/>
    <n v="2520.1999999999998"/>
    <n v="2544.9"/>
    <n v="2541"/>
    <n v="2541.8000000000002"/>
    <n v="2538.4299999999998"/>
    <n v="2886"/>
    <n v="2136"/>
    <n v="818923"/>
    <n v="2078776424.5999999"/>
    <n v="44250"/>
    <x v="3"/>
    <n v="9.7000000000002728"/>
    <x v="3"/>
    <n v="10"/>
    <x v="2"/>
    <n v="-2.6699969854871962E-3"/>
  </r>
  <r>
    <d v="2025-10-03T00:00:00"/>
    <s v="EQ"/>
    <n v="2536.1999999999998"/>
    <n v="2548.6"/>
    <n v="2508.3000000000002"/>
    <n v="2536.1999999999998"/>
    <n v="2539"/>
    <n v="2544.9"/>
    <n v="2534.63"/>
    <n v="2997.9"/>
    <n v="2136"/>
    <n v="1242611"/>
    <n v="3149563863.9000001"/>
    <n v="60549"/>
    <x v="3"/>
    <n v="0"/>
    <x v="3"/>
    <n v="10"/>
    <x v="2"/>
    <n v="-2.6699969854871962E-3"/>
  </r>
  <r>
    <d v="2025-10-01T00:00:00"/>
    <s v="EQ"/>
    <n v="2515.4"/>
    <n v="2550"/>
    <n v="2497.9"/>
    <n v="2514.4"/>
    <n v="2535"/>
    <n v="2536.1999999999998"/>
    <n v="2526.75"/>
    <n v="2997.9"/>
    <n v="2136"/>
    <n v="1483899"/>
    <n v="3749435075.5999999"/>
    <n v="65146"/>
    <x v="3"/>
    <n v="-1"/>
    <x v="3"/>
    <n v="10"/>
    <x v="2"/>
    <n v="-2.6699969854871962E-3"/>
  </r>
  <r>
    <d v="2025-09-30T00:00:00"/>
    <s v="EQ"/>
    <n v="2497.9"/>
    <n v="2526.3000000000002"/>
    <n v="2491.6"/>
    <n v="2497.9"/>
    <n v="2516.3000000000002"/>
    <n v="2514.4"/>
    <n v="2512.0500000000002"/>
    <n v="2997.9"/>
    <n v="2136"/>
    <n v="1678088"/>
    <n v="4215447351.9000001"/>
    <n v="87438"/>
    <x v="3"/>
    <n v="0"/>
    <x v="3"/>
    <n v="9"/>
    <x v="3"/>
    <n v="-2.6699969854871962E-3"/>
  </r>
  <r>
    <d v="2025-09-29T00:00:00"/>
    <s v="EQ"/>
    <n v="2495"/>
    <n v="2517.4"/>
    <n v="2443"/>
    <n v="2511.8000000000002"/>
    <n v="2501.1"/>
    <n v="2497.9"/>
    <n v="2493.2800000000002"/>
    <n v="2997.9"/>
    <n v="2136"/>
    <n v="2403556"/>
    <n v="5992748858.6999998"/>
    <n v="108089"/>
    <x v="3"/>
    <n v="16.800000000000182"/>
    <x v="3"/>
    <n v="9"/>
    <x v="3"/>
    <n v="-2.6699969854871962E-3"/>
  </r>
  <r>
    <d v="2025-09-26T00:00:00"/>
    <s v="EQ"/>
    <n v="2535"/>
    <n v="2545.4"/>
    <n v="2499.4"/>
    <n v="2538.3000000000002"/>
    <n v="2512"/>
    <n v="2511.8000000000002"/>
    <n v="2511.29"/>
    <n v="3035"/>
    <n v="2136"/>
    <n v="885612"/>
    <n v="2224030604.1999998"/>
    <n v="73464"/>
    <x v="3"/>
    <n v="3.3000000000001819"/>
    <x v="3"/>
    <n v="9"/>
    <x v="3"/>
    <n v="-2.6699969854871962E-3"/>
  </r>
  <r>
    <d v="2025-09-25T00:00:00"/>
    <s v="EQ"/>
    <n v="2546"/>
    <n v="2567.5"/>
    <n v="2531.8000000000002"/>
    <n v="2549.5"/>
    <n v="2542.9"/>
    <n v="2538.3000000000002"/>
    <n v="2546.09"/>
    <n v="3035"/>
    <n v="2136"/>
    <n v="1624258"/>
    <n v="4135502470.6999998"/>
    <n v="108114"/>
    <x v="3"/>
    <n v="3.5"/>
    <x v="3"/>
    <n v="9"/>
    <x v="3"/>
    <n v="-2.6699969854871962E-3"/>
  </r>
  <r>
    <d v="2025-09-24T00:00:00"/>
    <s v="EQ"/>
    <n v="2522.1999999999998"/>
    <n v="2576"/>
    <n v="2510"/>
    <n v="2522.1999999999998"/>
    <n v="2556.6"/>
    <n v="2549.5"/>
    <n v="2554.2399999999998"/>
    <n v="3035"/>
    <n v="2136"/>
    <n v="1882881"/>
    <n v="4809338011.8999996"/>
    <n v="113008"/>
    <x v="3"/>
    <n v="0"/>
    <x v="3"/>
    <n v="9"/>
    <x v="3"/>
    <n v="-2.6699969854871962E-3"/>
  </r>
  <r>
    <d v="2025-09-23T00:00:00"/>
    <s v="EQ"/>
    <n v="2568.9"/>
    <n v="2575.3000000000002"/>
    <n v="2518.1999999999998"/>
    <n v="2572.1999999999998"/>
    <n v="2524.9"/>
    <n v="2522.1999999999998"/>
    <n v="2533.19"/>
    <n v="3035"/>
    <n v="2136"/>
    <n v="1430474"/>
    <n v="3623668085.9000001"/>
    <n v="74139"/>
    <x v="3"/>
    <n v="3.2999999999997272"/>
    <x v="3"/>
    <n v="9"/>
    <x v="3"/>
    <n v="-2.6699969854871962E-3"/>
  </r>
  <r>
    <d v="2025-09-22T00:00:00"/>
    <s v="EQ"/>
    <n v="2569"/>
    <n v="2587.1999999999998"/>
    <n v="2560.1999999999998"/>
    <n v="2559.6"/>
    <n v="2568.5"/>
    <n v="2572.1999999999998"/>
    <n v="2574.69"/>
    <n v="3035"/>
    <n v="2136"/>
    <n v="1174161"/>
    <n v="3023096185.1999998"/>
    <n v="56229"/>
    <x v="3"/>
    <n v="-9.4000000000000909"/>
    <x v="3"/>
    <n v="9"/>
    <x v="3"/>
    <n v="-2.6699969854871962E-3"/>
  </r>
  <r>
    <d v="2025-09-19T00:00:00"/>
    <s v="EQ"/>
    <n v="2600"/>
    <n v="2604.6999999999998"/>
    <n v="2554.8000000000002"/>
    <n v="2586.8000000000002"/>
    <n v="2564"/>
    <n v="2559.6"/>
    <n v="2566.9299999999998"/>
    <n v="3035"/>
    <n v="2136"/>
    <n v="2214708"/>
    <n v="5685009456.1000004"/>
    <n v="68208"/>
    <x v="3"/>
    <n v="-13.199999999999818"/>
    <x v="3"/>
    <n v="9"/>
    <x v="3"/>
    <n v="-2.6699969854871962E-3"/>
  </r>
  <r>
    <d v="2025-09-18T00:00:00"/>
    <s v="EQ"/>
    <n v="2570.9"/>
    <n v="2609.9"/>
    <n v="2570.9"/>
    <n v="2569.6999999999998"/>
    <n v="2580.3000000000002"/>
    <n v="2586.8000000000002"/>
    <n v="2588.2399999999998"/>
    <n v="3035"/>
    <n v="2136"/>
    <n v="1550153"/>
    <n v="4012160949.6999998"/>
    <n v="79692"/>
    <x v="3"/>
    <n v="-1.2000000000002728"/>
    <x v="3"/>
    <n v="9"/>
    <x v="3"/>
    <n v="-2.6699969854871962E-3"/>
  </r>
  <r>
    <d v="2025-09-17T00:00:00"/>
    <s v="EQ"/>
    <n v="2587"/>
    <n v="2591.1"/>
    <n v="2566.5"/>
    <n v="2580.9"/>
    <n v="2574"/>
    <n v="2569.6999999999998"/>
    <n v="2574.34"/>
    <n v="3035"/>
    <n v="2136"/>
    <n v="970247"/>
    <n v="2497750076.4000001"/>
    <n v="41039"/>
    <x v="3"/>
    <n v="-6.0999999999999091"/>
    <x v="3"/>
    <n v="9"/>
    <x v="3"/>
    <n v="-2.6699969854871962E-3"/>
  </r>
  <r>
    <d v="2025-09-16T00:00:00"/>
    <s v="EQ"/>
    <n v="2588.1999999999998"/>
    <n v="2590"/>
    <n v="2572.6"/>
    <n v="2581"/>
    <n v="2585"/>
    <n v="2580.9"/>
    <n v="2581.14"/>
    <n v="3035"/>
    <n v="2136"/>
    <n v="1040928"/>
    <n v="2686777880.9000001"/>
    <n v="47475"/>
    <x v="3"/>
    <n v="-7.1999999999998181"/>
    <x v="3"/>
    <n v="9"/>
    <x v="3"/>
    <n v="-2.6699969854871962E-3"/>
  </r>
  <r>
    <d v="2025-09-15T00:00:00"/>
    <s v="EQ"/>
    <n v="2580.5"/>
    <n v="2593.4"/>
    <n v="2568.4"/>
    <n v="2580.5"/>
    <n v="2580"/>
    <n v="2581"/>
    <n v="2582.91"/>
    <n v="3035"/>
    <n v="2136"/>
    <n v="752745"/>
    <n v="1944272199.4000001"/>
    <n v="57453"/>
    <x v="3"/>
    <n v="0"/>
    <x v="3"/>
    <n v="9"/>
    <x v="3"/>
    <n v="-2.6699969854871962E-3"/>
  </r>
  <r>
    <d v="2025-09-12T00:00:00"/>
    <s v="EQ"/>
    <n v="2625"/>
    <n v="2628.9"/>
    <n v="2569"/>
    <n v="2622"/>
    <n v="2582"/>
    <n v="2580.5"/>
    <n v="2583.5"/>
    <n v="3035"/>
    <n v="2136"/>
    <n v="1368380"/>
    <n v="3535210740.1999998"/>
    <n v="91975"/>
    <x v="3"/>
    <n v="-3"/>
    <x v="3"/>
    <n v="9"/>
    <x v="3"/>
    <n v="-2.6699969854871962E-3"/>
  </r>
  <r>
    <d v="2025-09-11T00:00:00"/>
    <s v="EQ"/>
    <n v="2643.8"/>
    <n v="2657.7"/>
    <n v="2614"/>
    <n v="2643.5"/>
    <n v="2626.7"/>
    <n v="2622"/>
    <n v="2630.95"/>
    <n v="3035"/>
    <n v="2136"/>
    <n v="1212707"/>
    <n v="3190567298.5999999"/>
    <n v="110722"/>
    <x v="3"/>
    <n v="-0.3000000000001819"/>
    <x v="3"/>
    <n v="9"/>
    <x v="3"/>
    <n v="-2.6699969854871962E-3"/>
  </r>
  <r>
    <d v="2025-09-10T00:00:00"/>
    <s v="EQ"/>
    <n v="2642"/>
    <n v="2652.9"/>
    <n v="2619"/>
    <n v="2642"/>
    <n v="2646"/>
    <n v="2643.5"/>
    <n v="2638.3"/>
    <n v="3035"/>
    <n v="2136"/>
    <n v="1031486"/>
    <n v="2721366883.4000001"/>
    <n v="74808"/>
    <x v="3"/>
    <n v="0"/>
    <x v="3"/>
    <n v="9"/>
    <x v="3"/>
    <n v="-2.6699969854871962E-3"/>
  </r>
  <r>
    <d v="2025-09-09T00:00:00"/>
    <s v="EQ"/>
    <n v="2637"/>
    <n v="2646.2"/>
    <n v="2611.3000000000002"/>
    <n v="2623.9"/>
    <n v="2640.2"/>
    <n v="2642"/>
    <n v="2634.15"/>
    <n v="3035"/>
    <n v="2136"/>
    <n v="1610956"/>
    <n v="4243495950.9000001"/>
    <n v="74995"/>
    <x v="3"/>
    <n v="-13.099999999999909"/>
    <x v="3"/>
    <n v="9"/>
    <x v="3"/>
    <n v="-2.6699969854871962E-3"/>
  </r>
  <r>
    <d v="2025-09-08T00:00:00"/>
    <s v="EQ"/>
    <n v="2630"/>
    <n v="2644.6"/>
    <n v="2618.8000000000002"/>
    <n v="2633.4"/>
    <n v="2629"/>
    <n v="2623.9"/>
    <n v="2628.45"/>
    <n v="3035"/>
    <n v="2136"/>
    <n v="903410"/>
    <n v="2374564752.5"/>
    <n v="74852"/>
    <x v="3"/>
    <n v="3.4000000000000909"/>
    <x v="3"/>
    <n v="9"/>
    <x v="3"/>
    <n v="-2.6699969854871962E-3"/>
  </r>
  <r>
    <d v="2025-09-05T00:00:00"/>
    <s v="EQ"/>
    <n v="2667.6"/>
    <n v="2672.9"/>
    <n v="2623.8"/>
    <n v="2666.6"/>
    <n v="2628"/>
    <n v="2633.4"/>
    <n v="2642.92"/>
    <n v="3035"/>
    <n v="2136"/>
    <n v="944879"/>
    <n v="2497241215.9000001"/>
    <n v="60689"/>
    <x v="3"/>
    <n v="-1"/>
    <x v="3"/>
    <n v="9"/>
    <x v="3"/>
    <n v="-2.6699969854871962E-3"/>
  </r>
  <r>
    <d v="2025-09-04T00:00:00"/>
    <s v="EQ"/>
    <n v="2750"/>
    <n v="2750"/>
    <n v="2655.5"/>
    <n v="2664.7"/>
    <n v="2665"/>
    <n v="2666.6"/>
    <n v="2694.62"/>
    <n v="3035"/>
    <n v="2136"/>
    <n v="2494678"/>
    <n v="6722201756.8999996"/>
    <n v="123249"/>
    <x v="3"/>
    <n v="-85.300000000000182"/>
    <x v="3"/>
    <n v="9"/>
    <x v="3"/>
    <n v="-2.6699969854871962E-3"/>
  </r>
  <r>
    <d v="2025-09-03T00:00:00"/>
    <s v="EQ"/>
    <n v="2681"/>
    <n v="2686.9"/>
    <n v="2658.3"/>
    <n v="2677"/>
    <n v="2670"/>
    <n v="2664.7"/>
    <n v="2668"/>
    <n v="3035"/>
    <n v="2136"/>
    <n v="1010692"/>
    <n v="2696528429.5"/>
    <n v="47874"/>
    <x v="3"/>
    <n v="-4"/>
    <x v="3"/>
    <n v="9"/>
    <x v="3"/>
    <n v="-2.6699969854871962E-3"/>
  </r>
  <r>
    <d v="2025-09-02T00:00:00"/>
    <s v="EQ"/>
    <n v="2649"/>
    <n v="2692.4"/>
    <n v="2645.1"/>
    <n v="2649.5"/>
    <n v="2680"/>
    <n v="2677"/>
    <n v="2679.92"/>
    <n v="3035"/>
    <n v="2136"/>
    <n v="1525106"/>
    <n v="4087161608.1999998"/>
    <n v="86034"/>
    <x v="3"/>
    <n v="0.5"/>
    <x v="3"/>
    <n v="9"/>
    <x v="3"/>
    <n v="-2.6699969854871962E-3"/>
  </r>
  <r>
    <d v="2025-09-01T00:00:00"/>
    <s v="EQ"/>
    <n v="2659.8"/>
    <n v="2673.3"/>
    <n v="2639.3"/>
    <n v="2659.8"/>
    <n v="2645"/>
    <n v="2649.5"/>
    <n v="2653.31"/>
    <n v="3035"/>
    <n v="2136"/>
    <n v="1096729"/>
    <n v="2909965291.0999999"/>
    <n v="65078"/>
    <x v="3"/>
    <n v="0"/>
    <x v="3"/>
    <n v="9"/>
    <x v="3"/>
    <n v="-2.6699969854871962E-3"/>
  </r>
  <r>
    <d v="2025-08-29T00:00:00"/>
    <s v="EQ"/>
    <n v="2664.8"/>
    <n v="2723"/>
    <n v="2641.4"/>
    <n v="2654.4"/>
    <n v="2660"/>
    <n v="2659.8"/>
    <n v="2666.51"/>
    <n v="3035"/>
    <n v="2136"/>
    <n v="1972773"/>
    <n v="5260411726"/>
    <n v="93460"/>
    <x v="3"/>
    <n v="-10.400000000000091"/>
    <x v="3"/>
    <n v="8"/>
    <x v="4"/>
    <n v="-2.6699969854871962E-3"/>
  </r>
  <r>
    <d v="2025-08-28T00:00:00"/>
    <s v="EQ"/>
    <n v="2748"/>
    <n v="2748"/>
    <n v="2646.8"/>
    <n v="2692.6"/>
    <n v="2653.8"/>
    <n v="2654.4"/>
    <n v="2678.28"/>
    <n v="3035"/>
    <n v="2136"/>
    <n v="3198743"/>
    <n v="8567118649.8000002"/>
    <n v="145385"/>
    <x v="3"/>
    <n v="-55.400000000000091"/>
    <x v="3"/>
    <n v="8"/>
    <x v="4"/>
    <n v="-2.6699969854871962E-3"/>
  </r>
  <r>
    <d v="2025-08-26T00:00:00"/>
    <s v="EQ"/>
    <n v="2624.6"/>
    <n v="2705"/>
    <n v="2624.6"/>
    <n v="2631.6"/>
    <n v="2692.7"/>
    <n v="2692.6"/>
    <n v="2684.6"/>
    <n v="3035"/>
    <n v="2136"/>
    <n v="4348648"/>
    <n v="11674362191.299999"/>
    <n v="193966"/>
    <x v="3"/>
    <n v="7"/>
    <x v="3"/>
    <n v="8"/>
    <x v="4"/>
    <n v="-2.6699969854871962E-3"/>
  </r>
  <r>
    <d v="2025-08-25T00:00:00"/>
    <s v="EQ"/>
    <n v="2643"/>
    <n v="2643"/>
    <n v="2615.1999999999998"/>
    <n v="2629.9"/>
    <n v="2628"/>
    <n v="2631.6"/>
    <n v="2630.11"/>
    <n v="3035"/>
    <n v="2136"/>
    <n v="667598"/>
    <n v="1755858039.5999999"/>
    <n v="35409"/>
    <x v="3"/>
    <n v="-13.099999999999909"/>
    <x v="3"/>
    <n v="8"/>
    <x v="4"/>
    <n v="-2.6699969854871962E-3"/>
  </r>
  <r>
    <d v="2025-08-22T00:00:00"/>
    <s v="EQ"/>
    <n v="2647"/>
    <n v="2658.5"/>
    <n v="2619"/>
    <n v="2648"/>
    <n v="2631.9"/>
    <n v="2629.9"/>
    <n v="2631.27"/>
    <n v="3035"/>
    <n v="2136"/>
    <n v="1223445"/>
    <n v="3219214615.6999998"/>
    <n v="68993"/>
    <x v="3"/>
    <n v="1"/>
    <x v="3"/>
    <n v="8"/>
    <x v="4"/>
    <n v="-2.6699969854871962E-3"/>
  </r>
  <r>
    <d v="2025-08-21T00:00:00"/>
    <s v="EQ"/>
    <n v="2667.1"/>
    <n v="2667.1"/>
    <n v="2627.3"/>
    <n v="2669.8"/>
    <n v="2640"/>
    <n v="2648"/>
    <n v="2647.08"/>
    <n v="3035"/>
    <n v="2136"/>
    <n v="2235686"/>
    <n v="5918046935.5"/>
    <n v="89852"/>
    <x v="3"/>
    <n v="2.7000000000002728"/>
    <x v="3"/>
    <n v="8"/>
    <x v="4"/>
    <n v="-2.6699969854871962E-3"/>
  </r>
  <r>
    <d v="2025-08-20T00:00:00"/>
    <s v="EQ"/>
    <n v="2599"/>
    <n v="2680"/>
    <n v="2588.5"/>
    <n v="2604.8000000000002"/>
    <n v="2668"/>
    <n v="2669.8"/>
    <n v="2659.05"/>
    <n v="3035"/>
    <n v="2136"/>
    <n v="3156954"/>
    <n v="8394511304.3000002"/>
    <n v="133377"/>
    <x v="3"/>
    <n v="5.8000000000001819"/>
    <x v="3"/>
    <n v="8"/>
    <x v="4"/>
    <n v="-2.6699969854871962E-3"/>
  </r>
  <r>
    <d v="2025-08-19T00:00:00"/>
    <s v="EQ"/>
    <n v="2572.1999999999998"/>
    <n v="2615"/>
    <n v="2558.4"/>
    <n v="2568.1"/>
    <n v="2604"/>
    <n v="2604.8000000000002"/>
    <n v="2588.2199999999998"/>
    <n v="3035"/>
    <n v="2136"/>
    <n v="1400717"/>
    <n v="3625365899.3000002"/>
    <n v="54506"/>
    <x v="3"/>
    <n v="-4.0999999999999091"/>
    <x v="3"/>
    <n v="8"/>
    <x v="4"/>
    <n v="-2.6699969854871962E-3"/>
  </r>
  <r>
    <d v="2025-08-18T00:00:00"/>
    <s v="EQ"/>
    <n v="2539"/>
    <n v="2597"/>
    <n v="2521.3000000000002"/>
    <n v="2480.6"/>
    <n v="2565"/>
    <n v="2568.1"/>
    <n v="2574.34"/>
    <n v="3035"/>
    <n v="2136"/>
    <n v="3089136"/>
    <n v="7952483958.8000002"/>
    <n v="153069"/>
    <x v="3"/>
    <n v="-58.400000000000091"/>
    <x v="3"/>
    <n v="8"/>
    <x v="4"/>
    <n v="-2.6699969854871962E-3"/>
  </r>
  <r>
    <d v="2025-08-14T00:00:00"/>
    <s v="EQ"/>
    <n v="2498.9"/>
    <n v="2509"/>
    <n v="2473.1999999999998"/>
    <n v="2495.1"/>
    <n v="2479"/>
    <n v="2480.6"/>
    <n v="2490.61"/>
    <n v="3035"/>
    <n v="2136"/>
    <n v="1104362"/>
    <n v="2750531986.5999999"/>
    <n v="53283"/>
    <x v="3"/>
    <n v="-3.8000000000001819"/>
    <x v="3"/>
    <n v="8"/>
    <x v="4"/>
    <n v="-2.6699969854871962E-3"/>
  </r>
  <r>
    <d v="2025-08-13T00:00:00"/>
    <s v="EQ"/>
    <n v="2485"/>
    <n v="2501.5"/>
    <n v="2473.4"/>
    <n v="2483.8000000000002"/>
    <n v="2493.4"/>
    <n v="2495.1"/>
    <n v="2488.5"/>
    <n v="3035"/>
    <n v="2136"/>
    <n v="969803"/>
    <n v="2413358492.5"/>
    <n v="42554"/>
    <x v="3"/>
    <n v="-1.1999999999998181"/>
    <x v="3"/>
    <n v="8"/>
    <x v="4"/>
    <n v="-2.6699969854871962E-3"/>
  </r>
  <r>
    <d v="2025-08-12T00:00:00"/>
    <s v="EQ"/>
    <n v="2518"/>
    <n v="2536.6"/>
    <n v="2480.1"/>
    <n v="2518.4"/>
    <n v="2484"/>
    <n v="2483.8000000000002"/>
    <n v="2498.11"/>
    <n v="3035"/>
    <n v="2136"/>
    <n v="1406211"/>
    <n v="3512876642.9000001"/>
    <n v="70674"/>
    <x v="3"/>
    <n v="0.40000000000009095"/>
    <x v="3"/>
    <n v="8"/>
    <x v="4"/>
    <n v="-2.6699969854871962E-3"/>
  </r>
  <r>
    <d v="2025-08-11T00:00:00"/>
    <s v="EQ"/>
    <n v="2490.1"/>
    <n v="2524.5"/>
    <n v="2478.5"/>
    <n v="2498.6"/>
    <n v="2509"/>
    <n v="2518.4"/>
    <n v="2504.14"/>
    <n v="3035"/>
    <n v="2136"/>
    <n v="992436"/>
    <n v="2485196993.6999998"/>
    <n v="68671"/>
    <x v="3"/>
    <n v="8.5"/>
    <x v="3"/>
    <n v="8"/>
    <x v="4"/>
    <n v="-2.6699969854871962E-3"/>
  </r>
  <r>
    <d v="2025-08-08T00:00:00"/>
    <s v="EQ"/>
    <n v="2516"/>
    <n v="2529.9"/>
    <n v="2486.6"/>
    <n v="2517.5"/>
    <n v="2500"/>
    <n v="2498.6"/>
    <n v="2501.61"/>
    <n v="3035"/>
    <n v="2136"/>
    <n v="839794"/>
    <n v="2100837838.9000001"/>
    <n v="58282"/>
    <x v="3"/>
    <n v="1.5"/>
    <x v="3"/>
    <n v="8"/>
    <x v="4"/>
    <n v="-2.6699969854871962E-3"/>
  </r>
  <r>
    <d v="2025-08-07T00:00:00"/>
    <s v="EQ"/>
    <n v="2535.6999999999998"/>
    <n v="2544"/>
    <n v="2495"/>
    <n v="2535.6"/>
    <n v="2516"/>
    <n v="2517.5"/>
    <n v="2514.0100000000002"/>
    <n v="3035"/>
    <n v="2136"/>
    <n v="847151"/>
    <n v="2129742731"/>
    <n v="46870"/>
    <x v="3"/>
    <n v="-9.9999999999909051E-2"/>
    <x v="3"/>
    <n v="8"/>
    <x v="4"/>
    <n v="-2.6699969854871962E-3"/>
  </r>
  <r>
    <d v="2025-08-06T00:00:00"/>
    <s v="EQ"/>
    <n v="2538.6999999999998"/>
    <n v="2563.1"/>
    <n v="2526.6"/>
    <n v="2534.6999999999998"/>
    <n v="2540"/>
    <n v="2535.6"/>
    <n v="2539.12"/>
    <n v="3035"/>
    <n v="2136"/>
    <n v="885487"/>
    <n v="2248361224.6999998"/>
    <n v="54477"/>
    <x v="3"/>
    <n v="-4"/>
    <x v="3"/>
    <n v="8"/>
    <x v="4"/>
    <n v="-2.6699969854871962E-3"/>
  </r>
  <r>
    <d v="2025-08-05T00:00:00"/>
    <s v="EQ"/>
    <n v="2537.5"/>
    <n v="2553"/>
    <n v="2517.3000000000002"/>
    <n v="2543.6999999999998"/>
    <n v="2532.4"/>
    <n v="2534.6999999999998"/>
    <n v="2530.15"/>
    <n v="3035"/>
    <n v="2136"/>
    <n v="756361"/>
    <n v="1913705140.4000001"/>
    <n v="50234"/>
    <x v="3"/>
    <n v="6.1999999999998181"/>
    <x v="3"/>
    <n v="8"/>
    <x v="4"/>
    <n v="-2.6699969854871962E-3"/>
  </r>
  <r>
    <d v="2025-08-04T00:00:00"/>
    <s v="EQ"/>
    <n v="2547"/>
    <n v="2583.1999999999998"/>
    <n v="2535.1"/>
    <n v="2553.6999999999998"/>
    <n v="2541"/>
    <n v="2543.6999999999998"/>
    <n v="2550.67"/>
    <n v="3035"/>
    <n v="2136"/>
    <n v="1293028"/>
    <n v="3298092510.5999999"/>
    <n v="73288"/>
    <x v="3"/>
    <n v="6.6999999999998181"/>
    <x v="3"/>
    <n v="8"/>
    <x v="4"/>
    <n v="-2.6699969854871962E-3"/>
  </r>
  <r>
    <d v="2025-08-01T00:00:00"/>
    <s v="EQ"/>
    <n v="2550"/>
    <n v="2727.5"/>
    <n v="2536.9"/>
    <n v="2521.1999999999998"/>
    <n v="2554"/>
    <n v="2553.6999999999998"/>
    <n v="2585.85"/>
    <n v="3035"/>
    <n v="2136"/>
    <n v="4259653"/>
    <n v="11014830685.200001"/>
    <n v="207561"/>
    <x v="3"/>
    <n v="-28.800000000000182"/>
    <x v="3"/>
    <n v="8"/>
    <x v="4"/>
    <n v="-2.6699969854871962E-3"/>
  </r>
  <r>
    <d v="2025-07-31T00:00:00"/>
    <s v="EQ"/>
    <n v="2420.1"/>
    <n v="2549"/>
    <n v="2420.1"/>
    <n v="2437.4"/>
    <n v="2524"/>
    <n v="2521.1999999999998"/>
    <n v="2510.11"/>
    <n v="3035"/>
    <n v="2136"/>
    <n v="5505507"/>
    <n v="13819442836.200001"/>
    <n v="281542"/>
    <x v="3"/>
    <n v="17.300000000000182"/>
    <x v="3"/>
    <n v="7"/>
    <x v="5"/>
    <n v="-2.6699969854871962E-3"/>
  </r>
  <r>
    <d v="2025-07-30T00:00:00"/>
    <s v="EQ"/>
    <n v="2442"/>
    <n v="2452.9"/>
    <n v="2398.5"/>
    <n v="2453.6"/>
    <n v="2433.9"/>
    <n v="2437.4"/>
    <n v="2430.0700000000002"/>
    <n v="3035"/>
    <n v="2136"/>
    <n v="1224146"/>
    <n v="2974759654.8000002"/>
    <n v="105143"/>
    <x v="3"/>
    <n v="11.599999999999909"/>
    <x v="3"/>
    <n v="7"/>
    <x v="5"/>
    <n v="-2.6699969854871962E-3"/>
  </r>
  <r>
    <d v="2025-07-29T00:00:00"/>
    <s v="EQ"/>
    <n v="2444.8000000000002"/>
    <n v="2457.5"/>
    <n v="2429.6999999999998"/>
    <n v="2441.6"/>
    <n v="2456.4"/>
    <n v="2453.6"/>
    <n v="2446.4699999999998"/>
    <n v="3035"/>
    <n v="2136"/>
    <n v="732282"/>
    <n v="1791506000.5999999"/>
    <n v="37935"/>
    <x v="3"/>
    <n v="-3.2000000000002728"/>
    <x v="3"/>
    <n v="7"/>
    <x v="5"/>
    <n v="-2.6699969854871962E-3"/>
  </r>
  <r>
    <d v="2025-07-28T00:00:00"/>
    <s v="EQ"/>
    <n v="2415.4"/>
    <n v="2448.3000000000002"/>
    <n v="2412.3000000000002"/>
    <n v="2415.4"/>
    <n v="2439"/>
    <n v="2441.6"/>
    <n v="2433.86"/>
    <n v="3035"/>
    <n v="2136"/>
    <n v="987995"/>
    <n v="2404643848.6999998"/>
    <n v="73222"/>
    <x v="3"/>
    <n v="0"/>
    <x v="3"/>
    <n v="7"/>
    <x v="5"/>
    <n v="-2.6699969854871962E-3"/>
  </r>
  <r>
    <d v="2025-07-25T00:00:00"/>
    <s v="EQ"/>
    <n v="2426.1"/>
    <n v="2428.6"/>
    <n v="2405.4"/>
    <n v="2437.8000000000002"/>
    <n v="2417"/>
    <n v="2415.4"/>
    <n v="2414.3200000000002"/>
    <n v="3035"/>
    <n v="2136"/>
    <n v="769388"/>
    <n v="1857549654.5999999"/>
    <n v="61664"/>
    <x v="3"/>
    <n v="11.700000000000273"/>
    <x v="3"/>
    <n v="7"/>
    <x v="5"/>
    <n v="-2.6699969854871962E-3"/>
  </r>
  <r>
    <d v="2025-07-24T00:00:00"/>
    <s v="EQ"/>
    <n v="2455.9"/>
    <n v="2466"/>
    <n v="2421"/>
    <n v="2450.4"/>
    <n v="2435"/>
    <n v="2437.8000000000002"/>
    <n v="2438.17"/>
    <n v="3035"/>
    <n v="2136"/>
    <n v="693984"/>
    <n v="1692052114.0999999"/>
    <n v="49869"/>
    <x v="3"/>
    <n v="-5.5"/>
    <x v="3"/>
    <n v="7"/>
    <x v="5"/>
    <n v="-2.6699969854871962E-3"/>
  </r>
  <r>
    <d v="2025-07-23T00:00:00"/>
    <s v="EQ"/>
    <n v="2481"/>
    <n v="2487"/>
    <n v="2442"/>
    <n v="2479.6999999999998"/>
    <n v="2456.8000000000002"/>
    <n v="2450.4"/>
    <n v="2453.2199999999998"/>
    <n v="3035"/>
    <n v="2136"/>
    <n v="1320795"/>
    <n v="3240198536.9000001"/>
    <n v="54984"/>
    <x v="3"/>
    <n v="-1.3000000000001819"/>
    <x v="3"/>
    <n v="7"/>
    <x v="5"/>
    <n v="-2.6699969854871962E-3"/>
  </r>
  <r>
    <d v="2025-07-22T00:00:00"/>
    <s v="EQ"/>
    <n v="2470"/>
    <n v="2485"/>
    <n v="2452.6"/>
    <n v="2464.9"/>
    <n v="2482.5"/>
    <n v="2479.6999999999998"/>
    <n v="2471.98"/>
    <n v="3035"/>
    <n v="2136"/>
    <n v="861632"/>
    <n v="2129937831"/>
    <n v="46124"/>
    <x v="3"/>
    <n v="-5.0999999999999091"/>
    <x v="3"/>
    <n v="7"/>
    <x v="5"/>
    <n v="-2.6699969854871962E-3"/>
  </r>
  <r>
    <d v="2025-07-21T00:00:00"/>
    <s v="EQ"/>
    <n v="2490.9"/>
    <n v="2493.6"/>
    <n v="2455.4"/>
    <n v="2489.6"/>
    <n v="2464.9"/>
    <n v="2464.9"/>
    <n v="2469.83"/>
    <n v="3035"/>
    <n v="2136"/>
    <n v="1169960"/>
    <n v="2889607558.3000002"/>
    <n v="61953"/>
    <x v="3"/>
    <n v="-1.3000000000001819"/>
    <x v="3"/>
    <n v="7"/>
    <x v="5"/>
    <n v="-2.6699969854871962E-3"/>
  </r>
  <r>
    <d v="2025-07-18T00:00:00"/>
    <s v="EQ"/>
    <n v="2514.9"/>
    <n v="2514.9"/>
    <n v="2481.5"/>
    <n v="2509.8000000000002"/>
    <n v="2488.1"/>
    <n v="2489.6"/>
    <n v="2492.2199999999998"/>
    <n v="3035"/>
    <n v="2136"/>
    <n v="771112"/>
    <n v="1921782877.7"/>
    <n v="45074"/>
    <x v="3"/>
    <n v="-5.0999999999999091"/>
    <x v="3"/>
    <n v="7"/>
    <x v="5"/>
    <n v="-2.6699969854871962E-3"/>
  </r>
  <r>
    <d v="2025-07-17T00:00:00"/>
    <s v="EQ"/>
    <n v="2513"/>
    <n v="2525.4"/>
    <n v="2506.1999999999998"/>
    <n v="2517.6"/>
    <n v="2513"/>
    <n v="2509.8000000000002"/>
    <n v="2516.23"/>
    <n v="3035"/>
    <n v="2136"/>
    <n v="807474"/>
    <n v="2031788319.4000001"/>
    <n v="47864"/>
    <x v="3"/>
    <n v="4.5999999999999091"/>
    <x v="3"/>
    <n v="7"/>
    <x v="5"/>
    <n v="-2.6699969854871962E-3"/>
  </r>
  <r>
    <d v="2025-07-16T00:00:00"/>
    <s v="EQ"/>
    <n v="2526.3000000000002"/>
    <n v="2532.9"/>
    <n v="2507.5"/>
    <n v="2526.9"/>
    <n v="2510"/>
    <n v="2517.6"/>
    <n v="2522.42"/>
    <n v="3035"/>
    <n v="2136"/>
    <n v="1284379"/>
    <n v="3239739295.1999998"/>
    <n v="47859"/>
    <x v="3"/>
    <n v="0.59999999999990905"/>
    <x v="3"/>
    <n v="7"/>
    <x v="5"/>
    <n v="-2.6699969854871962E-3"/>
  </r>
  <r>
    <d v="2025-07-15T00:00:00"/>
    <s v="EQ"/>
    <n v="2520.6999999999998"/>
    <n v="2529.9"/>
    <n v="2510"/>
    <n v="2516.6"/>
    <n v="2524.6999999999998"/>
    <n v="2526.9"/>
    <n v="2522.9299999999998"/>
    <n v="3035"/>
    <n v="2136"/>
    <n v="1700294"/>
    <n v="4289716703"/>
    <n v="70430"/>
    <x v="3"/>
    <n v="-4.0999999999999091"/>
    <x v="3"/>
    <n v="7"/>
    <x v="5"/>
    <n v="-2.6699969854871962E-3"/>
  </r>
  <r>
    <d v="2025-07-14T00:00:00"/>
    <s v="EQ"/>
    <n v="2500"/>
    <n v="2532.5"/>
    <n v="2490"/>
    <n v="2519.6"/>
    <n v="2517.4"/>
    <n v="2516.6"/>
    <n v="2512.77"/>
    <n v="3035"/>
    <n v="2136"/>
    <n v="2427712"/>
    <n v="6100289947.1999998"/>
    <n v="73611"/>
    <x v="3"/>
    <n v="19.599999999999909"/>
    <x v="3"/>
    <n v="7"/>
    <x v="5"/>
    <n v="-2.6699969854871962E-3"/>
  </r>
  <r>
    <d v="2025-07-11T00:00:00"/>
    <s v="EQ"/>
    <n v="2500"/>
    <n v="2530"/>
    <n v="2461"/>
    <n v="2408.4"/>
    <n v="2520"/>
    <n v="2519.6"/>
    <n v="2514.19"/>
    <n v="3035"/>
    <n v="2136"/>
    <n v="7242235"/>
    <n v="18208328733.299999"/>
    <n v="231877"/>
    <x v="3"/>
    <n v="-91.599999999999909"/>
    <x v="3"/>
    <n v="7"/>
    <x v="5"/>
    <n v="-2.6699969854871962E-3"/>
  </r>
  <r>
    <d v="2025-07-10T00:00:00"/>
    <s v="EQ"/>
    <n v="2423.4"/>
    <n v="2434"/>
    <n v="2397.6"/>
    <n v="2423.4"/>
    <n v="2407"/>
    <n v="2408.4"/>
    <n v="2413.88"/>
    <n v="3035"/>
    <n v="2136"/>
    <n v="1053695"/>
    <n v="2543498300"/>
    <n v="59529"/>
    <x v="3"/>
    <n v="0"/>
    <x v="3"/>
    <n v="7"/>
    <x v="5"/>
    <n v="-2.6699969854871962E-3"/>
  </r>
  <r>
    <d v="2025-07-09T00:00:00"/>
    <s v="EQ"/>
    <n v="2399"/>
    <n v="2439.6999999999998"/>
    <n v="2397.1"/>
    <n v="2392.6999999999998"/>
    <n v="2421.3000000000002"/>
    <n v="2423.4"/>
    <n v="2424.04"/>
    <n v="3035"/>
    <n v="2136"/>
    <n v="1741690"/>
    <n v="4221929533.5999999"/>
    <n v="88529"/>
    <x v="3"/>
    <n v="-6.3000000000001819"/>
    <x v="3"/>
    <n v="7"/>
    <x v="5"/>
    <n v="-2.6699969854871962E-3"/>
  </r>
  <r>
    <d v="2025-07-08T00:00:00"/>
    <s v="EQ"/>
    <n v="2405.4"/>
    <n v="2418.5"/>
    <n v="2386"/>
    <n v="2410.4"/>
    <n v="2400"/>
    <n v="2392.6999999999998"/>
    <n v="2398.59"/>
    <n v="3035"/>
    <n v="2136"/>
    <n v="1471046"/>
    <n v="3528430095.3000002"/>
    <n v="65914"/>
    <x v="3"/>
    <n v="5"/>
    <x v="3"/>
    <n v="7"/>
    <x v="5"/>
    <n v="-2.6699969854871962E-3"/>
  </r>
  <r>
    <d v="2025-07-07T00:00:00"/>
    <s v="EQ"/>
    <n v="2341"/>
    <n v="2415.6999999999998"/>
    <n v="2341"/>
    <n v="2339.3000000000002"/>
    <n v="2408.6999999999998"/>
    <n v="2410.4"/>
    <n v="2396.6799999999998"/>
    <n v="3035"/>
    <n v="2136"/>
    <n v="2701583"/>
    <n v="6474824763.3000002"/>
    <n v="137873"/>
    <x v="3"/>
    <n v="-1.6999999999998181"/>
    <x v="3"/>
    <n v="7"/>
    <x v="5"/>
    <n v="-2.6699969854871962E-3"/>
  </r>
  <r>
    <d v="2025-07-04T00:00:00"/>
    <s v="EQ"/>
    <n v="2318"/>
    <n v="2341.4"/>
    <n v="2310.3000000000002"/>
    <n v="2313.4"/>
    <n v="2341.3000000000002"/>
    <n v="2339.3000000000002"/>
    <n v="2330.87"/>
    <n v="3035"/>
    <n v="2136"/>
    <n v="1242346"/>
    <n v="2895742841"/>
    <n v="57377"/>
    <x v="3"/>
    <n v="-4.5999999999999091"/>
    <x v="3"/>
    <n v="7"/>
    <x v="5"/>
    <n v="-2.6699969854871962E-3"/>
  </r>
  <r>
    <d v="2025-07-03T00:00:00"/>
    <s v="EQ"/>
    <n v="2310"/>
    <n v="2326.9"/>
    <n v="2304"/>
    <n v="2307.1"/>
    <n v="2314.8000000000002"/>
    <n v="2313.4"/>
    <n v="2316.37"/>
    <n v="3035"/>
    <n v="2136"/>
    <n v="1060039"/>
    <n v="2455440560.5999999"/>
    <n v="56694"/>
    <x v="3"/>
    <n v="-2.9000000000000909"/>
    <x v="3"/>
    <n v="7"/>
    <x v="5"/>
    <n v="-2.6699969854871962E-3"/>
  </r>
  <r>
    <d v="2025-07-02T00:00:00"/>
    <s v="EQ"/>
    <n v="2295"/>
    <n v="2309"/>
    <n v="2287.6"/>
    <n v="2295.5"/>
    <n v="2306.9"/>
    <n v="2307.1"/>
    <n v="2300.65"/>
    <n v="3035"/>
    <n v="2136"/>
    <n v="1128034"/>
    <n v="2595212391.0999999"/>
    <n v="46377"/>
    <x v="3"/>
    <n v="0.5"/>
    <x v="3"/>
    <n v="7"/>
    <x v="5"/>
    <n v="-2.6699969854871962E-3"/>
  </r>
  <r>
    <d v="2025-07-01T00:00:00"/>
    <s v="EQ"/>
    <n v="2300"/>
    <n v="2302.6"/>
    <n v="2286.6"/>
    <n v="2294.6"/>
    <n v="2298"/>
    <n v="2295.5"/>
    <n v="2294.62"/>
    <n v="3035"/>
    <n v="2136"/>
    <n v="759914"/>
    <n v="1743712239.8"/>
    <n v="44581"/>
    <x v="3"/>
    <n v="-5.4000000000000909"/>
    <x v="3"/>
    <n v="7"/>
    <x v="5"/>
    <n v="-2.6699969854871962E-3"/>
  </r>
  <r>
    <d v="2025-06-30T00:00:00"/>
    <s v="EQ"/>
    <n v="2309.9"/>
    <n v="2317"/>
    <n v="2288"/>
    <n v="2306.9"/>
    <n v="2295.9"/>
    <n v="2294.6"/>
    <n v="2299.75"/>
    <n v="3035"/>
    <n v="2136"/>
    <n v="1403754"/>
    <n v="3228288072"/>
    <n v="89204"/>
    <x v="3"/>
    <n v="-3"/>
    <x v="3"/>
    <n v="6"/>
    <x v="6"/>
    <n v="-2.6699969854871962E-3"/>
  </r>
  <r>
    <d v="2025-06-27T00:00:00"/>
    <s v="EQ"/>
    <n v="2280.8000000000002"/>
    <n v="2310.5"/>
    <n v="2279.3000000000002"/>
    <n v="2280.8000000000002"/>
    <n v="2308.1"/>
    <n v="2306.9"/>
    <n v="2300.34"/>
    <n v="3035"/>
    <n v="2136"/>
    <n v="1050745"/>
    <n v="2417069888.1999998"/>
    <n v="64425"/>
    <x v="3"/>
    <n v="0"/>
    <x v="3"/>
    <n v="6"/>
    <x v="6"/>
    <n v="-2.6699969854871962E-3"/>
  </r>
  <r>
    <d v="2025-06-26T00:00:00"/>
    <s v="EQ"/>
    <n v="2288.9"/>
    <n v="2291"/>
    <n v="2271.6"/>
    <n v="2278.6999999999998"/>
    <n v="2280.9"/>
    <n v="2280.8000000000002"/>
    <n v="2280.59"/>
    <n v="3035"/>
    <n v="2136"/>
    <n v="1874722"/>
    <n v="4275481346"/>
    <n v="68684"/>
    <x v="3"/>
    <n v="-10.200000000000273"/>
    <x v="3"/>
    <n v="6"/>
    <x v="6"/>
    <n v="-2.6699969854871962E-3"/>
  </r>
  <r>
    <d v="2025-06-25T00:00:00"/>
    <s v="EQ"/>
    <n v="2279"/>
    <n v="2290.5"/>
    <n v="2271.4"/>
    <n v="2263.1"/>
    <n v="2277"/>
    <n v="2278.6999999999998"/>
    <n v="2279.46"/>
    <n v="3035"/>
    <n v="2136"/>
    <n v="1047270"/>
    <n v="2387208951.0999999"/>
    <n v="61222"/>
    <x v="3"/>
    <n v="-15.900000000000091"/>
    <x v="3"/>
    <n v="6"/>
    <x v="6"/>
    <n v="-2.6699969854871962E-3"/>
  </r>
  <r>
    <d v="2025-06-24T00:00:00"/>
    <s v="EQ"/>
    <n v="2295"/>
    <n v="2301"/>
    <n v="2260.3000000000002"/>
    <n v="2275.1"/>
    <n v="2267.5"/>
    <n v="2263.1"/>
    <n v="2274.92"/>
    <n v="3035"/>
    <n v="2136"/>
    <n v="2440747"/>
    <n v="5552506058.5"/>
    <n v="110169"/>
    <x v="3"/>
    <n v="-19.900000000000091"/>
    <x v="3"/>
    <n v="6"/>
    <x v="6"/>
    <n v="-2.6699969854871962E-3"/>
  </r>
  <r>
    <d v="2025-06-23T00:00:00"/>
    <s v="EQ"/>
    <n v="2283.4"/>
    <n v="2286"/>
    <n v="2258.6999999999998"/>
    <n v="2306.1999999999998"/>
    <n v="2276"/>
    <n v="2275.1"/>
    <n v="2271.88"/>
    <n v="3035"/>
    <n v="2136"/>
    <n v="842856"/>
    <n v="1914869023"/>
    <n v="54582"/>
    <x v="3"/>
    <n v="22.799999999999727"/>
    <x v="3"/>
    <n v="6"/>
    <x v="6"/>
    <n v="-2.6699969854871962E-3"/>
  </r>
  <r>
    <d v="2025-06-20T00:00:00"/>
    <s v="EQ"/>
    <n v="2295"/>
    <n v="2313"/>
    <n v="2292.4"/>
    <n v="2294.1999999999998"/>
    <n v="2302"/>
    <n v="2306.1999999999998"/>
    <n v="2304.39"/>
    <n v="3035"/>
    <n v="2136"/>
    <n v="2685864"/>
    <n v="6189290806.1999998"/>
    <n v="75830"/>
    <x v="3"/>
    <n v="-0.8000000000001819"/>
    <x v="3"/>
    <n v="6"/>
    <x v="6"/>
    <n v="-2.6699969854871962E-3"/>
  </r>
  <r>
    <d v="2025-06-19T00:00:00"/>
    <s v="EQ"/>
    <n v="2300.1"/>
    <n v="2307.8000000000002"/>
    <n v="2290.3000000000002"/>
    <n v="2297.3000000000002"/>
    <n v="2292"/>
    <n v="2294.1999999999998"/>
    <n v="2297.81"/>
    <n v="3035"/>
    <n v="2136"/>
    <n v="1214549"/>
    <n v="2790798321.9000001"/>
    <n v="86978"/>
    <x v="3"/>
    <n v="-2.7999999999997272"/>
    <x v="3"/>
    <n v="6"/>
    <x v="6"/>
    <n v="-2.6699969854871962E-3"/>
  </r>
  <r>
    <d v="2025-06-18T00:00:00"/>
    <s v="EQ"/>
    <n v="2327.6999999999998"/>
    <n v="2331.4"/>
    <n v="2285.5"/>
    <n v="2328.6"/>
    <n v="2295.1"/>
    <n v="2297.3000000000002"/>
    <n v="2302.0500000000002"/>
    <n v="3035"/>
    <n v="2136"/>
    <n v="2056563"/>
    <n v="4734313425.6000004"/>
    <n v="72649"/>
    <x v="3"/>
    <n v="0.90000000000009095"/>
    <x v="3"/>
    <n v="6"/>
    <x v="6"/>
    <n v="-2.6699969854871962E-3"/>
  </r>
  <r>
    <d v="2025-06-17T00:00:00"/>
    <s v="EQ"/>
    <n v="2320"/>
    <n v="2333.1"/>
    <n v="2313.1"/>
    <n v="2327.4"/>
    <n v="2328"/>
    <n v="2328.6"/>
    <n v="2324.83"/>
    <n v="3035"/>
    <n v="2136"/>
    <n v="1119284"/>
    <n v="2602141118.5"/>
    <n v="66866"/>
    <x v="3"/>
    <n v="7.4000000000000909"/>
    <x v="3"/>
    <n v="6"/>
    <x v="6"/>
    <n v="-2.6699969854871962E-3"/>
  </r>
  <r>
    <d v="2025-06-16T00:00:00"/>
    <s v="EQ"/>
    <n v="2320"/>
    <n v="2336.6"/>
    <n v="2313.1"/>
    <n v="2319"/>
    <n v="2326.1"/>
    <n v="2327.4"/>
    <n v="2327.5500000000002"/>
    <n v="3035"/>
    <n v="2136"/>
    <n v="1105297"/>
    <n v="2572630185.1999998"/>
    <n v="66228"/>
    <x v="3"/>
    <n v="-1"/>
    <x v="3"/>
    <n v="6"/>
    <x v="6"/>
    <n v="-2.6699969854871962E-3"/>
  </r>
  <r>
    <d v="2025-06-13T00:00:00"/>
    <s v="EQ"/>
    <n v="2305"/>
    <n v="2324.9"/>
    <n v="2302"/>
    <n v="2332.6999999999998"/>
    <n v="2320"/>
    <n v="2319"/>
    <n v="2314.9899999999998"/>
    <n v="3035"/>
    <n v="2136"/>
    <n v="1740682"/>
    <n v="4029653861.5"/>
    <n v="81022"/>
    <x v="3"/>
    <n v="27.699999999999818"/>
    <x v="3"/>
    <n v="6"/>
    <x v="6"/>
    <n v="-2.6699969854871962E-3"/>
  </r>
  <r>
    <d v="2025-06-12T00:00:00"/>
    <s v="EQ"/>
    <n v="2386.9"/>
    <n v="2388"/>
    <n v="2324.1"/>
    <n v="2376.4"/>
    <n v="2337.1"/>
    <n v="2332.6999999999998"/>
    <n v="2343.3000000000002"/>
    <n v="3035"/>
    <n v="2136"/>
    <n v="3339584"/>
    <n v="7825633464.8999996"/>
    <n v="169885"/>
    <x v="3"/>
    <n v="-10.5"/>
    <x v="3"/>
    <n v="6"/>
    <x v="6"/>
    <n v="-2.6699969854871962E-3"/>
  </r>
  <r>
    <d v="2025-06-11T00:00:00"/>
    <s v="EQ"/>
    <n v="2395.1999999999998"/>
    <n v="2402.9"/>
    <n v="2371.3000000000002"/>
    <n v="2395.1999999999998"/>
    <n v="2372.6999999999998"/>
    <n v="2376.4"/>
    <n v="2384.36"/>
    <n v="3035"/>
    <n v="2136"/>
    <n v="1977707"/>
    <n v="4715561549.8000002"/>
    <n v="86408"/>
    <x v="3"/>
    <n v="0"/>
    <x v="3"/>
    <n v="6"/>
    <x v="6"/>
    <n v="-2.6699969854871962E-3"/>
  </r>
  <r>
    <d v="2025-06-10T00:00:00"/>
    <s v="EQ"/>
    <n v="2393.4"/>
    <n v="2400.1999999999998"/>
    <n v="2378.4"/>
    <n v="2393.1999999999998"/>
    <n v="2392"/>
    <n v="2395.1999999999998"/>
    <n v="2393.06"/>
    <n v="3035"/>
    <n v="2136"/>
    <n v="1778782"/>
    <n v="4256731769.9000001"/>
    <n v="71612"/>
    <x v="3"/>
    <n v="-0.20000000000027285"/>
    <x v="3"/>
    <n v="6"/>
    <x v="6"/>
    <n v="-2.6699969854871962E-3"/>
  </r>
  <r>
    <d v="2025-06-09T00:00:00"/>
    <s v="EQ"/>
    <n v="2394"/>
    <n v="2399"/>
    <n v="2378.3000000000002"/>
    <n v="2389.8000000000002"/>
    <n v="2390"/>
    <n v="2393.1999999999998"/>
    <n v="2392.2600000000002"/>
    <n v="3035"/>
    <n v="2136"/>
    <n v="1293622"/>
    <n v="3094676118.6999998"/>
    <n v="67389"/>
    <x v="3"/>
    <n v="-4.1999999999998181"/>
    <x v="3"/>
    <n v="6"/>
    <x v="6"/>
    <n v="-2.6699969854871962E-3"/>
  </r>
  <r>
    <d v="2025-06-06T00:00:00"/>
    <s v="EQ"/>
    <n v="2373.3000000000002"/>
    <n v="2396.5"/>
    <n v="2370.1"/>
    <n v="2376.4"/>
    <n v="2389"/>
    <n v="2389.8000000000002"/>
    <n v="2384.61"/>
    <n v="3035"/>
    <n v="2136"/>
    <n v="997488"/>
    <n v="2378623797.5999999"/>
    <n v="53934"/>
    <x v="3"/>
    <n v="3.0999999999999091"/>
    <x v="3"/>
    <n v="6"/>
    <x v="6"/>
    <n v="-2.6699969854871962E-3"/>
  </r>
  <r>
    <d v="2025-06-05T00:00:00"/>
    <s v="EQ"/>
    <n v="2364.5"/>
    <n v="2380"/>
    <n v="2348.9"/>
    <n v="2364.5"/>
    <n v="2376"/>
    <n v="2376.4"/>
    <n v="2371.3200000000002"/>
    <n v="3035"/>
    <n v="2136"/>
    <n v="1787978"/>
    <n v="4239865309"/>
    <n v="56991"/>
    <x v="3"/>
    <n v="0"/>
    <x v="3"/>
    <n v="6"/>
    <x v="6"/>
    <n v="-2.6699969854871962E-3"/>
  </r>
  <r>
    <d v="2025-06-04T00:00:00"/>
    <s v="EQ"/>
    <n v="2359.5"/>
    <n v="2367.6"/>
    <n v="2342.1"/>
    <n v="2352.3000000000002"/>
    <n v="2365"/>
    <n v="2364.5"/>
    <n v="2349.65"/>
    <n v="3035"/>
    <n v="2136"/>
    <n v="3287896"/>
    <n v="7725419253.8999996"/>
    <n v="67671"/>
    <x v="3"/>
    <n v="-7.1999999999998181"/>
    <x v="3"/>
    <n v="6"/>
    <x v="6"/>
    <n v="-2.6699969854871962E-3"/>
  </r>
  <r>
    <d v="2025-06-03T00:00:00"/>
    <s v="EQ"/>
    <n v="2365.1"/>
    <n v="2379.5"/>
    <n v="2342.6"/>
    <n v="2371.6"/>
    <n v="2356"/>
    <n v="2352.3000000000002"/>
    <n v="2352.14"/>
    <n v="3035"/>
    <n v="2136"/>
    <n v="1643913"/>
    <n v="3866709347.0999999"/>
    <n v="107654"/>
    <x v="3"/>
    <n v="6.5"/>
    <x v="3"/>
    <n v="6"/>
    <x v="6"/>
    <n v="-2.6699969854871962E-3"/>
  </r>
  <r>
    <d v="2025-06-02T00:00:00"/>
    <s v="EQ"/>
    <n v="2347.9"/>
    <n v="2384"/>
    <n v="2343.6"/>
    <n v="2348.3000000000002"/>
    <n v="2367.9"/>
    <n v="2371.6"/>
    <n v="2369.77"/>
    <n v="3035"/>
    <n v="2136"/>
    <n v="1178205"/>
    <n v="2792069352.6999998"/>
    <n v="52751"/>
    <x v="3"/>
    <n v="0.40000000000009095"/>
    <x v="3"/>
    <n v="6"/>
    <x v="6"/>
    <n v="-2.6699969854871962E-3"/>
  </r>
  <r>
    <d v="2025-05-30T00:00:00"/>
    <s v="EQ"/>
    <n v="2360"/>
    <n v="2374.9"/>
    <n v="2343.5"/>
    <n v="2366.6999999999998"/>
    <n v="2346"/>
    <n v="2348.3000000000002"/>
    <n v="2351.39"/>
    <n v="3035"/>
    <n v="2136"/>
    <n v="3288892"/>
    <n v="7733475792.1999998"/>
    <n v="65016"/>
    <x v="3"/>
    <n v="6.6999999999998181"/>
    <x v="3"/>
    <n v="5"/>
    <x v="7"/>
    <n v="-2.6699969854871962E-3"/>
  </r>
  <r>
    <d v="2025-05-29T00:00:00"/>
    <s v="EQ"/>
    <n v="2369"/>
    <n v="2376"/>
    <n v="2355.5"/>
    <n v="2362"/>
    <n v="2364.1999999999998"/>
    <n v="2366.6999999999998"/>
    <n v="2366.46"/>
    <n v="3035"/>
    <n v="2136"/>
    <n v="1111275"/>
    <n v="2629791496.3000002"/>
    <n v="54853"/>
    <x v="3"/>
    <n v="-7"/>
    <x v="3"/>
    <n v="5"/>
    <x v="7"/>
    <n v="-2.6699969854871962E-3"/>
  </r>
  <r>
    <d v="2025-05-28T00:00:00"/>
    <s v="EQ"/>
    <n v="2388"/>
    <n v="2388"/>
    <n v="2352"/>
    <n v="2380.1999999999998"/>
    <n v="2365"/>
    <n v="2362"/>
    <n v="2367.42"/>
    <n v="3035"/>
    <n v="2136"/>
    <n v="897517"/>
    <n v="2124799272.9000001"/>
    <n v="41610"/>
    <x v="3"/>
    <n v="-7.8000000000001819"/>
    <x v="3"/>
    <n v="5"/>
    <x v="7"/>
    <n v="-2.6699969854871962E-3"/>
  </r>
  <r>
    <d v="2025-05-27T00:00:00"/>
    <s v="EQ"/>
    <n v="2394.1"/>
    <n v="2409.5"/>
    <n v="2360.3000000000002"/>
    <n v="2394.1"/>
    <n v="2383"/>
    <n v="2380.1999999999998"/>
    <n v="2379.54"/>
    <n v="3035"/>
    <n v="2136"/>
    <n v="1865258"/>
    <n v="4438450191"/>
    <n v="97756"/>
    <x v="3"/>
    <n v="0"/>
    <x v="3"/>
    <n v="5"/>
    <x v="7"/>
    <n v="-2.6699969854871962E-3"/>
  </r>
  <r>
    <d v="2025-05-26T00:00:00"/>
    <s v="EQ"/>
    <n v="2368"/>
    <n v="2397.3000000000002"/>
    <n v="2364.1"/>
    <n v="2359.1999999999998"/>
    <n v="2391.1999999999998"/>
    <n v="2394.1"/>
    <n v="2385.3000000000002"/>
    <n v="3035"/>
    <n v="2136"/>
    <n v="892618"/>
    <n v="2129165706.9000001"/>
    <n v="50530"/>
    <x v="3"/>
    <n v="-8.8000000000001819"/>
    <x v="3"/>
    <n v="5"/>
    <x v="7"/>
    <n v="-2.6699969854871962E-3"/>
  </r>
  <r>
    <d v="2025-05-23T00:00:00"/>
    <s v="EQ"/>
    <n v="2336.9"/>
    <n v="2364.5"/>
    <n v="2329.6"/>
    <n v="2330.6999999999998"/>
    <n v="2355"/>
    <n v="2359.1999999999998"/>
    <n v="2353.59"/>
    <n v="3035"/>
    <n v="2136"/>
    <n v="844118"/>
    <n v="1986709021.0999999"/>
    <n v="37992"/>
    <x v="3"/>
    <n v="-6.2000000000002728"/>
    <x v="3"/>
    <n v="5"/>
    <x v="7"/>
    <n v="-2.6699969854871962E-3"/>
  </r>
  <r>
    <d v="2025-05-22T00:00:00"/>
    <s v="EQ"/>
    <n v="2355"/>
    <n v="2363.1"/>
    <n v="2313.1"/>
    <n v="2363.9"/>
    <n v="2330.6999999999998"/>
    <n v="2330.6999999999998"/>
    <n v="2329.0500000000002"/>
    <n v="3035"/>
    <n v="2136"/>
    <n v="2423653"/>
    <n v="5644798899.5"/>
    <n v="110122"/>
    <x v="3"/>
    <n v="8.9000000000000909"/>
    <x v="3"/>
    <n v="5"/>
    <x v="7"/>
    <n v="-2.6699969854871962E-3"/>
  </r>
  <r>
    <d v="2025-05-21T00:00:00"/>
    <s v="EQ"/>
    <n v="2346"/>
    <n v="2375.6999999999998"/>
    <n v="2345"/>
    <n v="2341.1"/>
    <n v="2360.1"/>
    <n v="2363.9"/>
    <n v="2366.42"/>
    <n v="3035"/>
    <n v="2136"/>
    <n v="1570754"/>
    <n v="3717059033.4000001"/>
    <n v="74337"/>
    <x v="3"/>
    <n v="-4.9000000000000909"/>
    <x v="3"/>
    <n v="5"/>
    <x v="7"/>
    <n v="-2.6699969854871962E-3"/>
  </r>
  <r>
    <d v="2025-05-20T00:00:00"/>
    <s v="EQ"/>
    <n v="2394.6"/>
    <n v="2394.6"/>
    <n v="2338.5"/>
    <n v="2382.6999999999998"/>
    <n v="2348"/>
    <n v="2341.1"/>
    <n v="2352.5700000000002"/>
    <n v="3035"/>
    <n v="2136"/>
    <n v="1617408"/>
    <n v="3805072264.8000002"/>
    <n v="71972"/>
    <x v="3"/>
    <n v="-11.900000000000091"/>
    <x v="3"/>
    <n v="5"/>
    <x v="7"/>
    <n v="-2.6699969854871962E-3"/>
  </r>
  <r>
    <d v="2025-05-19T00:00:00"/>
    <s v="EQ"/>
    <n v="2375"/>
    <n v="2405"/>
    <n v="2375"/>
    <n v="2381.4"/>
    <n v="2381"/>
    <n v="2382.6999999999998"/>
    <n v="2388.7800000000002"/>
    <n v="3035"/>
    <n v="2136"/>
    <n v="936655"/>
    <n v="2237460516.5"/>
    <n v="62075"/>
    <x v="3"/>
    <n v="6.4000000000000909"/>
    <x v="3"/>
    <n v="5"/>
    <x v="7"/>
    <n v="-2.6699969854871962E-3"/>
  </r>
  <r>
    <d v="2025-05-16T00:00:00"/>
    <s v="EQ"/>
    <n v="2360"/>
    <n v="2387"/>
    <n v="2349"/>
    <n v="2355.1999999999998"/>
    <n v="2380"/>
    <n v="2381.4"/>
    <n v="2364.8200000000002"/>
    <n v="3035"/>
    <n v="2136"/>
    <n v="1473000"/>
    <n v="3483386515.9000001"/>
    <n v="68020"/>
    <x v="3"/>
    <n v="-4.8000000000001819"/>
    <x v="3"/>
    <n v="5"/>
    <x v="7"/>
    <n v="-2.6699969854871962E-3"/>
  </r>
  <r>
    <d v="2025-05-15T00:00:00"/>
    <s v="EQ"/>
    <n v="2351.6"/>
    <n v="2369.9"/>
    <n v="2340"/>
    <n v="2350.5"/>
    <n v="2355"/>
    <n v="2355.1999999999998"/>
    <n v="2355.0100000000002"/>
    <n v="3035"/>
    <n v="2136"/>
    <n v="3236681"/>
    <n v="7622408947"/>
    <n v="145637"/>
    <x v="3"/>
    <n v="-1.0999999999999091"/>
    <x v="3"/>
    <n v="5"/>
    <x v="7"/>
    <n v="-2.6699969854871962E-3"/>
  </r>
  <r>
    <d v="2025-05-14T00:00:00"/>
    <s v="EQ"/>
    <n v="2370"/>
    <n v="2370"/>
    <n v="2338.5"/>
    <n v="2360"/>
    <n v="2351.6999999999998"/>
    <n v="2350.5"/>
    <n v="2348.36"/>
    <n v="3035"/>
    <n v="2136"/>
    <n v="1568111"/>
    <n v="3682482875.5999999"/>
    <n v="89391"/>
    <x v="3"/>
    <n v="-10"/>
    <x v="3"/>
    <n v="5"/>
    <x v="7"/>
    <n v="-2.6699969854871962E-3"/>
  </r>
  <r>
    <d v="2025-05-13T00:00:00"/>
    <s v="EQ"/>
    <n v="2375.6"/>
    <n v="2398"/>
    <n v="2352.8000000000002"/>
    <n v="2382.5"/>
    <n v="2359.6999999999998"/>
    <n v="2360"/>
    <n v="2365.67"/>
    <n v="3035"/>
    <n v="2136"/>
    <n v="1929665"/>
    <n v="4564943492"/>
    <n v="102660"/>
    <x v="3"/>
    <n v="6.9000000000000909"/>
    <x v="3"/>
    <n v="5"/>
    <x v="7"/>
    <n v="-2.6699969854871962E-3"/>
  </r>
  <r>
    <d v="2025-05-12T00:00:00"/>
    <s v="EQ"/>
    <n v="2360"/>
    <n v="2387"/>
    <n v="2346.1"/>
    <n v="2332.9"/>
    <n v="2381.6999999999998"/>
    <n v="2382.5"/>
    <n v="2377.71"/>
    <n v="3035"/>
    <n v="2136"/>
    <n v="1274873"/>
    <n v="3031275467.6999998"/>
    <n v="61649"/>
    <x v="3"/>
    <n v="-27.099999999999909"/>
    <x v="3"/>
    <n v="5"/>
    <x v="7"/>
    <n v="-2.6699969854871962E-3"/>
  </r>
  <r>
    <d v="2025-05-09T00:00:00"/>
    <s v="EQ"/>
    <n v="2330"/>
    <n v="2342.6999999999998"/>
    <n v="2302.3000000000002"/>
    <n v="2354.9"/>
    <n v="2336"/>
    <n v="2332.9"/>
    <n v="2325.81"/>
    <n v="3035"/>
    <n v="2136"/>
    <n v="1805685"/>
    <n v="4199687091.6999998"/>
    <n v="99944"/>
    <x v="3"/>
    <n v="24.900000000000091"/>
    <x v="3"/>
    <n v="5"/>
    <x v="7"/>
    <n v="-2.6699969854871962E-3"/>
  </r>
  <r>
    <d v="2025-05-08T00:00:00"/>
    <s v="EQ"/>
    <n v="2361.6999999999998"/>
    <n v="2371.9"/>
    <n v="2341"/>
    <n v="2370.8000000000002"/>
    <n v="2346.8000000000002"/>
    <n v="2354.9"/>
    <n v="2355.19"/>
    <n v="3035"/>
    <n v="2136"/>
    <n v="2323073"/>
    <n v="5471266856.1999998"/>
    <n v="115982"/>
    <x v="3"/>
    <n v="9.1000000000003638"/>
    <x v="3"/>
    <n v="5"/>
    <x v="7"/>
    <n v="-2.6699969854871962E-3"/>
  </r>
  <r>
    <d v="2025-05-07T00:00:00"/>
    <s v="EQ"/>
    <n v="2369"/>
    <n v="2386.9"/>
    <n v="2355.3000000000002"/>
    <n v="2381.8000000000002"/>
    <n v="2367.1"/>
    <n v="2370.8000000000002"/>
    <n v="2373.36"/>
    <n v="3035"/>
    <n v="2136"/>
    <n v="1610400"/>
    <n v="3822055801.1999998"/>
    <n v="69587"/>
    <x v="3"/>
    <n v="12.800000000000182"/>
    <x v="3"/>
    <n v="5"/>
    <x v="7"/>
    <n v="-2.6699969854871962E-3"/>
  </r>
  <r>
    <d v="2025-05-06T00:00:00"/>
    <s v="EQ"/>
    <n v="2340.1999999999998"/>
    <n v="2390.1"/>
    <n v="2340.1999999999998"/>
    <n v="2348.6"/>
    <n v="2381.6"/>
    <n v="2381.8000000000002"/>
    <n v="2374.17"/>
    <n v="3035"/>
    <n v="2136"/>
    <n v="1888125"/>
    <n v="4482731038.3000002"/>
    <n v="98625"/>
    <x v="3"/>
    <n v="8.4000000000000909"/>
    <x v="3"/>
    <n v="5"/>
    <x v="7"/>
    <n v="-2.6699969854871962E-3"/>
  </r>
  <r>
    <d v="2025-05-05T00:00:00"/>
    <s v="EQ"/>
    <n v="2324.1"/>
    <n v="2354.9"/>
    <n v="2319.1"/>
    <n v="2323.9"/>
    <n v="2346.5"/>
    <n v="2348.6"/>
    <n v="2345.9"/>
    <n v="3035"/>
    <n v="2136"/>
    <n v="2074103"/>
    <n v="4865631673.3000002"/>
    <n v="77265"/>
    <x v="3"/>
    <n v="-0.1999999999998181"/>
    <x v="3"/>
    <n v="5"/>
    <x v="7"/>
    <n v="-2.6699969854871962E-3"/>
  </r>
  <r>
    <d v="2025-05-02T00:00:00"/>
    <s v="EQ"/>
    <n v="2334.1"/>
    <n v="2345"/>
    <n v="2310"/>
    <n v="2342.1"/>
    <n v="2318.6"/>
    <n v="2323.9"/>
    <n v="2326.0500000000002"/>
    <n v="3035"/>
    <n v="2136"/>
    <n v="1953078"/>
    <n v="4542956706.3999996"/>
    <n v="82367"/>
    <x v="3"/>
    <n v="8"/>
    <x v="3"/>
    <n v="5"/>
    <x v="7"/>
    <n v="-2.6699969854871962E-3"/>
  </r>
  <r>
    <d v="2025-04-30T00:00:00"/>
    <s v="EQ"/>
    <n v="2320"/>
    <n v="2352.5"/>
    <n v="2316"/>
    <n v="2321.6999999999998"/>
    <n v="2335.5"/>
    <n v="2342.1"/>
    <n v="2342.17"/>
    <n v="3035"/>
    <n v="2136"/>
    <n v="2083807"/>
    <n v="4880621395.3999996"/>
    <n v="133969"/>
    <x v="3"/>
    <n v="1.6999999999998181"/>
    <x v="3"/>
    <n v="4"/>
    <x v="8"/>
    <n v="-2.6699969854871962E-3"/>
  </r>
  <r>
    <d v="2025-04-29T00:00:00"/>
    <s v="EQ"/>
    <n v="2328"/>
    <n v="2332.5"/>
    <n v="2312.6"/>
    <n v="2318.6"/>
    <n v="2325"/>
    <n v="2321.6999999999998"/>
    <n v="2322.81"/>
    <n v="3035"/>
    <n v="2136"/>
    <n v="1896387"/>
    <n v="4404947519.1999998"/>
    <n v="76093"/>
    <x v="3"/>
    <n v="-9.4000000000000909"/>
    <x v="3"/>
    <n v="4"/>
    <x v="8"/>
    <n v="-2.6699969854871962E-3"/>
  </r>
  <r>
    <d v="2025-04-28T00:00:00"/>
    <s v="EQ"/>
    <n v="2345"/>
    <n v="2349"/>
    <n v="2315"/>
    <n v="2332.1999999999998"/>
    <n v="2317.6"/>
    <n v="2318.6"/>
    <n v="2325.52"/>
    <n v="3035"/>
    <n v="2136"/>
    <n v="1555660"/>
    <n v="3617715983.8000002"/>
    <n v="77606"/>
    <x v="3"/>
    <n v="-12.800000000000182"/>
    <x v="3"/>
    <n v="4"/>
    <x v="8"/>
    <n v="-2.6699969854871962E-3"/>
  </r>
  <r>
    <d v="2025-04-25T00:00:00"/>
    <s v="EQ"/>
    <n v="2331.9"/>
    <n v="2341.9"/>
    <n v="2294.4"/>
    <n v="2325.3000000000002"/>
    <n v="2328.1"/>
    <n v="2332.1999999999998"/>
    <n v="2314.91"/>
    <n v="3035"/>
    <n v="2136"/>
    <n v="2859858"/>
    <n v="6620321627.8999996"/>
    <n v="167193"/>
    <x v="3"/>
    <n v="-6.5999999999999091"/>
    <x v="3"/>
    <n v="4"/>
    <x v="8"/>
    <n v="-2.6699969854871962E-3"/>
  </r>
  <r>
    <d v="2025-04-24T00:00:00"/>
    <s v="EQ"/>
    <n v="2423.8000000000002"/>
    <n v="2487.4"/>
    <n v="2317.1"/>
    <n v="2423.8000000000002"/>
    <n v="2324"/>
    <n v="2325.3000000000002"/>
    <n v="2357.73"/>
    <n v="3035"/>
    <n v="2136"/>
    <n v="7065430"/>
    <n v="16658408483.5"/>
    <n v="291862"/>
    <x v="3"/>
    <n v="0"/>
    <x v="3"/>
    <n v="4"/>
    <x v="8"/>
    <n v="-2.6699969854871962E-3"/>
  </r>
  <r>
    <d v="2025-04-23T00:00:00"/>
    <s v="EQ"/>
    <n v="2410"/>
    <n v="2438"/>
    <n v="2393.4"/>
    <n v="2398.6999999999998"/>
    <n v="2422"/>
    <n v="2423.8000000000002"/>
    <n v="2419.6999999999998"/>
    <n v="3035"/>
    <n v="2136"/>
    <n v="2226066"/>
    <n v="5386401195.6000004"/>
    <n v="107014"/>
    <x v="3"/>
    <n v="-11.300000000000182"/>
    <x v="3"/>
    <n v="4"/>
    <x v="8"/>
    <n v="-2.6699969854871962E-3"/>
  </r>
  <r>
    <d v="2025-04-22T00:00:00"/>
    <s v="EQ"/>
    <n v="2370"/>
    <n v="2406"/>
    <n v="2355.1"/>
    <n v="2351"/>
    <n v="2403"/>
    <n v="2398.6999999999998"/>
    <n v="2385.63"/>
    <n v="3035"/>
    <n v="2136"/>
    <n v="2352346"/>
    <n v="5611821276.1000004"/>
    <n v="108902"/>
    <x v="3"/>
    <n v="-19"/>
    <x v="3"/>
    <n v="4"/>
    <x v="8"/>
    <n v="-2.6699969854871962E-3"/>
  </r>
  <r>
    <d v="2025-04-21T00:00:00"/>
    <s v="EQ"/>
    <n v="2368.1"/>
    <n v="2372.4"/>
    <n v="2348.8000000000002"/>
    <n v="2375"/>
    <n v="2352"/>
    <n v="2351"/>
    <n v="2354.29"/>
    <n v="3035"/>
    <n v="2136"/>
    <n v="1478430"/>
    <n v="3480657060.3000002"/>
    <n v="95682"/>
    <x v="3"/>
    <n v="6.9000000000000909"/>
    <x v="3"/>
    <n v="4"/>
    <x v="8"/>
    <n v="-2.6699969854871962E-3"/>
  </r>
  <r>
    <d v="2025-04-17T00:00:00"/>
    <s v="EQ"/>
    <n v="2357.1"/>
    <n v="2379.9"/>
    <n v="2343.1"/>
    <n v="2366.6"/>
    <n v="2372.5"/>
    <n v="2375"/>
    <n v="2365.08"/>
    <n v="3035"/>
    <n v="2136"/>
    <n v="1962402"/>
    <n v="4641234269.1000004"/>
    <n v="123489"/>
    <x v="3"/>
    <n v="9.5"/>
    <x v="3"/>
    <n v="4"/>
    <x v="8"/>
    <n v="-2.6699969854871962E-3"/>
  </r>
  <r>
    <d v="2025-04-16T00:00:00"/>
    <s v="EQ"/>
    <n v="2351"/>
    <n v="2376"/>
    <n v="2351"/>
    <n v="2361.5"/>
    <n v="2364.5"/>
    <n v="2366.6"/>
    <n v="2364.89"/>
    <n v="3035"/>
    <n v="2136"/>
    <n v="1131979"/>
    <n v="2677007573.4000001"/>
    <n v="58736"/>
    <x v="3"/>
    <n v="10.5"/>
    <x v="3"/>
    <n v="4"/>
    <x v="8"/>
    <n v="-2.6699969854871962E-3"/>
  </r>
  <r>
    <d v="2025-04-15T00:00:00"/>
    <s v="EQ"/>
    <n v="2400"/>
    <n v="2400"/>
    <n v="2345.1999999999998"/>
    <n v="2366.15"/>
    <n v="2368"/>
    <n v="2361.5"/>
    <n v="2360.91"/>
    <n v="3035"/>
    <n v="2136"/>
    <n v="3042779"/>
    <n v="7183724031.3999996"/>
    <n v="102995"/>
    <x v="3"/>
    <n v="-33.849999999999909"/>
    <x v="3"/>
    <n v="4"/>
    <x v="8"/>
    <n v="-2.6699969854871962E-3"/>
  </r>
  <r>
    <d v="2025-04-11T00:00:00"/>
    <s v="EQ"/>
    <n v="2394.6"/>
    <n v="2394.85"/>
    <n v="2344.35"/>
    <n v="2350"/>
    <n v="2362.1"/>
    <n v="2366.15"/>
    <n v="2362.4299999999998"/>
    <n v="3035"/>
    <n v="2136"/>
    <n v="3836083"/>
    <n v="9062473924.8999996"/>
    <n v="150510"/>
    <x v="3"/>
    <n v="-44.599999999999909"/>
    <x v="3"/>
    <n v="4"/>
    <x v="8"/>
    <n v="-2.6699969854871962E-3"/>
  </r>
  <r>
    <d v="2025-04-09T00:00:00"/>
    <s v="EQ"/>
    <n v="2293.9499999999998"/>
    <n v="2354.15"/>
    <n v="2289.5"/>
    <n v="2289.25"/>
    <n v="2349"/>
    <n v="2350"/>
    <n v="2341.4499999999998"/>
    <n v="3035"/>
    <n v="2136"/>
    <n v="2989089"/>
    <n v="6998787700.25"/>
    <n v="138810"/>
    <x v="3"/>
    <n v="-4.6999999999998181"/>
    <x v="3"/>
    <n v="4"/>
    <x v="8"/>
    <n v="-2.6699969854871962E-3"/>
  </r>
  <r>
    <d v="2025-04-08T00:00:00"/>
    <s v="EQ"/>
    <n v="2268.3000000000002"/>
    <n v="2306.1999999999998"/>
    <n v="2252.35"/>
    <n v="2249.4"/>
    <n v="2293.9499999999998"/>
    <n v="2289.25"/>
    <n v="2285.4299999999998"/>
    <n v="3035"/>
    <n v="2136"/>
    <n v="2774874"/>
    <n v="6341793092.6000004"/>
    <n v="145572"/>
    <x v="3"/>
    <n v="-18.900000000000091"/>
    <x v="3"/>
    <n v="4"/>
    <x v="8"/>
    <n v="-2.6699969854871962E-3"/>
  </r>
  <r>
    <d v="2025-04-07T00:00:00"/>
    <s v="EQ"/>
    <n v="2150"/>
    <n v="2261.6"/>
    <n v="2150"/>
    <n v="2244.5500000000002"/>
    <n v="2250"/>
    <n v="2249.4"/>
    <n v="2234.34"/>
    <n v="3035"/>
    <n v="2136"/>
    <n v="3435185"/>
    <n v="7675370702.9499998"/>
    <n v="194418"/>
    <x v="3"/>
    <n v="94.550000000000182"/>
    <x v="3"/>
    <n v="4"/>
    <x v="8"/>
    <n v="-2.6699969854871962E-3"/>
  </r>
  <r>
    <d v="2025-04-04T00:00:00"/>
    <s v="EQ"/>
    <n v="2230"/>
    <n v="2267.0500000000002"/>
    <n v="2222"/>
    <n v="2244.5500000000002"/>
    <n v="2243.35"/>
    <n v="2244.5500000000002"/>
    <n v="2245.11"/>
    <n v="3035"/>
    <n v="2136"/>
    <n v="1120226"/>
    <n v="2515030830.0999999"/>
    <n v="61995"/>
    <x v="3"/>
    <n v="14.550000000000182"/>
    <x v="3"/>
    <n v="4"/>
    <x v="8"/>
    <n v="-2.6699969854871962E-3"/>
  </r>
  <r>
    <d v="2025-04-03T00:00:00"/>
    <s v="EQ"/>
    <n v="2225.4499999999998"/>
    <n v="2252.9"/>
    <n v="2220.6"/>
    <n v="2237.9"/>
    <n v="2241.65"/>
    <n v="2244.5500000000002"/>
    <n v="2240.4699999999998"/>
    <n v="3035"/>
    <n v="2136"/>
    <n v="1310088"/>
    <n v="2935218323.8000002"/>
    <n v="73387"/>
    <x v="3"/>
    <n v="12.450000000000273"/>
    <x v="3"/>
    <n v="4"/>
    <x v="8"/>
    <n v="-2.6699969854871962E-3"/>
  </r>
  <r>
    <d v="2025-04-02T00:00:00"/>
    <s v="EQ"/>
    <n v="2243.6999999999998"/>
    <n v="2243.6999999999998"/>
    <n v="2190.0500000000002"/>
    <n v="2233.85"/>
    <n v="2237"/>
    <n v="2237.9"/>
    <n v="2225.48"/>
    <n v="3035"/>
    <n v="2136"/>
    <n v="1351493"/>
    <n v="3007727207.1999998"/>
    <n v="73173"/>
    <x v="3"/>
    <n v="-9.8499999999999091"/>
    <x v="3"/>
    <n v="4"/>
    <x v="8"/>
    <n v="-2.6699969854871962E-3"/>
  </r>
  <r>
    <d v="2025-04-01T00:00:00"/>
    <s v="EQ"/>
    <n v="2259"/>
    <n v="2284.65"/>
    <n v="2220"/>
    <n v="2258.85"/>
    <n v="2237"/>
    <n v="2233.85"/>
    <n v="2241.96"/>
    <n v="3035"/>
    <n v="2136"/>
    <n v="2495962"/>
    <n v="5595842112.6000004"/>
    <n v="107898"/>
    <x v="3"/>
    <n v="-0.15000000000009095"/>
    <x v="3"/>
    <n v="4"/>
    <x v="8"/>
    <n v="-2.6699969854871962E-3"/>
  </r>
  <r>
    <d v="2025-03-28T00:00:00"/>
    <s v="EQ"/>
    <n v="2247"/>
    <n v="2296"/>
    <n v="2240.3000000000002"/>
    <n v="2244.65"/>
    <n v="2257.85"/>
    <n v="2258.85"/>
    <n v="2269.13"/>
    <n v="3035"/>
    <n v="2136"/>
    <n v="2280152"/>
    <n v="5173964115.8500004"/>
    <n v="98348"/>
    <x v="3"/>
    <n v="-2.3499999999999091"/>
    <x v="3"/>
    <n v="3"/>
    <x v="9"/>
    <n v="-2.6699969854871962E-3"/>
  </r>
  <r>
    <d v="2025-03-27T00:00:00"/>
    <s v="EQ"/>
    <n v="2244.1999999999998"/>
    <n v="2260.9"/>
    <n v="2200"/>
    <n v="2245.9499999999998"/>
    <n v="2243.85"/>
    <n v="2244.65"/>
    <n v="2245.33"/>
    <n v="3035"/>
    <n v="2136"/>
    <n v="3752627"/>
    <n v="8425874289.3500004"/>
    <n v="105998"/>
    <x v="3"/>
    <n v="1.75"/>
    <x v="3"/>
    <n v="3"/>
    <x v="9"/>
    <n v="-2.6699969854871962E-3"/>
  </r>
  <r>
    <d v="2025-03-26T00:00:00"/>
    <s v="EQ"/>
    <n v="2272"/>
    <n v="2279.9"/>
    <n v="2237.8000000000002"/>
    <n v="2271.3000000000002"/>
    <n v="2246.3000000000002"/>
    <n v="2245.9499999999998"/>
    <n v="2258.6799999999998"/>
    <n v="3035"/>
    <n v="2136"/>
    <n v="1416907"/>
    <n v="3200333405.75"/>
    <n v="96908"/>
    <x v="3"/>
    <n v="-0.6999999999998181"/>
    <x v="3"/>
    <n v="3"/>
    <x v="9"/>
    <n v="-2.6699969854871962E-3"/>
  </r>
  <r>
    <d v="2025-03-25T00:00:00"/>
    <s v="EQ"/>
    <n v="2250.75"/>
    <n v="2292"/>
    <n v="2243.35"/>
    <n v="2256.1999999999998"/>
    <n v="2264.6999999999998"/>
    <n v="2271.3000000000002"/>
    <n v="2271.3000000000002"/>
    <n v="3035"/>
    <n v="2136"/>
    <n v="2229340"/>
    <n v="5063505026.4499998"/>
    <n v="113061"/>
    <x v="3"/>
    <n v="5.4499999999998181"/>
    <x v="3"/>
    <n v="3"/>
    <x v="9"/>
    <n v="-2.6699969854871962E-3"/>
  </r>
  <r>
    <d v="2025-03-24T00:00:00"/>
    <s v="EQ"/>
    <n v="2250.25"/>
    <n v="2266"/>
    <n v="2241"/>
    <n v="2246.1999999999998"/>
    <n v="2265.15"/>
    <n v="2256.1999999999998"/>
    <n v="2251.0100000000002"/>
    <n v="3035"/>
    <n v="2136"/>
    <n v="1454404"/>
    <n v="3273876899.0999999"/>
    <n v="66657"/>
    <x v="3"/>
    <n v="-4.0500000000001819"/>
    <x v="3"/>
    <n v="3"/>
    <x v="9"/>
    <n v="-2.6699969854871962E-3"/>
  </r>
  <r>
    <d v="2025-03-21T00:00:00"/>
    <s v="EQ"/>
    <n v="2245"/>
    <n v="2255.1999999999998"/>
    <n v="2225.8000000000002"/>
    <n v="2242.4"/>
    <n v="2247.5"/>
    <n v="2246.1999999999998"/>
    <n v="2244.27"/>
    <n v="3035"/>
    <n v="2136"/>
    <n v="2152415"/>
    <n v="4830600492.8999996"/>
    <n v="89511"/>
    <x v="3"/>
    <n v="-2.5999999999999091"/>
    <x v="3"/>
    <n v="3"/>
    <x v="9"/>
    <n v="-2.6699969854871962E-3"/>
  </r>
  <r>
    <d v="2025-03-20T00:00:00"/>
    <s v="EQ"/>
    <n v="2203.9"/>
    <n v="2248.9"/>
    <n v="2188.4499999999998"/>
    <n v="2200.0500000000002"/>
    <n v="2239.4499999999998"/>
    <n v="2242.4"/>
    <n v="2231.62"/>
    <n v="3035"/>
    <n v="2136"/>
    <n v="1426689"/>
    <n v="3183821438.5500002"/>
    <n v="75743"/>
    <x v="3"/>
    <n v="-3.8499999999999091"/>
    <x v="3"/>
    <n v="3"/>
    <x v="9"/>
    <n v="-2.6699969854871962E-3"/>
  </r>
  <r>
    <d v="2025-03-19T00:00:00"/>
    <s v="EQ"/>
    <n v="2207"/>
    <n v="2212.85"/>
    <n v="2193.4499999999998"/>
    <n v="2201.4"/>
    <n v="2198.9499999999998"/>
    <n v="2200.0500000000002"/>
    <n v="2200.94"/>
    <n v="3035"/>
    <n v="2136"/>
    <n v="1341405"/>
    <n v="2952352215.3499999"/>
    <n v="68294"/>
    <x v="3"/>
    <n v="-5.5999999999999091"/>
    <x v="3"/>
    <n v="3"/>
    <x v="9"/>
    <n v="-2.6699969854871962E-3"/>
  </r>
  <r>
    <d v="2025-03-18T00:00:00"/>
    <s v="EQ"/>
    <n v="2189.65"/>
    <n v="2215"/>
    <n v="2175"/>
    <n v="2171.25"/>
    <n v="2204.9"/>
    <n v="2201.4"/>
    <n v="2200.91"/>
    <n v="3035"/>
    <n v="2136"/>
    <n v="1475585"/>
    <n v="3247633509.0999999"/>
    <n v="74920"/>
    <x v="3"/>
    <n v="-18.400000000000091"/>
    <x v="3"/>
    <n v="3"/>
    <x v="9"/>
    <n v="-2.6699969854871962E-3"/>
  </r>
  <r>
    <d v="2025-03-17T00:00:00"/>
    <s v="EQ"/>
    <n v="2161"/>
    <n v="2195.4499999999998"/>
    <n v="2156.5"/>
    <n v="2174.8000000000002"/>
    <n v="2172.5"/>
    <n v="2171.25"/>
    <n v="2169.2600000000002"/>
    <n v="3035"/>
    <n v="2136"/>
    <n v="1111886"/>
    <n v="2411964953.4000001"/>
    <n v="77099"/>
    <x v="3"/>
    <n v="13.800000000000182"/>
    <x v="3"/>
    <n v="3"/>
    <x v="9"/>
    <n v="-2.6699969854871962E-3"/>
  </r>
  <r>
    <d v="2025-03-13T00:00:00"/>
    <s v="EQ"/>
    <n v="2185"/>
    <n v="2209.9499999999998"/>
    <n v="2164.4499999999998"/>
    <n v="2192.9"/>
    <n v="2177"/>
    <n v="2174.8000000000002"/>
    <n v="2185.5300000000002"/>
    <n v="3035"/>
    <n v="2136"/>
    <n v="1845629"/>
    <n v="4033679411.75"/>
    <n v="97573"/>
    <x v="3"/>
    <n v="7.9000000000000909"/>
    <x v="3"/>
    <n v="3"/>
    <x v="9"/>
    <n v="-2.6699969854871962E-3"/>
  </r>
  <r>
    <d v="2025-03-12T00:00:00"/>
    <s v="EQ"/>
    <n v="2217.35"/>
    <n v="2229.9499999999998"/>
    <n v="2185"/>
    <n v="2216.9499999999998"/>
    <n v="2194.65"/>
    <n v="2192.9"/>
    <n v="2209.6"/>
    <n v="3035"/>
    <n v="2136"/>
    <n v="1526212"/>
    <n v="3372315447.6999998"/>
    <n v="73258"/>
    <x v="3"/>
    <n v="-0.40000000000009095"/>
    <x v="3"/>
    <n v="3"/>
    <x v="9"/>
    <n v="-2.6699969854871962E-3"/>
  </r>
  <r>
    <d v="2025-03-11T00:00:00"/>
    <s v="EQ"/>
    <n v="2240"/>
    <n v="2262.4499999999998"/>
    <n v="2211.25"/>
    <n v="2247.75"/>
    <n v="2220"/>
    <n v="2216.9499999999998"/>
    <n v="2237.31"/>
    <n v="3035"/>
    <n v="2136"/>
    <n v="1325891"/>
    <n v="2966434804.4000001"/>
    <n v="94027"/>
    <x v="3"/>
    <n v="7.75"/>
    <x v="3"/>
    <n v="3"/>
    <x v="9"/>
    <n v="-2.6699969854871962E-3"/>
  </r>
  <r>
    <d v="2025-03-10T00:00:00"/>
    <s v="EQ"/>
    <n v="2208"/>
    <n v="2267.15"/>
    <n v="2194.65"/>
    <n v="2204.5500000000002"/>
    <n v="2246.5"/>
    <n v="2247.75"/>
    <n v="2249.5100000000002"/>
    <n v="3035"/>
    <n v="2136"/>
    <n v="1242387"/>
    <n v="2794766542.5999999"/>
    <n v="100482"/>
    <x v="3"/>
    <n v="-3.4499999999998181"/>
    <x v="3"/>
    <n v="3"/>
    <x v="9"/>
    <n v="-2.6699969854871962E-3"/>
  </r>
  <r>
    <d v="2025-03-07T00:00:00"/>
    <s v="EQ"/>
    <n v="2226.6999999999998"/>
    <n v="2226.6999999999998"/>
    <n v="2189.1999999999998"/>
    <n v="2218.9499999999998"/>
    <n v="2207.9499999999998"/>
    <n v="2204.5500000000002"/>
    <n v="2202.48"/>
    <n v="3035"/>
    <n v="2136"/>
    <n v="1738356"/>
    <n v="3828688639.3000002"/>
    <n v="56239"/>
    <x v="3"/>
    <n v="-7.75"/>
    <x v="3"/>
    <n v="3"/>
    <x v="9"/>
    <n v="-2.6699969854871962E-3"/>
  </r>
  <r>
    <d v="2025-03-06T00:00:00"/>
    <s v="EQ"/>
    <n v="2175"/>
    <n v="2229.8000000000002"/>
    <n v="2163.75"/>
    <n v="2170.4499999999998"/>
    <n v="2221.85"/>
    <n v="2218.9499999999998"/>
    <n v="2204.64"/>
    <n v="3035"/>
    <n v="2136"/>
    <n v="1856868"/>
    <n v="4093724918.4000001"/>
    <n v="118991"/>
    <x v="3"/>
    <n v="-4.5500000000001819"/>
    <x v="3"/>
    <n v="3"/>
    <x v="9"/>
    <n v="-2.6699969854871962E-3"/>
  </r>
  <r>
    <d v="2025-03-05T00:00:00"/>
    <s v="EQ"/>
    <n v="2152"/>
    <n v="2191.9"/>
    <n v="2150"/>
    <n v="2157.35"/>
    <n v="2175"/>
    <n v="2170.4499999999998"/>
    <n v="2174.2199999999998"/>
    <n v="3035"/>
    <n v="2136"/>
    <n v="1145673"/>
    <n v="2490948849.5999999"/>
    <n v="74606"/>
    <x v="3"/>
    <n v="5.3499999999999091"/>
    <x v="3"/>
    <n v="3"/>
    <x v="9"/>
    <n v="-2.6699969854871962E-3"/>
  </r>
  <r>
    <d v="2025-03-04T00:00:00"/>
    <s v="EQ"/>
    <n v="2179.9499999999998"/>
    <n v="2180"/>
    <n v="2136"/>
    <n v="2176.85"/>
    <n v="2152.5"/>
    <n v="2157.35"/>
    <n v="2154.7600000000002"/>
    <n v="3035"/>
    <n v="2136"/>
    <n v="1800330"/>
    <n v="3879276706.0500002"/>
    <n v="93829"/>
    <x v="3"/>
    <n v="-3.0999999999999091"/>
    <x v="3"/>
    <n v="3"/>
    <x v="9"/>
    <n v="-2.6699969854871962E-3"/>
  </r>
  <r>
    <d v="2025-03-03T00:00:00"/>
    <s v="EQ"/>
    <n v="2199"/>
    <n v="2199"/>
    <n v="2158.5"/>
    <n v="2190.25"/>
    <n v="2180"/>
    <n v="2176.85"/>
    <n v="2171.46"/>
    <n v="3035"/>
    <n v="2158.5"/>
    <n v="1306470"/>
    <n v="2836946795.25"/>
    <n v="87808"/>
    <x v="3"/>
    <n v="-8.75"/>
    <x v="3"/>
    <n v="3"/>
    <x v="9"/>
    <n v="-2.6699969854871962E-3"/>
  </r>
  <r>
    <d v="2025-02-28T00:00:00"/>
    <s v="EQ"/>
    <n v="2245.0500000000002"/>
    <n v="2249.6"/>
    <n v="2185.85"/>
    <n v="2244.9499999999998"/>
    <n v="2196"/>
    <n v="2190.25"/>
    <n v="2199.62"/>
    <n v="3035"/>
    <n v="2172.0500000000002"/>
    <n v="3683249"/>
    <n v="8101755687.5500002"/>
    <n v="124357"/>
    <x v="3"/>
    <n v="-0.1000000000003638"/>
    <x v="3"/>
    <n v="2"/>
    <x v="10"/>
    <n v="-2.6699969854871962E-3"/>
  </r>
  <r>
    <d v="2025-02-27T00:00:00"/>
    <s v="EQ"/>
    <n v="2269.65"/>
    <n v="2269.65"/>
    <n v="2233.1"/>
    <n v="2259.3000000000002"/>
    <n v="2243.5500000000002"/>
    <n v="2244.9499999999998"/>
    <n v="2248.58"/>
    <n v="3035"/>
    <n v="2172.0500000000002"/>
    <n v="1699658"/>
    <n v="3821812211.8499999"/>
    <n v="93485"/>
    <x v="3"/>
    <n v="-10.349999999999909"/>
    <x v="3"/>
    <n v="2"/>
    <x v="10"/>
    <n v="-2.6699969854871962E-3"/>
  </r>
  <r>
    <d v="2025-02-25T00:00:00"/>
    <s v="EQ"/>
    <n v="2243"/>
    <n v="2269.6"/>
    <n v="2237.9499999999998"/>
    <n v="2241.4499999999998"/>
    <n v="2254"/>
    <n v="2259.3000000000002"/>
    <n v="2256.4299999999998"/>
    <n v="3035"/>
    <n v="2172.0500000000002"/>
    <n v="1988040"/>
    <n v="4485870450.1999998"/>
    <n v="101737"/>
    <x v="3"/>
    <n v="-1.5500000000001819"/>
    <x v="3"/>
    <n v="2"/>
    <x v="10"/>
    <n v="-2.6699969854871962E-3"/>
  </r>
  <r>
    <d v="2025-02-24T00:00:00"/>
    <s v="EQ"/>
    <n v="2230"/>
    <n v="2251"/>
    <n v="2218.8000000000002"/>
    <n v="2241.65"/>
    <n v="2241.1999999999998"/>
    <n v="2241.4499999999998"/>
    <n v="2236.1999999999998"/>
    <n v="3035"/>
    <n v="2172.0500000000002"/>
    <n v="1627949"/>
    <n v="3640425365.6500001"/>
    <n v="102226"/>
    <x v="3"/>
    <n v="11.650000000000091"/>
    <x v="3"/>
    <n v="2"/>
    <x v="10"/>
    <n v="-2.6699969854871962E-3"/>
  </r>
  <r>
    <d v="2025-02-21T00:00:00"/>
    <s v="EQ"/>
    <n v="2248.0500000000002"/>
    <n v="2253.5500000000002"/>
    <n v="2226.4"/>
    <n v="2248.0500000000002"/>
    <n v="2238.5"/>
    <n v="2241.65"/>
    <n v="2238.8000000000002"/>
    <n v="3035"/>
    <n v="2172.0500000000002"/>
    <n v="1781509"/>
    <n v="3988450488.8000002"/>
    <n v="107600"/>
    <x v="3"/>
    <n v="0"/>
    <x v="3"/>
    <n v="2"/>
    <x v="10"/>
    <n v="-2.6699969854871962E-3"/>
  </r>
  <r>
    <d v="2025-02-20T00:00:00"/>
    <s v="EQ"/>
    <n v="2250.4"/>
    <n v="2254.4499999999998"/>
    <n v="2226.5"/>
    <n v="2250.4"/>
    <n v="2247.5500000000002"/>
    <n v="2248.0500000000002"/>
    <n v="2242.73"/>
    <n v="3035"/>
    <n v="2172.0500000000002"/>
    <n v="2206196"/>
    <n v="4947912584.0500002"/>
    <n v="121656"/>
    <x v="3"/>
    <n v="0"/>
    <x v="3"/>
    <n v="2"/>
    <x v="10"/>
    <n v="-2.6699969854871962E-3"/>
  </r>
  <r>
    <d v="2025-02-19T00:00:00"/>
    <s v="EQ"/>
    <n v="2298.75"/>
    <n v="2305.6999999999998"/>
    <n v="2248"/>
    <n v="2296"/>
    <n v="2250"/>
    <n v="2250.4"/>
    <n v="2259.2399999999998"/>
    <n v="3035"/>
    <n v="2172.0500000000002"/>
    <n v="1521343"/>
    <n v="3437076584.9000001"/>
    <n v="119114"/>
    <x v="3"/>
    <n v="-2.75"/>
    <x v="3"/>
    <n v="2"/>
    <x v="10"/>
    <n v="-2.6699969854871962E-3"/>
  </r>
  <r>
    <d v="2025-02-18T00:00:00"/>
    <s v="EQ"/>
    <n v="2329.4"/>
    <n v="2338.5500000000002"/>
    <n v="2288"/>
    <n v="2329.4"/>
    <n v="2297.5"/>
    <n v="2296"/>
    <n v="2304.96"/>
    <n v="3035"/>
    <n v="2172.0500000000002"/>
    <n v="1035705"/>
    <n v="2387257469.4000001"/>
    <n v="74925"/>
    <x v="3"/>
    <n v="0"/>
    <x v="3"/>
    <n v="2"/>
    <x v="10"/>
    <n v="-2.6699969854871962E-3"/>
  </r>
  <r>
    <d v="2025-02-17T00:00:00"/>
    <s v="EQ"/>
    <n v="2318.35"/>
    <n v="2336"/>
    <n v="2300"/>
    <n v="2318.35"/>
    <n v="2326"/>
    <n v="2329.4"/>
    <n v="2320.37"/>
    <n v="3035"/>
    <n v="2172.0500000000002"/>
    <n v="1409168"/>
    <n v="3269794822.9499998"/>
    <n v="81591"/>
    <x v="3"/>
    <n v="0"/>
    <x v="3"/>
    <n v="2"/>
    <x v="10"/>
    <n v="-2.6699969854871962E-3"/>
  </r>
  <r>
    <d v="2025-02-14T00:00:00"/>
    <s v="EQ"/>
    <n v="2322"/>
    <n v="2366"/>
    <n v="2313.4"/>
    <n v="2321.5"/>
    <n v="2317.8000000000002"/>
    <n v="2318.35"/>
    <n v="2333.21"/>
    <n v="3035"/>
    <n v="2172.0500000000002"/>
    <n v="1135380"/>
    <n v="2649076295.4000001"/>
    <n v="82057"/>
    <x v="3"/>
    <n v="-0.5"/>
    <x v="3"/>
    <n v="2"/>
    <x v="10"/>
    <n v="-2.6699969854871962E-3"/>
  </r>
  <r>
    <d v="2025-02-13T00:00:00"/>
    <s v="EQ"/>
    <n v="2330.1"/>
    <n v="2345.6"/>
    <n v="2313.35"/>
    <n v="2332.5"/>
    <n v="2319.6"/>
    <n v="2321.5"/>
    <n v="2328.4"/>
    <n v="3035"/>
    <n v="2172.0500000000002"/>
    <n v="1334967"/>
    <n v="3108334189.75"/>
    <n v="82367"/>
    <x v="3"/>
    <n v="2.4000000000000909"/>
    <x v="3"/>
    <n v="2"/>
    <x v="10"/>
    <n v="-2.6699969854871962E-3"/>
  </r>
  <r>
    <d v="2025-02-12T00:00:00"/>
    <s v="EQ"/>
    <n v="2325.6999999999998"/>
    <n v="2339.9"/>
    <n v="2305.1"/>
    <n v="2315.25"/>
    <n v="2331"/>
    <n v="2332.5"/>
    <n v="2326.1799999999998"/>
    <n v="3035"/>
    <n v="2172.0500000000002"/>
    <n v="1341909"/>
    <n v="3121517789.0999999"/>
    <n v="78808"/>
    <x v="3"/>
    <n v="-10.449999999999818"/>
    <x v="3"/>
    <n v="2"/>
    <x v="10"/>
    <n v="-2.6699969854871962E-3"/>
  </r>
  <r>
    <d v="2025-02-11T00:00:00"/>
    <s v="EQ"/>
    <n v="2371"/>
    <n v="2377.9499999999998"/>
    <n v="2296.5500000000002"/>
    <n v="2361.4499999999998"/>
    <n v="2321.9"/>
    <n v="2315.25"/>
    <n v="2326.89"/>
    <n v="3035"/>
    <n v="2172.0500000000002"/>
    <n v="1389260"/>
    <n v="3232657580.3000002"/>
    <n v="116191"/>
    <x v="3"/>
    <n v="-9.5500000000001819"/>
    <x v="3"/>
    <n v="2"/>
    <x v="10"/>
    <n v="-2.6699969854871962E-3"/>
  </r>
  <r>
    <d v="2025-02-10T00:00:00"/>
    <s v="EQ"/>
    <n v="2370.9"/>
    <n v="2398"/>
    <n v="2352.0500000000002"/>
    <n v="2363.85"/>
    <n v="2356.5"/>
    <n v="2361.4499999999998"/>
    <n v="2370.6799999999998"/>
    <n v="3035"/>
    <n v="2172.0500000000002"/>
    <n v="1326354"/>
    <n v="3144355523.0500002"/>
    <n v="76507"/>
    <x v="3"/>
    <n v="-7.0500000000001819"/>
    <x v="3"/>
    <n v="2"/>
    <x v="10"/>
    <n v="-2.6699969854871962E-3"/>
  </r>
  <r>
    <d v="2025-02-07T00:00:00"/>
    <s v="EQ"/>
    <n v="2380"/>
    <n v="2381.9499999999998"/>
    <n v="2336.1"/>
    <n v="2372.6999999999998"/>
    <n v="2364.3000000000002"/>
    <n v="2363.85"/>
    <n v="2359.9699999999998"/>
    <n v="3035"/>
    <n v="2172.0500000000002"/>
    <n v="855602"/>
    <n v="2019196871.4000001"/>
    <n v="63809"/>
    <x v="3"/>
    <n v="-7.3000000000001819"/>
    <x v="3"/>
    <n v="2"/>
    <x v="10"/>
    <n v="-2.6699969854871962E-3"/>
  </r>
  <r>
    <d v="2025-02-06T00:00:00"/>
    <s v="EQ"/>
    <n v="2400"/>
    <n v="2408.9499999999998"/>
    <n v="2360.3000000000002"/>
    <n v="2391.0500000000002"/>
    <n v="2375.5"/>
    <n v="2372.6999999999998"/>
    <n v="2378.98"/>
    <n v="3035"/>
    <n v="2172.0500000000002"/>
    <n v="1132113"/>
    <n v="2693270250.5"/>
    <n v="80657"/>
    <x v="3"/>
    <n v="-8.9499999999998181"/>
    <x v="3"/>
    <n v="2"/>
    <x v="10"/>
    <n v="-2.6699969854871962E-3"/>
  </r>
  <r>
    <d v="2025-02-05T00:00:00"/>
    <s v="EQ"/>
    <n v="2453"/>
    <n v="2453"/>
    <n v="2387"/>
    <n v="2438.0500000000002"/>
    <n v="2392.85"/>
    <n v="2391.0500000000002"/>
    <n v="2406.59"/>
    <n v="3035"/>
    <n v="2172.0500000000002"/>
    <n v="1357416"/>
    <n v="3266742267.3499999"/>
    <n v="86373"/>
    <x v="3"/>
    <n v="-14.949999999999818"/>
    <x v="3"/>
    <n v="2"/>
    <x v="10"/>
    <n v="-2.6699969854871962E-3"/>
  </r>
  <r>
    <d v="2025-02-04T00:00:00"/>
    <s v="EQ"/>
    <n v="2450"/>
    <n v="2450"/>
    <n v="2402.85"/>
    <n v="2441.9499999999998"/>
    <n v="2433"/>
    <n v="2438.0500000000002"/>
    <n v="2428.06"/>
    <n v="3035"/>
    <n v="2172.0500000000002"/>
    <n v="1992474"/>
    <n v="4837851363.0500002"/>
    <n v="111192"/>
    <x v="3"/>
    <n v="-8.0500000000001819"/>
    <x v="3"/>
    <n v="2"/>
    <x v="10"/>
    <n v="-2.6699969854871962E-3"/>
  </r>
  <r>
    <d v="2025-02-03T00:00:00"/>
    <s v="EQ"/>
    <n v="2505"/>
    <n v="2520"/>
    <n v="2416.5"/>
    <n v="2506.0500000000002"/>
    <n v="2445.3000000000002"/>
    <n v="2441.9499999999998"/>
    <n v="2453.98"/>
    <n v="3035"/>
    <n v="2172.0500000000002"/>
    <n v="2528480"/>
    <n v="6204847461.8000002"/>
    <n v="142095"/>
    <x v="3"/>
    <n v="1.0500000000001819"/>
    <x v="3"/>
    <n v="2"/>
    <x v="10"/>
    <n v="-2.6699969854871962E-3"/>
  </r>
  <r>
    <d v="2025-02-01T00:00:00"/>
    <s v="EQ"/>
    <n v="2475"/>
    <n v="2602"/>
    <n v="2435.15"/>
    <n v="2468.8000000000002"/>
    <n v="2505"/>
    <n v="2506.0500000000002"/>
    <n v="2536.1"/>
    <n v="3035"/>
    <n v="2172.0500000000002"/>
    <n v="2970999"/>
    <n v="7534758009"/>
    <n v="192649"/>
    <x v="3"/>
    <n v="-6.1999999999998181"/>
    <x v="3"/>
    <n v="2"/>
    <x v="10"/>
    <n v="-2.6699969854871962E-3"/>
  </r>
  <r>
    <d v="2025-01-31T00:00:00"/>
    <s v="EQ"/>
    <n v="2401.5"/>
    <n v="2479"/>
    <n v="2401.5"/>
    <n v="2408.75"/>
    <n v="2473.65"/>
    <n v="2468.8000000000002"/>
    <n v="2452.41"/>
    <n v="3035"/>
    <n v="2172.0500000000002"/>
    <n v="2116148"/>
    <n v="5189670977.25"/>
    <n v="138898"/>
    <x v="3"/>
    <n v="7.25"/>
    <x v="3"/>
    <n v="1"/>
    <x v="11"/>
    <n v="-2.6699969854871962E-3"/>
  </r>
  <r>
    <d v="2025-01-30T00:00:00"/>
    <s v="EQ"/>
    <n v="2384"/>
    <n v="2425"/>
    <n v="2384"/>
    <n v="2383.9499999999998"/>
    <n v="2420"/>
    <n v="2408.75"/>
    <n v="2402.4699999999998"/>
    <n v="3035"/>
    <n v="2172.0500000000002"/>
    <n v="1419960"/>
    <n v="3411412576"/>
    <n v="82042"/>
    <x v="3"/>
    <n v="-5.0000000000181899E-2"/>
    <x v="3"/>
    <n v="1"/>
    <x v="11"/>
    <n v="-2.6699969854871962E-3"/>
  </r>
  <r>
    <d v="2025-01-29T00:00:00"/>
    <s v="EQ"/>
    <n v="2385.15"/>
    <n v="2396"/>
    <n v="2364"/>
    <n v="2388.85"/>
    <n v="2386.5"/>
    <n v="2383.9499999999998"/>
    <n v="2382.85"/>
    <n v="3035"/>
    <n v="2172.0500000000002"/>
    <n v="699576"/>
    <n v="1666986081.7"/>
    <n v="70138"/>
    <x v="3"/>
    <n v="3.6999999999998181"/>
    <x v="3"/>
    <n v="1"/>
    <x v="11"/>
    <n v="-2.6699969854871962E-3"/>
  </r>
  <r>
    <d v="2025-01-28T00:00:00"/>
    <s v="EQ"/>
    <n v="2401"/>
    <n v="2407"/>
    <n v="2379.4499999999998"/>
    <n v="2392.85"/>
    <n v="2383.0500000000002"/>
    <n v="2388.85"/>
    <n v="2392.35"/>
    <n v="3035"/>
    <n v="2172.0500000000002"/>
    <n v="1892156"/>
    <n v="4526694538.1000004"/>
    <n v="102612"/>
    <x v="3"/>
    <n v="-8.1500000000000909"/>
    <x v="3"/>
    <n v="1"/>
    <x v="11"/>
    <n v="-2.6699969854871962E-3"/>
  </r>
  <r>
    <d v="2025-01-27T00:00:00"/>
    <s v="EQ"/>
    <n v="2365"/>
    <n v="2409.6999999999998"/>
    <n v="2361.15"/>
    <n v="2368.1"/>
    <n v="2391.0500000000002"/>
    <n v="2392.85"/>
    <n v="2392.29"/>
    <n v="3035"/>
    <n v="2172.0500000000002"/>
    <n v="2477358"/>
    <n v="5926571142.8500004"/>
    <n v="126605"/>
    <x v="3"/>
    <n v="3.0999999999999091"/>
    <x v="3"/>
    <n v="1"/>
    <x v="11"/>
    <n v="-2.6699969854871962E-3"/>
  </r>
  <r>
    <d v="2025-01-24T00:00:00"/>
    <s v="EQ"/>
    <n v="2332.85"/>
    <n v="2380.8000000000002"/>
    <n v="2323"/>
    <n v="2321.6999999999998"/>
    <n v="2380.1"/>
    <n v="2368.1"/>
    <n v="2358.9499999999998"/>
    <n v="3035"/>
    <n v="2172.0500000000002"/>
    <n v="1688664"/>
    <n v="3983465854.1500001"/>
    <n v="90539"/>
    <x v="3"/>
    <n v="-11.150000000000091"/>
    <x v="3"/>
    <n v="1"/>
    <x v="11"/>
    <n v="-2.6699969854871962E-3"/>
  </r>
  <r>
    <d v="2025-01-23T00:00:00"/>
    <s v="EQ"/>
    <n v="2315"/>
    <n v="2341.3000000000002"/>
    <n v="2253.85"/>
    <n v="2342.9499999999998"/>
    <n v="2325.9"/>
    <n v="2321.6999999999998"/>
    <n v="2309.71"/>
    <n v="3035"/>
    <n v="2172.0500000000002"/>
    <n v="3408925"/>
    <n v="7873633933.5500002"/>
    <n v="198293"/>
    <x v="3"/>
    <n v="27.949999999999818"/>
    <x v="3"/>
    <n v="1"/>
    <x v="11"/>
    <n v="-2.6699969854871962E-3"/>
  </r>
  <r>
    <d v="2025-01-22T00:00:00"/>
    <s v="EQ"/>
    <n v="2342.5500000000002"/>
    <n v="2362"/>
    <n v="2332.1999999999998"/>
    <n v="2340.5"/>
    <n v="2340"/>
    <n v="2342.9499999999998"/>
    <n v="2345.4699999999998"/>
    <n v="3035"/>
    <n v="2172.0500000000002"/>
    <n v="2658047"/>
    <n v="6234358198.1000004"/>
    <n v="112774"/>
    <x v="3"/>
    <n v="-2.0500000000001819"/>
    <x v="3"/>
    <n v="1"/>
    <x v="11"/>
    <n v="-2.6699969854871962E-3"/>
  </r>
  <r>
    <d v="2025-01-21T00:00:00"/>
    <s v="EQ"/>
    <n v="2353.5"/>
    <n v="2377.3000000000002"/>
    <n v="2332.4499999999998"/>
    <n v="2345.1999999999998"/>
    <n v="2344.15"/>
    <n v="2340.5"/>
    <n v="2352.85"/>
    <n v="3035"/>
    <n v="2172.0500000000002"/>
    <n v="1842885"/>
    <n v="4336026636.1499996"/>
    <n v="113425"/>
    <x v="3"/>
    <n v="-8.3000000000001819"/>
    <x v="3"/>
    <n v="1"/>
    <x v="11"/>
    <n v="-2.6699969854871962E-3"/>
  </r>
  <r>
    <d v="2025-01-20T00:00:00"/>
    <s v="EQ"/>
    <n v="2356.4499999999998"/>
    <n v="2368"/>
    <n v="2335.65"/>
    <n v="2354"/>
    <n v="2345.5500000000002"/>
    <n v="2345.1999999999998"/>
    <n v="2355.89"/>
    <n v="3035"/>
    <n v="2172.0500000000002"/>
    <n v="1382273"/>
    <n v="3256489786.3499999"/>
    <n v="67506"/>
    <x v="3"/>
    <n v="-2.4499999999998181"/>
    <x v="3"/>
    <n v="1"/>
    <x v="11"/>
    <n v="-2.6699969854871962E-3"/>
  </r>
  <r>
    <d v="2025-01-17T00:00:00"/>
    <s v="EQ"/>
    <n v="2350"/>
    <n v="2379.3000000000002"/>
    <n v="2343"/>
    <n v="2345"/>
    <n v="2362"/>
    <n v="2354"/>
    <n v="2365.15"/>
    <n v="3035"/>
    <n v="2172.0500000000002"/>
    <n v="1333005"/>
    <n v="3152760450.5500002"/>
    <n v="68739"/>
    <x v="3"/>
    <n v="-5"/>
    <x v="3"/>
    <n v="1"/>
    <x v="11"/>
    <n v="-2.6699969854871962E-3"/>
  </r>
  <r>
    <d v="2025-01-16T00:00:00"/>
    <s v="EQ"/>
    <n v="2376.9499999999998"/>
    <n v="2380"/>
    <n v="2326.0500000000002"/>
    <n v="2373"/>
    <n v="2349.5"/>
    <n v="2345"/>
    <n v="2343.9299999999998"/>
    <n v="3035"/>
    <n v="2172.0500000000002"/>
    <n v="2762596"/>
    <n v="6475344420.1999998"/>
    <n v="128063"/>
    <x v="3"/>
    <n v="-3.9499999999998181"/>
    <x v="3"/>
    <n v="1"/>
    <x v="11"/>
    <n v="-2.6699969854871962E-3"/>
  </r>
  <r>
    <d v="2025-01-15T00:00:00"/>
    <s v="EQ"/>
    <n v="2373.9"/>
    <n v="2384.9"/>
    <n v="2350.1"/>
    <n v="2367.9499999999998"/>
    <n v="2376.8000000000002"/>
    <n v="2373"/>
    <n v="2366.1999999999998"/>
    <n v="3035"/>
    <n v="2172.0500000000002"/>
    <n v="1215150"/>
    <n v="2875284855.9499998"/>
    <n v="92165"/>
    <x v="3"/>
    <n v="-5.9500000000002728"/>
    <x v="3"/>
    <n v="1"/>
    <x v="11"/>
    <n v="-2.6699969854871962E-3"/>
  </r>
  <r>
    <d v="2025-01-14T00:00:00"/>
    <s v="EQ"/>
    <n v="2465"/>
    <n v="2468"/>
    <n v="2364.1"/>
    <n v="2451"/>
    <n v="2369"/>
    <n v="2367.9499999999998"/>
    <n v="2394.77"/>
    <n v="3035"/>
    <n v="2172.0500000000002"/>
    <n v="2052741"/>
    <n v="4915846431.3500004"/>
    <n v="157018"/>
    <x v="3"/>
    <n v="-14"/>
    <x v="3"/>
    <n v="1"/>
    <x v="11"/>
    <n v="-2.6699969854871962E-3"/>
  </r>
  <r>
    <d v="2025-01-13T00:00:00"/>
    <s v="EQ"/>
    <n v="2417.0500000000002"/>
    <n v="2460.5"/>
    <n v="2409.0500000000002"/>
    <n v="2442.0500000000002"/>
    <n v="2445.1"/>
    <n v="2451"/>
    <n v="2442.56"/>
    <n v="3035"/>
    <n v="2172.0500000000002"/>
    <n v="2595013"/>
    <n v="6338474538.5"/>
    <n v="104958"/>
    <x v="3"/>
    <n v="25"/>
    <x v="3"/>
    <n v="1"/>
    <x v="11"/>
    <n v="-2.6699969854871962E-3"/>
  </r>
  <r>
    <d v="2025-01-10T00:00:00"/>
    <s v="EQ"/>
    <n v="2435.4"/>
    <n v="2456"/>
    <n v="2413.8000000000002"/>
    <n v="2435.4"/>
    <n v="2440"/>
    <n v="2442.0500000000002"/>
    <n v="2442.5500000000002"/>
    <n v="3035"/>
    <n v="2172.0500000000002"/>
    <n v="1651911"/>
    <n v="4034881031.3000002"/>
    <n v="97429"/>
    <x v="3"/>
    <n v="0"/>
    <x v="3"/>
    <n v="1"/>
    <x v="11"/>
    <n v="-2.6699969854871962E-3"/>
  </r>
  <r>
    <d v="2025-01-09T00:00:00"/>
    <s v="EQ"/>
    <n v="2405.0500000000002"/>
    <n v="2473.65"/>
    <n v="2386.4"/>
    <n v="2401"/>
    <n v="2440"/>
    <n v="2435.4"/>
    <n v="2444.3000000000002"/>
    <n v="3035"/>
    <n v="2172.0500000000002"/>
    <n v="2425267"/>
    <n v="5928073050.8000002"/>
    <n v="192379"/>
    <x v="3"/>
    <n v="-4.0500000000001819"/>
    <x v="3"/>
    <n v="1"/>
    <x v="11"/>
    <n v="-2.6699969854871962E-3"/>
  </r>
  <r>
    <d v="2025-01-08T00:00:00"/>
    <s v="EQ"/>
    <n v="2391"/>
    <n v="2409"/>
    <n v="2368"/>
    <n v="2390.8000000000002"/>
    <n v="2400"/>
    <n v="2401"/>
    <n v="2393.65"/>
    <n v="3035"/>
    <n v="2172.0500000000002"/>
    <n v="953351"/>
    <n v="2281990630.75"/>
    <n v="130405"/>
    <x v="3"/>
    <n v="-0.1999999999998181"/>
    <x v="3"/>
    <n v="1"/>
    <x v="11"/>
    <n v="-2.6699969854871962E-3"/>
  </r>
  <r>
    <d v="2025-01-07T00:00:00"/>
    <s v="EQ"/>
    <n v="2377.15"/>
    <n v="2402.25"/>
    <n v="2375.25"/>
    <n v="2376.1999999999998"/>
    <n v="2390.25"/>
    <n v="2390.8000000000002"/>
    <n v="2388.79"/>
    <n v="3035"/>
    <n v="2172.0500000000002"/>
    <n v="922768"/>
    <n v="2204302406.5500002"/>
    <n v="71444"/>
    <x v="3"/>
    <n v="-0.95000000000027285"/>
    <x v="3"/>
    <n v="1"/>
    <x v="11"/>
    <n v="-2.6699969854871962E-3"/>
  </r>
  <r>
    <d v="2025-01-06T00:00:00"/>
    <s v="EQ"/>
    <n v="2418"/>
    <n v="2418.9499999999998"/>
    <n v="2361.65"/>
    <n v="2406.25"/>
    <n v="2379.65"/>
    <n v="2376.1999999999998"/>
    <n v="2377.9899999999998"/>
    <n v="3035"/>
    <n v="2172.0500000000002"/>
    <n v="900419"/>
    <n v="2141189399.05"/>
    <n v="74651"/>
    <x v="3"/>
    <n v="-11.75"/>
    <x v="3"/>
    <n v="1"/>
    <x v="11"/>
    <n v="-2.6699969854871962E-3"/>
  </r>
  <r>
    <d v="2025-01-03T00:00:00"/>
    <s v="EQ"/>
    <n v="2381.85"/>
    <n v="2414.6"/>
    <n v="2364.8000000000002"/>
    <n v="2370"/>
    <n v="2403"/>
    <n v="2406.25"/>
    <n v="2393.44"/>
    <n v="3035"/>
    <n v="2172.0500000000002"/>
    <n v="1274239"/>
    <n v="3049814135.1999998"/>
    <n v="87897"/>
    <x v="3"/>
    <n v="-11.849999999999909"/>
    <x v="3"/>
    <n v="1"/>
    <x v="11"/>
    <n v="-2.6699969854871962E-3"/>
  </r>
  <r>
    <d v="2025-01-02T00:00:00"/>
    <s v="EQ"/>
    <n v="2330"/>
    <n v="2379.65"/>
    <n v="2315.5"/>
    <n v="2322.1"/>
    <n v="2368.5"/>
    <n v="2370"/>
    <n v="2358.14"/>
    <n v="3035"/>
    <n v="2172.0500000000002"/>
    <n v="1650744"/>
    <n v="3892688213.0999999"/>
    <n v="100398"/>
    <x v="3"/>
    <n v="-7.9000000000000909"/>
    <x v="3"/>
    <n v="1"/>
    <x v="11"/>
    <n v="-2.6699969854871962E-3"/>
  </r>
  <r>
    <d v="2025-01-01T00:00:00"/>
    <s v="EQ"/>
    <n v="2325"/>
    <n v="2337.15"/>
    <n v="2320.25"/>
    <n v="2326.85"/>
    <n v="2324.4499999999998"/>
    <n v="2322.1"/>
    <n v="2326.59"/>
    <n v="3035"/>
    <n v="2172.0500000000002"/>
    <n v="559893"/>
    <n v="1302642477.4000001"/>
    <n v="57042"/>
    <x v="3"/>
    <n v="1.8499999999999091"/>
    <x v="3"/>
    <n v="1"/>
    <x v="11"/>
    <n v="-2.6699969854871962E-3"/>
  </r>
  <r>
    <d v="2025-12-31T00:00:00"/>
    <s v="EQ"/>
    <n v="1342.8"/>
    <n v="1350"/>
    <n v="1339.5"/>
    <n v="1342.5"/>
    <n v="1343"/>
    <n v="1342.9"/>
    <n v="1344.37"/>
    <n v="1500"/>
    <n v="1186"/>
    <n v="6150634"/>
    <n v="8268715778.6000004"/>
    <n v="133779"/>
    <x v="4"/>
    <n v="-0.29999999999995453"/>
    <x v="2"/>
    <n v="12"/>
    <x v="0"/>
    <n v="4.6157441670237213E-2"/>
  </r>
  <r>
    <d v="2025-12-30T00:00:00"/>
    <s v="EQ"/>
    <n v="1343.3"/>
    <n v="1347.1"/>
    <n v="1338.1"/>
    <n v="1343.3"/>
    <n v="1347"/>
    <n v="1342.5"/>
    <n v="1341.94"/>
    <n v="1500"/>
    <n v="1186"/>
    <n v="18621277"/>
    <n v="24988603546.5"/>
    <n v="261375"/>
    <x v="4"/>
    <n v="0"/>
    <x v="2"/>
    <n v="12"/>
    <x v="0"/>
    <n v="4.6157441670237213E-2"/>
  </r>
  <r>
    <d v="2025-12-29T00:00:00"/>
    <s v="EQ"/>
    <n v="1352.1"/>
    <n v="1355.7"/>
    <n v="1341.5"/>
    <n v="1350.4"/>
    <n v="1343.6"/>
    <n v="1343.3"/>
    <n v="1346.07"/>
    <n v="1500"/>
    <n v="1186"/>
    <n v="6057201"/>
    <n v="8153410855.3999996"/>
    <n v="145962"/>
    <x v="4"/>
    <n v="-1.6999999999998181"/>
    <x v="2"/>
    <n v="12"/>
    <x v="0"/>
    <n v="4.6157441670237213E-2"/>
  </r>
  <r>
    <d v="2025-12-26T00:00:00"/>
    <s v="EQ"/>
    <n v="1356.5"/>
    <n v="1362"/>
    <n v="1348.5"/>
    <n v="1359.8"/>
    <n v="1351"/>
    <n v="1350.4"/>
    <n v="1353.25"/>
    <n v="1500"/>
    <n v="1186"/>
    <n v="2812144"/>
    <n v="3805533190"/>
    <n v="92194"/>
    <x v="4"/>
    <n v="3.2999999999999545"/>
    <x v="2"/>
    <n v="12"/>
    <x v="0"/>
    <n v="4.6157441670237213E-2"/>
  </r>
  <r>
    <d v="2025-12-24T00:00:00"/>
    <s v="EQ"/>
    <n v="1363.8"/>
    <n v="1368.2"/>
    <n v="1357.6"/>
    <n v="1363"/>
    <n v="1359"/>
    <n v="1359.8"/>
    <n v="1362.26"/>
    <n v="1500"/>
    <n v="1186"/>
    <n v="8955140"/>
    <n v="12199271454"/>
    <n v="163168"/>
    <x v="4"/>
    <n v="-0.79999999999995453"/>
    <x v="2"/>
    <n v="12"/>
    <x v="0"/>
    <n v="4.6157441670237213E-2"/>
  </r>
  <r>
    <d v="2025-12-23T00:00:00"/>
    <s v="EQ"/>
    <n v="1361.1"/>
    <n v="1365"/>
    <n v="1357"/>
    <n v="1368.5"/>
    <n v="1362.4"/>
    <n v="1363"/>
    <n v="1361.81"/>
    <n v="1500"/>
    <n v="1186"/>
    <n v="9105467"/>
    <n v="12399897178.6"/>
    <n v="231134"/>
    <x v="4"/>
    <n v="7.4000000000000909"/>
    <x v="2"/>
    <n v="12"/>
    <x v="0"/>
    <n v="4.6157441670237213E-2"/>
  </r>
  <r>
    <d v="2025-12-22T00:00:00"/>
    <s v="EQ"/>
    <n v="1358"/>
    <n v="1371.3"/>
    <n v="1354.8"/>
    <n v="1354.1"/>
    <n v="1367.5"/>
    <n v="1368.5"/>
    <n v="1365.67"/>
    <n v="1500"/>
    <n v="1186"/>
    <n v="9375294"/>
    <n v="12803546328.799999"/>
    <n v="204189"/>
    <x v="4"/>
    <n v="-3.9000000000000909"/>
    <x v="2"/>
    <n v="12"/>
    <x v="0"/>
    <n v="4.6157441670237213E-2"/>
  </r>
  <r>
    <d v="2025-12-19T00:00:00"/>
    <s v="EQ"/>
    <n v="1354"/>
    <n v="1360.4"/>
    <n v="1350.8"/>
    <n v="1356.8"/>
    <n v="1354.3"/>
    <n v="1354.1"/>
    <n v="1354.21"/>
    <n v="1500"/>
    <n v="1186"/>
    <n v="14318512"/>
    <n v="19390242360.799999"/>
    <n v="224715"/>
    <x v="4"/>
    <n v="2.7999999999999545"/>
    <x v="2"/>
    <n v="12"/>
    <x v="0"/>
    <n v="4.6157441670237213E-2"/>
  </r>
  <r>
    <d v="2025-12-18T00:00:00"/>
    <s v="EQ"/>
    <n v="1346.3"/>
    <n v="1369.5"/>
    <n v="1345.5"/>
    <n v="1352.4"/>
    <n v="1357"/>
    <n v="1356.8"/>
    <n v="1360.11"/>
    <n v="1500"/>
    <n v="1186"/>
    <n v="7314573"/>
    <n v="9948607088.3999996"/>
    <n v="207464"/>
    <x v="4"/>
    <n v="6.1000000000001364"/>
    <x v="2"/>
    <n v="12"/>
    <x v="0"/>
    <n v="4.6157441670237213E-2"/>
  </r>
  <r>
    <d v="2025-12-17T00:00:00"/>
    <s v="EQ"/>
    <n v="1365"/>
    <n v="1365"/>
    <n v="1343.1"/>
    <n v="1366"/>
    <n v="1353.5"/>
    <n v="1352.4"/>
    <n v="1350.59"/>
    <n v="1500"/>
    <n v="1186"/>
    <n v="9440391"/>
    <n v="12750064577.5"/>
    <n v="199498"/>
    <x v="4"/>
    <n v="1"/>
    <x v="2"/>
    <n v="12"/>
    <x v="0"/>
    <n v="4.6157441670237213E-2"/>
  </r>
  <r>
    <d v="2025-12-16T00:00:00"/>
    <s v="EQ"/>
    <n v="1364"/>
    <n v="1368.7"/>
    <n v="1355.5"/>
    <n v="1365.2"/>
    <n v="1366.6"/>
    <n v="1366"/>
    <n v="1363.69"/>
    <n v="1500"/>
    <n v="1186"/>
    <n v="12359741"/>
    <n v="16854916855"/>
    <n v="345540"/>
    <x v="4"/>
    <n v="1.2000000000000455"/>
    <x v="2"/>
    <n v="12"/>
    <x v="0"/>
    <n v="4.6157441670237213E-2"/>
  </r>
  <r>
    <d v="2025-12-15T00:00:00"/>
    <s v="EQ"/>
    <n v="1356.1"/>
    <n v="1370"/>
    <n v="1356.1"/>
    <n v="1366"/>
    <n v="1365"/>
    <n v="1365.2"/>
    <n v="1364.54"/>
    <n v="1500"/>
    <n v="1186"/>
    <n v="5342530"/>
    <n v="7290105034.8999996"/>
    <n v="267792"/>
    <x v="4"/>
    <n v="9.9000000000000909"/>
    <x v="2"/>
    <n v="12"/>
    <x v="0"/>
    <n v="4.6157441670237213E-2"/>
  </r>
  <r>
    <d v="2025-12-12T00:00:00"/>
    <s v="EQ"/>
    <n v="1368"/>
    <n v="1370.7"/>
    <n v="1363.3"/>
    <n v="1360"/>
    <n v="1366"/>
    <n v="1366"/>
    <n v="1366.43"/>
    <n v="1500"/>
    <n v="1186"/>
    <n v="3890885"/>
    <n v="5316635958.1999998"/>
    <n v="113064"/>
    <x v="4"/>
    <n v="-8"/>
    <x v="2"/>
    <n v="12"/>
    <x v="0"/>
    <n v="4.6157441670237213E-2"/>
  </r>
  <r>
    <d v="2025-12-11T00:00:00"/>
    <s v="EQ"/>
    <n v="1363.7"/>
    <n v="1366.6"/>
    <n v="1352.8"/>
    <n v="1363.6"/>
    <n v="1361"/>
    <n v="1360"/>
    <n v="1360.4"/>
    <n v="1500"/>
    <n v="1186"/>
    <n v="6734750"/>
    <n v="9161934313.7000008"/>
    <n v="166103"/>
    <x v="4"/>
    <n v="-0.10000000000013642"/>
    <x v="2"/>
    <n v="12"/>
    <x v="0"/>
    <n v="4.6157441670237213E-2"/>
  </r>
  <r>
    <d v="2025-12-10T00:00:00"/>
    <s v="EQ"/>
    <n v="1377.9"/>
    <n v="1379.4"/>
    <n v="1357.9"/>
    <n v="1375.2"/>
    <n v="1364.5"/>
    <n v="1363.6"/>
    <n v="1366.49"/>
    <n v="1500"/>
    <n v="1186"/>
    <n v="8725381"/>
    <n v="11923188503.5"/>
    <n v="164913"/>
    <x v="4"/>
    <n v="-2.7000000000000455"/>
    <x v="2"/>
    <n v="12"/>
    <x v="0"/>
    <n v="4.6157441670237213E-2"/>
  </r>
  <r>
    <d v="2025-12-09T00:00:00"/>
    <s v="EQ"/>
    <n v="1379.9"/>
    <n v="1384.3"/>
    <n v="1373.4"/>
    <n v="1389.6"/>
    <n v="1375"/>
    <n v="1375.2"/>
    <n v="1377.4"/>
    <n v="1500"/>
    <n v="1186"/>
    <n v="10492030"/>
    <n v="14451676568.299999"/>
    <n v="175866"/>
    <x v="4"/>
    <n v="9.6999999999998181"/>
    <x v="2"/>
    <n v="12"/>
    <x v="0"/>
    <n v="4.6157441670237213E-2"/>
  </r>
  <r>
    <d v="2025-12-08T00:00:00"/>
    <s v="EQ"/>
    <n v="1387"/>
    <n v="1394.9"/>
    <n v="1383.3"/>
    <n v="1392.5"/>
    <n v="1387.5"/>
    <n v="1389.6"/>
    <n v="1388.87"/>
    <n v="1500"/>
    <n v="1186"/>
    <n v="7826227"/>
    <n v="10869628559.200001"/>
    <n v="177670"/>
    <x v="4"/>
    <n v="5.5"/>
    <x v="2"/>
    <n v="12"/>
    <x v="0"/>
    <n v="4.6157441670237213E-2"/>
  </r>
  <r>
    <d v="2025-12-05T00:00:00"/>
    <s v="EQ"/>
    <n v="1381"/>
    <n v="1395.3"/>
    <n v="1381"/>
    <n v="1386.7"/>
    <n v="1392.5"/>
    <n v="1392.5"/>
    <n v="1390.49"/>
    <n v="1500"/>
    <n v="1186"/>
    <n v="4942638"/>
    <n v="6872704506.8999996"/>
    <n v="130513"/>
    <x v="4"/>
    <n v="5.7000000000000455"/>
    <x v="2"/>
    <n v="12"/>
    <x v="0"/>
    <n v="4.6157441670237213E-2"/>
  </r>
  <r>
    <d v="2025-12-04T00:00:00"/>
    <s v="EQ"/>
    <n v="1387"/>
    <n v="1391.6"/>
    <n v="1379.9"/>
    <n v="1391.5"/>
    <n v="1386"/>
    <n v="1386.7"/>
    <n v="1385.21"/>
    <n v="1500"/>
    <n v="1186"/>
    <n v="7373909"/>
    <n v="10214431633.6"/>
    <n v="189163"/>
    <x v="4"/>
    <n v="4.5"/>
    <x v="2"/>
    <n v="12"/>
    <x v="0"/>
    <n v="4.6157441670237213E-2"/>
  </r>
  <r>
    <d v="2025-12-03T00:00:00"/>
    <s v="EQ"/>
    <n v="1367"/>
    <n v="1394.2"/>
    <n v="1367"/>
    <n v="1373"/>
    <n v="1392"/>
    <n v="1391.5"/>
    <n v="1383"/>
    <n v="1500"/>
    <n v="1186"/>
    <n v="7955933"/>
    <n v="11003040759.700001"/>
    <n v="182044"/>
    <x v="4"/>
    <n v="6"/>
    <x v="2"/>
    <n v="12"/>
    <x v="0"/>
    <n v="4.6157441670237213E-2"/>
  </r>
  <r>
    <d v="2025-12-02T00:00:00"/>
    <s v="EQ"/>
    <n v="1381.8"/>
    <n v="1381.8"/>
    <n v="1370.6"/>
    <n v="1390.1"/>
    <n v="1373.8"/>
    <n v="1373"/>
    <n v="1374.68"/>
    <n v="1500"/>
    <n v="1186"/>
    <n v="12126396"/>
    <n v="16669881069.6"/>
    <n v="335552"/>
    <x v="4"/>
    <n v="8.2999999999999545"/>
    <x v="2"/>
    <n v="12"/>
    <x v="0"/>
    <n v="4.6157441670237213E-2"/>
  </r>
  <r>
    <d v="2025-12-01T00:00:00"/>
    <s v="EQ"/>
    <n v="1394"/>
    <n v="1400"/>
    <n v="1385.4"/>
    <n v="1388.8"/>
    <n v="1390.2"/>
    <n v="1390.1"/>
    <n v="1393.22"/>
    <n v="1500"/>
    <n v="1186"/>
    <n v="8867593"/>
    <n v="12354467146.1"/>
    <n v="225630"/>
    <x v="4"/>
    <n v="-5.2000000000000455"/>
    <x v="2"/>
    <n v="12"/>
    <x v="0"/>
    <n v="4.6157441670237213E-2"/>
  </r>
  <r>
    <d v="2025-11-28T00:00:00"/>
    <s v="EQ"/>
    <n v="1392"/>
    <n v="1398.5"/>
    <n v="1385.6"/>
    <n v="1392.2"/>
    <n v="1388.4"/>
    <n v="1388.8"/>
    <n v="1390.33"/>
    <n v="1500"/>
    <n v="1186"/>
    <n v="7683986"/>
    <n v="10683252227"/>
    <n v="198302"/>
    <x v="4"/>
    <n v="0.20000000000004547"/>
    <x v="2"/>
    <n v="11"/>
    <x v="1"/>
    <n v="4.6157441670237213E-2"/>
  </r>
  <r>
    <d v="2025-11-27T00:00:00"/>
    <s v="EQ"/>
    <n v="1379"/>
    <n v="1394"/>
    <n v="1375.7"/>
    <n v="1375"/>
    <n v="1393.9"/>
    <n v="1392.2"/>
    <n v="1388.89"/>
    <n v="1500"/>
    <n v="1186"/>
    <n v="15158741"/>
    <n v="21053799768.400002"/>
    <n v="232290"/>
    <x v="4"/>
    <n v="-4"/>
    <x v="2"/>
    <n v="11"/>
    <x v="1"/>
    <n v="4.6157441670237213E-2"/>
  </r>
  <r>
    <d v="2025-11-26T00:00:00"/>
    <s v="EQ"/>
    <n v="1360"/>
    <n v="1377"/>
    <n v="1359.9"/>
    <n v="1357.8"/>
    <n v="1375"/>
    <n v="1375"/>
    <n v="1369.92"/>
    <n v="1500"/>
    <n v="1186"/>
    <n v="9659004"/>
    <n v="13232068784.9"/>
    <n v="140169"/>
    <x v="4"/>
    <n v="-2.2000000000000455"/>
    <x v="2"/>
    <n v="11"/>
    <x v="1"/>
    <n v="4.6157441670237213E-2"/>
  </r>
  <r>
    <d v="2025-11-25T00:00:00"/>
    <s v="EQ"/>
    <n v="1365"/>
    <n v="1376.9"/>
    <n v="1354.3"/>
    <n v="1368.4"/>
    <n v="1356.9"/>
    <n v="1357.8"/>
    <n v="1362.23"/>
    <n v="1500"/>
    <n v="1186"/>
    <n v="12235000"/>
    <n v="16666909341.5"/>
    <n v="217159"/>
    <x v="4"/>
    <n v="3.4000000000000909"/>
    <x v="2"/>
    <n v="11"/>
    <x v="1"/>
    <n v="4.6157441670237213E-2"/>
  </r>
  <r>
    <d v="2025-11-24T00:00:00"/>
    <s v="EQ"/>
    <n v="1373.3"/>
    <n v="1377"/>
    <n v="1361.5"/>
    <n v="1369.5"/>
    <n v="1366"/>
    <n v="1368.4"/>
    <n v="1369.72"/>
    <n v="1500"/>
    <n v="1186"/>
    <n v="15896003"/>
    <n v="21773146809.900002"/>
    <n v="192513"/>
    <x v="4"/>
    <n v="-3.7999999999999545"/>
    <x v="2"/>
    <n v="11"/>
    <x v="1"/>
    <n v="4.6157441670237213E-2"/>
  </r>
  <r>
    <d v="2025-11-21T00:00:00"/>
    <s v="EQ"/>
    <n v="1373"/>
    <n v="1376"/>
    <n v="1364.6"/>
    <n v="1383"/>
    <n v="1369"/>
    <n v="1369.5"/>
    <n v="1369.27"/>
    <n v="1500"/>
    <n v="1186"/>
    <n v="11483595"/>
    <n v="15724108014.6"/>
    <n v="171633"/>
    <x v="4"/>
    <n v="10"/>
    <x v="2"/>
    <n v="11"/>
    <x v="1"/>
    <n v="4.6157441670237213E-2"/>
  </r>
  <r>
    <d v="2025-11-20T00:00:00"/>
    <s v="EQ"/>
    <n v="1380.1"/>
    <n v="1388.3"/>
    <n v="1375.4"/>
    <n v="1383.1"/>
    <n v="1382"/>
    <n v="1383"/>
    <n v="1381.32"/>
    <n v="1500"/>
    <n v="1186"/>
    <n v="10131863"/>
    <n v="13995331858.299999"/>
    <n v="199484"/>
    <x v="4"/>
    <n v="3"/>
    <x v="2"/>
    <n v="11"/>
    <x v="1"/>
    <n v="4.6157441670237213E-2"/>
  </r>
  <r>
    <d v="2025-11-19T00:00:00"/>
    <s v="EQ"/>
    <n v="1373.5"/>
    <n v="1384"/>
    <n v="1371.6"/>
    <n v="1373.4"/>
    <n v="1383.1"/>
    <n v="1383.1"/>
    <n v="1379.61"/>
    <n v="1500"/>
    <n v="1186"/>
    <n v="10393918"/>
    <n v="14339582068.9"/>
    <n v="152320"/>
    <x v="4"/>
    <n v="-9.9999999999909051E-2"/>
    <x v="2"/>
    <n v="11"/>
    <x v="1"/>
    <n v="4.6157441670237213E-2"/>
  </r>
  <r>
    <d v="2025-11-18T00:00:00"/>
    <s v="EQ"/>
    <n v="1380.2"/>
    <n v="1382.8"/>
    <n v="1369.1"/>
    <n v="1379"/>
    <n v="1370"/>
    <n v="1373.4"/>
    <n v="1374.73"/>
    <n v="1500"/>
    <n v="1186"/>
    <n v="9529560"/>
    <n v="13100617263.5"/>
    <n v="143242"/>
    <x v="4"/>
    <n v="-1.2000000000000455"/>
    <x v="2"/>
    <n v="11"/>
    <x v="1"/>
    <n v="4.6157441670237213E-2"/>
  </r>
  <r>
    <d v="2025-11-17T00:00:00"/>
    <s v="EQ"/>
    <n v="1375.1"/>
    <n v="1382.5"/>
    <n v="1373.6"/>
    <n v="1373"/>
    <n v="1379.1"/>
    <n v="1379"/>
    <n v="1378.91"/>
    <n v="1500"/>
    <n v="1186"/>
    <n v="7660717"/>
    <n v="10563473675.799999"/>
    <n v="109085"/>
    <x v="4"/>
    <n v="-2.0999999999999091"/>
    <x v="2"/>
    <n v="11"/>
    <x v="1"/>
    <n v="4.6157441670237213E-2"/>
  </r>
  <r>
    <d v="2025-11-14T00:00:00"/>
    <s v="EQ"/>
    <n v="1374"/>
    <n v="1381.2"/>
    <n v="1363.2"/>
    <n v="1385.9"/>
    <n v="1373.2"/>
    <n v="1373"/>
    <n v="1370.92"/>
    <n v="1500"/>
    <n v="1186"/>
    <n v="9694498"/>
    <n v="13290412846.700001"/>
    <n v="190956"/>
    <x v="4"/>
    <n v="11.900000000000091"/>
    <x v="2"/>
    <n v="11"/>
    <x v="1"/>
    <n v="4.6157441670237213E-2"/>
  </r>
  <r>
    <d v="2025-11-13T00:00:00"/>
    <s v="EQ"/>
    <n v="1358.9"/>
    <n v="1390.4"/>
    <n v="1358.5"/>
    <n v="1358.9"/>
    <n v="1385.4"/>
    <n v="1385.9"/>
    <n v="1383.47"/>
    <n v="1500"/>
    <n v="1186"/>
    <n v="18296626"/>
    <n v="25312823046.700001"/>
    <n v="239327"/>
    <x v="4"/>
    <n v="0"/>
    <x v="2"/>
    <n v="11"/>
    <x v="1"/>
    <n v="4.6157441670237213E-2"/>
  </r>
  <r>
    <d v="2025-11-12T00:00:00"/>
    <s v="EQ"/>
    <n v="1370"/>
    <n v="1370"/>
    <n v="1355.4"/>
    <n v="1358.3"/>
    <n v="1358.5"/>
    <n v="1358.9"/>
    <n v="1361.79"/>
    <n v="1500"/>
    <n v="1186"/>
    <n v="9736761"/>
    <n v="13259441993.5"/>
    <n v="168204"/>
    <x v="4"/>
    <n v="-11.700000000000045"/>
    <x v="2"/>
    <n v="11"/>
    <x v="1"/>
    <n v="4.6157441670237213E-2"/>
  </r>
  <r>
    <d v="2025-11-11T00:00:00"/>
    <s v="EQ"/>
    <n v="1349"/>
    <n v="1360.4"/>
    <n v="1346.2"/>
    <n v="1348"/>
    <n v="1359"/>
    <n v="1358.3"/>
    <n v="1354.89"/>
    <n v="1500"/>
    <n v="1186"/>
    <n v="8305184"/>
    <n v="11252612832.299999"/>
    <n v="208140"/>
    <x v="4"/>
    <n v="-1"/>
    <x v="2"/>
    <n v="11"/>
    <x v="1"/>
    <n v="4.6157441670237213E-2"/>
  </r>
  <r>
    <d v="2025-11-10T00:00:00"/>
    <s v="EQ"/>
    <n v="1342.9"/>
    <n v="1349.6"/>
    <n v="1341"/>
    <n v="1343"/>
    <n v="1346.8"/>
    <n v="1348"/>
    <n v="1345.91"/>
    <n v="1500"/>
    <n v="1186"/>
    <n v="8542340"/>
    <n v="11497241405.299999"/>
    <n v="155442"/>
    <x v="4"/>
    <n v="9.9999999999909051E-2"/>
    <x v="2"/>
    <n v="11"/>
    <x v="1"/>
    <n v="4.6157441670237213E-2"/>
  </r>
  <r>
    <d v="2025-11-07T00:00:00"/>
    <s v="EQ"/>
    <n v="1320.4"/>
    <n v="1344.3"/>
    <n v="1318.6"/>
    <n v="1320.4"/>
    <n v="1342.6"/>
    <n v="1343"/>
    <n v="1337.7"/>
    <n v="1500"/>
    <n v="1186"/>
    <n v="7719245"/>
    <n v="10326029497"/>
    <n v="149776"/>
    <x v="4"/>
    <n v="0"/>
    <x v="2"/>
    <n v="11"/>
    <x v="1"/>
    <n v="4.6157441670237213E-2"/>
  </r>
  <r>
    <d v="2025-11-06T00:00:00"/>
    <s v="EQ"/>
    <n v="1330"/>
    <n v="1342.2"/>
    <n v="1317.4"/>
    <n v="1336.9"/>
    <n v="1320.3"/>
    <n v="1320.4"/>
    <n v="1324.61"/>
    <n v="1500"/>
    <n v="1186"/>
    <n v="24221853"/>
    <n v="32084516054.799999"/>
    <n v="368806"/>
    <x v="4"/>
    <n v="6.9000000000000909"/>
    <x v="2"/>
    <n v="11"/>
    <x v="1"/>
    <n v="4.6157441670237213E-2"/>
  </r>
  <r>
    <d v="2025-11-04T00:00:00"/>
    <s v="EQ"/>
    <n v="1342.6"/>
    <n v="1349.8"/>
    <n v="1333.2"/>
    <n v="1346.4"/>
    <n v="1336.9"/>
    <n v="1336.9"/>
    <n v="1337.49"/>
    <n v="1500"/>
    <n v="1186"/>
    <n v="15211183"/>
    <n v="20344838007"/>
    <n v="276007"/>
    <x v="4"/>
    <n v="3.8000000000001819"/>
    <x v="2"/>
    <n v="11"/>
    <x v="1"/>
    <n v="4.6157441670237213E-2"/>
  </r>
  <r>
    <d v="2025-11-03T00:00:00"/>
    <s v="EQ"/>
    <n v="1340.5"/>
    <n v="1351.6"/>
    <n v="1337.9"/>
    <n v="1345.3"/>
    <n v="1349"/>
    <n v="1346.4"/>
    <n v="1344.89"/>
    <n v="1500"/>
    <n v="1186"/>
    <n v="11071450"/>
    <n v="14889921391"/>
    <n v="301531"/>
    <x v="4"/>
    <n v="4.7999999999999545"/>
    <x v="2"/>
    <n v="11"/>
    <x v="1"/>
    <n v="4.6157441670237213E-2"/>
  </r>
  <r>
    <d v="2025-10-31T00:00:00"/>
    <s v="EQ"/>
    <n v="1357"/>
    <n v="1362"/>
    <n v="1343.3"/>
    <n v="1362.4"/>
    <n v="1345.5"/>
    <n v="1345.3"/>
    <n v="1349.3"/>
    <n v="1500"/>
    <n v="1186"/>
    <n v="15926798"/>
    <n v="21489988727.799999"/>
    <n v="309384"/>
    <x v="4"/>
    <n v="5.4000000000000909"/>
    <x v="2"/>
    <n v="10"/>
    <x v="2"/>
    <n v="4.6157441670237213E-2"/>
  </r>
  <r>
    <d v="2025-10-30T00:00:00"/>
    <s v="EQ"/>
    <n v="1362.4"/>
    <n v="1370.2"/>
    <n v="1361.3"/>
    <n v="1370.4"/>
    <n v="1362.4"/>
    <n v="1362.4"/>
    <n v="1364.23"/>
    <n v="1500"/>
    <n v="1186"/>
    <n v="9324401"/>
    <n v="12720637741.299999"/>
    <n v="301933"/>
    <x v="4"/>
    <n v="8"/>
    <x v="2"/>
    <n v="10"/>
    <x v="2"/>
    <n v="4.6157441670237213E-2"/>
  </r>
  <r>
    <d v="2025-10-29T00:00:00"/>
    <s v="EQ"/>
    <n v="1364.6"/>
    <n v="1371.7"/>
    <n v="1358.4"/>
    <n v="1363.1"/>
    <n v="1371.6"/>
    <n v="1370.4"/>
    <n v="1365.15"/>
    <n v="1500"/>
    <n v="1186"/>
    <n v="16129382"/>
    <n v="22019031340.900002"/>
    <n v="353776"/>
    <x v="4"/>
    <n v="-1.5"/>
    <x v="2"/>
    <n v="10"/>
    <x v="2"/>
    <n v="4.6157441670237213E-2"/>
  </r>
  <r>
    <d v="2025-10-28T00:00:00"/>
    <s v="EQ"/>
    <n v="1373"/>
    <n v="1375.8"/>
    <n v="1356.2"/>
    <n v="1377.6"/>
    <n v="1366.2"/>
    <n v="1363.1"/>
    <n v="1361.81"/>
    <n v="1500"/>
    <n v="1186"/>
    <n v="26477914"/>
    <n v="36057949499.5"/>
    <n v="480704"/>
    <x v="4"/>
    <n v="4.5999999999999091"/>
    <x v="2"/>
    <n v="10"/>
    <x v="2"/>
    <n v="4.6157441670237213E-2"/>
  </r>
  <r>
    <d v="2025-10-27T00:00:00"/>
    <s v="EQ"/>
    <n v="1382.1"/>
    <n v="1386.8"/>
    <n v="1374"/>
    <n v="1377.7"/>
    <n v="1379.6"/>
    <n v="1377.6"/>
    <n v="1379.13"/>
    <n v="1500"/>
    <n v="1186"/>
    <n v="11499836"/>
    <n v="15859716513.700001"/>
    <n v="296317"/>
    <x v="4"/>
    <n v="-4.3999999999998636"/>
    <x v="2"/>
    <n v="10"/>
    <x v="2"/>
    <n v="4.6157441670237213E-2"/>
  </r>
  <r>
    <d v="2025-10-24T00:00:00"/>
    <s v="EQ"/>
    <n v="1368.1"/>
    <n v="1381.6"/>
    <n v="1368.1"/>
    <n v="1363.7"/>
    <n v="1378"/>
    <n v="1377.7"/>
    <n v="1376.15"/>
    <n v="1500"/>
    <n v="1186"/>
    <n v="10570263"/>
    <n v="14546256446.299999"/>
    <n v="254633"/>
    <x v="4"/>
    <n v="-4.3999999999998636"/>
    <x v="2"/>
    <n v="10"/>
    <x v="2"/>
    <n v="4.6157441670237213E-2"/>
  </r>
  <r>
    <d v="2025-10-23T00:00:00"/>
    <s v="EQ"/>
    <n v="1385"/>
    <n v="1389.8"/>
    <n v="1360.1"/>
    <n v="1382"/>
    <n v="1364.3"/>
    <n v="1363.7"/>
    <n v="1375.57"/>
    <n v="1500"/>
    <n v="1186"/>
    <n v="21124942"/>
    <n v="29058772536.5"/>
    <n v="401439"/>
    <x v="4"/>
    <n v="-3"/>
    <x v="2"/>
    <n v="10"/>
    <x v="2"/>
    <n v="4.6157441670237213E-2"/>
  </r>
  <r>
    <d v="2025-10-21T00:00:00"/>
    <s v="EQ"/>
    <n v="1384.5"/>
    <n v="1387.6"/>
    <n v="1375.9"/>
    <n v="1390.3"/>
    <n v="1381.3"/>
    <n v="1382"/>
    <n v="1383.19"/>
    <n v="1500"/>
    <n v="1186"/>
    <n v="3415560"/>
    <n v="4724355077.3999996"/>
    <n v="93955"/>
    <x v="4"/>
    <n v="5.7999999999999545"/>
    <x v="2"/>
    <n v="10"/>
    <x v="2"/>
    <n v="4.6157441670237213E-2"/>
  </r>
  <r>
    <d v="2025-10-20T00:00:00"/>
    <s v="EQ"/>
    <n v="1442"/>
    <n v="1445"/>
    <n v="1389.2"/>
    <n v="1436.6"/>
    <n v="1393"/>
    <n v="1390.3"/>
    <n v="1401.64"/>
    <n v="1500"/>
    <n v="1186"/>
    <n v="23330227"/>
    <n v="32700479176.400002"/>
    <n v="670783"/>
    <x v="4"/>
    <n v="-5.4000000000000909"/>
    <x v="2"/>
    <n v="10"/>
    <x v="2"/>
    <n v="4.6157441670237213E-2"/>
  </r>
  <r>
    <d v="2025-10-17T00:00:00"/>
    <s v="EQ"/>
    <n v="1412"/>
    <n v="1439.6"/>
    <n v="1410.9"/>
    <n v="1417.3"/>
    <n v="1436.6"/>
    <n v="1436.6"/>
    <n v="1427.77"/>
    <n v="1500"/>
    <n v="1186"/>
    <n v="17037215"/>
    <n v="24325273729.900002"/>
    <n v="326926"/>
    <x v="4"/>
    <n v="5.2999999999999545"/>
    <x v="2"/>
    <n v="10"/>
    <x v="2"/>
    <n v="4.6157441670237213E-2"/>
  </r>
  <r>
    <d v="2025-10-16T00:00:00"/>
    <s v="EQ"/>
    <n v="1401"/>
    <n v="1418.9"/>
    <n v="1399.4"/>
    <n v="1398.4"/>
    <n v="1417.4"/>
    <n v="1417.3"/>
    <n v="1412.88"/>
    <n v="1500"/>
    <n v="1186"/>
    <n v="12185032"/>
    <n v="17215999886.5"/>
    <n v="233599"/>
    <x v="4"/>
    <n v="-2.5999999999999091"/>
    <x v="2"/>
    <n v="10"/>
    <x v="2"/>
    <n v="4.6157441670237213E-2"/>
  </r>
  <r>
    <d v="2025-10-15T00:00:00"/>
    <s v="EQ"/>
    <n v="1386.5"/>
    <n v="1400.4"/>
    <n v="1385.5"/>
    <n v="1384.1"/>
    <n v="1399"/>
    <n v="1398.4"/>
    <n v="1394.81"/>
    <n v="1500"/>
    <n v="1186"/>
    <n v="8988550"/>
    <n v="12537342798.299999"/>
    <n v="244373"/>
    <x v="4"/>
    <n v="-2.4000000000000909"/>
    <x v="2"/>
    <n v="10"/>
    <x v="2"/>
    <n v="4.6157441670237213E-2"/>
  </r>
  <r>
    <d v="2025-10-14T00:00:00"/>
    <s v="EQ"/>
    <n v="1389"/>
    <n v="1389"/>
    <n v="1375.1"/>
    <n v="1379.4"/>
    <n v="1384.8"/>
    <n v="1384.1"/>
    <n v="1381.47"/>
    <n v="1500"/>
    <n v="1186"/>
    <n v="10610855"/>
    <n v="14658607710.700001"/>
    <n v="126104"/>
    <x v="4"/>
    <n v="-9.5999999999999091"/>
    <x v="2"/>
    <n v="10"/>
    <x v="2"/>
    <n v="4.6157441670237213E-2"/>
  </r>
  <r>
    <d v="2025-10-13T00:00:00"/>
    <s v="EQ"/>
    <n v="1373.1"/>
    <n v="1386.4"/>
    <n v="1373.1"/>
    <n v="1380.3"/>
    <n v="1381"/>
    <n v="1379.4"/>
    <n v="1379.11"/>
    <n v="1500"/>
    <n v="1186"/>
    <n v="8923018"/>
    <n v="12305847453.299999"/>
    <n v="295408"/>
    <x v="4"/>
    <n v="7.2000000000000455"/>
    <x v="2"/>
    <n v="10"/>
    <x v="2"/>
    <n v="4.6157441670237213E-2"/>
  </r>
  <r>
    <d v="2025-10-10T00:00:00"/>
    <s v="EQ"/>
    <n v="1370.3"/>
    <n v="1385"/>
    <n v="1370.3"/>
    <n v="1376.2"/>
    <n v="1380.4"/>
    <n v="1380.3"/>
    <n v="1380.18"/>
    <n v="1500"/>
    <n v="1186"/>
    <n v="7673816"/>
    <n v="10591267726.700001"/>
    <n v="136734"/>
    <x v="4"/>
    <n v="5.9000000000000909"/>
    <x v="2"/>
    <n v="10"/>
    <x v="2"/>
    <n v="4.6157441670237213E-2"/>
  </r>
  <r>
    <d v="2025-10-09T00:00:00"/>
    <s v="EQ"/>
    <n v="1369.8"/>
    <n v="1378.7"/>
    <n v="1365.1"/>
    <n v="1370.3"/>
    <n v="1374"/>
    <n v="1376.2"/>
    <n v="1374.5"/>
    <n v="1500"/>
    <n v="1186"/>
    <n v="7909575"/>
    <n v="10871677779.1"/>
    <n v="175558"/>
    <x v="4"/>
    <n v="0.5"/>
    <x v="2"/>
    <n v="10"/>
    <x v="2"/>
    <n v="4.6157441670237213E-2"/>
  </r>
  <r>
    <d v="2025-10-08T00:00:00"/>
    <s v="EQ"/>
    <n v="1372.3"/>
    <n v="1381.6"/>
    <n v="1364.3"/>
    <n v="1375.9"/>
    <n v="1367.8"/>
    <n v="1370.3"/>
    <n v="1372.13"/>
    <n v="1500"/>
    <n v="1186"/>
    <n v="8100832"/>
    <n v="11115359090.299999"/>
    <n v="176755"/>
    <x v="4"/>
    <n v="3.6000000000001364"/>
    <x v="2"/>
    <n v="10"/>
    <x v="2"/>
    <n v="4.6157441670237213E-2"/>
  </r>
  <r>
    <d v="2025-10-07T00:00:00"/>
    <s v="EQ"/>
    <n v="1363.6"/>
    <n v="1383.1"/>
    <n v="1363.6"/>
    <n v="1363.4"/>
    <n v="1375"/>
    <n v="1375.9"/>
    <n v="1377.91"/>
    <n v="1500"/>
    <n v="1186"/>
    <n v="16126464"/>
    <n v="22220830751.099998"/>
    <n v="217688"/>
    <x v="4"/>
    <n v="-0.1999999999998181"/>
    <x v="2"/>
    <n v="10"/>
    <x v="2"/>
    <n v="4.6157441670237213E-2"/>
  </r>
  <r>
    <d v="2025-10-06T00:00:00"/>
    <s v="EQ"/>
    <n v="1371"/>
    <n v="1372.6"/>
    <n v="1359.1"/>
    <n v="1365.2"/>
    <n v="1363.9"/>
    <n v="1363.4"/>
    <n v="1364.15"/>
    <n v="1500"/>
    <n v="1186"/>
    <n v="14314283"/>
    <n v="19526828804.400002"/>
    <n v="200684"/>
    <x v="4"/>
    <n v="-5.7999999999999545"/>
    <x v="2"/>
    <n v="10"/>
    <x v="2"/>
    <n v="4.6157441670237213E-2"/>
  </r>
  <r>
    <d v="2025-10-03T00:00:00"/>
    <s v="EQ"/>
    <n v="1371.9"/>
    <n v="1371.9"/>
    <n v="1361.3"/>
    <n v="1372"/>
    <n v="1365"/>
    <n v="1365.2"/>
    <n v="1366.86"/>
    <n v="1500"/>
    <n v="1186"/>
    <n v="12163695"/>
    <n v="16626122666.1"/>
    <n v="192526"/>
    <x v="4"/>
    <n v="9.9999999999909051E-2"/>
    <x v="2"/>
    <n v="10"/>
    <x v="2"/>
    <n v="4.6157441670237213E-2"/>
  </r>
  <r>
    <d v="2025-10-01T00:00:00"/>
    <s v="EQ"/>
    <n v="1348"/>
    <n v="1379.4"/>
    <n v="1347.1"/>
    <n v="1348"/>
    <n v="1372"/>
    <n v="1372"/>
    <n v="1368.92"/>
    <n v="1500"/>
    <n v="1186"/>
    <n v="20952632"/>
    <n v="28682559363.900002"/>
    <n v="490279"/>
    <x v="4"/>
    <n v="0"/>
    <x v="2"/>
    <n v="10"/>
    <x v="2"/>
    <n v="4.6157441670237213E-2"/>
  </r>
  <r>
    <d v="2025-09-30T00:00:00"/>
    <s v="EQ"/>
    <n v="1353.7"/>
    <n v="1356.6"/>
    <n v="1342.6"/>
    <n v="1348.1"/>
    <n v="1348.9"/>
    <n v="1348"/>
    <n v="1349.21"/>
    <n v="1500"/>
    <n v="1186"/>
    <n v="20166871"/>
    <n v="27209326360.400002"/>
    <n v="214277"/>
    <x v="4"/>
    <n v="-5.6000000000001364"/>
    <x v="2"/>
    <n v="9"/>
    <x v="3"/>
    <n v="4.6157441670237213E-2"/>
  </r>
  <r>
    <d v="2025-09-29T00:00:00"/>
    <s v="EQ"/>
    <n v="1359.6"/>
    <n v="1366.5"/>
    <n v="1346.2"/>
    <n v="1359.6"/>
    <n v="1350"/>
    <n v="1348.1"/>
    <n v="1352.69"/>
    <n v="1500"/>
    <n v="1186"/>
    <n v="20563163"/>
    <n v="27815685218.200001"/>
    <n v="277001"/>
    <x v="4"/>
    <n v="0"/>
    <x v="2"/>
    <n v="9"/>
    <x v="3"/>
    <n v="4.6157441670237213E-2"/>
  </r>
  <r>
    <d v="2025-09-26T00:00:00"/>
    <s v="EQ"/>
    <n v="1368"/>
    <n v="1372.7"/>
    <n v="1357"/>
    <n v="1375.8"/>
    <n v="1362.5"/>
    <n v="1359.6"/>
    <n v="1363.33"/>
    <n v="1500"/>
    <n v="1186"/>
    <n v="18342280"/>
    <n v="25006644406.5"/>
    <n v="183369"/>
    <x v="4"/>
    <n v="7.7999999999999545"/>
    <x v="2"/>
    <n v="9"/>
    <x v="3"/>
    <n v="4.6157441670237213E-2"/>
  </r>
  <r>
    <d v="2025-09-25T00:00:00"/>
    <s v="EQ"/>
    <n v="1377"/>
    <n v="1391.5"/>
    <n v="1371.8"/>
    <n v="1382.7"/>
    <n v="1373.7"/>
    <n v="1375.8"/>
    <n v="1378.32"/>
    <n v="1500"/>
    <n v="1186"/>
    <n v="21613389"/>
    <n v="29790090966.099998"/>
    <n v="196991"/>
    <x v="4"/>
    <n v="5.7000000000000455"/>
    <x v="2"/>
    <n v="9"/>
    <x v="3"/>
    <n v="4.6157441670237213E-2"/>
  </r>
  <r>
    <d v="2025-09-24T00:00:00"/>
    <s v="EQ"/>
    <n v="1386.4"/>
    <n v="1390.9"/>
    <n v="1376.5"/>
    <n v="1394.3"/>
    <n v="1383"/>
    <n v="1382.7"/>
    <n v="1382.2"/>
    <n v="1500"/>
    <n v="1186"/>
    <n v="9735678"/>
    <n v="13456684266.1"/>
    <n v="210851"/>
    <x v="4"/>
    <n v="7.8999999999998636"/>
    <x v="2"/>
    <n v="9"/>
    <x v="3"/>
    <n v="4.6157441670237213E-2"/>
  </r>
  <r>
    <d v="2025-09-23T00:00:00"/>
    <s v="EQ"/>
    <n v="1391"/>
    <n v="1403.3"/>
    <n v="1391"/>
    <n v="1401.5"/>
    <n v="1396.1"/>
    <n v="1394.3"/>
    <n v="1396.75"/>
    <n v="1500"/>
    <n v="1186"/>
    <n v="12827524"/>
    <n v="17916801862.900002"/>
    <n v="197247"/>
    <x v="4"/>
    <n v="10.5"/>
    <x v="2"/>
    <n v="9"/>
    <x v="3"/>
    <n v="4.6157441670237213E-2"/>
  </r>
  <r>
    <d v="2025-09-22T00:00:00"/>
    <s v="EQ"/>
    <n v="1403.9"/>
    <n v="1409.9"/>
    <n v="1397.2"/>
    <n v="1402.2"/>
    <n v="1402.2"/>
    <n v="1401.5"/>
    <n v="1403.29"/>
    <n v="1500"/>
    <n v="1186"/>
    <n v="8847948"/>
    <n v="12416209740.200001"/>
    <n v="113260"/>
    <x v="4"/>
    <n v="-1.7000000000000455"/>
    <x v="2"/>
    <n v="9"/>
    <x v="3"/>
    <n v="4.6157441670237213E-2"/>
  </r>
  <r>
    <d v="2025-09-19T00:00:00"/>
    <s v="EQ"/>
    <n v="1416.1"/>
    <n v="1418"/>
    <n v="1400.2"/>
    <n v="1421.7"/>
    <n v="1402.5"/>
    <n v="1402.2"/>
    <n v="1404.18"/>
    <n v="1500"/>
    <n v="1186"/>
    <n v="13457344"/>
    <n v="18896559650.799999"/>
    <n v="172737"/>
    <x v="4"/>
    <n v="5.6000000000001364"/>
    <x v="2"/>
    <n v="9"/>
    <x v="3"/>
    <n v="4.6157441670237213E-2"/>
  </r>
  <r>
    <d v="2025-09-18T00:00:00"/>
    <s v="EQ"/>
    <n v="1431.1"/>
    <n v="1432.8"/>
    <n v="1415.3"/>
    <n v="1419.2"/>
    <n v="1423"/>
    <n v="1421.7"/>
    <n v="1422.48"/>
    <n v="1500"/>
    <n v="1186"/>
    <n v="8130537"/>
    <n v="11565563636.6"/>
    <n v="165955"/>
    <x v="4"/>
    <n v="-11.899999999999864"/>
    <x v="2"/>
    <n v="9"/>
    <x v="3"/>
    <n v="4.6157441670237213E-2"/>
  </r>
  <r>
    <d v="2025-09-17T00:00:00"/>
    <s v="EQ"/>
    <n v="1420.1"/>
    <n v="1426.1"/>
    <n v="1416.4"/>
    <n v="1421.6"/>
    <n v="1417.2"/>
    <n v="1419.2"/>
    <n v="1420.85"/>
    <n v="1500"/>
    <n v="1186"/>
    <n v="7484283"/>
    <n v="10634007393.700001"/>
    <n v="131200"/>
    <x v="4"/>
    <n v="1.5"/>
    <x v="2"/>
    <n v="9"/>
    <x v="3"/>
    <n v="4.6157441670237213E-2"/>
  </r>
  <r>
    <d v="2025-09-16T00:00:00"/>
    <s v="EQ"/>
    <n v="1414"/>
    <n v="1424.9"/>
    <n v="1413.7"/>
    <n v="1419.4"/>
    <n v="1422.4"/>
    <n v="1421.6"/>
    <n v="1420.63"/>
    <n v="1500"/>
    <n v="1186"/>
    <n v="8213151"/>
    <n v="11667859743.799999"/>
    <n v="139536"/>
    <x v="4"/>
    <n v="5.4000000000000909"/>
    <x v="2"/>
    <n v="9"/>
    <x v="3"/>
    <n v="4.6157441670237213E-2"/>
  </r>
  <r>
    <d v="2025-09-15T00:00:00"/>
    <s v="EQ"/>
    <n v="1422"/>
    <n v="1426.8"/>
    <n v="1416.3"/>
    <n v="1417.7"/>
    <n v="1418"/>
    <n v="1419.4"/>
    <n v="1421.99"/>
    <n v="1500"/>
    <n v="1186"/>
    <n v="5845637"/>
    <n v="8312411904.6000004"/>
    <n v="130816"/>
    <x v="4"/>
    <n v="-4.2999999999999545"/>
    <x v="2"/>
    <n v="9"/>
    <x v="3"/>
    <n v="4.6157441670237213E-2"/>
  </r>
  <r>
    <d v="2025-09-12T00:00:00"/>
    <s v="EQ"/>
    <n v="1405.1"/>
    <n v="1419.7"/>
    <n v="1400.1"/>
    <n v="1401.6"/>
    <n v="1417.5"/>
    <n v="1417.7"/>
    <n v="1412.86"/>
    <n v="1500"/>
    <n v="1186"/>
    <n v="7770038"/>
    <n v="10977991343.799999"/>
    <n v="165154"/>
    <x v="4"/>
    <n v="-3.5"/>
    <x v="2"/>
    <n v="9"/>
    <x v="3"/>
    <n v="4.6157441670237213E-2"/>
  </r>
  <r>
    <d v="2025-09-11T00:00:00"/>
    <s v="EQ"/>
    <n v="1398"/>
    <n v="1408"/>
    <n v="1396"/>
    <n v="1403.9"/>
    <n v="1401.6"/>
    <n v="1401.6"/>
    <n v="1403.25"/>
    <n v="1500"/>
    <n v="1186"/>
    <n v="10192026"/>
    <n v="14301923215.799999"/>
    <n v="181447"/>
    <x v="4"/>
    <n v="5.9000000000000909"/>
    <x v="2"/>
    <n v="9"/>
    <x v="3"/>
    <n v="4.6157441670237213E-2"/>
  </r>
  <r>
    <d v="2025-09-10T00:00:00"/>
    <s v="EQ"/>
    <n v="1410"/>
    <n v="1413.7"/>
    <n v="1402.1"/>
    <n v="1403.7"/>
    <n v="1403.3"/>
    <n v="1403.9"/>
    <n v="1407.17"/>
    <n v="1500"/>
    <n v="1186"/>
    <n v="7452347"/>
    <n v="10486722637.700001"/>
    <n v="216180"/>
    <x v="4"/>
    <n v="-6.2999999999999545"/>
    <x v="2"/>
    <n v="9"/>
    <x v="3"/>
    <n v="4.6157441670237213E-2"/>
  </r>
  <r>
    <d v="2025-09-09T00:00:00"/>
    <s v="EQ"/>
    <n v="1399"/>
    <n v="1407.5"/>
    <n v="1395.2"/>
    <n v="1402.7"/>
    <n v="1402.4"/>
    <n v="1403.7"/>
    <n v="1401.81"/>
    <n v="1500"/>
    <n v="1186"/>
    <n v="6470679"/>
    <n v="9070676168.8999996"/>
    <n v="129854"/>
    <x v="4"/>
    <n v="3.7000000000000455"/>
    <x v="2"/>
    <n v="9"/>
    <x v="3"/>
    <n v="4.6157441670237213E-2"/>
  </r>
  <r>
    <d v="2025-09-08T00:00:00"/>
    <s v="EQ"/>
    <n v="1402.2"/>
    <n v="1410.6"/>
    <n v="1397.6"/>
    <n v="1402.8"/>
    <n v="1403"/>
    <n v="1402.7"/>
    <n v="1404.56"/>
    <n v="1500"/>
    <n v="1186"/>
    <n v="5880943"/>
    <n v="8260153082.3000002"/>
    <n v="133142"/>
    <x v="4"/>
    <n v="0.59999999999990905"/>
    <x v="2"/>
    <n v="9"/>
    <x v="3"/>
    <n v="4.6157441670237213E-2"/>
  </r>
  <r>
    <d v="2025-09-05T00:00:00"/>
    <s v="EQ"/>
    <n v="1411"/>
    <n v="1411.5"/>
    <n v="1387.7"/>
    <n v="1405.5"/>
    <n v="1402.3"/>
    <n v="1402.8"/>
    <n v="1397.54"/>
    <n v="1500"/>
    <n v="1186"/>
    <n v="6621077"/>
    <n v="9253243890.2999992"/>
    <n v="129950"/>
    <x v="4"/>
    <n v="-5.5"/>
    <x v="2"/>
    <n v="9"/>
    <x v="3"/>
    <n v="4.6157441670237213E-2"/>
  </r>
  <r>
    <d v="2025-09-04T00:00:00"/>
    <s v="EQ"/>
    <n v="1409.9"/>
    <n v="1415.1"/>
    <n v="1401.9"/>
    <n v="1397"/>
    <n v="1408"/>
    <n v="1405.5"/>
    <n v="1408.38"/>
    <n v="1500"/>
    <n v="1186"/>
    <n v="10564859"/>
    <n v="14879368496.700001"/>
    <n v="178722"/>
    <x v="4"/>
    <n v="-12.900000000000091"/>
    <x v="2"/>
    <n v="9"/>
    <x v="3"/>
    <n v="4.6157441670237213E-2"/>
  </r>
  <r>
    <d v="2025-09-03T00:00:00"/>
    <s v="EQ"/>
    <n v="1389"/>
    <n v="1400"/>
    <n v="1384.2"/>
    <n v="1394.2"/>
    <n v="1396.6"/>
    <n v="1397"/>
    <n v="1392.24"/>
    <n v="1500"/>
    <n v="1186"/>
    <n v="9813382"/>
    <n v="13662618272.4"/>
    <n v="215122"/>
    <x v="4"/>
    <n v="5.2000000000000455"/>
    <x v="2"/>
    <n v="9"/>
    <x v="3"/>
    <n v="4.6157441670237213E-2"/>
  </r>
  <r>
    <d v="2025-09-02T00:00:00"/>
    <s v="EQ"/>
    <n v="1413.9"/>
    <n v="1413.9"/>
    <n v="1390"/>
    <n v="1411"/>
    <n v="1391"/>
    <n v="1394.2"/>
    <n v="1401.96"/>
    <n v="1500"/>
    <n v="1186"/>
    <n v="7163073"/>
    <n v="10042341320.299999"/>
    <n v="207579"/>
    <x v="4"/>
    <n v="-2.9000000000000909"/>
    <x v="2"/>
    <n v="9"/>
    <x v="3"/>
    <n v="4.6157441670237213E-2"/>
  </r>
  <r>
    <d v="2025-09-01T00:00:00"/>
    <s v="EQ"/>
    <n v="1398.1"/>
    <n v="1412.4"/>
    <n v="1398.1"/>
    <n v="1397.8"/>
    <n v="1411"/>
    <n v="1411"/>
    <n v="1406.76"/>
    <n v="1500"/>
    <n v="1186"/>
    <n v="4927348"/>
    <n v="6931617328.6999998"/>
    <n v="137472"/>
    <x v="4"/>
    <n v="-0.29999999999995453"/>
    <x v="2"/>
    <n v="9"/>
    <x v="3"/>
    <n v="4.6157441670237213E-2"/>
  </r>
  <r>
    <d v="2025-08-29T00:00:00"/>
    <s v="EQ"/>
    <n v="1392.1"/>
    <n v="1405"/>
    <n v="1392.1"/>
    <n v="1399.1"/>
    <n v="1396.2"/>
    <n v="1397.8"/>
    <n v="1399.82"/>
    <n v="1500"/>
    <n v="1186"/>
    <n v="8519507"/>
    <n v="11925741661"/>
    <n v="183125"/>
    <x v="4"/>
    <n v="7"/>
    <x v="2"/>
    <n v="8"/>
    <x v="4"/>
    <n v="4.6157441670237213E-2"/>
  </r>
  <r>
    <d v="2025-08-28T00:00:00"/>
    <s v="EQ"/>
    <n v="1408"/>
    <n v="1411.8"/>
    <n v="1396.3"/>
    <n v="1416.6"/>
    <n v="1397.6"/>
    <n v="1399.1"/>
    <n v="1403.02"/>
    <n v="1500"/>
    <n v="1186"/>
    <n v="12990789"/>
    <n v="18226341926.400002"/>
    <n v="241173"/>
    <x v="4"/>
    <n v="8.5999999999999091"/>
    <x v="2"/>
    <n v="8"/>
    <x v="4"/>
    <n v="4.6157441670237213E-2"/>
  </r>
  <r>
    <d v="2025-08-26T00:00:00"/>
    <s v="EQ"/>
    <n v="1427.9"/>
    <n v="1427.9"/>
    <n v="1413.1"/>
    <n v="1433.2"/>
    <n v="1415"/>
    <n v="1416.6"/>
    <n v="1417.47"/>
    <n v="1500"/>
    <n v="1186"/>
    <n v="8720155"/>
    <n v="12360595794"/>
    <n v="201100"/>
    <x v="4"/>
    <n v="5.2999999999999545"/>
    <x v="2"/>
    <n v="8"/>
    <x v="4"/>
    <n v="4.6157441670237213E-2"/>
  </r>
  <r>
    <d v="2025-08-25T00:00:00"/>
    <s v="EQ"/>
    <n v="1435.9"/>
    <n v="1435.9"/>
    <n v="1424"/>
    <n v="1436.4"/>
    <n v="1430.9"/>
    <n v="1433.2"/>
    <n v="1430.14"/>
    <n v="1500"/>
    <n v="1186"/>
    <n v="6738427"/>
    <n v="9636918576"/>
    <n v="142654"/>
    <x v="4"/>
    <n v="0.5"/>
    <x v="2"/>
    <n v="8"/>
    <x v="4"/>
    <n v="4.6157441670237213E-2"/>
  </r>
  <r>
    <d v="2025-08-22T00:00:00"/>
    <s v="EQ"/>
    <n v="1444.3"/>
    <n v="1446"/>
    <n v="1429.4"/>
    <n v="1446"/>
    <n v="1435.9"/>
    <n v="1436.4"/>
    <n v="1436.69"/>
    <n v="1500"/>
    <n v="1165.0999999999999"/>
    <n v="6657207"/>
    <n v="9564347160.1000004"/>
    <n v="161483"/>
    <x v="4"/>
    <n v="1.7000000000000455"/>
    <x v="2"/>
    <n v="8"/>
    <x v="4"/>
    <n v="4.6157441670237213E-2"/>
  </r>
  <r>
    <d v="2025-08-21T00:00:00"/>
    <s v="EQ"/>
    <n v="1440.1"/>
    <n v="1447.8"/>
    <n v="1436.4"/>
    <n v="1430.6"/>
    <n v="1444.7"/>
    <n v="1446"/>
    <n v="1442.76"/>
    <n v="1500"/>
    <n v="1165.0999999999999"/>
    <n v="6238645"/>
    <n v="9000876523.3999996"/>
    <n v="161682"/>
    <x v="4"/>
    <n v="-9.5"/>
    <x v="2"/>
    <n v="8"/>
    <x v="4"/>
    <n v="4.6157441670237213E-2"/>
  </r>
  <r>
    <d v="2025-08-20T00:00:00"/>
    <s v="EQ"/>
    <n v="1432.6"/>
    <n v="1435.9"/>
    <n v="1423"/>
    <n v="1436.3"/>
    <n v="1430"/>
    <n v="1430.6"/>
    <n v="1429.9"/>
    <n v="1500"/>
    <n v="1165.0999999999999"/>
    <n v="5817858"/>
    <n v="8318955912.5"/>
    <n v="153109"/>
    <x v="4"/>
    <n v="3.7000000000000455"/>
    <x v="2"/>
    <n v="8"/>
    <x v="4"/>
    <n v="4.6157441670237213E-2"/>
  </r>
  <r>
    <d v="2025-08-19T00:00:00"/>
    <s v="EQ"/>
    <n v="1431.1"/>
    <n v="1438.5"/>
    <n v="1426.3"/>
    <n v="1434.6"/>
    <n v="1436.9"/>
    <n v="1436.3"/>
    <n v="1434.78"/>
    <n v="1500"/>
    <n v="1165.0999999999999"/>
    <n v="6709554"/>
    <n v="9626706605.8999996"/>
    <n v="161273"/>
    <x v="4"/>
    <n v="3.5"/>
    <x v="2"/>
    <n v="8"/>
    <x v="4"/>
    <n v="4.6157441670237213E-2"/>
  </r>
  <r>
    <d v="2025-08-18T00:00:00"/>
    <s v="EQ"/>
    <n v="1450"/>
    <n v="1452.4"/>
    <n v="1431"/>
    <n v="1427.3"/>
    <n v="1436.3"/>
    <n v="1434.6"/>
    <n v="1440.6"/>
    <n v="1500"/>
    <n v="1165.0999999999999"/>
    <n v="6908844"/>
    <n v="9952855665.5"/>
    <n v="150892"/>
    <x v="4"/>
    <n v="-22.700000000000045"/>
    <x v="2"/>
    <n v="8"/>
    <x v="4"/>
    <n v="4.6157441670237213E-2"/>
  </r>
  <r>
    <d v="2025-08-14T00:00:00"/>
    <s v="EQ"/>
    <n v="1412"/>
    <n v="1431.1"/>
    <n v="1412"/>
    <n v="1420.8"/>
    <n v="1427.6"/>
    <n v="1427.3"/>
    <n v="1426.41"/>
    <n v="1500"/>
    <n v="1153"/>
    <n v="7577793"/>
    <n v="10809059788.700001"/>
    <n v="146431"/>
    <x v="4"/>
    <n v="8.7999999999999545"/>
    <x v="2"/>
    <n v="8"/>
    <x v="4"/>
    <n v="4.6157441670237213E-2"/>
  </r>
  <r>
    <d v="2025-08-13T00:00:00"/>
    <s v="EQ"/>
    <n v="1424.6"/>
    <n v="1427.7"/>
    <n v="1415.2"/>
    <n v="1422"/>
    <n v="1421.8"/>
    <n v="1420.8"/>
    <n v="1421.23"/>
    <n v="1500"/>
    <n v="1153"/>
    <n v="9009465"/>
    <n v="12804539647.1"/>
    <n v="158523"/>
    <x v="4"/>
    <n v="-2.5999999999999091"/>
    <x v="2"/>
    <n v="8"/>
    <x v="4"/>
    <n v="4.6157441670237213E-2"/>
  </r>
  <r>
    <d v="2025-08-12T00:00:00"/>
    <s v="EQ"/>
    <n v="1431"/>
    <n v="1433.8"/>
    <n v="1420.1"/>
    <n v="1436.6"/>
    <n v="1421.4"/>
    <n v="1422"/>
    <n v="1425.1"/>
    <n v="1500"/>
    <n v="1153"/>
    <n v="5913947"/>
    <n v="8427986637"/>
    <n v="199744"/>
    <x v="4"/>
    <n v="5.5999999999999091"/>
    <x v="2"/>
    <n v="8"/>
    <x v="4"/>
    <n v="4.6157441670237213E-2"/>
  </r>
  <r>
    <d v="2025-08-11T00:00:00"/>
    <s v="EQ"/>
    <n v="1427.9"/>
    <n v="1438.4"/>
    <n v="1420.4"/>
    <n v="1435.9"/>
    <n v="1437.3"/>
    <n v="1436.6"/>
    <n v="1428.92"/>
    <n v="1500"/>
    <n v="1153"/>
    <n v="8492484"/>
    <n v="12135055891.299999"/>
    <n v="182653"/>
    <x v="4"/>
    <n v="8"/>
    <x v="2"/>
    <n v="8"/>
    <x v="4"/>
    <n v="4.6157441670237213E-2"/>
  </r>
  <r>
    <d v="2025-08-08T00:00:00"/>
    <s v="EQ"/>
    <n v="1445.9"/>
    <n v="1447.6"/>
    <n v="1432"/>
    <n v="1440.3"/>
    <n v="1432"/>
    <n v="1435.9"/>
    <n v="1436.99"/>
    <n v="1500"/>
    <n v="1153"/>
    <n v="5415511"/>
    <n v="7782061616.8999996"/>
    <n v="102913"/>
    <x v="4"/>
    <n v="-5.6000000000001364"/>
    <x v="2"/>
    <n v="8"/>
    <x v="4"/>
    <n v="4.6157441670237213E-2"/>
  </r>
  <r>
    <d v="2025-08-07T00:00:00"/>
    <s v="EQ"/>
    <n v="1441.1"/>
    <n v="1447.9"/>
    <n v="1429.1"/>
    <n v="1443.6"/>
    <n v="1441"/>
    <n v="1440.3"/>
    <n v="1435.71"/>
    <n v="1500"/>
    <n v="1153"/>
    <n v="7432535"/>
    <n v="10670930441.9"/>
    <n v="151043"/>
    <x v="4"/>
    <n v="2.5"/>
    <x v="2"/>
    <n v="8"/>
    <x v="4"/>
    <n v="4.6157441670237213E-2"/>
  </r>
  <r>
    <d v="2025-08-06T00:00:00"/>
    <s v="EQ"/>
    <n v="1442.3"/>
    <n v="1454"/>
    <n v="1441.6"/>
    <n v="1444.4"/>
    <n v="1443.5"/>
    <n v="1443.6"/>
    <n v="1446.52"/>
    <n v="1500"/>
    <n v="1153"/>
    <n v="7805252"/>
    <n v="11290438379.5"/>
    <n v="121663"/>
    <x v="4"/>
    <n v="2.1000000000001364"/>
    <x v="2"/>
    <n v="8"/>
    <x v="4"/>
    <n v="4.6157441670237213E-2"/>
  </r>
  <r>
    <d v="2025-08-05T00:00:00"/>
    <s v="EQ"/>
    <n v="1453"/>
    <n v="1461.5"/>
    <n v="1441"/>
    <n v="1463.2"/>
    <n v="1445"/>
    <n v="1444.4"/>
    <n v="1445.77"/>
    <n v="1500"/>
    <n v="1153"/>
    <n v="14799343"/>
    <n v="21396397537.400002"/>
    <n v="156234"/>
    <x v="4"/>
    <n v="10.200000000000045"/>
    <x v="2"/>
    <n v="8"/>
    <x v="4"/>
    <n v="4.6157441670237213E-2"/>
  </r>
  <r>
    <d v="2025-08-04T00:00:00"/>
    <s v="EQ"/>
    <n v="1476.8"/>
    <n v="1478.8"/>
    <n v="1461.3"/>
    <n v="1471.6"/>
    <n v="1463.1"/>
    <n v="1463.2"/>
    <n v="1466.67"/>
    <n v="1500"/>
    <n v="1153"/>
    <n v="6140054"/>
    <n v="9005448862.6000004"/>
    <n v="135797"/>
    <x v="4"/>
    <n v="-5.2000000000000455"/>
    <x v="2"/>
    <n v="8"/>
    <x v="4"/>
    <n v="4.6157441670237213E-2"/>
  </r>
  <r>
    <d v="2025-08-01T00:00:00"/>
    <s v="EQ"/>
    <n v="1480.4"/>
    <n v="1485.1"/>
    <n v="1469.8"/>
    <n v="1481.4"/>
    <n v="1470.1"/>
    <n v="1471.6"/>
    <n v="1474.75"/>
    <n v="1500"/>
    <n v="1153"/>
    <n v="4416771"/>
    <n v="6513645513.8000002"/>
    <n v="142277"/>
    <x v="4"/>
    <n v="1"/>
    <x v="2"/>
    <n v="8"/>
    <x v="4"/>
    <n v="4.6157441670237213E-2"/>
  </r>
  <r>
    <d v="2025-07-31T00:00:00"/>
    <s v="EQ"/>
    <n v="1469.9"/>
    <n v="1494.5"/>
    <n v="1464"/>
    <n v="1482.4"/>
    <n v="1485.1"/>
    <n v="1481.4"/>
    <n v="1481.12"/>
    <n v="1500"/>
    <n v="1153"/>
    <n v="12406146"/>
    <n v="18375022495.400002"/>
    <n v="306162"/>
    <x v="4"/>
    <n v="12.5"/>
    <x v="2"/>
    <n v="7"/>
    <x v="5"/>
    <n v="4.6157441670237213E-2"/>
  </r>
  <r>
    <d v="2025-07-30T00:00:00"/>
    <s v="EQ"/>
    <n v="1487.7"/>
    <n v="1488.5"/>
    <n v="1477.3"/>
    <n v="1486.2"/>
    <n v="1480.1"/>
    <n v="1482.4"/>
    <n v="1483.4"/>
    <n v="1500"/>
    <n v="1153"/>
    <n v="7238625"/>
    <n v="10737774608"/>
    <n v="176359"/>
    <x v="4"/>
    <n v="-1.5"/>
    <x v="2"/>
    <n v="7"/>
    <x v="5"/>
    <n v="4.6157441670237213E-2"/>
  </r>
  <r>
    <d v="2025-07-29T00:00:00"/>
    <s v="EQ"/>
    <n v="1479.9"/>
    <n v="1489.8"/>
    <n v="1475.4"/>
    <n v="1488.4"/>
    <n v="1484.9"/>
    <n v="1486.2"/>
    <n v="1483.47"/>
    <n v="1500"/>
    <n v="1153"/>
    <n v="9776027"/>
    <n v="14502489122.799999"/>
    <n v="230759"/>
    <x v="4"/>
    <n v="8.5"/>
    <x v="2"/>
    <n v="7"/>
    <x v="5"/>
    <n v="4.6157441670237213E-2"/>
  </r>
  <r>
    <d v="2025-07-28T00:00:00"/>
    <s v="EQ"/>
    <n v="1477.1"/>
    <n v="1493.8"/>
    <n v="1477.1"/>
    <n v="1477.1"/>
    <n v="1488"/>
    <n v="1488.4"/>
    <n v="1487.05"/>
    <n v="1500"/>
    <n v="1153"/>
    <n v="7507479"/>
    <n v="11164017329.700001"/>
    <n v="199416"/>
    <x v="4"/>
    <n v="0"/>
    <x v="2"/>
    <n v="7"/>
    <x v="5"/>
    <n v="4.6157441670237213E-2"/>
  </r>
  <r>
    <d v="2025-07-25T00:00:00"/>
    <s v="EQ"/>
    <n v="1500"/>
    <n v="1500"/>
    <n v="1473.6"/>
    <n v="1483.4"/>
    <n v="1477.9"/>
    <n v="1477.1"/>
    <n v="1481.47"/>
    <n v="1500"/>
    <n v="1153"/>
    <n v="8696077"/>
    <n v="12883011018.6"/>
    <n v="193064"/>
    <x v="4"/>
    <n v="-16.599999999999909"/>
    <x v="2"/>
    <n v="7"/>
    <x v="5"/>
    <n v="4.6157441670237213E-2"/>
  </r>
  <r>
    <d v="2025-07-24T00:00:00"/>
    <s v="EQ"/>
    <n v="1487.7"/>
    <n v="1488.7"/>
    <n v="1478.1"/>
    <n v="1488.6"/>
    <n v="1480.9"/>
    <n v="1483.4"/>
    <n v="1484.44"/>
    <n v="1490"/>
    <n v="1153"/>
    <n v="6700578"/>
    <n v="9946614738.2999992"/>
    <n v="137503"/>
    <x v="4"/>
    <n v="0.89999999999986358"/>
    <x v="2"/>
    <n v="7"/>
    <x v="5"/>
    <n v="4.6157441670237213E-2"/>
  </r>
  <r>
    <d v="2025-07-23T00:00:00"/>
    <s v="EQ"/>
    <n v="1482.9"/>
    <n v="1490"/>
    <n v="1472.6"/>
    <n v="1473.6"/>
    <n v="1486.6"/>
    <n v="1488.6"/>
    <n v="1483.02"/>
    <n v="1490"/>
    <n v="1153"/>
    <n v="11974174"/>
    <n v="17757890209.5"/>
    <n v="184240"/>
    <x v="4"/>
    <n v="-9.3000000000001819"/>
    <x v="2"/>
    <n v="7"/>
    <x v="5"/>
    <n v="4.6157441670237213E-2"/>
  </r>
  <r>
    <d v="2025-07-22T00:00:00"/>
    <s v="EQ"/>
    <n v="1474.1"/>
    <n v="1482"/>
    <n v="1469.7"/>
    <n v="1465.8"/>
    <n v="1471.6"/>
    <n v="1473.6"/>
    <n v="1474.9"/>
    <n v="1482"/>
    <n v="1153"/>
    <n v="8930165"/>
    <n v="13171093377.9"/>
    <n v="233507"/>
    <x v="4"/>
    <n v="-8.2999999999999545"/>
    <x v="2"/>
    <n v="7"/>
    <x v="5"/>
    <n v="4.6157441670237213E-2"/>
  </r>
  <r>
    <d v="2025-07-21T00:00:00"/>
    <s v="EQ"/>
    <n v="1448"/>
    <n v="1467.7"/>
    <n v="1437"/>
    <n v="1425.8"/>
    <n v="1464.5"/>
    <n v="1465.8"/>
    <n v="1457.79"/>
    <n v="1471.6"/>
    <n v="1153"/>
    <n v="13867136"/>
    <n v="20215422421.299999"/>
    <n v="232151"/>
    <x v="4"/>
    <n v="-22.200000000000045"/>
    <x v="2"/>
    <n v="7"/>
    <x v="5"/>
    <n v="4.6157441670237213E-2"/>
  </r>
  <r>
    <d v="2025-07-18T00:00:00"/>
    <s v="EQ"/>
    <n v="1415.8"/>
    <n v="1429"/>
    <n v="1408.5"/>
    <n v="1418.7"/>
    <n v="1426.7"/>
    <n v="1425.8"/>
    <n v="1418.92"/>
    <n v="1471.6"/>
    <n v="1153"/>
    <n v="11297246"/>
    <n v="16029882215.200001"/>
    <n v="205005"/>
    <x v="4"/>
    <n v="2.9000000000000909"/>
    <x v="2"/>
    <n v="7"/>
    <x v="5"/>
    <n v="4.6157441670237213E-2"/>
  </r>
  <r>
    <d v="2025-07-17T00:00:00"/>
    <s v="EQ"/>
    <n v="1421"/>
    <n v="1423.2"/>
    <n v="1409.5"/>
    <n v="1426.4"/>
    <n v="1418.4"/>
    <n v="1418.7"/>
    <n v="1416.65"/>
    <n v="1471.6"/>
    <n v="1153"/>
    <n v="12927394"/>
    <n v="18313603998.400002"/>
    <n v="234109"/>
    <x v="4"/>
    <n v="5.4000000000000909"/>
    <x v="2"/>
    <n v="7"/>
    <x v="5"/>
    <n v="4.6157441670237213E-2"/>
  </r>
  <r>
    <d v="2025-07-16T00:00:00"/>
    <s v="EQ"/>
    <n v="1426"/>
    <n v="1429.2"/>
    <n v="1419.1"/>
    <n v="1430.8"/>
    <n v="1425.9"/>
    <n v="1426.4"/>
    <n v="1425.18"/>
    <n v="1471.6"/>
    <n v="1153"/>
    <n v="5649093"/>
    <n v="8050995851.3999996"/>
    <n v="121488"/>
    <x v="4"/>
    <n v="4.7999999999999545"/>
    <x v="2"/>
    <n v="7"/>
    <x v="5"/>
    <n v="4.6157441670237213E-2"/>
  </r>
  <r>
    <d v="2025-07-15T00:00:00"/>
    <s v="EQ"/>
    <n v="1421.1"/>
    <n v="1433.8"/>
    <n v="1419"/>
    <n v="1423"/>
    <n v="1432"/>
    <n v="1430.8"/>
    <n v="1426.47"/>
    <n v="1471.6"/>
    <n v="1153"/>
    <n v="6041457"/>
    <n v="8617966324.8999996"/>
    <n v="175820"/>
    <x v="4"/>
    <n v="1.9000000000000909"/>
    <x v="2"/>
    <n v="7"/>
    <x v="5"/>
    <n v="4.6157441670237213E-2"/>
  </r>
  <r>
    <d v="2025-07-14T00:00:00"/>
    <s v="EQ"/>
    <n v="1424.9"/>
    <n v="1424.9"/>
    <n v="1416.1"/>
    <n v="1421.9"/>
    <n v="1421.9"/>
    <n v="1423"/>
    <n v="1421.21"/>
    <n v="1471.6"/>
    <n v="1153"/>
    <n v="5846154"/>
    <n v="8308587601.3000002"/>
    <n v="113668"/>
    <x v="4"/>
    <n v="-3"/>
    <x v="2"/>
    <n v="7"/>
    <x v="5"/>
    <n v="4.6157441670237213E-2"/>
  </r>
  <r>
    <d v="2025-07-11T00:00:00"/>
    <s v="EQ"/>
    <n v="1422"/>
    <n v="1428"/>
    <n v="1414.6"/>
    <n v="1424.1"/>
    <n v="1422"/>
    <n v="1421.9"/>
    <n v="1420.14"/>
    <n v="1471.6"/>
    <n v="1153"/>
    <n v="7158015"/>
    <n v="10165411225.4"/>
    <n v="154732"/>
    <x v="4"/>
    <n v="2.0999999999999091"/>
    <x v="2"/>
    <n v="7"/>
    <x v="5"/>
    <n v="4.6157441670237213E-2"/>
  </r>
  <r>
    <d v="2025-07-10T00:00:00"/>
    <s v="EQ"/>
    <n v="1436.8"/>
    <n v="1439"/>
    <n v="1422.1"/>
    <n v="1431.9"/>
    <n v="1424"/>
    <n v="1424.1"/>
    <n v="1426.47"/>
    <n v="1471.6"/>
    <n v="1153"/>
    <n v="7795964"/>
    <n v="11120735791.1"/>
    <n v="158233"/>
    <x v="4"/>
    <n v="-4.8999999999998636"/>
    <x v="2"/>
    <n v="7"/>
    <x v="5"/>
    <n v="4.6157441670237213E-2"/>
  </r>
  <r>
    <d v="2025-07-09T00:00:00"/>
    <s v="EQ"/>
    <n v="1436.2"/>
    <n v="1438.7"/>
    <n v="1426.6"/>
    <n v="1442"/>
    <n v="1430.8"/>
    <n v="1431.9"/>
    <n v="1431.91"/>
    <n v="1471.6"/>
    <n v="1153"/>
    <n v="8827347"/>
    <n v="12639971093.5"/>
    <n v="120088"/>
    <x v="4"/>
    <n v="5.7999999999999545"/>
    <x v="2"/>
    <n v="7"/>
    <x v="5"/>
    <n v="4.6157441670237213E-2"/>
  </r>
  <r>
    <d v="2025-07-08T00:00:00"/>
    <s v="EQ"/>
    <n v="1432"/>
    <n v="1445"/>
    <n v="1430"/>
    <n v="1435.7"/>
    <n v="1443"/>
    <n v="1442"/>
    <n v="1440.56"/>
    <n v="1471.6"/>
    <n v="1153"/>
    <n v="5315847"/>
    <n v="7657790478.1000004"/>
    <n v="123124"/>
    <x v="4"/>
    <n v="3.7000000000000455"/>
    <x v="2"/>
    <n v="7"/>
    <x v="5"/>
    <n v="4.6157441670237213E-2"/>
  </r>
  <r>
    <d v="2025-07-07T00:00:00"/>
    <s v="EQ"/>
    <n v="1437"/>
    <n v="1440.9"/>
    <n v="1429.6"/>
    <n v="1442.8"/>
    <n v="1435.9"/>
    <n v="1435.7"/>
    <n v="1433.38"/>
    <n v="1471.6"/>
    <n v="1153"/>
    <n v="5177477"/>
    <n v="7421312203.1000004"/>
    <n v="127818"/>
    <x v="4"/>
    <n v="5.7999999999999545"/>
    <x v="2"/>
    <n v="7"/>
    <x v="5"/>
    <n v="4.6157441670237213E-2"/>
  </r>
  <r>
    <d v="2025-07-04T00:00:00"/>
    <s v="EQ"/>
    <n v="1427"/>
    <n v="1444.4"/>
    <n v="1421.1"/>
    <n v="1425.9"/>
    <n v="1443"/>
    <n v="1442.8"/>
    <n v="1433.52"/>
    <n v="1471.6"/>
    <n v="1153"/>
    <n v="5066503"/>
    <n v="7262913585.5"/>
    <n v="127265"/>
    <x v="4"/>
    <n v="-1.0999999999999091"/>
    <x v="2"/>
    <n v="7"/>
    <x v="5"/>
    <n v="4.6157441670237213E-2"/>
  </r>
  <r>
    <d v="2025-07-03T00:00:00"/>
    <s v="EQ"/>
    <n v="1432.1"/>
    <n v="1446.1"/>
    <n v="1423.7"/>
    <n v="1427.8"/>
    <n v="1427"/>
    <n v="1425.9"/>
    <n v="1429.96"/>
    <n v="1471.6"/>
    <n v="1153"/>
    <n v="10177738"/>
    <n v="14553751194.799999"/>
    <n v="181095"/>
    <x v="4"/>
    <n v="-4.2999999999999545"/>
    <x v="2"/>
    <n v="7"/>
    <x v="5"/>
    <n v="4.6157441670237213E-2"/>
  </r>
  <r>
    <d v="2025-07-02T00:00:00"/>
    <s v="EQ"/>
    <n v="1432.2"/>
    <n v="1451"/>
    <n v="1422.6"/>
    <n v="1432"/>
    <n v="1427.8"/>
    <n v="1427.8"/>
    <n v="1430.58"/>
    <n v="1471.6"/>
    <n v="1153"/>
    <n v="13372280"/>
    <n v="19130157807.700001"/>
    <n v="213176"/>
    <x v="4"/>
    <n v="-0.20000000000004547"/>
    <x v="2"/>
    <n v="7"/>
    <x v="5"/>
    <n v="4.6157441670237213E-2"/>
  </r>
  <r>
    <d v="2025-07-01T00:00:00"/>
    <s v="EQ"/>
    <n v="1445.7"/>
    <n v="1447.6"/>
    <n v="1429.6"/>
    <n v="1445.8"/>
    <n v="1431.7"/>
    <n v="1432"/>
    <n v="1435.52"/>
    <n v="1471.6"/>
    <n v="1153"/>
    <n v="7761449"/>
    <n v="11141735649.700001"/>
    <n v="185345"/>
    <x v="4"/>
    <n v="9.9999999999909051E-2"/>
    <x v="2"/>
    <n v="7"/>
    <x v="5"/>
    <n v="4.6157441670237213E-2"/>
  </r>
  <r>
    <d v="2025-06-30T00:00:00"/>
    <s v="EQ"/>
    <n v="1461.8"/>
    <n v="1461.9"/>
    <n v="1442.3"/>
    <n v="1462.2"/>
    <n v="1449"/>
    <n v="1445.8"/>
    <n v="1449.97"/>
    <n v="1471.6"/>
    <n v="1153"/>
    <n v="6325073"/>
    <n v="9171182603.2000008"/>
    <n v="187773"/>
    <x v="4"/>
    <n v="0.40000000000009095"/>
    <x v="2"/>
    <n v="6"/>
    <x v="6"/>
    <n v="4.6157441670237213E-2"/>
  </r>
  <r>
    <d v="2025-06-27T00:00:00"/>
    <s v="EQ"/>
    <n v="1438.9"/>
    <n v="1466"/>
    <n v="1437.1"/>
    <n v="1439.1"/>
    <n v="1457.9"/>
    <n v="1462.2"/>
    <n v="1457.56"/>
    <n v="1471.6"/>
    <n v="1152.6500000000001"/>
    <n v="22532899"/>
    <n v="32843085618.200001"/>
    <n v="217058"/>
    <x v="4"/>
    <n v="0.1999999999998181"/>
    <x v="2"/>
    <n v="6"/>
    <x v="6"/>
    <n v="4.6157441670237213E-2"/>
  </r>
  <r>
    <d v="2025-06-26T00:00:00"/>
    <s v="EQ"/>
    <n v="1424.8"/>
    <n v="1447.5"/>
    <n v="1421.7"/>
    <n v="1425.8"/>
    <n v="1440"/>
    <n v="1439.1"/>
    <n v="1436.85"/>
    <n v="1471.6"/>
    <n v="1152.6500000000001"/>
    <n v="13617435"/>
    <n v="19566210028.900002"/>
    <n v="220490"/>
    <x v="4"/>
    <n v="1"/>
    <x v="2"/>
    <n v="6"/>
    <x v="6"/>
    <n v="4.6157441670237213E-2"/>
  </r>
  <r>
    <d v="2025-06-25T00:00:00"/>
    <s v="EQ"/>
    <n v="1422"/>
    <n v="1428.9"/>
    <n v="1415.3"/>
    <n v="1424.1"/>
    <n v="1424.5"/>
    <n v="1425.8"/>
    <n v="1423.08"/>
    <n v="1471.6"/>
    <n v="1152.6500000000001"/>
    <n v="7527388"/>
    <n v="10712047350.9"/>
    <n v="147548"/>
    <x v="4"/>
    <n v="2.0999999999999091"/>
    <x v="2"/>
    <n v="6"/>
    <x v="6"/>
    <n v="4.6157441670237213E-2"/>
  </r>
  <r>
    <d v="2025-06-24T00:00:00"/>
    <s v="EQ"/>
    <n v="1427.7"/>
    <n v="1435.9"/>
    <n v="1416.5"/>
    <n v="1420.1"/>
    <n v="1424"/>
    <n v="1424.1"/>
    <n v="1425.61"/>
    <n v="1471.6"/>
    <n v="1152.6500000000001"/>
    <n v="11188438"/>
    <n v="15950352718.799999"/>
    <n v="188014"/>
    <x v="4"/>
    <n v="-7.6000000000001364"/>
    <x v="2"/>
    <n v="6"/>
    <x v="6"/>
    <n v="4.6157441670237213E-2"/>
  </r>
  <r>
    <d v="2025-06-23T00:00:00"/>
    <s v="EQ"/>
    <n v="1417"/>
    <n v="1423.2"/>
    <n v="1411.9"/>
    <n v="1427.1"/>
    <n v="1419.1"/>
    <n v="1420.1"/>
    <n v="1417.98"/>
    <n v="1471.6"/>
    <n v="1152.6500000000001"/>
    <n v="5514384"/>
    <n v="7819302210.1999998"/>
    <n v="160229"/>
    <x v="4"/>
    <n v="10.099999999999909"/>
    <x v="2"/>
    <n v="6"/>
    <x v="6"/>
    <n v="4.6157441670237213E-2"/>
  </r>
  <r>
    <d v="2025-06-20T00:00:00"/>
    <s v="EQ"/>
    <n v="1411.3"/>
    <n v="1433.3"/>
    <n v="1410.2"/>
    <n v="1411.3"/>
    <n v="1426.4"/>
    <n v="1427.1"/>
    <n v="1426.55"/>
    <n v="1471.6"/>
    <n v="1101.2"/>
    <n v="12408178"/>
    <n v="17700887653.799999"/>
    <n v="160865"/>
    <x v="4"/>
    <n v="0"/>
    <x v="2"/>
    <n v="6"/>
    <x v="6"/>
    <n v="4.6157441670237213E-2"/>
  </r>
  <r>
    <d v="2025-06-19T00:00:00"/>
    <s v="EQ"/>
    <n v="1408"/>
    <n v="1414.7"/>
    <n v="1404.7"/>
    <n v="1412.6"/>
    <n v="1410"/>
    <n v="1411.3"/>
    <n v="1409.62"/>
    <n v="1471.6"/>
    <n v="1101.2"/>
    <n v="8849883"/>
    <n v="12474998015.5"/>
    <n v="342983"/>
    <x v="4"/>
    <n v="4.5999999999999091"/>
    <x v="2"/>
    <n v="6"/>
    <x v="6"/>
    <n v="4.6157441670237213E-2"/>
  </r>
  <r>
    <d v="2025-06-18T00:00:00"/>
    <s v="EQ"/>
    <n v="1417"/>
    <n v="1432"/>
    <n v="1410.2"/>
    <n v="1423.2"/>
    <n v="1413"/>
    <n v="1412.6"/>
    <n v="1415.55"/>
    <n v="1471.6"/>
    <n v="1101.2"/>
    <n v="6751745"/>
    <n v="9557444212.1000004"/>
    <n v="162388"/>
    <x v="4"/>
    <n v="6.2000000000000455"/>
    <x v="2"/>
    <n v="6"/>
    <x v="6"/>
    <n v="4.6157441670237213E-2"/>
  </r>
  <r>
    <d v="2025-06-17T00:00:00"/>
    <s v="EQ"/>
    <n v="1426.9"/>
    <n v="1429.8"/>
    <n v="1417.8"/>
    <n v="1426.9"/>
    <n v="1422"/>
    <n v="1423.2"/>
    <n v="1423.27"/>
    <n v="1471.6"/>
    <n v="1101.2"/>
    <n v="6970098"/>
    <n v="9920298395"/>
    <n v="193761"/>
    <x v="4"/>
    <n v="0"/>
    <x v="2"/>
    <n v="6"/>
    <x v="6"/>
    <n v="4.6157441670237213E-2"/>
  </r>
  <r>
    <d v="2025-06-16T00:00:00"/>
    <s v="EQ"/>
    <n v="1416.6"/>
    <n v="1429"/>
    <n v="1414.2"/>
    <n v="1416.1"/>
    <n v="1427.9"/>
    <n v="1426.9"/>
    <n v="1423.44"/>
    <n v="1471.6"/>
    <n v="1101.2"/>
    <n v="5451137"/>
    <n v="7759340748.3999996"/>
    <n v="89237"/>
    <x v="4"/>
    <n v="-0.5"/>
    <x v="2"/>
    <n v="6"/>
    <x v="6"/>
    <n v="4.6157441670237213E-2"/>
  </r>
  <r>
    <d v="2025-06-13T00:00:00"/>
    <s v="EQ"/>
    <n v="1403.6"/>
    <n v="1421.5"/>
    <n v="1403.6"/>
    <n v="1425.2"/>
    <n v="1417.7"/>
    <n v="1416.1"/>
    <n v="1413.67"/>
    <n v="1471.6"/>
    <n v="1099.45"/>
    <n v="7573103"/>
    <n v="10705843818.299999"/>
    <n v="188584"/>
    <x v="4"/>
    <n v="21.600000000000136"/>
    <x v="2"/>
    <n v="6"/>
    <x v="6"/>
    <n v="4.6157441670237213E-2"/>
  </r>
  <r>
    <d v="2025-06-12T00:00:00"/>
    <s v="EQ"/>
    <n v="1430.5"/>
    <n v="1436.5"/>
    <n v="1420"/>
    <n v="1431"/>
    <n v="1424.5"/>
    <n v="1425.2"/>
    <n v="1425.62"/>
    <n v="1471.6"/>
    <n v="1099.45"/>
    <n v="7953247"/>
    <n v="11338280353.6"/>
    <n v="184161"/>
    <x v="4"/>
    <n v="0.5"/>
    <x v="2"/>
    <n v="6"/>
    <x v="6"/>
    <n v="4.6157441670237213E-2"/>
  </r>
  <r>
    <d v="2025-06-11T00:00:00"/>
    <s v="EQ"/>
    <n v="1421.8"/>
    <n v="1434.5"/>
    <n v="1418.6"/>
    <n v="1422.9"/>
    <n v="1430.3"/>
    <n v="1431"/>
    <n v="1430.07"/>
    <n v="1471.6"/>
    <n v="1099.45"/>
    <n v="7136877"/>
    <n v="10206208002.700001"/>
    <n v="234139"/>
    <x v="4"/>
    <n v="1.1000000000001364"/>
    <x v="2"/>
    <n v="6"/>
    <x v="6"/>
    <n v="4.6157441670237213E-2"/>
  </r>
  <r>
    <d v="2025-06-10T00:00:00"/>
    <s v="EQ"/>
    <n v="1439"/>
    <n v="1441.7"/>
    <n v="1416.5"/>
    <n v="1434.8"/>
    <n v="1421.8"/>
    <n v="1422.9"/>
    <n v="1422.89"/>
    <n v="1471.6"/>
    <n v="1099.45"/>
    <n v="12905272"/>
    <n v="18362844057.099998"/>
    <n v="376346"/>
    <x v="4"/>
    <n v="-4.2000000000000455"/>
    <x v="2"/>
    <n v="6"/>
    <x v="6"/>
    <n v="4.6157441670237213E-2"/>
  </r>
  <r>
    <d v="2025-06-09T00:00:00"/>
    <s v="EQ"/>
    <n v="1465"/>
    <n v="1466.8"/>
    <n v="1433.4"/>
    <n v="1459.7"/>
    <n v="1434.5"/>
    <n v="1434.8"/>
    <n v="1441.92"/>
    <n v="1471.6"/>
    <n v="1099.45"/>
    <n v="11022031"/>
    <n v="15892838386.700001"/>
    <n v="337749"/>
    <x v="4"/>
    <n v="-5.2999999999999545"/>
    <x v="2"/>
    <n v="6"/>
    <x v="6"/>
    <n v="4.6157441670237213E-2"/>
  </r>
  <r>
    <d v="2025-06-06T00:00:00"/>
    <s v="EQ"/>
    <n v="1448.6"/>
    <n v="1461.4"/>
    <n v="1442.1"/>
    <n v="1454.8"/>
    <n v="1460"/>
    <n v="1459.7"/>
    <n v="1455.63"/>
    <n v="1471.6"/>
    <n v="1051.05"/>
    <n v="11580994"/>
    <n v="16857621605.200001"/>
    <n v="215279"/>
    <x v="4"/>
    <n v="6.2000000000000455"/>
    <x v="2"/>
    <n v="6"/>
    <x v="6"/>
    <n v="4.6157441670237213E-2"/>
  </r>
  <r>
    <d v="2025-06-05T00:00:00"/>
    <s v="EQ"/>
    <n v="1430.9"/>
    <n v="1459"/>
    <n v="1427.3"/>
    <n v="1431"/>
    <n v="1456.3"/>
    <n v="1454.8"/>
    <n v="1448.79"/>
    <n v="1471.6"/>
    <n v="1051.05"/>
    <n v="11385668"/>
    <n v="16495394104.4"/>
    <n v="176086"/>
    <x v="4"/>
    <n v="9.9999999999909051E-2"/>
    <x v="2"/>
    <n v="6"/>
    <x v="6"/>
    <n v="4.6157441670237213E-2"/>
  </r>
  <r>
    <d v="2025-06-04T00:00:00"/>
    <s v="EQ"/>
    <n v="1437.4"/>
    <n v="1440.1"/>
    <n v="1426.4"/>
    <n v="1437.9"/>
    <n v="1431.1"/>
    <n v="1431"/>
    <n v="1430.63"/>
    <n v="1471.6"/>
    <n v="1051.05"/>
    <n v="8025388"/>
    <n v="11481343481.9"/>
    <n v="147312"/>
    <x v="4"/>
    <n v="0.5"/>
    <x v="2"/>
    <n v="6"/>
    <x v="6"/>
    <n v="4.6157441670237213E-2"/>
  </r>
  <r>
    <d v="2025-06-03T00:00:00"/>
    <s v="EQ"/>
    <n v="1454.9"/>
    <n v="1455"/>
    <n v="1432"/>
    <n v="1450.5"/>
    <n v="1437"/>
    <n v="1437.9"/>
    <n v="1438.02"/>
    <n v="1471.6"/>
    <n v="1051.05"/>
    <n v="11167345"/>
    <n v="16058876541.299999"/>
    <n v="225871"/>
    <x v="4"/>
    <n v="-4.4000000000000909"/>
    <x v="2"/>
    <n v="6"/>
    <x v="6"/>
    <n v="4.6157441670237213E-2"/>
  </r>
  <r>
    <d v="2025-06-02T00:00:00"/>
    <s v="EQ"/>
    <n v="1442"/>
    <n v="1460"/>
    <n v="1432.8"/>
    <n v="1445.8"/>
    <n v="1447.7"/>
    <n v="1450.5"/>
    <n v="1442.4"/>
    <n v="1471.6"/>
    <n v="1051.05"/>
    <n v="9458990"/>
    <n v="13643623560.299999"/>
    <n v="178241"/>
    <x v="4"/>
    <n v="3.7999999999999545"/>
    <x v="2"/>
    <n v="6"/>
    <x v="6"/>
    <n v="4.6157441670237213E-2"/>
  </r>
  <r>
    <d v="2025-05-30T00:00:00"/>
    <s v="EQ"/>
    <n v="1459.9"/>
    <n v="1460.9"/>
    <n v="1444.3"/>
    <n v="1456.5"/>
    <n v="1446.1"/>
    <n v="1445.8"/>
    <n v="1449.04"/>
    <n v="1471.6"/>
    <n v="1051.05"/>
    <n v="11803975"/>
    <n v="17104465533.299999"/>
    <n v="155611"/>
    <x v="4"/>
    <n v="-3.4000000000000909"/>
    <x v="2"/>
    <n v="5"/>
    <x v="7"/>
    <n v="4.6157441670237213E-2"/>
  </r>
  <r>
    <d v="2025-05-29T00:00:00"/>
    <s v="EQ"/>
    <n v="1456.6"/>
    <n v="1462.9"/>
    <n v="1445"/>
    <n v="1453.8"/>
    <n v="1461"/>
    <n v="1456.5"/>
    <n v="1452.26"/>
    <n v="1471.6"/>
    <n v="1051.05"/>
    <n v="15545514"/>
    <n v="22576188990.200001"/>
    <n v="210205"/>
    <x v="4"/>
    <n v="-2.7999999999999545"/>
    <x v="2"/>
    <n v="5"/>
    <x v="7"/>
    <n v="4.6157441670237213E-2"/>
  </r>
  <r>
    <d v="2025-05-28T00:00:00"/>
    <s v="EQ"/>
    <n v="1447.6"/>
    <n v="1458"/>
    <n v="1442.5"/>
    <n v="1446.4"/>
    <n v="1452.9"/>
    <n v="1453.8"/>
    <n v="1452.83"/>
    <n v="1471.6"/>
    <n v="1051.05"/>
    <n v="8618343"/>
    <n v="12521029815.6"/>
    <n v="135239"/>
    <x v="4"/>
    <n v="-1.1999999999998181"/>
    <x v="2"/>
    <n v="5"/>
    <x v="7"/>
    <n v="4.6157441670237213E-2"/>
  </r>
  <r>
    <d v="2025-05-27T00:00:00"/>
    <s v="EQ"/>
    <n v="1452.5"/>
    <n v="1463"/>
    <n v="1435.7"/>
    <n v="1460.6"/>
    <n v="1445.3"/>
    <n v="1446.4"/>
    <n v="1445.59"/>
    <n v="1471.6"/>
    <n v="1051.05"/>
    <n v="14842959"/>
    <n v="21456811800.599998"/>
    <n v="221484"/>
    <x v="4"/>
    <n v="8.0999999999999091"/>
    <x v="2"/>
    <n v="5"/>
    <x v="7"/>
    <n v="4.6157441670237213E-2"/>
  </r>
  <r>
    <d v="2025-05-26T00:00:00"/>
    <s v="EQ"/>
    <n v="1458"/>
    <n v="1471.6"/>
    <n v="1455"/>
    <n v="1449.8"/>
    <n v="1460.5"/>
    <n v="1460.6"/>
    <n v="1460.94"/>
    <n v="1471.6"/>
    <n v="1051.05"/>
    <n v="5608725"/>
    <n v="8193994503.6999998"/>
    <n v="189038"/>
    <x v="4"/>
    <n v="-8.2000000000000455"/>
    <x v="2"/>
    <n v="5"/>
    <x v="7"/>
    <n v="4.6157441670237213E-2"/>
  </r>
  <r>
    <d v="2025-05-23T00:00:00"/>
    <s v="EQ"/>
    <n v="1442.2"/>
    <n v="1451.8"/>
    <n v="1434.4"/>
    <n v="1442.1"/>
    <n v="1450.5"/>
    <n v="1449.8"/>
    <n v="1446.83"/>
    <n v="1459.7"/>
    <n v="1051.05"/>
    <n v="5203706"/>
    <n v="7528852323.3000002"/>
    <n v="113699"/>
    <x v="4"/>
    <n v="-0.10000000000013642"/>
    <x v="2"/>
    <n v="5"/>
    <x v="7"/>
    <n v="4.6157441670237213E-2"/>
  </r>
  <r>
    <d v="2025-05-22T00:00:00"/>
    <s v="EQ"/>
    <n v="1441.1"/>
    <n v="1445.3"/>
    <n v="1427.8"/>
    <n v="1444.7"/>
    <n v="1440"/>
    <n v="1442.1"/>
    <n v="1435.62"/>
    <n v="1459.7"/>
    <n v="1051.05"/>
    <n v="7245933"/>
    <n v="10402374075.4"/>
    <n v="147665"/>
    <x v="4"/>
    <n v="3.6000000000001364"/>
    <x v="2"/>
    <n v="5"/>
    <x v="7"/>
    <n v="4.6157441670237213E-2"/>
  </r>
  <r>
    <d v="2025-05-21T00:00:00"/>
    <s v="EQ"/>
    <n v="1442.9"/>
    <n v="1451.3"/>
    <n v="1438.5"/>
    <n v="1438.2"/>
    <n v="1445.4"/>
    <n v="1444.7"/>
    <n v="1445.11"/>
    <n v="1459.7"/>
    <n v="1051.05"/>
    <n v="5510460"/>
    <n v="7963242254.5"/>
    <n v="106396"/>
    <x v="4"/>
    <n v="-4.7000000000000455"/>
    <x v="2"/>
    <n v="5"/>
    <x v="7"/>
    <n v="4.6157441670237213E-2"/>
  </r>
  <r>
    <d v="2025-05-20T00:00:00"/>
    <s v="EQ"/>
    <n v="1450.2"/>
    <n v="1459"/>
    <n v="1435.5"/>
    <n v="1449"/>
    <n v="1439.5"/>
    <n v="1438.2"/>
    <n v="1440.54"/>
    <n v="1459.7"/>
    <n v="1051.05"/>
    <n v="11352383"/>
    <n v="16353593402.1"/>
    <n v="128816"/>
    <x v="4"/>
    <n v="-1.2000000000000455"/>
    <x v="2"/>
    <n v="5"/>
    <x v="7"/>
    <n v="4.6157441670237213E-2"/>
  </r>
  <r>
    <d v="2025-05-19T00:00:00"/>
    <s v="EQ"/>
    <n v="1446.5"/>
    <n v="1459.7"/>
    <n v="1443.8"/>
    <n v="1454"/>
    <n v="1447"/>
    <n v="1449"/>
    <n v="1451.29"/>
    <n v="1459.7"/>
    <n v="1051.05"/>
    <n v="6005334"/>
    <n v="8715502198.1000004"/>
    <n v="139810"/>
    <x v="4"/>
    <n v="7.5"/>
    <x v="2"/>
    <n v="5"/>
    <x v="7"/>
    <n v="4.6157441670237213E-2"/>
  </r>
  <r>
    <d v="2025-05-16T00:00:00"/>
    <s v="EQ"/>
    <n v="1453.3"/>
    <n v="1458.7"/>
    <n v="1447"/>
    <n v="1450.8"/>
    <n v="1452.4"/>
    <n v="1454"/>
    <n v="1454.25"/>
    <n v="1458.7"/>
    <n v="1051.05"/>
    <n v="6439208"/>
    <n v="9364246054.8999996"/>
    <n v="145344"/>
    <x v="4"/>
    <n v="-2.5"/>
    <x v="2"/>
    <n v="5"/>
    <x v="7"/>
    <n v="4.6157441670237213E-2"/>
  </r>
  <r>
    <d v="2025-05-15T00:00:00"/>
    <s v="EQ"/>
    <n v="1425.9"/>
    <n v="1456.5"/>
    <n v="1415.5"/>
    <n v="1426.2"/>
    <n v="1451"/>
    <n v="1450.8"/>
    <n v="1438.96"/>
    <n v="1456.5"/>
    <n v="1051.05"/>
    <n v="18209264"/>
    <n v="26202383268.599998"/>
    <n v="211899"/>
    <x v="4"/>
    <n v="0.29999999999995453"/>
    <x v="2"/>
    <n v="5"/>
    <x v="7"/>
    <n v="4.6157441670237213E-2"/>
  </r>
  <r>
    <d v="2025-05-14T00:00:00"/>
    <s v="EQ"/>
    <n v="1429.9"/>
    <n v="1440.7"/>
    <n v="1417.3"/>
    <n v="1430.6"/>
    <n v="1427.4"/>
    <n v="1426.2"/>
    <n v="1427.87"/>
    <n v="1453"/>
    <n v="1051.05"/>
    <n v="8026837"/>
    <n v="11461311035"/>
    <n v="143054"/>
    <x v="4"/>
    <n v="0.6999999999998181"/>
    <x v="2"/>
    <n v="5"/>
    <x v="7"/>
    <n v="4.6157441670237213E-2"/>
  </r>
  <r>
    <d v="2025-05-13T00:00:00"/>
    <s v="EQ"/>
    <n v="1440.1"/>
    <n v="1447.9"/>
    <n v="1427.4"/>
    <n v="1448.5"/>
    <n v="1430.8"/>
    <n v="1430.6"/>
    <n v="1432.31"/>
    <n v="1453"/>
    <n v="1051.05"/>
    <n v="12475424"/>
    <n v="17868617217.5"/>
    <n v="209013"/>
    <x v="4"/>
    <n v="8.4000000000000909"/>
    <x v="2"/>
    <n v="5"/>
    <x v="7"/>
    <n v="4.6157441670237213E-2"/>
  </r>
  <r>
    <d v="2025-05-12T00:00:00"/>
    <s v="EQ"/>
    <n v="1409.4"/>
    <n v="1453"/>
    <n v="1404"/>
    <n v="1388.9"/>
    <n v="1451.5"/>
    <n v="1448.5"/>
    <n v="1436.69"/>
    <n v="1453"/>
    <n v="1051.05"/>
    <n v="9925445"/>
    <n v="14259837185.1"/>
    <n v="180758"/>
    <x v="4"/>
    <n v="-20.5"/>
    <x v="2"/>
    <n v="5"/>
    <x v="7"/>
    <n v="4.6157441670237213E-2"/>
  </r>
  <r>
    <d v="2025-05-09T00:00:00"/>
    <s v="EQ"/>
    <n v="1415.2"/>
    <n v="1419.9"/>
    <n v="1387"/>
    <n v="1435.5"/>
    <n v="1389"/>
    <n v="1388.9"/>
    <n v="1394.54"/>
    <n v="1448.9"/>
    <n v="1051.05"/>
    <n v="13491197"/>
    <n v="18814033148"/>
    <n v="248736"/>
    <x v="4"/>
    <n v="20.299999999999955"/>
    <x v="2"/>
    <n v="5"/>
    <x v="7"/>
    <n v="4.6157441670237213E-2"/>
  </r>
  <r>
    <d v="2025-05-08T00:00:00"/>
    <s v="EQ"/>
    <n v="1438.6"/>
    <n v="1448.9"/>
    <n v="1426.1"/>
    <n v="1435.4"/>
    <n v="1427.3"/>
    <n v="1435.5"/>
    <n v="1439.49"/>
    <n v="1448.9"/>
    <n v="1051.05"/>
    <n v="15306490"/>
    <n v="22033510832"/>
    <n v="182407"/>
    <x v="4"/>
    <n v="-3.1999999999998181"/>
    <x v="2"/>
    <n v="5"/>
    <x v="7"/>
    <n v="4.6157441670237213E-2"/>
  </r>
  <r>
    <d v="2025-05-07T00:00:00"/>
    <s v="EQ"/>
    <n v="1425"/>
    <n v="1442"/>
    <n v="1421"/>
    <n v="1431.6"/>
    <n v="1437.1"/>
    <n v="1435.4"/>
    <n v="1431.25"/>
    <n v="1446.8"/>
    <n v="1051.05"/>
    <n v="10480453"/>
    <n v="15000167610.700001"/>
    <n v="166481"/>
    <x v="4"/>
    <n v="6.5999999999999091"/>
    <x v="2"/>
    <n v="5"/>
    <x v="7"/>
    <n v="4.6157441670237213E-2"/>
  </r>
  <r>
    <d v="2025-05-06T00:00:00"/>
    <s v="EQ"/>
    <n v="1429"/>
    <n v="1433.7"/>
    <n v="1420.4"/>
    <n v="1429.4"/>
    <n v="1430"/>
    <n v="1431.6"/>
    <n v="1428.23"/>
    <n v="1446.8"/>
    <n v="1051.05"/>
    <n v="6301690"/>
    <n v="9000265687.1000004"/>
    <n v="133476"/>
    <x v="4"/>
    <n v="0.40000000000009095"/>
    <x v="2"/>
    <n v="5"/>
    <x v="7"/>
    <n v="4.6157441670237213E-2"/>
  </r>
  <r>
    <d v="2025-05-05T00:00:00"/>
    <s v="EQ"/>
    <n v="1440"/>
    <n v="1446.8"/>
    <n v="1426"/>
    <n v="1432.4"/>
    <n v="1427.4"/>
    <n v="1429.4"/>
    <n v="1432.29"/>
    <n v="1446.8"/>
    <n v="1051.05"/>
    <n v="4565705"/>
    <n v="6539397953.3999996"/>
    <n v="115354"/>
    <x v="4"/>
    <n v="-7.5999999999999091"/>
    <x v="2"/>
    <n v="5"/>
    <x v="7"/>
    <n v="4.6157441670237213E-2"/>
  </r>
  <r>
    <d v="2025-05-02T00:00:00"/>
    <s v="EQ"/>
    <n v="1426.9"/>
    <n v="1446.6"/>
    <n v="1424.6"/>
    <n v="1427"/>
    <n v="1429"/>
    <n v="1432.4"/>
    <n v="1436.51"/>
    <n v="1446.6"/>
    <n v="1051.05"/>
    <n v="10763492"/>
    <n v="15461819959.1"/>
    <n v="170242"/>
    <x v="4"/>
    <n v="9.9999999999909051E-2"/>
    <x v="2"/>
    <n v="5"/>
    <x v="7"/>
    <n v="4.6157441670237213E-2"/>
  </r>
  <r>
    <d v="2025-04-30T00:00:00"/>
    <s v="EQ"/>
    <n v="1433"/>
    <n v="1433.7"/>
    <n v="1400"/>
    <n v="1429.8"/>
    <n v="1424.3"/>
    <n v="1427"/>
    <n v="1427.91"/>
    <n v="1438.3"/>
    <n v="1051.05"/>
    <n v="14192027"/>
    <n v="20264976307.299999"/>
    <n v="238248"/>
    <x v="4"/>
    <n v="-3.2000000000000455"/>
    <x v="2"/>
    <n v="4"/>
    <x v="8"/>
    <n v="4.6157441670237213E-2"/>
  </r>
  <r>
    <d v="2025-04-29T00:00:00"/>
    <s v="EQ"/>
    <n v="1428.8"/>
    <n v="1438.3"/>
    <n v="1422.6"/>
    <n v="1428.8"/>
    <n v="1425.5"/>
    <n v="1429.8"/>
    <n v="1428.52"/>
    <n v="1438.3"/>
    <n v="1051.05"/>
    <n v="10786910"/>
    <n v="15409265024.5"/>
    <n v="223499"/>
    <x v="4"/>
    <n v="0"/>
    <x v="2"/>
    <n v="4"/>
    <x v="8"/>
    <n v="4.6157441670237213E-2"/>
  </r>
  <r>
    <d v="2025-04-28T00:00:00"/>
    <s v="EQ"/>
    <n v="1405.6"/>
    <n v="1435"/>
    <n v="1403.8"/>
    <n v="1404.8"/>
    <n v="1428"/>
    <n v="1428.8"/>
    <n v="1427.33"/>
    <n v="1436"/>
    <n v="1051.05"/>
    <n v="10948561"/>
    <n v="15627194700.700001"/>
    <n v="192819"/>
    <x v="4"/>
    <n v="-0.79999999999995453"/>
    <x v="2"/>
    <n v="4"/>
    <x v="8"/>
    <n v="4.6157441670237213E-2"/>
  </r>
  <r>
    <d v="2025-04-25T00:00:00"/>
    <s v="EQ"/>
    <n v="1410"/>
    <n v="1414.8"/>
    <n v="1388.4"/>
    <n v="1402.7"/>
    <n v="1403"/>
    <n v="1404.8"/>
    <n v="1400.91"/>
    <n v="1436"/>
    <n v="1051.05"/>
    <n v="11705093"/>
    <n v="16397782261.9"/>
    <n v="234552"/>
    <x v="4"/>
    <n v="-7.2999999999999545"/>
    <x v="2"/>
    <n v="4"/>
    <x v="8"/>
    <n v="4.6157441670237213E-2"/>
  </r>
  <r>
    <d v="2025-04-24T00:00:00"/>
    <s v="EQ"/>
    <n v="1416.3"/>
    <n v="1421.2"/>
    <n v="1398.8"/>
    <n v="1424.4"/>
    <n v="1401"/>
    <n v="1402.7"/>
    <n v="1407.84"/>
    <n v="1436"/>
    <n v="1051.05"/>
    <n v="15678099"/>
    <n v="22072210947.599998"/>
    <n v="210098"/>
    <x v="4"/>
    <n v="8.1000000000001364"/>
    <x v="2"/>
    <n v="4"/>
    <x v="8"/>
    <n v="4.6157441670237213E-2"/>
  </r>
  <r>
    <d v="2025-04-23T00:00:00"/>
    <s v="EQ"/>
    <n v="1429"/>
    <n v="1429.9"/>
    <n v="1411.3"/>
    <n v="1416.5"/>
    <n v="1422"/>
    <n v="1424.4"/>
    <n v="1421.06"/>
    <n v="1436"/>
    <n v="1051.05"/>
    <n v="13990764"/>
    <n v="19881670203.599998"/>
    <n v="220724"/>
    <x v="4"/>
    <n v="-12.5"/>
    <x v="2"/>
    <n v="4"/>
    <x v="8"/>
    <n v="4.6157441670237213E-2"/>
  </r>
  <r>
    <d v="2025-04-22T00:00:00"/>
    <s v="EQ"/>
    <n v="1412.8"/>
    <n v="1418.8"/>
    <n v="1398.9"/>
    <n v="1409.8"/>
    <n v="1414"/>
    <n v="1416.5"/>
    <n v="1410.65"/>
    <n v="1436"/>
    <n v="1051.05"/>
    <n v="16135274"/>
    <n v="22761177353.900002"/>
    <n v="275616"/>
    <x v="4"/>
    <n v="-3"/>
    <x v="2"/>
    <n v="4"/>
    <x v="8"/>
    <n v="4.6157441670237213E-2"/>
  </r>
  <r>
    <d v="2025-04-21T00:00:00"/>
    <s v="EQ"/>
    <n v="1436"/>
    <n v="1436"/>
    <n v="1404.7"/>
    <n v="1406.7"/>
    <n v="1408.1"/>
    <n v="1409.8"/>
    <n v="1416.7"/>
    <n v="1436"/>
    <n v="1051.05"/>
    <n v="16882426"/>
    <n v="23917404930.599998"/>
    <n v="291654"/>
    <x v="4"/>
    <n v="-29.299999999999955"/>
    <x v="2"/>
    <n v="4"/>
    <x v="8"/>
    <n v="4.6157441670237213E-2"/>
  </r>
  <r>
    <d v="2025-04-17T00:00:00"/>
    <s v="EQ"/>
    <n v="1362"/>
    <n v="1408.9"/>
    <n v="1360.1"/>
    <n v="1356.4"/>
    <n v="1407"/>
    <n v="1406.7"/>
    <n v="1391.92"/>
    <n v="1408.9"/>
    <n v="1048.0999999999999"/>
    <n v="17490424"/>
    <n v="24345198635.099998"/>
    <n v="294006"/>
    <x v="4"/>
    <n v="-5.5999999999999091"/>
    <x v="2"/>
    <n v="4"/>
    <x v="8"/>
    <n v="4.6157441670237213E-2"/>
  </r>
  <r>
    <d v="2025-04-16T00:00:00"/>
    <s v="EQ"/>
    <n v="1357"/>
    <n v="1359.7"/>
    <n v="1342.9"/>
    <n v="1350.2"/>
    <n v="1358"/>
    <n v="1356.4"/>
    <n v="1350.44"/>
    <n v="1373"/>
    <n v="1048.0999999999999"/>
    <n v="14039073"/>
    <n v="18958940775"/>
    <n v="180990"/>
    <x v="4"/>
    <n v="-6.7999999999999545"/>
    <x v="2"/>
    <n v="4"/>
    <x v="8"/>
    <n v="4.6157441670237213E-2"/>
  </r>
  <r>
    <d v="2025-04-15T00:00:00"/>
    <s v="EQ"/>
    <n v="1351"/>
    <n v="1354.3"/>
    <n v="1336.2"/>
    <n v="1311.65"/>
    <n v="1350.4"/>
    <n v="1350.2"/>
    <n v="1347.7"/>
    <n v="1373"/>
    <n v="1048.0999999999999"/>
    <n v="15202603"/>
    <n v="20488528370.700001"/>
    <n v="222333"/>
    <x v="4"/>
    <n v="-39.349999999999909"/>
    <x v="2"/>
    <n v="4"/>
    <x v="8"/>
    <n v="4.6157441670237213E-2"/>
  </r>
  <r>
    <d v="2025-04-11T00:00:00"/>
    <s v="EQ"/>
    <n v="1305.0999999999999"/>
    <n v="1325"/>
    <n v="1305.0999999999999"/>
    <n v="1300.8"/>
    <n v="1312.05"/>
    <n v="1311.65"/>
    <n v="1314.61"/>
    <n v="1373"/>
    <n v="1048.0999999999999"/>
    <n v="13064247"/>
    <n v="17174325317.9"/>
    <n v="224885"/>
    <x v="4"/>
    <n v="-4.2999999999999545"/>
    <x v="2"/>
    <n v="4"/>
    <x v="8"/>
    <n v="4.6157441670237213E-2"/>
  </r>
  <r>
    <d v="2025-04-09T00:00:00"/>
    <s v="EQ"/>
    <n v="1304.95"/>
    <n v="1305.0999999999999"/>
    <n v="1284.5"/>
    <n v="1299.9000000000001"/>
    <n v="1304"/>
    <n v="1300.8"/>
    <n v="1296.1199999999999"/>
    <n v="1373"/>
    <n v="1048.0999999999999"/>
    <n v="13005622"/>
    <n v="16856903289.700001"/>
    <n v="237174"/>
    <x v="4"/>
    <n v="-5.0499999999999545"/>
    <x v="2"/>
    <n v="4"/>
    <x v="8"/>
    <n v="4.6157441670237213E-2"/>
  </r>
  <r>
    <d v="2025-04-08T00:00:00"/>
    <s v="EQ"/>
    <n v="1299.8499999999999"/>
    <n v="1310.05"/>
    <n v="1287.3499999999999"/>
    <n v="1287.55"/>
    <n v="1300.05"/>
    <n v="1299.9000000000001"/>
    <n v="1298.3499999999999"/>
    <n v="1373"/>
    <n v="1048.0999999999999"/>
    <n v="13085762"/>
    <n v="16989934735.700001"/>
    <n v="171223"/>
    <x v="4"/>
    <n v="-12.299999999999955"/>
    <x v="2"/>
    <n v="4"/>
    <x v="8"/>
    <n v="4.6157441670237213E-2"/>
  </r>
  <r>
    <d v="2025-04-07T00:00:00"/>
    <s v="EQ"/>
    <n v="1295.25"/>
    <n v="1325"/>
    <n v="1265"/>
    <n v="1335.3"/>
    <n v="1294.0999999999999"/>
    <n v="1287.55"/>
    <n v="1290.47"/>
    <n v="1373"/>
    <n v="1048.0999999999999"/>
    <n v="19185012"/>
    <n v="24757611797.900002"/>
    <n v="515573"/>
    <x v="4"/>
    <n v="40.049999999999955"/>
    <x v="2"/>
    <n v="4"/>
    <x v="8"/>
    <n v="4.6157441670237213E-2"/>
  </r>
  <r>
    <d v="2025-04-04T00:00:00"/>
    <s v="EQ"/>
    <n v="1329.55"/>
    <n v="1338.55"/>
    <n v="1322.1"/>
    <n v="1329.55"/>
    <n v="1335"/>
    <n v="1335.3"/>
    <n v="1331.6"/>
    <n v="1373"/>
    <n v="1048.0999999999999"/>
    <n v="8648542"/>
    <n v="11516414124.299999"/>
    <n v="166068"/>
    <x v="4"/>
    <n v="0"/>
    <x v="2"/>
    <n v="4"/>
    <x v="8"/>
    <n v="4.6157441670237213E-2"/>
  </r>
  <r>
    <d v="2025-04-03T00:00:00"/>
    <s v="EQ"/>
    <n v="1321.95"/>
    <n v="1333"/>
    <n v="1321.25"/>
    <n v="1331.25"/>
    <n v="1328.95"/>
    <n v="1329.55"/>
    <n v="1328.6"/>
    <n v="1373"/>
    <n v="1048.0999999999999"/>
    <n v="4591008"/>
    <n v="6099629464.8000002"/>
    <n v="127085"/>
    <x v="4"/>
    <n v="9.2999999999999545"/>
    <x v="2"/>
    <n v="4"/>
    <x v="8"/>
    <n v="4.6157441670237213E-2"/>
  </r>
  <r>
    <d v="2025-04-02T00:00:00"/>
    <s v="EQ"/>
    <n v="1322.15"/>
    <n v="1337.95"/>
    <n v="1322.15"/>
    <n v="1318.45"/>
    <n v="1330.85"/>
    <n v="1331.25"/>
    <n v="1330.74"/>
    <n v="1373"/>
    <n v="1048.0999999999999"/>
    <n v="8042214"/>
    <n v="10702134959.6"/>
    <n v="127734"/>
    <x v="4"/>
    <n v="-3.7000000000000455"/>
    <x v="2"/>
    <n v="4"/>
    <x v="8"/>
    <n v="4.6157441670237213E-2"/>
  </r>
  <r>
    <d v="2025-04-01T00:00:00"/>
    <s v="EQ"/>
    <n v="1340"/>
    <n v="1352.35"/>
    <n v="1315.4"/>
    <n v="1348.35"/>
    <n v="1318.15"/>
    <n v="1318.45"/>
    <n v="1326.83"/>
    <n v="1373"/>
    <n v="1048.0999999999999"/>
    <n v="14288024"/>
    <n v="18957734985.950001"/>
    <n v="206118"/>
    <x v="4"/>
    <n v="8.3499999999999091"/>
    <x v="2"/>
    <n v="4"/>
    <x v="8"/>
    <n v="4.6157441670237213E-2"/>
  </r>
  <r>
    <d v="2025-03-28T00:00:00"/>
    <s v="EQ"/>
    <n v="1336"/>
    <n v="1357.95"/>
    <n v="1327.2"/>
    <n v="1336.65"/>
    <n v="1348"/>
    <n v="1348.35"/>
    <n v="1345.9"/>
    <n v="1373"/>
    <n v="1048.0999999999999"/>
    <n v="8266544"/>
    <n v="11125900933.9"/>
    <n v="142133"/>
    <x v="4"/>
    <n v="0.65000000000009095"/>
    <x v="2"/>
    <n v="3"/>
    <x v="9"/>
    <n v="4.6157441670237213E-2"/>
  </r>
  <r>
    <d v="2025-03-27T00:00:00"/>
    <s v="EQ"/>
    <n v="1333.15"/>
    <n v="1351.5"/>
    <n v="1333.15"/>
    <n v="1335.9"/>
    <n v="1339"/>
    <n v="1336.65"/>
    <n v="1340.7"/>
    <n v="1373"/>
    <n v="1048.0999999999999"/>
    <n v="15109614"/>
    <n v="20257403852.900002"/>
    <n v="187305"/>
    <x v="4"/>
    <n v="2.75"/>
    <x v="2"/>
    <n v="3"/>
    <x v="9"/>
    <n v="4.6157441670237213E-2"/>
  </r>
  <r>
    <d v="2025-03-26T00:00:00"/>
    <s v="EQ"/>
    <n v="1344.05"/>
    <n v="1358"/>
    <n v="1331.5"/>
    <n v="1343.7"/>
    <n v="1335.45"/>
    <n v="1335.9"/>
    <n v="1341.51"/>
    <n v="1373"/>
    <n v="1048.0999999999999"/>
    <n v="10859639"/>
    <n v="14568352861.700001"/>
    <n v="197579"/>
    <x v="4"/>
    <n v="-0.34999999999990905"/>
    <x v="2"/>
    <n v="3"/>
    <x v="9"/>
    <n v="4.6157441670237213E-2"/>
  </r>
  <r>
    <d v="2025-03-25T00:00:00"/>
    <s v="EQ"/>
    <n v="1359"/>
    <n v="1363.8"/>
    <n v="1330.05"/>
    <n v="1358.15"/>
    <n v="1341.95"/>
    <n v="1343.7"/>
    <n v="1345.81"/>
    <n v="1373"/>
    <n v="1048.0999999999999"/>
    <n v="16419207"/>
    <n v="22097082282.099998"/>
    <n v="326362"/>
    <x v="4"/>
    <n v="-0.84999999999990905"/>
    <x v="2"/>
    <n v="3"/>
    <x v="9"/>
    <n v="4.6157441670237213E-2"/>
  </r>
  <r>
    <d v="2025-03-24T00:00:00"/>
    <s v="EQ"/>
    <n v="1355.95"/>
    <n v="1373"/>
    <n v="1345.05"/>
    <n v="1343.1"/>
    <n v="1361.2"/>
    <n v="1358.15"/>
    <n v="1358.95"/>
    <n v="1373"/>
    <n v="1048.0999999999999"/>
    <n v="9352280"/>
    <n v="12709278600.9"/>
    <n v="203054"/>
    <x v="4"/>
    <n v="-12.850000000000136"/>
    <x v="2"/>
    <n v="3"/>
    <x v="9"/>
    <n v="4.6157441670237213E-2"/>
  </r>
  <r>
    <d v="2025-03-21T00:00:00"/>
    <s v="EQ"/>
    <n v="1316"/>
    <n v="1349"/>
    <n v="1311.6"/>
    <n v="1321.7"/>
    <n v="1337.95"/>
    <n v="1343.1"/>
    <n v="1341.59"/>
    <n v="1362.35"/>
    <n v="1048.0999999999999"/>
    <n v="60494318"/>
    <n v="81158565386.5"/>
    <n v="344744"/>
    <x v="4"/>
    <n v="5.7000000000000455"/>
    <x v="2"/>
    <n v="3"/>
    <x v="9"/>
    <n v="4.6157441670237213E-2"/>
  </r>
  <r>
    <d v="2025-03-20T00:00:00"/>
    <s v="EQ"/>
    <n v="1320"/>
    <n v="1324.25"/>
    <n v="1311.05"/>
    <n v="1313.1"/>
    <n v="1318.55"/>
    <n v="1321.7"/>
    <n v="1319.08"/>
    <n v="1362.35"/>
    <n v="1048.0999999999999"/>
    <n v="10886735"/>
    <n v="14360481637.450001"/>
    <n v="252535"/>
    <x v="4"/>
    <n v="-6.9000000000000909"/>
    <x v="2"/>
    <n v="3"/>
    <x v="9"/>
    <n v="4.6157441670237213E-2"/>
  </r>
  <r>
    <d v="2025-03-19T00:00:00"/>
    <s v="EQ"/>
    <n v="1305.5999999999999"/>
    <n v="1318.3"/>
    <n v="1302.1500000000001"/>
    <n v="1309.8499999999999"/>
    <n v="1316"/>
    <n v="1313.1"/>
    <n v="1311.61"/>
    <n v="1362.35"/>
    <n v="1048.0999999999999"/>
    <n v="11278014"/>
    <n v="14792332058.700001"/>
    <n v="244205"/>
    <x v="4"/>
    <n v="4.25"/>
    <x v="2"/>
    <n v="3"/>
    <x v="9"/>
    <n v="4.6157441670237213E-2"/>
  </r>
  <r>
    <d v="2025-03-18T00:00:00"/>
    <s v="EQ"/>
    <n v="1285.5"/>
    <n v="1313.85"/>
    <n v="1280.6500000000001"/>
    <n v="1269"/>
    <n v="1311.5"/>
    <n v="1309.8499999999999"/>
    <n v="1299.54"/>
    <n v="1362.35"/>
    <n v="1048.0999999999999"/>
    <n v="15645427"/>
    <n v="20331886817.150002"/>
    <n v="337230"/>
    <x v="4"/>
    <n v="-16.5"/>
    <x v="2"/>
    <n v="3"/>
    <x v="9"/>
    <n v="4.6157441670237213E-2"/>
  </r>
  <r>
    <d v="2025-03-17T00:00:00"/>
    <s v="EQ"/>
    <n v="1257.05"/>
    <n v="1273.95"/>
    <n v="1254.75"/>
    <n v="1250.05"/>
    <n v="1268.6500000000001"/>
    <n v="1269"/>
    <n v="1267.47"/>
    <n v="1362.35"/>
    <n v="1048.0999999999999"/>
    <n v="11164882"/>
    <n v="14151149490.549999"/>
    <n v="226414"/>
    <x v="4"/>
    <n v="-7"/>
    <x v="2"/>
    <n v="3"/>
    <x v="9"/>
    <n v="4.6157441670237213E-2"/>
  </r>
  <r>
    <d v="2025-03-13T00:00:00"/>
    <s v="EQ"/>
    <n v="1251.05"/>
    <n v="1255.5999999999999"/>
    <n v="1245.3"/>
    <n v="1243.95"/>
    <n v="1248.6500000000001"/>
    <n v="1250.05"/>
    <n v="1250.96"/>
    <n v="1362.35"/>
    <n v="1048.0999999999999"/>
    <n v="8132940"/>
    <n v="10173984588.65"/>
    <n v="190526"/>
    <x v="4"/>
    <n v="-7.0999999999999091"/>
    <x v="2"/>
    <n v="3"/>
    <x v="9"/>
    <n v="4.6157441670237213E-2"/>
  </r>
  <r>
    <d v="2025-03-12T00:00:00"/>
    <s v="EQ"/>
    <n v="1246.95"/>
    <n v="1251.95"/>
    <n v="1235.3"/>
    <n v="1245.4000000000001"/>
    <n v="1244.45"/>
    <n v="1243.95"/>
    <n v="1243.3699999999999"/>
    <n v="1362.35"/>
    <n v="1048.0999999999999"/>
    <n v="11548372"/>
    <n v="14358854881.85"/>
    <n v="197340"/>
    <x v="4"/>
    <n v="-1.5499999999999545"/>
    <x v="2"/>
    <n v="3"/>
    <x v="9"/>
    <n v="4.6157441670237213E-2"/>
  </r>
  <r>
    <d v="2025-03-11T00:00:00"/>
    <s v="EQ"/>
    <n v="1217.2"/>
    <n v="1248"/>
    <n v="1217.2"/>
    <n v="1214.8499999999999"/>
    <n v="1244.1500000000001"/>
    <n v="1245.4000000000001"/>
    <n v="1238.81"/>
    <n v="1362.35"/>
    <n v="1048.0999999999999"/>
    <n v="10927950"/>
    <n v="13537605281.450001"/>
    <n v="238907"/>
    <x v="4"/>
    <n v="-2.3500000000001364"/>
    <x v="2"/>
    <n v="3"/>
    <x v="9"/>
    <n v="4.6157441670237213E-2"/>
  </r>
  <r>
    <d v="2025-03-10T00:00:00"/>
    <s v="EQ"/>
    <n v="1208"/>
    <n v="1225.8"/>
    <n v="1208"/>
    <n v="1214.55"/>
    <n v="1212.9000000000001"/>
    <n v="1214.8499999999999"/>
    <n v="1218.5"/>
    <n v="1362.35"/>
    <n v="1048.0999999999999"/>
    <n v="7363437"/>
    <n v="8972340771.1499996"/>
    <n v="152261"/>
    <x v="4"/>
    <n v="6.5499999999999545"/>
    <x v="2"/>
    <n v="3"/>
    <x v="9"/>
    <n v="4.6157441670237213E-2"/>
  </r>
  <r>
    <d v="2025-03-07T00:00:00"/>
    <s v="EQ"/>
    <n v="1211.0999999999999"/>
    <n v="1217.8499999999999"/>
    <n v="1206.3"/>
    <n v="1218.05"/>
    <n v="1213.4000000000001"/>
    <n v="1214.55"/>
    <n v="1213.6300000000001"/>
    <n v="1362.35"/>
    <n v="1048.0999999999999"/>
    <n v="6620284"/>
    <n v="8034543520.3500004"/>
    <n v="118643"/>
    <x v="4"/>
    <n v="6.9500000000000455"/>
    <x v="2"/>
    <n v="3"/>
    <x v="9"/>
    <n v="4.6157441670237213E-2"/>
  </r>
  <r>
    <d v="2025-03-06T00:00:00"/>
    <s v="EQ"/>
    <n v="1227.95"/>
    <n v="1227.95"/>
    <n v="1209"/>
    <n v="1215.7"/>
    <n v="1219.8"/>
    <n v="1218.05"/>
    <n v="1217.04"/>
    <n v="1362.35"/>
    <n v="1048.0999999999999"/>
    <n v="11949475"/>
    <n v="14543033343.200001"/>
    <n v="250155"/>
    <x v="4"/>
    <n v="-12.25"/>
    <x v="2"/>
    <n v="3"/>
    <x v="9"/>
    <n v="4.6157441670237213E-2"/>
  </r>
  <r>
    <d v="2025-03-05T00:00:00"/>
    <s v="EQ"/>
    <n v="1217"/>
    <n v="1225.95"/>
    <n v="1211.3"/>
    <n v="1210.4000000000001"/>
    <n v="1215"/>
    <n v="1215.7"/>
    <n v="1216.73"/>
    <n v="1362.35"/>
    <n v="1048.0999999999999"/>
    <n v="9052846"/>
    <n v="11014865217.65"/>
    <n v="199811"/>
    <x v="4"/>
    <n v="-6.5999999999999091"/>
    <x v="2"/>
    <n v="3"/>
    <x v="9"/>
    <n v="4.6157441670237213E-2"/>
  </r>
  <r>
    <d v="2025-03-04T00:00:00"/>
    <s v="EQ"/>
    <n v="1207.1500000000001"/>
    <n v="1216.6500000000001"/>
    <n v="1206.25"/>
    <n v="1206.2"/>
    <n v="1212.8"/>
    <n v="1210.4000000000001"/>
    <n v="1210.78"/>
    <n v="1362.35"/>
    <n v="1048.0999999999999"/>
    <n v="9574490"/>
    <n v="11592601922.9"/>
    <n v="169550"/>
    <x v="4"/>
    <n v="-0.95000000000004547"/>
    <x v="2"/>
    <n v="3"/>
    <x v="9"/>
    <n v="4.6157441670237213E-2"/>
  </r>
  <r>
    <d v="2025-03-03T00:00:00"/>
    <s v="EQ"/>
    <n v="1210.5"/>
    <n v="1217"/>
    <n v="1204.1500000000001"/>
    <n v="1204.0999999999999"/>
    <n v="1208.7"/>
    <n v="1206.2"/>
    <n v="1209.49"/>
    <n v="1362.35"/>
    <n v="1048.0999999999999"/>
    <n v="8158881"/>
    <n v="9868073967.3500004"/>
    <n v="208311"/>
    <x v="4"/>
    <n v="-6.4000000000000909"/>
    <x v="2"/>
    <n v="3"/>
    <x v="9"/>
    <n v="4.6157441670237213E-2"/>
  </r>
  <r>
    <d v="2025-02-28T00:00:00"/>
    <s v="EQ"/>
    <n v="1216"/>
    <n v="1225"/>
    <n v="1200.0999999999999"/>
    <n v="1222.45"/>
    <n v="1201.0999999999999"/>
    <n v="1204.0999999999999"/>
    <n v="1208.9100000000001"/>
    <n v="1362.35"/>
    <n v="1038.5"/>
    <n v="20215075"/>
    <n v="24438200772.650002"/>
    <n v="268866"/>
    <x v="4"/>
    <n v="6.4500000000000455"/>
    <x v="2"/>
    <n v="2"/>
    <x v="10"/>
    <n v="4.6157441670237213E-2"/>
  </r>
  <r>
    <d v="2025-02-27T00:00:00"/>
    <s v="EQ"/>
    <n v="1225.1500000000001"/>
    <n v="1234.8499999999999"/>
    <n v="1218.45"/>
    <n v="1224.1500000000001"/>
    <n v="1220"/>
    <n v="1222.45"/>
    <n v="1226.56"/>
    <n v="1362.35"/>
    <n v="1038.5"/>
    <n v="12008162"/>
    <n v="14728753125"/>
    <n v="234248"/>
    <x v="4"/>
    <n v="-1"/>
    <x v="2"/>
    <n v="2"/>
    <x v="10"/>
    <n v="4.6157441670237213E-2"/>
  </r>
  <r>
    <d v="2025-02-25T00:00:00"/>
    <s v="EQ"/>
    <n v="1226.5999999999999"/>
    <n v="1231.6500000000001"/>
    <n v="1221"/>
    <n v="1218.3499999999999"/>
    <n v="1225.8"/>
    <n v="1224.1500000000001"/>
    <n v="1225"/>
    <n v="1362.35"/>
    <n v="1038.5"/>
    <n v="11059417"/>
    <n v="13547735420.799999"/>
    <n v="199168"/>
    <x v="4"/>
    <n v="-8.25"/>
    <x v="2"/>
    <n v="2"/>
    <x v="10"/>
    <n v="4.6157441670237213E-2"/>
  </r>
  <r>
    <d v="2025-02-24T00:00:00"/>
    <s v="EQ"/>
    <n v="1226.7"/>
    <n v="1231.9000000000001"/>
    <n v="1210.25"/>
    <n v="1232.95"/>
    <n v="1219.7"/>
    <n v="1218.3499999999999"/>
    <n v="1217.57"/>
    <n v="1362.35"/>
    <n v="1038.5"/>
    <n v="11522480"/>
    <n v="14029388111.950001"/>
    <n v="206398"/>
    <x v="4"/>
    <n v="6.25"/>
    <x v="2"/>
    <n v="2"/>
    <x v="10"/>
    <n v="4.6157441670237213E-2"/>
  </r>
  <r>
    <d v="2025-02-21T00:00:00"/>
    <s v="EQ"/>
    <n v="1241.0999999999999"/>
    <n v="1244.7"/>
    <n v="1224.55"/>
    <n v="1249.95"/>
    <n v="1232"/>
    <n v="1232.95"/>
    <n v="1233.19"/>
    <n v="1362.35"/>
    <n v="1023.35"/>
    <n v="7786428"/>
    <n v="9602112287.6499996"/>
    <n v="178759"/>
    <x v="4"/>
    <n v="8.8500000000001364"/>
    <x v="2"/>
    <n v="2"/>
    <x v="10"/>
    <n v="4.6157441670237213E-2"/>
  </r>
  <r>
    <d v="2025-02-20T00:00:00"/>
    <s v="EQ"/>
    <n v="1255.3499999999999"/>
    <n v="1264"/>
    <n v="1246.75"/>
    <n v="1261.6500000000001"/>
    <n v="1248.1500000000001"/>
    <n v="1249.95"/>
    <n v="1252.3"/>
    <n v="1362.35"/>
    <n v="1023.35"/>
    <n v="8398849"/>
    <n v="10517847931.9"/>
    <n v="204041"/>
    <x v="4"/>
    <n v="6.3000000000001819"/>
    <x v="2"/>
    <n v="2"/>
    <x v="10"/>
    <n v="4.6157441670237213E-2"/>
  </r>
  <r>
    <d v="2025-02-19T00:00:00"/>
    <s v="EQ"/>
    <n v="1234.8499999999999"/>
    <n v="1264.45"/>
    <n v="1230.25"/>
    <n v="1243.05"/>
    <n v="1261.5"/>
    <n v="1261.6500000000001"/>
    <n v="1253.9100000000001"/>
    <n v="1362.35"/>
    <n v="1023.35"/>
    <n v="10683412"/>
    <n v="13396072372.5"/>
    <n v="164771"/>
    <x v="4"/>
    <n v="8.2000000000000455"/>
    <x v="2"/>
    <n v="2"/>
    <x v="10"/>
    <n v="4.6157441670237213E-2"/>
  </r>
  <r>
    <d v="2025-02-18T00:00:00"/>
    <s v="EQ"/>
    <n v="1252.9000000000001"/>
    <n v="1257.5999999999999"/>
    <n v="1237.05"/>
    <n v="1251.1500000000001"/>
    <n v="1242.55"/>
    <n v="1243.05"/>
    <n v="1242.3699999999999"/>
    <n v="1362.35"/>
    <n v="1023.35"/>
    <n v="8135042"/>
    <n v="10106708536.6"/>
    <n v="257996"/>
    <x v="4"/>
    <n v="-1.75"/>
    <x v="2"/>
    <n v="2"/>
    <x v="10"/>
    <n v="4.6157441670237213E-2"/>
  </r>
  <r>
    <d v="2025-02-17T00:00:00"/>
    <s v="EQ"/>
    <n v="1251.1500000000001"/>
    <n v="1258.1500000000001"/>
    <n v="1233.25"/>
    <n v="1260.0999999999999"/>
    <n v="1251.6500000000001"/>
    <n v="1251.1500000000001"/>
    <n v="1244.8900000000001"/>
    <n v="1362.35"/>
    <n v="1023.35"/>
    <n v="8386151"/>
    <n v="10439844806.35"/>
    <n v="294062"/>
    <x v="4"/>
    <n v="8.9499999999998181"/>
    <x v="2"/>
    <n v="2"/>
    <x v="10"/>
    <n v="4.6157441670237213E-2"/>
  </r>
  <r>
    <d v="2025-02-14T00:00:00"/>
    <s v="EQ"/>
    <n v="1252.0999999999999"/>
    <n v="1263.5"/>
    <n v="1244.45"/>
    <n v="1248.9000000000001"/>
    <n v="1259"/>
    <n v="1260.0999999999999"/>
    <n v="1254.48"/>
    <n v="1362.35"/>
    <n v="985.25"/>
    <n v="10368438"/>
    <n v="13006959974.75"/>
    <n v="289728"/>
    <x v="4"/>
    <n v="-3.1999999999998181"/>
    <x v="2"/>
    <n v="2"/>
    <x v="10"/>
    <n v="4.6157441670237213E-2"/>
  </r>
  <r>
    <d v="2025-02-13T00:00:00"/>
    <s v="EQ"/>
    <n v="1252.55"/>
    <n v="1266"/>
    <n v="1245.9000000000001"/>
    <n v="1251.8"/>
    <n v="1248.5"/>
    <n v="1248.9000000000001"/>
    <n v="1254.6099999999999"/>
    <n v="1362.35"/>
    <n v="985.25"/>
    <n v="7263785"/>
    <n v="9113247793.3999996"/>
    <n v="261567"/>
    <x v="4"/>
    <n v="-0.75"/>
    <x v="2"/>
    <n v="2"/>
    <x v="10"/>
    <n v="4.6157441670237213E-2"/>
  </r>
  <r>
    <d v="2025-02-12T00:00:00"/>
    <s v="EQ"/>
    <n v="1257.2"/>
    <n v="1269.75"/>
    <n v="1244.6500000000001"/>
    <n v="1252.75"/>
    <n v="1252.8499999999999"/>
    <n v="1251.8"/>
    <n v="1252.33"/>
    <n v="1362.35"/>
    <n v="985.25"/>
    <n v="8809352"/>
    <n v="11032200057.65"/>
    <n v="320587"/>
    <x v="4"/>
    <n v="-4.4500000000000455"/>
    <x v="2"/>
    <n v="2"/>
    <x v="10"/>
    <n v="4.6157441670237213E-2"/>
  </r>
  <r>
    <d v="2025-02-11T00:00:00"/>
    <s v="EQ"/>
    <n v="1255.8499999999999"/>
    <n v="1261.8499999999999"/>
    <n v="1248.4000000000001"/>
    <n v="1262.5999999999999"/>
    <n v="1248.55"/>
    <n v="1252.75"/>
    <n v="1254.67"/>
    <n v="1362.35"/>
    <n v="985.25"/>
    <n v="6586627"/>
    <n v="8264043638.6999998"/>
    <n v="174408"/>
    <x v="4"/>
    <n v="6.75"/>
    <x v="2"/>
    <n v="2"/>
    <x v="10"/>
    <n v="4.6157441670237213E-2"/>
  </r>
  <r>
    <d v="2025-02-10T00:00:00"/>
    <s v="EQ"/>
    <n v="1257.2"/>
    <n v="1265"/>
    <n v="1249.3499999999999"/>
    <n v="1256.9000000000001"/>
    <n v="1259.5999999999999"/>
    <n v="1262.5999999999999"/>
    <n v="1257.56"/>
    <n v="1362.35"/>
    <n v="985.25"/>
    <n v="5740361"/>
    <n v="7218836541.1999998"/>
    <n v="180650"/>
    <x v="4"/>
    <n v="-0.29999999999995453"/>
    <x v="2"/>
    <n v="2"/>
    <x v="10"/>
    <n v="4.6157441670237213E-2"/>
  </r>
  <r>
    <d v="2025-02-07T00:00:00"/>
    <s v="EQ"/>
    <n v="1272"/>
    <n v="1275"/>
    <n v="1249.55"/>
    <n v="1272.4000000000001"/>
    <n v="1257"/>
    <n v="1256.9000000000001"/>
    <n v="1258.99"/>
    <n v="1362.35"/>
    <n v="985.25"/>
    <n v="7382039"/>
    <n v="9293877445.0499992"/>
    <n v="191355"/>
    <x v="4"/>
    <n v="0.40000000000009095"/>
    <x v="2"/>
    <n v="2"/>
    <x v="10"/>
    <n v="4.6157441670237213E-2"/>
  </r>
  <r>
    <d v="2025-02-06T00:00:00"/>
    <s v="EQ"/>
    <n v="1275"/>
    <n v="1279"/>
    <n v="1263.2"/>
    <n v="1267.7"/>
    <n v="1272"/>
    <n v="1272.4000000000001"/>
    <n v="1270.57"/>
    <n v="1362.35"/>
    <n v="985.25"/>
    <n v="8396554"/>
    <n v="10668440486.049999"/>
    <n v="226596"/>
    <x v="4"/>
    <n v="-7.2999999999999545"/>
    <x v="2"/>
    <n v="2"/>
    <x v="10"/>
    <n v="4.6157441670237213E-2"/>
  </r>
  <r>
    <d v="2025-02-05T00:00:00"/>
    <s v="EQ"/>
    <n v="1270.2"/>
    <n v="1277.75"/>
    <n v="1265.1500000000001"/>
    <n v="1268.2"/>
    <n v="1268.2"/>
    <n v="1267.7"/>
    <n v="1270.6500000000001"/>
    <n v="1362.35"/>
    <n v="985.25"/>
    <n v="6840709"/>
    <n v="8692168613.1000004"/>
    <n v="183398"/>
    <x v="4"/>
    <n v="-2"/>
    <x v="2"/>
    <n v="2"/>
    <x v="10"/>
    <n v="4.6157441670237213E-2"/>
  </r>
  <r>
    <d v="2025-02-04T00:00:00"/>
    <s v="EQ"/>
    <n v="1262.8"/>
    <n v="1280.5"/>
    <n v="1260"/>
    <n v="1253"/>
    <n v="1266.75"/>
    <n v="1268.2"/>
    <n v="1270.45"/>
    <n v="1362.35"/>
    <n v="985.25"/>
    <n v="14839077"/>
    <n v="18852369674.650002"/>
    <n v="259371"/>
    <x v="4"/>
    <n v="-9.7999999999999545"/>
    <x v="2"/>
    <n v="2"/>
    <x v="10"/>
    <n v="4.6157441670237213E-2"/>
  </r>
  <r>
    <d v="2025-02-03T00:00:00"/>
    <s v="EQ"/>
    <n v="1246.8499999999999"/>
    <n v="1260"/>
    <n v="1237.8"/>
    <n v="1255.55"/>
    <n v="1252.95"/>
    <n v="1253"/>
    <n v="1250.06"/>
    <n v="1362.35"/>
    <n v="985.25"/>
    <n v="6176831"/>
    <n v="7721438599.8500004"/>
    <n v="165087"/>
    <x v="4"/>
    <n v="8.7000000000000455"/>
    <x v="2"/>
    <n v="2"/>
    <x v="10"/>
    <n v="4.6157441670237213E-2"/>
  </r>
  <r>
    <d v="2025-02-01T00:00:00"/>
    <s v="EQ"/>
    <n v="1251.1500000000001"/>
    <n v="1261.3499999999999"/>
    <n v="1233.8"/>
    <n v="1252.8"/>
    <n v="1254.5"/>
    <n v="1255.55"/>
    <n v="1250.3399999999999"/>
    <n v="1362.35"/>
    <n v="985.25"/>
    <n v="3011914"/>
    <n v="3765927780.5500002"/>
    <n v="91971"/>
    <x v="4"/>
    <n v="1.6499999999998636"/>
    <x v="2"/>
    <n v="2"/>
    <x v="10"/>
    <n v="4.6157441670237213E-2"/>
  </r>
  <r>
    <d v="2025-01-31T00:00:00"/>
    <s v="EQ"/>
    <n v="1254.5"/>
    <n v="1256"/>
    <n v="1239.0999999999999"/>
    <n v="1255.5999999999999"/>
    <n v="1252.95"/>
    <n v="1252.8"/>
    <n v="1247.43"/>
    <n v="1362.35"/>
    <n v="985.25"/>
    <n v="10195417"/>
    <n v="12718079791.9"/>
    <n v="209906"/>
    <x v="4"/>
    <n v="1.0999999999999091"/>
    <x v="2"/>
    <n v="1"/>
    <x v="11"/>
    <n v="4.6157441670237213E-2"/>
  </r>
  <r>
    <d v="2025-01-30T00:00:00"/>
    <s v="EQ"/>
    <n v="1250"/>
    <n v="1259.8499999999999"/>
    <n v="1239.5"/>
    <n v="1251.6500000000001"/>
    <n v="1258.55"/>
    <n v="1255.5999999999999"/>
    <n v="1250.26"/>
    <n v="1362.35"/>
    <n v="985.25"/>
    <n v="11921041"/>
    <n v="14904352647.049999"/>
    <n v="331765"/>
    <x v="4"/>
    <n v="1.6500000000000909"/>
    <x v="2"/>
    <n v="1"/>
    <x v="11"/>
    <n v="4.6157441670237213E-2"/>
  </r>
  <r>
    <d v="2025-01-29T00:00:00"/>
    <s v="EQ"/>
    <n v="1252"/>
    <n v="1255.8"/>
    <n v="1243.05"/>
    <n v="1246.9000000000001"/>
    <n v="1251.4000000000001"/>
    <n v="1251.6500000000001"/>
    <n v="1249.6199999999999"/>
    <n v="1362.35"/>
    <n v="985.25"/>
    <n v="7666777"/>
    <n v="9580525136.6499996"/>
    <n v="219085"/>
    <x v="4"/>
    <n v="-5.0999999999999091"/>
    <x v="2"/>
    <n v="1"/>
    <x v="11"/>
    <n v="4.6157441670237213E-2"/>
  </r>
  <r>
    <d v="2025-01-28T00:00:00"/>
    <s v="EQ"/>
    <n v="1247.3499999999999"/>
    <n v="1264"/>
    <n v="1236"/>
    <n v="1227.95"/>
    <n v="1247.5"/>
    <n v="1246.9000000000001"/>
    <n v="1252.8699999999999"/>
    <n v="1362.35"/>
    <n v="985.25"/>
    <n v="18066499"/>
    <n v="22634905165.950001"/>
    <n v="356462"/>
    <x v="4"/>
    <n v="-19.399999999999864"/>
    <x v="2"/>
    <n v="1"/>
    <x v="11"/>
    <n v="4.6157441670237213E-2"/>
  </r>
  <r>
    <d v="2025-01-27T00:00:00"/>
    <s v="EQ"/>
    <n v="1195"/>
    <n v="1234.6500000000001"/>
    <n v="1193.0999999999999"/>
    <n v="1209.2"/>
    <n v="1225.25"/>
    <n v="1227.95"/>
    <n v="1224.23"/>
    <n v="1362.35"/>
    <n v="985.25"/>
    <n v="16164687"/>
    <n v="19789327544.650002"/>
    <n v="324795"/>
    <x v="4"/>
    <n v="14.200000000000045"/>
    <x v="2"/>
    <n v="1"/>
    <x v="11"/>
    <n v="4.6157441670237213E-2"/>
  </r>
  <r>
    <d v="2025-01-24T00:00:00"/>
    <s v="EQ"/>
    <n v="1203.0999999999999"/>
    <n v="1218"/>
    <n v="1202"/>
    <n v="1201.75"/>
    <n v="1213.7"/>
    <n v="1209.2"/>
    <n v="1209.19"/>
    <n v="1362.35"/>
    <n v="985.25"/>
    <n v="9216792"/>
    <n v="11144844611.200001"/>
    <n v="221872"/>
    <x v="4"/>
    <n v="-1.3499999999999091"/>
    <x v="2"/>
    <n v="1"/>
    <x v="11"/>
    <n v="4.6157441670237213E-2"/>
  </r>
  <r>
    <d v="2025-01-23T00:00:00"/>
    <s v="EQ"/>
    <n v="1197.25"/>
    <n v="1207.9000000000001"/>
    <n v="1186"/>
    <n v="1200.45"/>
    <n v="1202.4000000000001"/>
    <n v="1201.75"/>
    <n v="1201.27"/>
    <n v="1362.35"/>
    <n v="985.25"/>
    <n v="8770650"/>
    <n v="10535875098.799999"/>
    <n v="211991"/>
    <x v="4"/>
    <n v="3.2000000000000455"/>
    <x v="2"/>
    <n v="1"/>
    <x v="11"/>
    <n v="4.6157441670237213E-2"/>
  </r>
  <r>
    <d v="2025-01-22T00:00:00"/>
    <s v="EQ"/>
    <n v="1201"/>
    <n v="1207.5"/>
    <n v="1191.8"/>
    <n v="1196.1500000000001"/>
    <n v="1198.5999999999999"/>
    <n v="1200.45"/>
    <n v="1199.6500000000001"/>
    <n v="1362.35"/>
    <n v="985.25"/>
    <n v="10377123"/>
    <n v="12448945781.299999"/>
    <n v="269148"/>
    <x v="4"/>
    <n v="-4.8499999999999091"/>
    <x v="2"/>
    <n v="1"/>
    <x v="11"/>
    <n v="4.6157441670237213E-2"/>
  </r>
  <r>
    <d v="2025-01-21T00:00:00"/>
    <s v="EQ"/>
    <n v="1236.95"/>
    <n v="1238.95"/>
    <n v="1192.7"/>
    <n v="1232.95"/>
    <n v="1197.95"/>
    <n v="1196.1500000000001"/>
    <n v="1207.07"/>
    <n v="1362.35"/>
    <n v="985.25"/>
    <n v="20520898"/>
    <n v="24770261514.450001"/>
    <n v="297691"/>
    <x v="4"/>
    <n v="-4"/>
    <x v="2"/>
    <n v="1"/>
    <x v="11"/>
    <n v="4.6157441670237213E-2"/>
  </r>
  <r>
    <d v="2025-01-20T00:00:00"/>
    <s v="EQ"/>
    <n v="1223.9000000000001"/>
    <n v="1241.75"/>
    <n v="1215.25"/>
    <n v="1225.45"/>
    <n v="1232.55"/>
    <n v="1232.95"/>
    <n v="1229.43"/>
    <n v="1362.35"/>
    <n v="985.25"/>
    <n v="7676418"/>
    <n v="9437603015.1000004"/>
    <n v="240948"/>
    <x v="4"/>
    <n v="1.5499999999999545"/>
    <x v="2"/>
    <n v="1"/>
    <x v="11"/>
    <n v="4.6157441670237213E-2"/>
  </r>
  <r>
    <d v="2025-01-17T00:00:00"/>
    <s v="EQ"/>
    <n v="1243.3499999999999"/>
    <n v="1249"/>
    <n v="1218"/>
    <n v="1249.0999999999999"/>
    <n v="1225.1500000000001"/>
    <n v="1225.45"/>
    <n v="1226.5899999999999"/>
    <n v="1362.35"/>
    <n v="970.15"/>
    <n v="9790533"/>
    <n v="12008937114.35"/>
    <n v="157327"/>
    <x v="4"/>
    <n v="5.75"/>
    <x v="2"/>
    <n v="1"/>
    <x v="11"/>
    <n v="4.6157441670237213E-2"/>
  </r>
  <r>
    <d v="2025-01-16T00:00:00"/>
    <s v="EQ"/>
    <n v="1245.0999999999999"/>
    <n v="1255.5"/>
    <n v="1239.6500000000001"/>
    <n v="1238.25"/>
    <n v="1252.95"/>
    <n v="1249.0999999999999"/>
    <n v="1247.22"/>
    <n v="1362.35"/>
    <n v="970.15"/>
    <n v="11895924"/>
    <n v="14836843996.049999"/>
    <n v="181488"/>
    <x v="4"/>
    <n v="-6.8499999999999091"/>
    <x v="2"/>
    <n v="1"/>
    <x v="11"/>
    <n v="4.6157441670237213E-2"/>
  </r>
  <r>
    <d v="2025-01-15T00:00:00"/>
    <s v="EQ"/>
    <n v="1234"/>
    <n v="1244.4000000000001"/>
    <n v="1230"/>
    <n v="1240.3"/>
    <n v="1238.9000000000001"/>
    <n v="1238.25"/>
    <n v="1237.19"/>
    <n v="1362.35"/>
    <n v="970.15"/>
    <n v="5355382"/>
    <n v="6625607806.6000004"/>
    <n v="133555"/>
    <x v="4"/>
    <n v="6.2999999999999545"/>
    <x v="2"/>
    <n v="1"/>
    <x v="11"/>
    <n v="4.6157441670237213E-2"/>
  </r>
  <r>
    <d v="2025-01-14T00:00:00"/>
    <s v="EQ"/>
    <n v="1233.3499999999999"/>
    <n v="1244.8499999999999"/>
    <n v="1227.45"/>
    <n v="1229.75"/>
    <n v="1242.95"/>
    <n v="1240.3"/>
    <n v="1236.06"/>
    <n v="1362.35"/>
    <n v="970.15"/>
    <n v="10342698"/>
    <n v="12784218741"/>
    <n v="210917"/>
    <x v="4"/>
    <n v="-3.5999999999999091"/>
    <x v="2"/>
    <n v="1"/>
    <x v="11"/>
    <n v="4.6157441670237213E-2"/>
  </r>
  <r>
    <d v="2025-01-13T00:00:00"/>
    <s v="EQ"/>
    <n v="1234.9000000000001"/>
    <n v="1243.95"/>
    <n v="1224.9000000000001"/>
    <n v="1249.8499999999999"/>
    <n v="1230.9000000000001"/>
    <n v="1229.75"/>
    <n v="1232.97"/>
    <n v="1362.35"/>
    <n v="970.15"/>
    <n v="9669336"/>
    <n v="11922019625.6"/>
    <n v="204083"/>
    <x v="4"/>
    <n v="14.949999999999818"/>
    <x v="2"/>
    <n v="1"/>
    <x v="11"/>
    <n v="4.6157441670237213E-2"/>
  </r>
  <r>
    <d v="2025-01-10T00:00:00"/>
    <s v="EQ"/>
    <n v="1259"/>
    <n v="1264.95"/>
    <n v="1243.0999999999999"/>
    <n v="1262.4000000000001"/>
    <n v="1251.3499999999999"/>
    <n v="1249.8499999999999"/>
    <n v="1250.93"/>
    <n v="1362.35"/>
    <n v="970.15"/>
    <n v="7854524"/>
    <n v="9825430299.8999996"/>
    <n v="228905"/>
    <x v="4"/>
    <n v="3.4000000000000909"/>
    <x v="2"/>
    <n v="1"/>
    <x v="11"/>
    <n v="4.6157441670237213E-2"/>
  </r>
  <r>
    <d v="2025-01-09T00:00:00"/>
    <s v="EQ"/>
    <n v="1258"/>
    <n v="1264.75"/>
    <n v="1248.0999999999999"/>
    <n v="1263.75"/>
    <n v="1263.5"/>
    <n v="1262.4000000000001"/>
    <n v="1257.24"/>
    <n v="1362.35"/>
    <n v="970.15"/>
    <n v="8684920"/>
    <n v="10919031736.799999"/>
    <n v="161005"/>
    <x v="4"/>
    <n v="5.75"/>
    <x v="2"/>
    <n v="1"/>
    <x v="11"/>
    <n v="4.6157441670237213E-2"/>
  </r>
  <r>
    <d v="2025-01-08T00:00:00"/>
    <s v="EQ"/>
    <n v="1280.55"/>
    <n v="1285"/>
    <n v="1252.3499999999999"/>
    <n v="1279.25"/>
    <n v="1265"/>
    <n v="1263.75"/>
    <n v="1264.7"/>
    <n v="1362.35"/>
    <n v="970.15"/>
    <n v="7566309"/>
    <n v="9569113937.25"/>
    <n v="186833"/>
    <x v="4"/>
    <n v="-1.2999999999999545"/>
    <x v="2"/>
    <n v="1"/>
    <x v="11"/>
    <n v="4.6157441670237213E-2"/>
  </r>
  <r>
    <d v="2025-01-07T00:00:00"/>
    <s v="EQ"/>
    <n v="1266.5"/>
    <n v="1288.95"/>
    <n v="1266.5"/>
    <n v="1264.0999999999999"/>
    <n v="1280.5999999999999"/>
    <n v="1279.25"/>
    <n v="1280.3499999999999"/>
    <n v="1362.35"/>
    <n v="970.15"/>
    <n v="7539758"/>
    <n v="9653565084.1499996"/>
    <n v="153173"/>
    <x v="4"/>
    <n v="-2.4000000000000909"/>
    <x v="2"/>
    <n v="1"/>
    <x v="11"/>
    <n v="4.6157441670237213E-2"/>
  </r>
  <r>
    <d v="2025-01-06T00:00:00"/>
    <s v="EQ"/>
    <n v="1268.05"/>
    <n v="1277.75"/>
    <n v="1257"/>
    <n v="1265.05"/>
    <n v="1266"/>
    <n v="1264.0999999999999"/>
    <n v="1265.3399999999999"/>
    <n v="1362.35"/>
    <n v="970.15"/>
    <n v="7504047"/>
    <n v="9495149142.2000008"/>
    <n v="236168"/>
    <x v="4"/>
    <n v="-3"/>
    <x v="2"/>
    <n v="1"/>
    <x v="11"/>
    <n v="4.6157441670237213E-2"/>
  </r>
  <r>
    <d v="2025-01-03T00:00:00"/>
    <s v="EQ"/>
    <n v="1286.2"/>
    <n v="1288"/>
    <n v="1262.25"/>
    <n v="1290.5999999999999"/>
    <n v="1265.5999999999999"/>
    <n v="1265.05"/>
    <n v="1269.4000000000001"/>
    <n v="1362.35"/>
    <n v="970.15"/>
    <n v="11194997"/>
    <n v="14210918649.700001"/>
    <n v="219218"/>
    <x v="4"/>
    <n v="4.3999999999998636"/>
    <x v="2"/>
    <n v="1"/>
    <x v="11"/>
    <n v="4.6157441670237213E-2"/>
  </r>
  <r>
    <d v="2025-01-02T00:00:00"/>
    <s v="EQ"/>
    <n v="1285.0999999999999"/>
    <n v="1293.4000000000001"/>
    <n v="1278.4000000000001"/>
    <n v="1283.6500000000001"/>
    <n v="1291"/>
    <n v="1290.5999999999999"/>
    <n v="1288.3399999999999"/>
    <n v="1362.35"/>
    <n v="970.15"/>
    <n v="7433222"/>
    <n v="9576523020.8500004"/>
    <n v="289378"/>
    <x v="4"/>
    <n v="-1.4499999999998181"/>
    <x v="2"/>
    <n v="1"/>
    <x v="11"/>
    <n v="4.6157441670237213E-2"/>
  </r>
  <r>
    <d v="2025-01-01T00:00:00"/>
    <s v="EQ"/>
    <n v="1281.6500000000001"/>
    <n v="1293"/>
    <n v="1267.0999999999999"/>
    <n v="1281.6500000000001"/>
    <n v="1283.8499999999999"/>
    <n v="1283.6500000000001"/>
    <n v="1283.92"/>
    <n v="1362.35"/>
    <n v="970.15"/>
    <n v="4705399"/>
    <n v="6041347562.1499996"/>
    <n v="152286"/>
    <x v="4"/>
    <n v="0"/>
    <x v="2"/>
    <n v="1"/>
    <x v="11"/>
    <n v="4.6157441670237213E-2"/>
  </r>
  <r>
    <d v="2025-12-31T00:00:00"/>
    <s v="EQ"/>
    <n v="1621"/>
    <n v="1628.6"/>
    <n v="1609.2"/>
    <n v="1621.6"/>
    <n v="1617.9"/>
    <n v="1615.4"/>
    <n v="1616.58"/>
    <n v="1982.8"/>
    <n v="1307"/>
    <n v="6538656"/>
    <n v="10570270246.200001"/>
    <n v="102413"/>
    <x v="5"/>
    <n v="0.59999999999990905"/>
    <x v="1"/>
    <n v="12"/>
    <x v="0"/>
    <n v="-0.14188579017264272"/>
  </r>
  <r>
    <d v="2025-12-30T00:00:00"/>
    <s v="EQ"/>
    <n v="1647"/>
    <n v="1647.9"/>
    <n v="1616.8"/>
    <n v="1644.7"/>
    <n v="1623.5"/>
    <n v="1621.6"/>
    <n v="1625.72"/>
    <n v="1982.8"/>
    <n v="1307"/>
    <n v="9395937"/>
    <n v="15275131268.299999"/>
    <n v="150131"/>
    <x v="5"/>
    <n v="-2.2999999999999545"/>
    <x v="1"/>
    <n v="12"/>
    <x v="0"/>
    <n v="-0.14188579017264272"/>
  </r>
  <r>
    <d v="2025-12-29T00:00:00"/>
    <s v="EQ"/>
    <n v="1658"/>
    <n v="1673.1"/>
    <n v="1637.1"/>
    <n v="1656.1"/>
    <n v="1645"/>
    <n v="1644.7"/>
    <n v="1647.3"/>
    <n v="1982.8"/>
    <n v="1307"/>
    <n v="4062817"/>
    <n v="6692675971"/>
    <n v="103013"/>
    <x v="5"/>
    <n v="-1.9000000000000909"/>
    <x v="1"/>
    <n v="12"/>
    <x v="0"/>
    <n v="-0.14188579017264272"/>
  </r>
  <r>
    <d v="2025-12-26T00:00:00"/>
    <s v="EQ"/>
    <n v="1663.4"/>
    <n v="1668.8"/>
    <n v="1651.7"/>
    <n v="1663.4"/>
    <n v="1657"/>
    <n v="1656.1"/>
    <n v="1657.89"/>
    <n v="1982.8"/>
    <n v="1307"/>
    <n v="2006491"/>
    <n v="3326544399.9000001"/>
    <n v="97220"/>
    <x v="5"/>
    <n v="0"/>
    <x v="1"/>
    <n v="12"/>
    <x v="0"/>
    <n v="-0.14188579017264272"/>
  </r>
  <r>
    <d v="2025-12-24T00:00:00"/>
    <s v="EQ"/>
    <n v="1661"/>
    <n v="1667.6"/>
    <n v="1652.5"/>
    <n v="1668.3"/>
    <n v="1667"/>
    <n v="1663.4"/>
    <n v="1660.54"/>
    <n v="1982.8"/>
    <n v="1307"/>
    <n v="4271167"/>
    <n v="7092430849.3999996"/>
    <n v="142602"/>
    <x v="5"/>
    <n v="7.2999999999999545"/>
    <x v="1"/>
    <n v="12"/>
    <x v="0"/>
    <n v="-0.14188579017264272"/>
  </r>
  <r>
    <d v="2025-12-23T00:00:00"/>
    <s v="EQ"/>
    <n v="1679"/>
    <n v="1679"/>
    <n v="1656.4"/>
    <n v="1689.6"/>
    <n v="1664.6"/>
    <n v="1668.3"/>
    <n v="1666.35"/>
    <n v="1982.8"/>
    <n v="1307"/>
    <n v="6593060"/>
    <n v="10986362727.700001"/>
    <n v="228310"/>
    <x v="5"/>
    <n v="10.599999999999909"/>
    <x v="1"/>
    <n v="12"/>
    <x v="0"/>
    <n v="-0.14188579017264272"/>
  </r>
  <r>
    <d v="2025-12-22T00:00:00"/>
    <s v="EQ"/>
    <n v="1664"/>
    <n v="1693.2"/>
    <n v="1664"/>
    <n v="1638.7"/>
    <n v="1686"/>
    <n v="1689.6"/>
    <n v="1682.86"/>
    <n v="1982.8"/>
    <n v="1307"/>
    <n v="23098923"/>
    <n v="38872218965.5"/>
    <n v="412335"/>
    <x v="5"/>
    <n v="-25.299999999999955"/>
    <x v="1"/>
    <n v="12"/>
    <x v="0"/>
    <n v="-0.14188579017264272"/>
  </r>
  <r>
    <d v="2025-12-19T00:00:00"/>
    <s v="EQ"/>
    <n v="1650"/>
    <n v="1654.9"/>
    <n v="1629.8"/>
    <n v="1626.8"/>
    <n v="1638"/>
    <n v="1638.7"/>
    <n v="1640.02"/>
    <n v="1999.6"/>
    <n v="1307"/>
    <n v="13149023"/>
    <n v="21564629614.099998"/>
    <n v="201281"/>
    <x v="5"/>
    <n v="-23.200000000000045"/>
    <x v="1"/>
    <n v="12"/>
    <x v="0"/>
    <n v="-0.14188579017264272"/>
  </r>
  <r>
    <d v="2025-12-18T00:00:00"/>
    <s v="EQ"/>
    <n v="1610.5"/>
    <n v="1630"/>
    <n v="1606.7"/>
    <n v="1602"/>
    <n v="1627.1"/>
    <n v="1626.8"/>
    <n v="1623.68"/>
    <n v="1999.6"/>
    <n v="1307"/>
    <n v="6577293"/>
    <n v="10679409219.4"/>
    <n v="288341"/>
    <x v="5"/>
    <n v="-8.5"/>
    <x v="1"/>
    <n v="12"/>
    <x v="0"/>
    <n v="-0.14188579017264272"/>
  </r>
  <r>
    <d v="2025-12-17T00:00:00"/>
    <s v="EQ"/>
    <n v="1587.2"/>
    <n v="1606.9"/>
    <n v="1586"/>
    <n v="1592.9"/>
    <n v="1602"/>
    <n v="1602"/>
    <n v="1600.21"/>
    <n v="1999.6"/>
    <n v="1307"/>
    <n v="4817628"/>
    <n v="7709207454.8999996"/>
    <n v="155044"/>
    <x v="5"/>
    <n v="5.7000000000000455"/>
    <x v="1"/>
    <n v="12"/>
    <x v="0"/>
    <n v="-0.14188579017264272"/>
  </r>
  <r>
    <d v="2025-12-16T00:00:00"/>
    <s v="EQ"/>
    <n v="1600"/>
    <n v="1603"/>
    <n v="1585.6"/>
    <n v="1606.8"/>
    <n v="1592.6"/>
    <n v="1592.9"/>
    <n v="1591.77"/>
    <n v="1999.6"/>
    <n v="1307"/>
    <n v="5499258"/>
    <n v="8753533458.7000008"/>
    <n v="220591"/>
    <x v="5"/>
    <n v="6.7999999999999545"/>
    <x v="1"/>
    <n v="12"/>
    <x v="0"/>
    <n v="-0.14188579017264272"/>
  </r>
  <r>
    <d v="2025-12-15T00:00:00"/>
    <s v="EQ"/>
    <n v="1585"/>
    <n v="1610.8"/>
    <n v="1585"/>
    <n v="1598.2"/>
    <n v="1607"/>
    <n v="1606.8"/>
    <n v="1603.88"/>
    <n v="1999.6"/>
    <n v="1307"/>
    <n v="4190558"/>
    <n v="6721134417.8000002"/>
    <n v="163737"/>
    <x v="5"/>
    <n v="13.200000000000045"/>
    <x v="1"/>
    <n v="12"/>
    <x v="0"/>
    <n v="-0.14188579017264272"/>
  </r>
  <r>
    <d v="2025-12-12T00:00:00"/>
    <s v="EQ"/>
    <n v="1601.4"/>
    <n v="1601.8"/>
    <n v="1582.6"/>
    <n v="1598"/>
    <n v="1597.5"/>
    <n v="1598.2"/>
    <n v="1593.93"/>
    <n v="2006.45"/>
    <n v="1307"/>
    <n v="4633912"/>
    <n v="7386137017.5"/>
    <n v="144042"/>
    <x v="5"/>
    <n v="-3.4000000000000909"/>
    <x v="1"/>
    <n v="12"/>
    <x v="0"/>
    <n v="-0.14188579017264272"/>
  </r>
  <r>
    <d v="2025-12-11T00:00:00"/>
    <s v="EQ"/>
    <n v="1598"/>
    <n v="1607.4"/>
    <n v="1580.5"/>
    <n v="1584.8"/>
    <n v="1596.2"/>
    <n v="1598"/>
    <n v="1592.84"/>
    <n v="2006.45"/>
    <n v="1307"/>
    <n v="5159319"/>
    <n v="8217952937"/>
    <n v="154906"/>
    <x v="5"/>
    <n v="-13.200000000000045"/>
    <x v="1"/>
    <n v="12"/>
    <x v="0"/>
    <n v="-0.14188579017264272"/>
  </r>
  <r>
    <d v="2025-12-10T00:00:00"/>
    <s v="EQ"/>
    <n v="1608"/>
    <n v="1608"/>
    <n v="1582.8"/>
    <n v="1599"/>
    <n v="1584.8"/>
    <n v="1584.8"/>
    <n v="1590.84"/>
    <n v="2006.45"/>
    <n v="1307"/>
    <n v="5116140"/>
    <n v="8138964777"/>
    <n v="191185"/>
    <x v="5"/>
    <n v="-9"/>
    <x v="1"/>
    <n v="12"/>
    <x v="0"/>
    <n v="-0.14188579017264272"/>
  </r>
  <r>
    <d v="2025-12-09T00:00:00"/>
    <s v="EQ"/>
    <n v="1601.2"/>
    <n v="1606.9"/>
    <n v="1582.4"/>
    <n v="1610.8"/>
    <n v="1597"/>
    <n v="1599"/>
    <n v="1596.28"/>
    <n v="2006.45"/>
    <n v="1307"/>
    <n v="6957599"/>
    <n v="11106255546.9"/>
    <n v="156650"/>
    <x v="5"/>
    <n v="9.5999999999999091"/>
    <x v="1"/>
    <n v="12"/>
    <x v="0"/>
    <n v="-0.14188579017264272"/>
  </r>
  <r>
    <d v="2025-12-08T00:00:00"/>
    <s v="EQ"/>
    <n v="1617.1"/>
    <n v="1630"/>
    <n v="1600.2"/>
    <n v="1616.2"/>
    <n v="1608"/>
    <n v="1610.8"/>
    <n v="1616.8"/>
    <n v="2006.45"/>
    <n v="1307"/>
    <n v="7550413"/>
    <n v="12207531800.5"/>
    <n v="302234"/>
    <x v="5"/>
    <n v="-0.89999999999986358"/>
    <x v="1"/>
    <n v="12"/>
    <x v="0"/>
    <n v="-0.14188579017264272"/>
  </r>
  <r>
    <d v="2025-12-05T00:00:00"/>
    <s v="EQ"/>
    <n v="1610"/>
    <n v="1631.8"/>
    <n v="1600"/>
    <n v="1597.6"/>
    <n v="1613.9"/>
    <n v="1616.2"/>
    <n v="1617.78"/>
    <n v="2006.45"/>
    <n v="1307"/>
    <n v="10344725"/>
    <n v="16735528909.200001"/>
    <n v="327955"/>
    <x v="5"/>
    <n v="-12.400000000000091"/>
    <x v="1"/>
    <n v="12"/>
    <x v="0"/>
    <n v="-0.14188579017264272"/>
  </r>
  <r>
    <d v="2025-12-04T00:00:00"/>
    <s v="EQ"/>
    <n v="1568"/>
    <n v="1599"/>
    <n v="1568"/>
    <n v="1578.7"/>
    <n v="1593.2"/>
    <n v="1597.6"/>
    <n v="1591.52"/>
    <n v="2006.45"/>
    <n v="1307"/>
    <n v="12609619"/>
    <n v="20068424408.5"/>
    <n v="325755"/>
    <x v="5"/>
    <n v="10.700000000000045"/>
    <x v="1"/>
    <n v="12"/>
    <x v="0"/>
    <n v="-0.14188579017264272"/>
  </r>
  <r>
    <d v="2025-12-03T00:00:00"/>
    <s v="EQ"/>
    <n v="1555.1"/>
    <n v="1586"/>
    <n v="1554.1"/>
    <n v="1561"/>
    <n v="1575.6"/>
    <n v="1578.7"/>
    <n v="1574.15"/>
    <n v="2006.45"/>
    <n v="1307"/>
    <n v="12895312"/>
    <n v="20299183597.599998"/>
    <n v="339751"/>
    <x v="5"/>
    <n v="5.9000000000000909"/>
    <x v="1"/>
    <n v="12"/>
    <x v="0"/>
    <n v="-0.14188579017264272"/>
  </r>
  <r>
    <d v="2025-12-02T00:00:00"/>
    <s v="EQ"/>
    <n v="1567"/>
    <n v="1579.9"/>
    <n v="1556.1"/>
    <n v="1564"/>
    <n v="1563"/>
    <n v="1561"/>
    <n v="1564.22"/>
    <n v="2006.45"/>
    <n v="1307"/>
    <n v="6335969"/>
    <n v="9910827669.3999996"/>
    <n v="243238"/>
    <x v="5"/>
    <n v="-3"/>
    <x v="1"/>
    <n v="12"/>
    <x v="0"/>
    <n v="-0.14188579017264272"/>
  </r>
  <r>
    <d v="2025-12-01T00:00:00"/>
    <s v="EQ"/>
    <n v="1562.5"/>
    <n v="1574"/>
    <n v="1556"/>
    <n v="1560.1"/>
    <n v="1563.5"/>
    <n v="1564"/>
    <n v="1564.42"/>
    <n v="2006.45"/>
    <n v="1307"/>
    <n v="5341800"/>
    <n v="8356820751"/>
    <n v="189364"/>
    <x v="5"/>
    <n v="-2.4000000000000909"/>
    <x v="1"/>
    <n v="12"/>
    <x v="0"/>
    <n v="-0.14188579017264272"/>
  </r>
  <r>
    <d v="2025-11-28T00:00:00"/>
    <s v="EQ"/>
    <n v="1565"/>
    <n v="1568.4"/>
    <n v="1557"/>
    <n v="1566.4"/>
    <n v="1558.1"/>
    <n v="1560.1"/>
    <n v="1561.93"/>
    <n v="2006.45"/>
    <n v="1307"/>
    <n v="4453221"/>
    <n v="6955603409.6999998"/>
    <n v="115190"/>
    <x v="5"/>
    <n v="1.4000000000000909"/>
    <x v="1"/>
    <n v="11"/>
    <x v="1"/>
    <n v="-0.14188579017264272"/>
  </r>
  <r>
    <d v="2025-11-27T00:00:00"/>
    <s v="EQ"/>
    <n v="1564"/>
    <n v="1574.3"/>
    <n v="1552.2"/>
    <n v="1557.9"/>
    <n v="1565"/>
    <n v="1566.4"/>
    <n v="1563.46"/>
    <n v="2006.45"/>
    <n v="1307"/>
    <n v="7552252"/>
    <n v="11807663907.200001"/>
    <n v="168875"/>
    <x v="5"/>
    <n v="-6.0999999999999091"/>
    <x v="1"/>
    <n v="11"/>
    <x v="1"/>
    <n v="-0.14188579017264272"/>
  </r>
  <r>
    <d v="2025-11-26T00:00:00"/>
    <s v="EQ"/>
    <n v="1532.1"/>
    <n v="1560.3"/>
    <n v="1532.1"/>
    <n v="1530.6"/>
    <n v="1557.3"/>
    <n v="1557.9"/>
    <n v="1550.71"/>
    <n v="2006.45"/>
    <n v="1307"/>
    <n v="7575038"/>
    <n v="11746721789"/>
    <n v="122796"/>
    <x v="5"/>
    <n v="-1.5"/>
    <x v="1"/>
    <n v="11"/>
    <x v="1"/>
    <n v="-0.14188579017264272"/>
  </r>
  <r>
    <d v="2025-11-25T00:00:00"/>
    <s v="EQ"/>
    <n v="1549"/>
    <n v="1550.6"/>
    <n v="1525.9"/>
    <n v="1548"/>
    <n v="1530.2"/>
    <n v="1530.6"/>
    <n v="1532.04"/>
    <n v="2006.45"/>
    <n v="1307"/>
    <n v="8107952"/>
    <n v="12421720830.6"/>
    <n v="170664"/>
    <x v="5"/>
    <n v="-1"/>
    <x v="1"/>
    <n v="11"/>
    <x v="1"/>
    <n v="-0.14188579017264272"/>
  </r>
  <r>
    <d v="2025-11-24T00:00:00"/>
    <s v="EQ"/>
    <n v="1563.6"/>
    <n v="1585"/>
    <n v="1541"/>
    <n v="1545"/>
    <n v="1546.2"/>
    <n v="1548"/>
    <n v="1558.71"/>
    <n v="2006.45"/>
    <n v="1307"/>
    <n v="19270381"/>
    <n v="30036994341.400002"/>
    <n v="267249"/>
    <x v="5"/>
    <n v="-18.599999999999909"/>
    <x v="1"/>
    <n v="11"/>
    <x v="1"/>
    <n v="-0.14188579017264272"/>
  </r>
  <r>
    <d v="2025-11-21T00:00:00"/>
    <s v="EQ"/>
    <n v="1531"/>
    <n v="1551.5"/>
    <n v="1526.3"/>
    <n v="1536.5"/>
    <n v="1544.1"/>
    <n v="1545"/>
    <n v="1543.83"/>
    <n v="2006.45"/>
    <n v="1307"/>
    <n v="9186302"/>
    <n v="14182074317.799999"/>
    <n v="227357"/>
    <x v="5"/>
    <n v="5.5"/>
    <x v="1"/>
    <n v="11"/>
    <x v="1"/>
    <n v="-0.14188579017264272"/>
  </r>
  <r>
    <d v="2025-11-20T00:00:00"/>
    <s v="EQ"/>
    <n v="1555"/>
    <n v="1555"/>
    <n v="1534"/>
    <n v="1541.1"/>
    <n v="1536.3"/>
    <n v="1536.5"/>
    <n v="1539.6"/>
    <n v="2006.45"/>
    <n v="1307"/>
    <n v="7387584"/>
    <n v="11373929222.9"/>
    <n v="174272"/>
    <x v="5"/>
    <n v="-13.900000000000091"/>
    <x v="1"/>
    <n v="11"/>
    <x v="1"/>
    <n v="-0.14188579017264272"/>
  </r>
  <r>
    <d v="2025-11-19T00:00:00"/>
    <s v="EQ"/>
    <n v="1490.5"/>
    <n v="1543"/>
    <n v="1490.5"/>
    <n v="1486.4"/>
    <n v="1542"/>
    <n v="1541.1"/>
    <n v="1531.48"/>
    <n v="2006.45"/>
    <n v="1307"/>
    <n v="10981126"/>
    <n v="16817387454.200001"/>
    <n v="212749"/>
    <x v="5"/>
    <n v="-4.0999999999999091"/>
    <x v="1"/>
    <n v="11"/>
    <x v="1"/>
    <n v="-0.14188579017264272"/>
  </r>
  <r>
    <d v="2025-11-18T00:00:00"/>
    <s v="EQ"/>
    <n v="1506"/>
    <n v="1506"/>
    <n v="1483.2"/>
    <n v="1507.6"/>
    <n v="1486.8"/>
    <n v="1486.4"/>
    <n v="1489.33"/>
    <n v="2006.45"/>
    <n v="1307"/>
    <n v="7525119"/>
    <n v="11207398254.700001"/>
    <n v="164811"/>
    <x v="5"/>
    <n v="1.5999999999999091"/>
    <x v="1"/>
    <n v="11"/>
    <x v="1"/>
    <n v="-0.14188579017264272"/>
  </r>
  <r>
    <d v="2025-11-17T00:00:00"/>
    <s v="EQ"/>
    <n v="1496"/>
    <n v="1510.2"/>
    <n v="1492.5"/>
    <n v="1502.8"/>
    <n v="1507"/>
    <n v="1507.6"/>
    <n v="1502.37"/>
    <n v="2006.45"/>
    <n v="1307"/>
    <n v="7910354"/>
    <n v="11884261119.200001"/>
    <n v="271436"/>
    <x v="5"/>
    <n v="6.7999999999999545"/>
    <x v="1"/>
    <n v="11"/>
    <x v="1"/>
    <n v="-0.14188579017264272"/>
  </r>
  <r>
    <d v="2025-11-14T00:00:00"/>
    <s v="EQ"/>
    <n v="1520"/>
    <n v="1530"/>
    <n v="1488.8"/>
    <n v="1541.8"/>
    <n v="1505.8"/>
    <n v="1502.8"/>
    <n v="1502.86"/>
    <n v="2006.45"/>
    <n v="1307"/>
    <n v="9739549"/>
    <n v="14637169031.700001"/>
    <n v="236102"/>
    <x v="5"/>
    <n v="21.799999999999955"/>
    <x v="1"/>
    <n v="11"/>
    <x v="1"/>
    <n v="-0.14188579017264272"/>
  </r>
  <r>
    <d v="2025-11-13T00:00:00"/>
    <s v="EQ"/>
    <n v="1557.1"/>
    <n v="1557.5"/>
    <n v="1530.3"/>
    <n v="1551.7"/>
    <n v="1542"/>
    <n v="1541.8"/>
    <n v="1546.18"/>
    <n v="2006.45"/>
    <n v="1307"/>
    <n v="19655689"/>
    <n v="30391136875"/>
    <n v="384451"/>
    <x v="5"/>
    <n v="-5.3999999999998636"/>
    <x v="1"/>
    <n v="11"/>
    <x v="1"/>
    <n v="-0.14188579017264272"/>
  </r>
  <r>
    <d v="2025-11-12T00:00:00"/>
    <s v="EQ"/>
    <n v="1540"/>
    <n v="1559.2"/>
    <n v="1538.1"/>
    <n v="1530.3"/>
    <n v="1550.6"/>
    <n v="1551.7"/>
    <n v="1551.22"/>
    <n v="2006.45"/>
    <n v="1307"/>
    <n v="14635417"/>
    <n v="22702769740.900002"/>
    <n v="394127"/>
    <x v="5"/>
    <n v="-9.7000000000000455"/>
    <x v="1"/>
    <n v="11"/>
    <x v="1"/>
    <n v="-0.14188579017264272"/>
  </r>
  <r>
    <d v="2025-11-11T00:00:00"/>
    <s v="EQ"/>
    <n v="1525"/>
    <n v="1533.4"/>
    <n v="1511.1"/>
    <n v="1513.5"/>
    <n v="1531.1"/>
    <n v="1530.3"/>
    <n v="1523.87"/>
    <n v="2006.45"/>
    <n v="1307"/>
    <n v="13692989"/>
    <n v="20866299929.099998"/>
    <n v="255611"/>
    <x v="5"/>
    <n v="-11.5"/>
    <x v="1"/>
    <n v="11"/>
    <x v="1"/>
    <n v="-0.14188579017264272"/>
  </r>
  <r>
    <d v="2025-11-10T00:00:00"/>
    <s v="EQ"/>
    <n v="1490.1"/>
    <n v="1520"/>
    <n v="1490"/>
    <n v="1476.8"/>
    <n v="1515"/>
    <n v="1513.5"/>
    <n v="1510.83"/>
    <n v="2006.45"/>
    <n v="1307"/>
    <n v="9787975"/>
    <n v="14787962928.5"/>
    <n v="223666"/>
    <x v="5"/>
    <n v="-13.299999999999955"/>
    <x v="1"/>
    <n v="11"/>
    <x v="1"/>
    <n v="-0.14188579017264272"/>
  </r>
  <r>
    <d v="2025-11-07T00:00:00"/>
    <s v="EQ"/>
    <n v="1470"/>
    <n v="1480.9"/>
    <n v="1449.1"/>
    <n v="1466.7"/>
    <n v="1478"/>
    <n v="1476.8"/>
    <n v="1466.5"/>
    <n v="2006.45"/>
    <n v="1307"/>
    <n v="8765759"/>
    <n v="12855016020.6"/>
    <n v="254091"/>
    <x v="5"/>
    <n v="-3.2999999999999545"/>
    <x v="1"/>
    <n v="11"/>
    <x v="1"/>
    <n v="-0.14188579017264272"/>
  </r>
  <r>
    <d v="2025-11-06T00:00:00"/>
    <s v="EQ"/>
    <n v="1478.6"/>
    <n v="1483"/>
    <n v="1461.9"/>
    <n v="1467.9"/>
    <n v="1466.5"/>
    <n v="1466.7"/>
    <n v="1471.99"/>
    <n v="2006.45"/>
    <n v="1307"/>
    <n v="7944752"/>
    <n v="11694618273.5"/>
    <n v="288667"/>
    <x v="5"/>
    <n v="-10.699999999999818"/>
    <x v="1"/>
    <n v="11"/>
    <x v="1"/>
    <n v="-0.14188579017264272"/>
  </r>
  <r>
    <d v="2025-11-04T00:00:00"/>
    <s v="EQ"/>
    <n v="1479.7"/>
    <n v="1481.9"/>
    <n v="1462.9"/>
    <n v="1485.5"/>
    <n v="1468"/>
    <n v="1467.9"/>
    <n v="1470.61"/>
    <n v="2006.45"/>
    <n v="1307"/>
    <n v="8691330"/>
    <n v="12781568402.799999"/>
    <n v="250131"/>
    <x v="5"/>
    <n v="5.7999999999999545"/>
    <x v="1"/>
    <n v="11"/>
    <x v="1"/>
    <n v="-0.14188579017264272"/>
  </r>
  <r>
    <d v="2025-11-03T00:00:00"/>
    <s v="EQ"/>
    <n v="1482.3"/>
    <n v="1491.4"/>
    <n v="1474.2"/>
    <n v="1482.3"/>
    <n v="1486"/>
    <n v="1485.5"/>
    <n v="1482.11"/>
    <n v="2006.45"/>
    <n v="1307"/>
    <n v="5470600"/>
    <n v="8108037412.1000004"/>
    <n v="166500"/>
    <x v="5"/>
    <n v="0"/>
    <x v="1"/>
    <n v="11"/>
    <x v="1"/>
    <n v="-0.14188579017264272"/>
  </r>
  <r>
    <d v="2025-10-31T00:00:00"/>
    <s v="EQ"/>
    <n v="1490"/>
    <n v="1497.1"/>
    <n v="1480.7"/>
    <n v="1493.8"/>
    <n v="1481.9"/>
    <n v="1482.3"/>
    <n v="1485.71"/>
    <n v="2006.45"/>
    <n v="1307"/>
    <n v="4819814"/>
    <n v="7160828351.1999998"/>
    <n v="185234"/>
    <x v="5"/>
    <n v="3.7999999999999545"/>
    <x v="1"/>
    <n v="10"/>
    <x v="2"/>
    <n v="-0.14188579017264272"/>
  </r>
  <r>
    <d v="2025-10-30T00:00:00"/>
    <s v="EQ"/>
    <n v="1507"/>
    <n v="1508.2"/>
    <n v="1489.1"/>
    <n v="1510.4"/>
    <n v="1495"/>
    <n v="1493.8"/>
    <n v="1494.92"/>
    <n v="2006.45"/>
    <n v="1307"/>
    <n v="5608867"/>
    <n v="8384810481.6000004"/>
    <n v="158047"/>
    <x v="5"/>
    <n v="3.4000000000000909"/>
    <x v="1"/>
    <n v="10"/>
    <x v="2"/>
    <n v="-0.14188579017264272"/>
  </r>
  <r>
    <d v="2025-10-29T00:00:00"/>
    <s v="EQ"/>
    <n v="1500.2"/>
    <n v="1520.2"/>
    <n v="1496.9"/>
    <n v="1500.2"/>
    <n v="1511.5"/>
    <n v="1510.4"/>
    <n v="1510.57"/>
    <n v="2006.45"/>
    <n v="1307"/>
    <n v="4884976"/>
    <n v="7379112106.3999996"/>
    <n v="177757"/>
    <x v="5"/>
    <n v="0"/>
    <x v="1"/>
    <n v="10"/>
    <x v="2"/>
    <n v="-0.14188579017264272"/>
  </r>
  <r>
    <d v="2025-10-28T00:00:00"/>
    <s v="EQ"/>
    <n v="1499.7"/>
    <n v="1506.5"/>
    <n v="1490.5"/>
    <n v="1504.5"/>
    <n v="1502.2"/>
    <n v="1500.2"/>
    <n v="1497.66"/>
    <n v="2006.45"/>
    <n v="1307"/>
    <n v="8211019"/>
    <n v="12297345650.299999"/>
    <n v="185479"/>
    <x v="5"/>
    <n v="4.7999999999999545"/>
    <x v="1"/>
    <n v="10"/>
    <x v="2"/>
    <n v="-0.14188579017264272"/>
  </r>
  <r>
    <d v="2025-10-27T00:00:00"/>
    <s v="EQ"/>
    <n v="1510"/>
    <n v="1515.3"/>
    <n v="1498.1"/>
    <n v="1525.4"/>
    <n v="1504.9"/>
    <n v="1504.5"/>
    <n v="1506.5"/>
    <n v="2006.45"/>
    <n v="1307"/>
    <n v="7273211"/>
    <n v="10957113552.6"/>
    <n v="131339"/>
    <x v="5"/>
    <n v="15.400000000000091"/>
    <x v="1"/>
    <n v="10"/>
    <x v="2"/>
    <n v="-0.14188579017264272"/>
  </r>
  <r>
    <d v="2025-10-24T00:00:00"/>
    <s v="EQ"/>
    <n v="1539.5"/>
    <n v="1543"/>
    <n v="1518"/>
    <n v="1528.5"/>
    <n v="1523.9"/>
    <n v="1525.4"/>
    <n v="1525.75"/>
    <n v="2006.45"/>
    <n v="1307"/>
    <n v="8652257"/>
    <n v="13201169899.700001"/>
    <n v="217512"/>
    <x v="5"/>
    <n v="-11"/>
    <x v="1"/>
    <n v="10"/>
    <x v="2"/>
    <n v="-0.14188579017264272"/>
  </r>
  <r>
    <d v="2025-10-23T00:00:00"/>
    <s v="EQ"/>
    <n v="1510"/>
    <n v="1546"/>
    <n v="1506"/>
    <n v="1472.4"/>
    <n v="1525"/>
    <n v="1528.5"/>
    <n v="1530.64"/>
    <n v="2006.45"/>
    <n v="1307"/>
    <n v="20358624"/>
    <n v="31161687039.200001"/>
    <n v="458468"/>
    <x v="5"/>
    <n v="-37.599999999999909"/>
    <x v="1"/>
    <n v="10"/>
    <x v="2"/>
    <n v="-0.14188579017264272"/>
  </r>
  <r>
    <d v="2025-10-21T00:00:00"/>
    <s v="EQ"/>
    <n v="1478"/>
    <n v="1486"/>
    <n v="1470"/>
    <n v="1460.9"/>
    <n v="1471"/>
    <n v="1472.4"/>
    <n v="1476.04"/>
    <n v="2006.45"/>
    <n v="1307"/>
    <n v="1698704"/>
    <n v="2507352685.5999999"/>
    <n v="42723"/>
    <x v="5"/>
    <n v="-17.099999999999909"/>
    <x v="1"/>
    <n v="10"/>
    <x v="2"/>
    <n v="-0.14188579017264272"/>
  </r>
  <r>
    <d v="2025-10-20T00:00:00"/>
    <s v="EQ"/>
    <n v="1453.7"/>
    <n v="1467"/>
    <n v="1450"/>
    <n v="1441.1"/>
    <n v="1462.7"/>
    <n v="1460.9"/>
    <n v="1460.15"/>
    <n v="2006.45"/>
    <n v="1307"/>
    <n v="6994246"/>
    <n v="10212638243.4"/>
    <n v="218283"/>
    <x v="5"/>
    <n v="-12.600000000000136"/>
    <x v="1"/>
    <n v="10"/>
    <x v="2"/>
    <n v="-0.14188579017264272"/>
  </r>
  <r>
    <d v="2025-10-17T00:00:00"/>
    <s v="EQ"/>
    <n v="1454.9"/>
    <n v="1458.4"/>
    <n v="1434"/>
    <n v="1471.5"/>
    <n v="1440.9"/>
    <n v="1441.1"/>
    <n v="1444.15"/>
    <n v="2006.45"/>
    <n v="1307"/>
    <n v="16959378"/>
    <n v="24491895479.5"/>
    <n v="408253"/>
    <x v="5"/>
    <n v="16.599999999999909"/>
    <x v="1"/>
    <n v="10"/>
    <x v="2"/>
    <n v="-0.14188579017264272"/>
  </r>
  <r>
    <d v="2025-10-16T00:00:00"/>
    <s v="EQ"/>
    <n v="1473.9"/>
    <n v="1474.5"/>
    <n v="1460.5"/>
    <n v="1474.4"/>
    <n v="1470.9"/>
    <n v="1471.5"/>
    <n v="1468.35"/>
    <n v="2006.45"/>
    <n v="1307"/>
    <n v="8005748"/>
    <n v="11755232719.6"/>
    <n v="178279"/>
    <x v="5"/>
    <n v="0.5"/>
    <x v="1"/>
    <n v="10"/>
    <x v="2"/>
    <n v="-0.14188579017264272"/>
  </r>
  <r>
    <d v="2025-10-15T00:00:00"/>
    <s v="EQ"/>
    <n v="1483.9"/>
    <n v="1488.6"/>
    <n v="1467.5"/>
    <n v="1489.9"/>
    <n v="1474.4"/>
    <n v="1474.4"/>
    <n v="1475.22"/>
    <n v="2006.45"/>
    <n v="1307"/>
    <n v="6986098"/>
    <n v="10306028748.9"/>
    <n v="164747"/>
    <x v="5"/>
    <n v="6"/>
    <x v="1"/>
    <n v="10"/>
    <x v="2"/>
    <n v="-0.14188579017264272"/>
  </r>
  <r>
    <d v="2025-10-14T00:00:00"/>
    <s v="EQ"/>
    <n v="1499"/>
    <n v="1514.4"/>
    <n v="1486.5"/>
    <n v="1493.2"/>
    <n v="1488"/>
    <n v="1489.9"/>
    <n v="1494.67"/>
    <n v="2006.45"/>
    <n v="1307"/>
    <n v="5600789"/>
    <n v="8371348792.6000004"/>
    <n v="136364"/>
    <x v="5"/>
    <n v="-5.7999999999999545"/>
    <x v="1"/>
    <n v="10"/>
    <x v="2"/>
    <n v="-0.14188579017264272"/>
  </r>
  <r>
    <d v="2025-10-13T00:00:00"/>
    <s v="EQ"/>
    <n v="1497"/>
    <n v="1504.7"/>
    <n v="1483.4"/>
    <n v="1514.9"/>
    <n v="1492.4"/>
    <n v="1493.2"/>
    <n v="1492.35"/>
    <n v="2006.45"/>
    <n v="1307"/>
    <n v="5859355"/>
    <n v="8744211054.5"/>
    <n v="144645"/>
    <x v="5"/>
    <n v="17.900000000000091"/>
    <x v="1"/>
    <n v="10"/>
    <x v="2"/>
    <n v="-0.14188579017264272"/>
  </r>
  <r>
    <d v="2025-10-10T00:00:00"/>
    <s v="EQ"/>
    <n v="1510"/>
    <n v="1521.7"/>
    <n v="1498.8"/>
    <n v="1509.3"/>
    <n v="1511.9"/>
    <n v="1514.9"/>
    <n v="1513.91"/>
    <n v="2006.45"/>
    <n v="1307"/>
    <n v="3738353"/>
    <n v="5659544676.1999998"/>
    <n v="112569"/>
    <x v="5"/>
    <n v="-0.70000000000004547"/>
    <x v="1"/>
    <n v="10"/>
    <x v="2"/>
    <n v="-0.14188579017264272"/>
  </r>
  <r>
    <d v="2025-10-09T00:00:00"/>
    <s v="EQ"/>
    <n v="1502"/>
    <n v="1514"/>
    <n v="1487"/>
    <n v="1495"/>
    <n v="1509.7"/>
    <n v="1509.3"/>
    <n v="1504.17"/>
    <n v="2006.45"/>
    <n v="1307"/>
    <n v="7028753"/>
    <n v="10572416602.700001"/>
    <n v="177885"/>
    <x v="5"/>
    <n v="-7"/>
    <x v="1"/>
    <n v="10"/>
    <x v="2"/>
    <n v="-0.14188579017264272"/>
  </r>
  <r>
    <d v="2025-10-08T00:00:00"/>
    <s v="EQ"/>
    <n v="1457"/>
    <n v="1498"/>
    <n v="1455"/>
    <n v="1458.5"/>
    <n v="1492"/>
    <n v="1495"/>
    <n v="1489.22"/>
    <n v="2006.45"/>
    <n v="1307"/>
    <n v="4657192"/>
    <n v="6935605075.6000004"/>
    <n v="125936"/>
    <x v="5"/>
    <n v="1.5"/>
    <x v="1"/>
    <n v="10"/>
    <x v="2"/>
    <n v="-0.14188579017264272"/>
  </r>
  <r>
    <d v="2025-10-07T00:00:00"/>
    <s v="EQ"/>
    <n v="1477.7"/>
    <n v="1482.9"/>
    <n v="1454"/>
    <n v="1476"/>
    <n v="1458.1"/>
    <n v="1458.5"/>
    <n v="1463.53"/>
    <n v="2006.45"/>
    <n v="1307"/>
    <n v="5570320"/>
    <n v="8152322227.8999996"/>
    <n v="171449"/>
    <x v="5"/>
    <n v="-1.7000000000000455"/>
    <x v="1"/>
    <n v="10"/>
    <x v="2"/>
    <n v="-0.14188579017264272"/>
  </r>
  <r>
    <d v="2025-10-06T00:00:00"/>
    <s v="EQ"/>
    <n v="1446.6"/>
    <n v="1478.8"/>
    <n v="1442.3"/>
    <n v="1446.6"/>
    <n v="1474.9"/>
    <n v="1476"/>
    <n v="1465.66"/>
    <n v="2006.45"/>
    <n v="1307"/>
    <n v="4630590"/>
    <n v="6786847790.8999996"/>
    <n v="105537"/>
    <x v="5"/>
    <n v="0"/>
    <x v="1"/>
    <n v="10"/>
    <x v="2"/>
    <n v="-0.14188579017264272"/>
  </r>
  <r>
    <d v="2025-10-03T00:00:00"/>
    <s v="EQ"/>
    <n v="1439"/>
    <n v="1448.3"/>
    <n v="1433.2"/>
    <n v="1445.8"/>
    <n v="1445.5"/>
    <n v="1446.6"/>
    <n v="1442.27"/>
    <n v="2006.45"/>
    <n v="1307"/>
    <n v="6877533"/>
    <n v="9919277058.3999996"/>
    <n v="156026"/>
    <x v="5"/>
    <n v="6.7999999999999545"/>
    <x v="1"/>
    <n v="10"/>
    <x v="2"/>
    <n v="-0.14188579017264272"/>
  </r>
  <r>
    <d v="2025-10-01T00:00:00"/>
    <s v="EQ"/>
    <n v="1446"/>
    <n v="1449.5"/>
    <n v="1427.4"/>
    <n v="1441.8"/>
    <n v="1447.9"/>
    <n v="1445.8"/>
    <n v="1439.54"/>
    <n v="2006.45"/>
    <n v="1307"/>
    <n v="6250692"/>
    <n v="8998133310.6000004"/>
    <n v="194062"/>
    <x v="5"/>
    <n v="-4.2000000000000455"/>
    <x v="1"/>
    <n v="10"/>
    <x v="2"/>
    <n v="-0.14188579017264272"/>
  </r>
  <r>
    <d v="2025-09-30T00:00:00"/>
    <s v="EQ"/>
    <n v="1443"/>
    <n v="1452.2"/>
    <n v="1438.1"/>
    <n v="1441.8"/>
    <n v="1442.6"/>
    <n v="1441.8"/>
    <n v="1443.52"/>
    <n v="2006.45"/>
    <n v="1307"/>
    <n v="7556305"/>
    <n v="10907707364.4"/>
    <n v="247554"/>
    <x v="5"/>
    <n v="-1.2000000000000455"/>
    <x v="1"/>
    <n v="9"/>
    <x v="3"/>
    <n v="-0.14188579017264272"/>
  </r>
  <r>
    <d v="2025-09-29T00:00:00"/>
    <s v="EQ"/>
    <n v="1460"/>
    <n v="1465"/>
    <n v="1436.5"/>
    <n v="1448.9"/>
    <n v="1449.2"/>
    <n v="1441.8"/>
    <n v="1447.06"/>
    <n v="2006.45"/>
    <n v="1307"/>
    <n v="10513117"/>
    <n v="15213102142.1"/>
    <n v="181113"/>
    <x v="5"/>
    <n v="-11.099999999999909"/>
    <x v="1"/>
    <n v="9"/>
    <x v="3"/>
    <n v="-0.14188579017264272"/>
  </r>
  <r>
    <d v="2025-09-26T00:00:00"/>
    <s v="EQ"/>
    <n v="1475"/>
    <n v="1478.7"/>
    <n v="1441.2"/>
    <n v="1484.8"/>
    <n v="1452.2"/>
    <n v="1448.9"/>
    <n v="1457.7"/>
    <n v="2006.45"/>
    <n v="1307"/>
    <n v="8597058"/>
    <n v="12531971834.700001"/>
    <n v="445150"/>
    <x v="5"/>
    <n v="9.7999999999999545"/>
    <x v="1"/>
    <n v="9"/>
    <x v="3"/>
    <n v="-0.14188579017264272"/>
  </r>
  <r>
    <d v="2025-09-25T00:00:00"/>
    <s v="EQ"/>
    <n v="1489"/>
    <n v="1502.7"/>
    <n v="1476.5"/>
    <n v="1494.6"/>
    <n v="1491.2"/>
    <n v="1484.8"/>
    <n v="1487.92"/>
    <n v="2006.45"/>
    <n v="1307"/>
    <n v="9491867"/>
    <n v="14123154812.700001"/>
    <n v="185456"/>
    <x v="5"/>
    <n v="5.5999999999999091"/>
    <x v="1"/>
    <n v="9"/>
    <x v="3"/>
    <n v="-0.14188579017264272"/>
  </r>
  <r>
    <d v="2025-09-24T00:00:00"/>
    <s v="EQ"/>
    <n v="1487.2"/>
    <n v="1496.7"/>
    <n v="1482.7"/>
    <n v="1497.5"/>
    <n v="1494.9"/>
    <n v="1494.6"/>
    <n v="1490.99"/>
    <n v="2006.45"/>
    <n v="1307"/>
    <n v="4937004"/>
    <n v="7361023173.6999998"/>
    <n v="143787"/>
    <x v="5"/>
    <n v="10.299999999999955"/>
    <x v="1"/>
    <n v="9"/>
    <x v="3"/>
    <n v="-0.14188579017264272"/>
  </r>
  <r>
    <d v="2025-09-23T00:00:00"/>
    <s v="EQ"/>
    <n v="1493"/>
    <n v="1513"/>
    <n v="1493"/>
    <n v="1499.5"/>
    <n v="1500.6"/>
    <n v="1497.5"/>
    <n v="1500.6"/>
    <n v="2006.45"/>
    <n v="1307"/>
    <n v="9832164"/>
    <n v="14754126838.700001"/>
    <n v="164451"/>
    <x v="5"/>
    <n v="6.5"/>
    <x v="1"/>
    <n v="9"/>
    <x v="3"/>
    <n v="-0.14188579017264272"/>
  </r>
  <r>
    <d v="2025-09-22T00:00:00"/>
    <s v="EQ"/>
    <n v="1482.7"/>
    <n v="1514.7"/>
    <n v="1482"/>
    <n v="1540.2"/>
    <n v="1500.9"/>
    <n v="1499.5"/>
    <n v="1499.71"/>
    <n v="2006.45"/>
    <n v="1307"/>
    <n v="15655204"/>
    <n v="23478311082.400002"/>
    <n v="436891"/>
    <x v="5"/>
    <n v="57.5"/>
    <x v="1"/>
    <n v="9"/>
    <x v="3"/>
    <n v="-0.14188579017264272"/>
  </r>
  <r>
    <d v="2025-09-19T00:00:00"/>
    <s v="EQ"/>
    <n v="1544.6"/>
    <n v="1551.3"/>
    <n v="1520.1"/>
    <n v="1540.6"/>
    <n v="1543.9"/>
    <n v="1540.2"/>
    <n v="1536.05"/>
    <n v="2006.45"/>
    <n v="1307"/>
    <n v="12988129"/>
    <n v="19950422136.700001"/>
    <n v="152059"/>
    <x v="5"/>
    <n v="-4"/>
    <x v="1"/>
    <n v="9"/>
    <x v="3"/>
    <n v="-0.14188579017264272"/>
  </r>
  <r>
    <d v="2025-09-18T00:00:00"/>
    <s v="EQ"/>
    <n v="1550"/>
    <n v="1555"/>
    <n v="1538.5"/>
    <n v="1522.4"/>
    <n v="1541.1"/>
    <n v="1540.6"/>
    <n v="1545.13"/>
    <n v="2006.45"/>
    <n v="1307"/>
    <n v="9331945"/>
    <n v="14419061402.299999"/>
    <n v="341731"/>
    <x v="5"/>
    <n v="-27.599999999999909"/>
    <x v="1"/>
    <n v="9"/>
    <x v="3"/>
    <n v="-0.14188579017264272"/>
  </r>
  <r>
    <d v="2025-09-17T00:00:00"/>
    <s v="EQ"/>
    <n v="1516.9"/>
    <n v="1526.7"/>
    <n v="1514"/>
    <n v="1511.3"/>
    <n v="1521.5"/>
    <n v="1522.4"/>
    <n v="1521.42"/>
    <n v="2006.45"/>
    <n v="1307"/>
    <n v="4795698"/>
    <n v="7296293565.8999996"/>
    <n v="137197"/>
    <x v="5"/>
    <n v="-5.6000000000001364"/>
    <x v="1"/>
    <n v="9"/>
    <x v="3"/>
    <n v="-0.14188579017264272"/>
  </r>
  <r>
    <d v="2025-09-16T00:00:00"/>
    <s v="EQ"/>
    <n v="1508.4"/>
    <n v="1514"/>
    <n v="1503.5"/>
    <n v="1508.4"/>
    <n v="1513.5"/>
    <n v="1511.3"/>
    <n v="1507.82"/>
    <n v="2006.45"/>
    <n v="1307"/>
    <n v="8923112"/>
    <n v="13454416476.299999"/>
    <n v="202258"/>
    <x v="5"/>
    <n v="0"/>
    <x v="1"/>
    <n v="9"/>
    <x v="3"/>
    <n v="-0.14188579017264272"/>
  </r>
  <r>
    <d v="2025-09-15T00:00:00"/>
    <s v="EQ"/>
    <n v="1525.6"/>
    <n v="1527.5"/>
    <n v="1501.2"/>
    <n v="1525.6"/>
    <n v="1508.5"/>
    <n v="1508.4"/>
    <n v="1509.78"/>
    <n v="2006.45"/>
    <n v="1307"/>
    <n v="6167414"/>
    <n v="9311410949.7999992"/>
    <n v="173954"/>
    <x v="5"/>
    <n v="0"/>
    <x v="1"/>
    <n v="9"/>
    <x v="3"/>
    <n v="-0.14188579017264272"/>
  </r>
  <r>
    <d v="2025-09-12T00:00:00"/>
    <s v="EQ"/>
    <n v="1537"/>
    <n v="1542.9"/>
    <n v="1521.1"/>
    <n v="1509.7"/>
    <n v="1524.1"/>
    <n v="1525.6"/>
    <n v="1529.87"/>
    <n v="2006.45"/>
    <n v="1307"/>
    <n v="12856963"/>
    <n v="19669425031.099998"/>
    <n v="332492"/>
    <x v="5"/>
    <n v="-27.299999999999955"/>
    <x v="1"/>
    <n v="9"/>
    <x v="3"/>
    <n v="-0.14188579017264272"/>
  </r>
  <r>
    <d v="2025-09-11T00:00:00"/>
    <s v="EQ"/>
    <n v="1523.9"/>
    <n v="1527.5"/>
    <n v="1506.5"/>
    <n v="1532.6"/>
    <n v="1512.2"/>
    <n v="1509.7"/>
    <n v="1512.35"/>
    <n v="2006.45"/>
    <n v="1307"/>
    <n v="8003662"/>
    <n v="12104367139.299999"/>
    <n v="225605"/>
    <x v="5"/>
    <n v="8.6999999999998181"/>
    <x v="1"/>
    <n v="9"/>
    <x v="3"/>
    <n v="-0.14188579017264272"/>
  </r>
  <r>
    <d v="2025-09-10T00:00:00"/>
    <s v="EQ"/>
    <n v="1510.1"/>
    <n v="1534.9"/>
    <n v="1509.3"/>
    <n v="1504.3"/>
    <n v="1532"/>
    <n v="1532.6"/>
    <n v="1528.49"/>
    <n v="2006.45"/>
    <n v="1307"/>
    <n v="7281071"/>
    <n v="11129062219.700001"/>
    <n v="209861"/>
    <x v="5"/>
    <n v="-5.7999999999999545"/>
    <x v="1"/>
    <n v="9"/>
    <x v="3"/>
    <n v="-0.14188579017264272"/>
  </r>
  <r>
    <d v="2025-09-09T00:00:00"/>
    <s v="EQ"/>
    <n v="1481"/>
    <n v="1507.2"/>
    <n v="1472.5"/>
    <n v="1432.9"/>
    <n v="1502.4"/>
    <n v="1504.3"/>
    <n v="1495.04"/>
    <n v="2006.45"/>
    <n v="1307"/>
    <n v="13072640"/>
    <n v="19544174524.900002"/>
    <n v="302959"/>
    <x v="5"/>
    <n v="-48.099999999999909"/>
    <x v="1"/>
    <n v="9"/>
    <x v="3"/>
    <n v="-0.14188579017264272"/>
  </r>
  <r>
    <d v="2025-09-08T00:00:00"/>
    <s v="EQ"/>
    <n v="1451"/>
    <n v="1458"/>
    <n v="1428.3"/>
    <n v="1444.6"/>
    <n v="1436.1"/>
    <n v="1432.9"/>
    <n v="1436.94"/>
    <n v="2006.45"/>
    <n v="1307"/>
    <n v="3811567"/>
    <n v="5476995827.1999998"/>
    <n v="151828"/>
    <x v="5"/>
    <n v="-6.4000000000000909"/>
    <x v="1"/>
    <n v="9"/>
    <x v="3"/>
    <n v="-0.14188579017264272"/>
  </r>
  <r>
    <d v="2025-09-05T00:00:00"/>
    <s v="EQ"/>
    <n v="1470"/>
    <n v="1472.7"/>
    <n v="1433"/>
    <n v="1463"/>
    <n v="1446"/>
    <n v="1444.6"/>
    <n v="1445.24"/>
    <n v="2006.45"/>
    <n v="1307"/>
    <n v="5466487"/>
    <n v="7900395050.8000002"/>
    <n v="166130"/>
    <x v="5"/>
    <n v="-7"/>
    <x v="1"/>
    <n v="9"/>
    <x v="3"/>
    <n v="-0.14188579017264272"/>
  </r>
  <r>
    <d v="2025-09-04T00:00:00"/>
    <s v="EQ"/>
    <n v="1484"/>
    <n v="1484"/>
    <n v="1460.1"/>
    <n v="1479.1"/>
    <n v="1461.5"/>
    <n v="1463"/>
    <n v="1469.07"/>
    <n v="2006.45"/>
    <n v="1307"/>
    <n v="5787724"/>
    <n v="8502579414.8000002"/>
    <n v="187871"/>
    <x v="5"/>
    <n v="-4.9000000000000909"/>
    <x v="1"/>
    <n v="9"/>
    <x v="3"/>
    <n v="-0.14188579017264272"/>
  </r>
  <r>
    <d v="2025-09-03T00:00:00"/>
    <s v="EQ"/>
    <n v="1500"/>
    <n v="1501.9"/>
    <n v="1473"/>
    <n v="1498.7"/>
    <n v="1480"/>
    <n v="1479.1"/>
    <n v="1479.49"/>
    <n v="2006.45"/>
    <n v="1307"/>
    <n v="4623483"/>
    <n v="6840388121.3000002"/>
    <n v="194968"/>
    <x v="5"/>
    <n v="-1.2999999999999545"/>
    <x v="1"/>
    <n v="9"/>
    <x v="3"/>
    <n v="-0.14188579017264272"/>
  </r>
  <r>
    <d v="2025-09-02T00:00:00"/>
    <s v="EQ"/>
    <n v="1499.4"/>
    <n v="1512.8"/>
    <n v="1486.3"/>
    <n v="1499.4"/>
    <n v="1494"/>
    <n v="1498.7"/>
    <n v="1501.52"/>
    <n v="2006.45"/>
    <n v="1307"/>
    <n v="5218763"/>
    <n v="7836067856.8999996"/>
    <n v="230255"/>
    <x v="5"/>
    <n v="0"/>
    <x v="1"/>
    <n v="9"/>
    <x v="3"/>
    <n v="-0.14188579017264272"/>
  </r>
  <r>
    <d v="2025-09-01T00:00:00"/>
    <s v="EQ"/>
    <n v="1476.7"/>
    <n v="1503.4"/>
    <n v="1476.2"/>
    <n v="1469.6"/>
    <n v="1500.6"/>
    <n v="1499.4"/>
    <n v="1497.49"/>
    <n v="2006.45"/>
    <n v="1307"/>
    <n v="4546057"/>
    <n v="6807659263.5"/>
    <n v="251323"/>
    <x v="5"/>
    <n v="-7.1000000000001364"/>
    <x v="1"/>
    <n v="9"/>
    <x v="3"/>
    <n v="-0.14188579017264272"/>
  </r>
  <r>
    <d v="2025-08-29T00:00:00"/>
    <s v="EQ"/>
    <n v="1501.9"/>
    <n v="1501.9"/>
    <n v="1467.7"/>
    <n v="1500.1"/>
    <n v="1469"/>
    <n v="1469.6"/>
    <n v="1479.78"/>
    <n v="2006.45"/>
    <n v="1307"/>
    <n v="8169075"/>
    <n v="12088473402.6"/>
    <n v="180969"/>
    <x v="5"/>
    <n v="-1.8000000000001819"/>
    <x v="1"/>
    <n v="8"/>
    <x v="4"/>
    <n v="-0.14188579017264272"/>
  </r>
  <r>
    <d v="2025-08-28T00:00:00"/>
    <s v="EQ"/>
    <n v="1529.6"/>
    <n v="1529.6"/>
    <n v="1498"/>
    <n v="1529.6"/>
    <n v="1503"/>
    <n v="1500.1"/>
    <n v="1505.61"/>
    <n v="2006.45"/>
    <n v="1307"/>
    <n v="5443364"/>
    <n v="8195606188.1999998"/>
    <n v="191326"/>
    <x v="5"/>
    <n v="0"/>
    <x v="1"/>
    <n v="8"/>
    <x v="4"/>
    <n v="-0.14188579017264272"/>
  </r>
  <r>
    <d v="2025-08-26T00:00:00"/>
    <s v="EQ"/>
    <n v="1523"/>
    <n v="1538.4"/>
    <n v="1518.6"/>
    <n v="1532.1"/>
    <n v="1525.8"/>
    <n v="1529.6"/>
    <n v="1528.71"/>
    <n v="2006.45"/>
    <n v="1307"/>
    <n v="15994798"/>
    <n v="24451397801.599998"/>
    <n v="229265"/>
    <x v="5"/>
    <n v="9.0999999999999091"/>
    <x v="1"/>
    <n v="8"/>
    <x v="4"/>
    <n v="-0.14188579017264272"/>
  </r>
  <r>
    <d v="2025-08-25T00:00:00"/>
    <s v="EQ"/>
    <n v="1506.7"/>
    <n v="1539"/>
    <n v="1506.7"/>
    <n v="1487.5"/>
    <n v="1533.3"/>
    <n v="1532.1"/>
    <n v="1529.98"/>
    <n v="2006.45"/>
    <n v="1307"/>
    <n v="10694531"/>
    <n v="16362427034.299999"/>
    <n v="293354"/>
    <x v="5"/>
    <n v="-19.200000000000045"/>
    <x v="1"/>
    <n v="8"/>
    <x v="4"/>
    <n v="-0.14188579017264272"/>
  </r>
  <r>
    <d v="2025-08-22T00:00:00"/>
    <s v="EQ"/>
    <n v="1498.1"/>
    <n v="1504.3"/>
    <n v="1486.1"/>
    <n v="1496.4"/>
    <n v="1487.9"/>
    <n v="1487.5"/>
    <n v="1492.1"/>
    <n v="2006.45"/>
    <n v="1307"/>
    <n v="5543397"/>
    <n v="8271310707.6000004"/>
    <n v="181180"/>
    <x v="5"/>
    <n v="-1.6999999999998181"/>
    <x v="1"/>
    <n v="8"/>
    <x v="4"/>
    <n v="-0.14188579017264272"/>
  </r>
  <r>
    <d v="2025-08-21T00:00:00"/>
    <s v="EQ"/>
    <n v="1508"/>
    <n v="1508"/>
    <n v="1484.3"/>
    <n v="1496.2"/>
    <n v="1495.5"/>
    <n v="1496.4"/>
    <n v="1497.17"/>
    <n v="2006.45"/>
    <n v="1307"/>
    <n v="6565539"/>
    <n v="9829715323"/>
    <n v="208499"/>
    <x v="5"/>
    <n v="-11.799999999999955"/>
    <x v="1"/>
    <n v="8"/>
    <x v="4"/>
    <n v="-0.14188579017264272"/>
  </r>
  <r>
    <d v="2025-08-20T00:00:00"/>
    <s v="EQ"/>
    <n v="1440.7"/>
    <n v="1499"/>
    <n v="1440.7"/>
    <n v="1440"/>
    <n v="1495.1"/>
    <n v="1496.2"/>
    <n v="1482.74"/>
    <n v="2006.45"/>
    <n v="1307"/>
    <n v="10413061"/>
    <n v="15439823972.4"/>
    <n v="307308"/>
    <x v="5"/>
    <n v="-0.70000000000004547"/>
    <x v="1"/>
    <n v="8"/>
    <x v="4"/>
    <n v="-0.14188579017264272"/>
  </r>
  <r>
    <d v="2025-08-19T00:00:00"/>
    <s v="EQ"/>
    <n v="1432.7"/>
    <n v="1449.4"/>
    <n v="1432.7"/>
    <n v="1435.8"/>
    <n v="1442.5"/>
    <n v="1440"/>
    <n v="1442.34"/>
    <n v="2006.45"/>
    <n v="1307"/>
    <n v="3986094"/>
    <n v="5749306331.6000004"/>
    <n v="147879"/>
    <x v="5"/>
    <n v="3.0999999999999091"/>
    <x v="1"/>
    <n v="8"/>
    <x v="4"/>
    <n v="-0.14188579017264272"/>
  </r>
  <r>
    <d v="2025-08-18T00:00:00"/>
    <s v="EQ"/>
    <n v="1464.7"/>
    <n v="1464.7"/>
    <n v="1429.6"/>
    <n v="1447.7"/>
    <n v="1436"/>
    <n v="1435.8"/>
    <n v="1438.72"/>
    <n v="2006.45"/>
    <n v="1307"/>
    <n v="7254561"/>
    <n v="10437279703.700001"/>
    <n v="182842"/>
    <x v="5"/>
    <n v="-17"/>
    <x v="1"/>
    <n v="8"/>
    <x v="4"/>
    <n v="-0.14188579017264272"/>
  </r>
  <r>
    <d v="2025-08-14T00:00:00"/>
    <s v="EQ"/>
    <n v="1426.2"/>
    <n v="1470"/>
    <n v="1426.2"/>
    <n v="1426.6"/>
    <n v="1448"/>
    <n v="1447.7"/>
    <n v="1451.87"/>
    <n v="2006.45"/>
    <n v="1307"/>
    <n v="12902347"/>
    <n v="18732583333.599998"/>
    <n v="216803"/>
    <x v="5"/>
    <n v="0.39999999999986358"/>
    <x v="1"/>
    <n v="8"/>
    <x v="4"/>
    <n v="-0.14188579017264272"/>
  </r>
  <r>
    <d v="2025-08-13T00:00:00"/>
    <s v="EQ"/>
    <n v="1425"/>
    <n v="1434"/>
    <n v="1422.4"/>
    <n v="1424.1"/>
    <n v="1426.4"/>
    <n v="1426.6"/>
    <n v="1427.16"/>
    <n v="2006.45"/>
    <n v="1307"/>
    <n v="10318063"/>
    <n v="14725570609"/>
    <n v="282240"/>
    <x v="5"/>
    <n v="-0.90000000000009095"/>
    <x v="1"/>
    <n v="8"/>
    <x v="4"/>
    <n v="-0.14188579017264272"/>
  </r>
  <r>
    <d v="2025-08-12T00:00:00"/>
    <s v="EQ"/>
    <n v="1428.2"/>
    <n v="1441"/>
    <n v="1421"/>
    <n v="1428.2"/>
    <n v="1425.8"/>
    <n v="1424.1"/>
    <n v="1431.09"/>
    <n v="2006.45"/>
    <n v="1307"/>
    <n v="9899184"/>
    <n v="14166600704.200001"/>
    <n v="296874"/>
    <x v="5"/>
    <n v="0"/>
    <x v="1"/>
    <n v="8"/>
    <x v="4"/>
    <n v="-0.14188579017264272"/>
  </r>
  <r>
    <d v="2025-08-11T00:00:00"/>
    <s v="EQ"/>
    <n v="1419.9"/>
    <n v="1433.4"/>
    <n v="1414"/>
    <n v="1423.1"/>
    <n v="1426"/>
    <n v="1428.2"/>
    <n v="1425.61"/>
    <n v="2006.45"/>
    <n v="1307"/>
    <n v="6625368"/>
    <n v="9445185928.8999996"/>
    <n v="287957"/>
    <x v="5"/>
    <n v="3.1999999999998181"/>
    <x v="1"/>
    <n v="8"/>
    <x v="4"/>
    <n v="-0.14188579017264272"/>
  </r>
  <r>
    <d v="2025-08-08T00:00:00"/>
    <s v="EQ"/>
    <n v="1425"/>
    <n v="1433.2"/>
    <n v="1417.1"/>
    <n v="1436.9"/>
    <n v="1424"/>
    <n v="1423.1"/>
    <n v="1424.44"/>
    <n v="2006.45"/>
    <n v="1307"/>
    <n v="10048009"/>
    <n v="14312781899.700001"/>
    <n v="310037"/>
    <x v="5"/>
    <n v="11.900000000000091"/>
    <x v="1"/>
    <n v="8"/>
    <x v="4"/>
    <n v="-0.14188579017264272"/>
  </r>
  <r>
    <d v="2025-08-07T00:00:00"/>
    <s v="EQ"/>
    <n v="1430"/>
    <n v="1442"/>
    <n v="1414.2"/>
    <n v="1436.7"/>
    <n v="1441"/>
    <n v="1436.9"/>
    <n v="1428.81"/>
    <n v="2006.45"/>
    <n v="1307"/>
    <n v="9892020"/>
    <n v="14133771799.700001"/>
    <n v="274685"/>
    <x v="5"/>
    <n v="6.7000000000000455"/>
    <x v="1"/>
    <n v="8"/>
    <x v="4"/>
    <n v="-0.14188579017264272"/>
  </r>
  <r>
    <d v="2025-08-06T00:00:00"/>
    <s v="EQ"/>
    <n v="1452"/>
    <n v="1456.1"/>
    <n v="1430.3"/>
    <n v="1460.3"/>
    <n v="1433"/>
    <n v="1436.7"/>
    <n v="1440.41"/>
    <n v="2006.45"/>
    <n v="1307"/>
    <n v="10566934"/>
    <n v="15220682581.700001"/>
    <n v="324361"/>
    <x v="5"/>
    <n v="8.2999999999999545"/>
    <x v="1"/>
    <n v="8"/>
    <x v="4"/>
    <n v="-0.14188579017264272"/>
  </r>
  <r>
    <d v="2025-08-05T00:00:00"/>
    <s v="EQ"/>
    <n v="1478.7"/>
    <n v="1478.7"/>
    <n v="1455"/>
    <n v="1480.5"/>
    <n v="1460"/>
    <n v="1460.3"/>
    <n v="1461.05"/>
    <n v="2006.45"/>
    <n v="1307"/>
    <n v="10213323"/>
    <n v="14922202900.200001"/>
    <n v="259533"/>
    <x v="5"/>
    <n v="1.7999999999999545"/>
    <x v="1"/>
    <n v="8"/>
    <x v="4"/>
    <n v="-0.14188579017264272"/>
  </r>
  <r>
    <d v="2025-08-04T00:00:00"/>
    <s v="EQ"/>
    <n v="1461.5"/>
    <n v="1482.8"/>
    <n v="1451"/>
    <n v="1469.6"/>
    <n v="1480.7"/>
    <n v="1480.5"/>
    <n v="1469.55"/>
    <n v="2006.45"/>
    <n v="1307"/>
    <n v="8610216"/>
    <n v="12653181879.4"/>
    <n v="203292"/>
    <x v="5"/>
    <n v="8.0999999999999091"/>
    <x v="1"/>
    <n v="8"/>
    <x v="4"/>
    <n v="-0.14188579017264272"/>
  </r>
  <r>
    <d v="2025-08-01T00:00:00"/>
    <s v="EQ"/>
    <n v="1493.9"/>
    <n v="1498.7"/>
    <n v="1465.5"/>
    <n v="1509"/>
    <n v="1468.3"/>
    <n v="1469.6"/>
    <n v="1479.8"/>
    <n v="2006.45"/>
    <n v="1307"/>
    <n v="8702978"/>
    <n v="12878642442.299999"/>
    <n v="245779"/>
    <x v="5"/>
    <n v="15.099999999999909"/>
    <x v="1"/>
    <n v="8"/>
    <x v="4"/>
    <n v="-0.14188579017264272"/>
  </r>
  <r>
    <d v="2025-07-31T00:00:00"/>
    <s v="EQ"/>
    <n v="1509.7"/>
    <n v="1527.1"/>
    <n v="1497"/>
    <n v="1519"/>
    <n v="1508.9"/>
    <n v="1509"/>
    <n v="1510.45"/>
    <n v="2006.45"/>
    <n v="1307"/>
    <n v="6851407"/>
    <n v="10348681107.700001"/>
    <n v="244747"/>
    <x v="5"/>
    <n v="9.2999999999999545"/>
    <x v="1"/>
    <n v="7"/>
    <x v="5"/>
    <n v="-0.14188579017264272"/>
  </r>
  <r>
    <d v="2025-07-30T00:00:00"/>
    <s v="EQ"/>
    <n v="1519.9"/>
    <n v="1521.7"/>
    <n v="1506"/>
    <n v="1513.7"/>
    <n v="1518"/>
    <n v="1519"/>
    <n v="1515.04"/>
    <n v="2006.45"/>
    <n v="1307"/>
    <n v="5719051"/>
    <n v="8664575239.6000004"/>
    <n v="117771"/>
    <x v="5"/>
    <n v="-6.2000000000000455"/>
    <x v="1"/>
    <n v="7"/>
    <x v="5"/>
    <n v="-0.14188579017264272"/>
  </r>
  <r>
    <d v="2025-07-29T00:00:00"/>
    <s v="EQ"/>
    <n v="1512.9"/>
    <n v="1517.2"/>
    <n v="1496.1"/>
    <n v="1516"/>
    <n v="1513.5"/>
    <n v="1513.7"/>
    <n v="1509.14"/>
    <n v="2006.45"/>
    <n v="1307"/>
    <n v="7070448"/>
    <n v="10670296870.5"/>
    <n v="229718"/>
    <x v="5"/>
    <n v="3.0999999999999091"/>
    <x v="1"/>
    <n v="7"/>
    <x v="5"/>
    <n v="-0.14188579017264272"/>
  </r>
  <r>
    <d v="2025-07-28T00:00:00"/>
    <s v="EQ"/>
    <n v="1513.9"/>
    <n v="1519.3"/>
    <n v="1482.5"/>
    <n v="1515.7"/>
    <n v="1514.9"/>
    <n v="1516"/>
    <n v="1508.3"/>
    <n v="2006.45"/>
    <n v="1307"/>
    <n v="6439855"/>
    <n v="9713223437.6000004"/>
    <n v="209764"/>
    <x v="5"/>
    <n v="1.7999999999999545"/>
    <x v="1"/>
    <n v="7"/>
    <x v="5"/>
    <n v="-0.14188579017264272"/>
  </r>
  <r>
    <d v="2025-07-25T00:00:00"/>
    <s v="EQ"/>
    <n v="1543.4"/>
    <n v="1549.5"/>
    <n v="1511.3"/>
    <n v="1552.5"/>
    <n v="1518.5"/>
    <n v="1515.7"/>
    <n v="1523.67"/>
    <n v="2006.45"/>
    <n v="1307"/>
    <n v="10851259"/>
    <n v="16533725148.1"/>
    <n v="241673"/>
    <x v="5"/>
    <n v="9.0999999999999091"/>
    <x v="1"/>
    <n v="7"/>
    <x v="5"/>
    <n v="-0.14188579017264272"/>
  </r>
  <r>
    <d v="2025-07-24T00:00:00"/>
    <s v="EQ"/>
    <n v="1580"/>
    <n v="1582"/>
    <n v="1548.2"/>
    <n v="1574.5"/>
    <n v="1553"/>
    <n v="1552.5"/>
    <n v="1557.81"/>
    <n v="2006.45"/>
    <n v="1307"/>
    <n v="14169664"/>
    <n v="22073617144.5"/>
    <n v="270970"/>
    <x v="5"/>
    <n v="-5.5"/>
    <x v="1"/>
    <n v="7"/>
    <x v="5"/>
    <n v="-0.14188579017264272"/>
  </r>
  <r>
    <d v="2025-07-23T00:00:00"/>
    <s v="EQ"/>
    <n v="1576.3"/>
    <n v="1591.9"/>
    <n v="1550"/>
    <n v="1570.9"/>
    <n v="1558.9"/>
    <n v="1574.5"/>
    <n v="1580.42"/>
    <n v="2006.45"/>
    <n v="1307"/>
    <n v="8035026"/>
    <n v="12698718376.799999"/>
    <n v="173368"/>
    <x v="5"/>
    <n v="-5.3999999999998636"/>
    <x v="1"/>
    <n v="7"/>
    <x v="5"/>
    <n v="-0.14188579017264272"/>
  </r>
  <r>
    <d v="2025-07-22T00:00:00"/>
    <s v="EQ"/>
    <n v="1565"/>
    <n v="1585.8"/>
    <n v="1565"/>
    <n v="1584.3"/>
    <n v="1575"/>
    <n v="1570.9"/>
    <n v="1574.26"/>
    <n v="2006.45"/>
    <n v="1307"/>
    <n v="8473741"/>
    <n v="13339859186.700001"/>
    <n v="176472"/>
    <x v="5"/>
    <n v="19.299999999999955"/>
    <x v="1"/>
    <n v="7"/>
    <x v="5"/>
    <n v="-0.14188579017264272"/>
  </r>
  <r>
    <d v="2025-07-21T00:00:00"/>
    <s v="EQ"/>
    <n v="1580"/>
    <n v="1589"/>
    <n v="1566.8"/>
    <n v="1586.1"/>
    <n v="1585.6"/>
    <n v="1584.3"/>
    <n v="1579.48"/>
    <n v="2006.45"/>
    <n v="1307"/>
    <n v="3682661"/>
    <n v="5816701900.1000004"/>
    <n v="123969"/>
    <x v="5"/>
    <n v="6.0999999999999091"/>
    <x v="1"/>
    <n v="7"/>
    <x v="5"/>
    <n v="-0.14188579017264272"/>
  </r>
  <r>
    <d v="2025-07-18T00:00:00"/>
    <s v="EQ"/>
    <n v="1592.1"/>
    <n v="1599.3"/>
    <n v="1580"/>
    <n v="1583.5"/>
    <n v="1588.2"/>
    <n v="1586.1"/>
    <n v="1586.74"/>
    <n v="2006.45"/>
    <n v="1307"/>
    <n v="5161833"/>
    <n v="8190510577.6000004"/>
    <n v="113626"/>
    <x v="5"/>
    <n v="-8.5999999999999091"/>
    <x v="1"/>
    <n v="7"/>
    <x v="5"/>
    <n v="-0.14188579017264272"/>
  </r>
  <r>
    <d v="2025-07-17T00:00:00"/>
    <s v="EQ"/>
    <n v="1598"/>
    <n v="1610"/>
    <n v="1580.1"/>
    <n v="1607.9"/>
    <n v="1581"/>
    <n v="1583.5"/>
    <n v="1590.26"/>
    <n v="2006.45"/>
    <n v="1307"/>
    <n v="7374814"/>
    <n v="11727838015.5"/>
    <n v="171441"/>
    <x v="5"/>
    <n v="9.9000000000000909"/>
    <x v="1"/>
    <n v="7"/>
    <x v="5"/>
    <n v="-0.14188579017264272"/>
  </r>
  <r>
    <d v="2025-07-16T00:00:00"/>
    <s v="EQ"/>
    <n v="1579"/>
    <n v="1612"/>
    <n v="1578.5"/>
    <n v="1585.6"/>
    <n v="1609"/>
    <n v="1607.9"/>
    <n v="1601.98"/>
    <n v="2006.45"/>
    <n v="1307"/>
    <n v="6223491"/>
    <n v="9969927355.8999996"/>
    <n v="144773"/>
    <x v="5"/>
    <n v="6.5999999999999091"/>
    <x v="1"/>
    <n v="7"/>
    <x v="5"/>
    <n v="-0.14188579017264272"/>
  </r>
  <r>
    <d v="2025-07-15T00:00:00"/>
    <s v="EQ"/>
    <n v="1565.1"/>
    <n v="1603.6"/>
    <n v="1564"/>
    <n v="1570.3"/>
    <n v="1587.2"/>
    <n v="1585.6"/>
    <n v="1586.28"/>
    <n v="2006.45"/>
    <n v="1307"/>
    <n v="7614807"/>
    <n v="12079252385.6"/>
    <n v="208916"/>
    <x v="5"/>
    <n v="5.2000000000000455"/>
    <x v="1"/>
    <n v="7"/>
    <x v="5"/>
    <n v="-0.14188579017264272"/>
  </r>
  <r>
    <d v="2025-07-14T00:00:00"/>
    <s v="EQ"/>
    <n v="1591.8"/>
    <n v="1591.8"/>
    <n v="1559.8"/>
    <n v="1594.9"/>
    <n v="1570.5"/>
    <n v="1570.3"/>
    <n v="1569.39"/>
    <n v="2006.45"/>
    <n v="1307"/>
    <n v="9173426"/>
    <n v="14396657160.9"/>
    <n v="334884"/>
    <x v="5"/>
    <n v="3.1000000000001364"/>
    <x v="1"/>
    <n v="7"/>
    <x v="5"/>
    <n v="-0.14188579017264272"/>
  </r>
  <r>
    <d v="2025-07-11T00:00:00"/>
    <s v="EQ"/>
    <n v="1579.1"/>
    <n v="1607.1"/>
    <n v="1563"/>
    <n v="1615.8"/>
    <n v="1594.5"/>
    <n v="1594.9"/>
    <n v="1590.33"/>
    <n v="2006.45"/>
    <n v="1307"/>
    <n v="11391755"/>
    <n v="18116597961.400002"/>
    <n v="424033"/>
    <x v="5"/>
    <n v="36.700000000000045"/>
    <x v="1"/>
    <n v="7"/>
    <x v="5"/>
    <n v="-0.14188579017264272"/>
  </r>
  <r>
    <d v="2025-07-10T00:00:00"/>
    <s v="EQ"/>
    <n v="1638.9"/>
    <n v="1638.9"/>
    <n v="1607.1"/>
    <n v="1633.7"/>
    <n v="1618.8"/>
    <n v="1615.8"/>
    <n v="1617.52"/>
    <n v="2006.45"/>
    <n v="1307"/>
    <n v="5330179"/>
    <n v="8621669458.7999992"/>
    <n v="147697"/>
    <x v="5"/>
    <n v="-5.2000000000000455"/>
    <x v="1"/>
    <n v="7"/>
    <x v="5"/>
    <n v="-0.14188579017264272"/>
  </r>
  <r>
    <d v="2025-07-09T00:00:00"/>
    <s v="EQ"/>
    <n v="1637.8"/>
    <n v="1638"/>
    <n v="1623.6"/>
    <n v="1638.7"/>
    <n v="1632.7"/>
    <n v="1633.7"/>
    <n v="1630.89"/>
    <n v="2006.45"/>
    <n v="1307"/>
    <n v="4580828"/>
    <n v="7470823010.3000002"/>
    <n v="171713"/>
    <x v="5"/>
    <n v="0.90000000000009095"/>
    <x v="1"/>
    <n v="7"/>
    <x v="5"/>
    <n v="-0.14188579017264272"/>
  </r>
  <r>
    <d v="2025-07-08T00:00:00"/>
    <s v="EQ"/>
    <n v="1628"/>
    <n v="1646.2"/>
    <n v="1621.5"/>
    <n v="1627"/>
    <n v="1638.5"/>
    <n v="1638.7"/>
    <n v="1635.98"/>
    <n v="2006.45"/>
    <n v="1307"/>
    <n v="4590681"/>
    <n v="7510264528.1000004"/>
    <n v="131513"/>
    <x v="5"/>
    <n v="-1"/>
    <x v="1"/>
    <n v="7"/>
    <x v="5"/>
    <n v="-0.14188579017264272"/>
  </r>
  <r>
    <d v="2025-07-07T00:00:00"/>
    <s v="EQ"/>
    <n v="1640"/>
    <n v="1644"/>
    <n v="1623"/>
    <n v="1640.7"/>
    <n v="1626.9"/>
    <n v="1627"/>
    <n v="1630.54"/>
    <n v="2006.45"/>
    <n v="1307"/>
    <n v="3294523"/>
    <n v="5371840769.6999998"/>
    <n v="127270"/>
    <x v="5"/>
    <n v="0.70000000000004547"/>
    <x v="1"/>
    <n v="7"/>
    <x v="5"/>
    <n v="-0.14188579017264272"/>
  </r>
  <r>
    <d v="2025-07-04T00:00:00"/>
    <s v="EQ"/>
    <n v="1625"/>
    <n v="1643.4"/>
    <n v="1612.3"/>
    <n v="1618.7"/>
    <n v="1639.7"/>
    <n v="1640.7"/>
    <n v="1631.46"/>
    <n v="2006.45"/>
    <n v="1307"/>
    <n v="4411273"/>
    <n v="7196824362.1999998"/>
    <n v="113037"/>
    <x v="5"/>
    <n v="-6.2999999999999545"/>
    <x v="1"/>
    <n v="7"/>
    <x v="5"/>
    <n v="-0.14188579017264272"/>
  </r>
  <r>
    <d v="2025-07-03T00:00:00"/>
    <s v="EQ"/>
    <n v="1618.5"/>
    <n v="1632.4"/>
    <n v="1615"/>
    <n v="1610.5"/>
    <n v="1616.9"/>
    <n v="1618.7"/>
    <n v="1622.33"/>
    <n v="2006.45"/>
    <n v="1307"/>
    <n v="5259695"/>
    <n v="8532944662.1000004"/>
    <n v="157372"/>
    <x v="5"/>
    <n v="-8"/>
    <x v="1"/>
    <n v="7"/>
    <x v="5"/>
    <n v="-0.14188579017264272"/>
  </r>
  <r>
    <d v="2025-07-02T00:00:00"/>
    <s v="EQ"/>
    <n v="1618"/>
    <n v="1649"/>
    <n v="1603.4"/>
    <n v="1606.8"/>
    <n v="1609.6"/>
    <n v="1610.5"/>
    <n v="1622.6"/>
    <n v="2006.45"/>
    <n v="1307"/>
    <n v="8653641"/>
    <n v="14041432376.700001"/>
    <n v="174866"/>
    <x v="5"/>
    <n v="-11.200000000000045"/>
    <x v="1"/>
    <n v="7"/>
    <x v="5"/>
    <n v="-0.14188579017264272"/>
  </r>
  <r>
    <d v="2025-07-01T00:00:00"/>
    <s v="EQ"/>
    <n v="1609"/>
    <n v="1617.7"/>
    <n v="1600.5"/>
    <n v="1601.8"/>
    <n v="1603"/>
    <n v="1606.8"/>
    <n v="1607.18"/>
    <n v="2006.45"/>
    <n v="1307"/>
    <n v="4178937"/>
    <n v="6716311825.1000004"/>
    <n v="151406"/>
    <x v="5"/>
    <n v="-7.2000000000000455"/>
    <x v="1"/>
    <n v="7"/>
    <x v="5"/>
    <n v="-0.14188579017264272"/>
  </r>
  <r>
    <d v="2025-06-30T00:00:00"/>
    <s v="EQ"/>
    <n v="1615"/>
    <n v="1615"/>
    <n v="1594.1"/>
    <n v="1608"/>
    <n v="1603.4"/>
    <n v="1601.8"/>
    <n v="1603.36"/>
    <n v="2006.45"/>
    <n v="1307"/>
    <n v="6294505"/>
    <n v="10092387934"/>
    <n v="183538"/>
    <x v="5"/>
    <n v="-7"/>
    <x v="1"/>
    <n v="6"/>
    <x v="6"/>
    <n v="-0.14188579017264272"/>
  </r>
  <r>
    <d v="2025-06-27T00:00:00"/>
    <s v="EQ"/>
    <n v="1619"/>
    <n v="1629.6"/>
    <n v="1602.4"/>
    <n v="1616"/>
    <n v="1611"/>
    <n v="1608"/>
    <n v="1611.01"/>
    <n v="2006.45"/>
    <n v="1307"/>
    <n v="8912268"/>
    <n v="14357711409.200001"/>
    <n v="176021"/>
    <x v="5"/>
    <n v="-3"/>
    <x v="1"/>
    <n v="6"/>
    <x v="6"/>
    <n v="-0.14188579017264272"/>
  </r>
  <r>
    <d v="2025-06-26T00:00:00"/>
    <s v="EQ"/>
    <n v="1608.8"/>
    <n v="1624"/>
    <n v="1606.6"/>
    <n v="1614.9"/>
    <n v="1614.2"/>
    <n v="1616"/>
    <n v="1615.17"/>
    <n v="2006.45"/>
    <n v="1307"/>
    <n v="6519233"/>
    <n v="10529669764"/>
    <n v="143707"/>
    <x v="5"/>
    <n v="6.1000000000001364"/>
    <x v="1"/>
    <n v="6"/>
    <x v="6"/>
    <n v="-0.14188579017264272"/>
  </r>
  <r>
    <d v="2025-06-25T00:00:00"/>
    <s v="EQ"/>
    <n v="1590"/>
    <n v="1619.9"/>
    <n v="1585.1"/>
    <n v="1581.6"/>
    <n v="1612.5"/>
    <n v="1614.9"/>
    <n v="1608.74"/>
    <n v="2006.45"/>
    <n v="1307"/>
    <n v="7813533"/>
    <n v="12569966638.700001"/>
    <n v="187869"/>
    <x v="5"/>
    <n v="-8.4000000000000909"/>
    <x v="1"/>
    <n v="6"/>
    <x v="6"/>
    <n v="-0.14188579017264272"/>
  </r>
  <r>
    <d v="2025-06-24T00:00:00"/>
    <s v="EQ"/>
    <n v="1601"/>
    <n v="1609"/>
    <n v="1576.6"/>
    <n v="1584"/>
    <n v="1579.6"/>
    <n v="1581.6"/>
    <n v="1590.26"/>
    <n v="2006.45"/>
    <n v="1307"/>
    <n v="8083992"/>
    <n v="12855608766.6"/>
    <n v="157878"/>
    <x v="5"/>
    <n v="-17"/>
    <x v="1"/>
    <n v="6"/>
    <x v="6"/>
    <n v="-0.14188579017264272"/>
  </r>
  <r>
    <d v="2025-06-23T00:00:00"/>
    <s v="EQ"/>
    <n v="1601"/>
    <n v="1601"/>
    <n v="1575.4"/>
    <n v="1622.9"/>
    <n v="1584.7"/>
    <n v="1584"/>
    <n v="1585.78"/>
    <n v="2006.45"/>
    <n v="1307"/>
    <n v="7943676"/>
    <n v="12596945674.4"/>
    <n v="206475"/>
    <x v="5"/>
    <n v="21.900000000000091"/>
    <x v="1"/>
    <n v="6"/>
    <x v="6"/>
    <n v="-0.14188579017264272"/>
  </r>
  <r>
    <d v="2025-06-20T00:00:00"/>
    <s v="EQ"/>
    <n v="1619"/>
    <n v="1630.7"/>
    <n v="1608.9"/>
    <n v="1618.4"/>
    <n v="1618"/>
    <n v="1622.9"/>
    <n v="1621.3"/>
    <n v="2006.45"/>
    <n v="1307"/>
    <n v="9202821"/>
    <n v="14920507153.700001"/>
    <n v="135603"/>
    <x v="5"/>
    <n v="-0.59999999999990905"/>
    <x v="1"/>
    <n v="6"/>
    <x v="6"/>
    <n v="-0.14188579017264272"/>
  </r>
  <r>
    <d v="2025-06-19T00:00:00"/>
    <s v="EQ"/>
    <n v="1623.9"/>
    <n v="1630"/>
    <n v="1611.5"/>
    <n v="1632.9"/>
    <n v="1616.9"/>
    <n v="1618.4"/>
    <n v="1618.85"/>
    <n v="2006.45"/>
    <n v="1307"/>
    <n v="5147760"/>
    <n v="8333449709.6000004"/>
    <n v="162048"/>
    <x v="5"/>
    <n v="9"/>
    <x v="1"/>
    <n v="6"/>
    <x v="6"/>
    <n v="-0.14188579017264272"/>
  </r>
  <r>
    <d v="2025-06-18T00:00:00"/>
    <s v="EQ"/>
    <n v="1621"/>
    <n v="1644.7"/>
    <n v="1621"/>
    <n v="1639.9"/>
    <n v="1632"/>
    <n v="1632.9"/>
    <n v="1631.66"/>
    <n v="2006.45"/>
    <n v="1307"/>
    <n v="5629707"/>
    <n v="9185742882.6000004"/>
    <n v="140846"/>
    <x v="5"/>
    <n v="18.900000000000091"/>
    <x v="1"/>
    <n v="6"/>
    <x v="6"/>
    <n v="-0.14188579017264272"/>
  </r>
  <r>
    <d v="2025-06-17T00:00:00"/>
    <s v="EQ"/>
    <n v="1620.7"/>
    <n v="1647.4"/>
    <n v="1615.6"/>
    <n v="1623.8"/>
    <n v="1638"/>
    <n v="1639.9"/>
    <n v="1637.98"/>
    <n v="2006.45"/>
    <n v="1307"/>
    <n v="7622083"/>
    <n v="12484837334.9"/>
    <n v="212796"/>
    <x v="5"/>
    <n v="3.0999999999999091"/>
    <x v="1"/>
    <n v="6"/>
    <x v="6"/>
    <n v="-0.14188579017264272"/>
  </r>
  <r>
    <d v="2025-06-16T00:00:00"/>
    <s v="EQ"/>
    <n v="1600"/>
    <n v="1634.8"/>
    <n v="1597.1"/>
    <n v="1602"/>
    <n v="1622.1"/>
    <n v="1623.8"/>
    <n v="1621.63"/>
    <n v="2006.45"/>
    <n v="1307"/>
    <n v="5591842"/>
    <n v="9067922727.7000008"/>
    <n v="138140"/>
    <x v="5"/>
    <n v="2"/>
    <x v="1"/>
    <n v="6"/>
    <x v="6"/>
    <n v="-0.14188579017264272"/>
  </r>
  <r>
    <d v="2025-06-13T00:00:00"/>
    <s v="EQ"/>
    <n v="1576"/>
    <n v="1609"/>
    <n v="1570.2"/>
    <n v="1608.6"/>
    <n v="1605"/>
    <n v="1602"/>
    <n v="1598.18"/>
    <n v="2006.45"/>
    <n v="1307"/>
    <n v="6968315"/>
    <n v="11136653004.6"/>
    <n v="216576"/>
    <x v="5"/>
    <n v="32.599999999999909"/>
    <x v="1"/>
    <n v="6"/>
    <x v="6"/>
    <n v="-0.14188579017264272"/>
  </r>
  <r>
    <d v="2025-06-12T00:00:00"/>
    <s v="EQ"/>
    <n v="1617"/>
    <n v="1628"/>
    <n v="1598.1"/>
    <n v="1631.1"/>
    <n v="1605"/>
    <n v="1608.6"/>
    <n v="1612.28"/>
    <n v="2006.45"/>
    <n v="1307"/>
    <n v="10483574"/>
    <n v="16902414982"/>
    <n v="316383"/>
    <x v="5"/>
    <n v="14.099999999999909"/>
    <x v="1"/>
    <n v="6"/>
    <x v="6"/>
    <n v="-0.14188579017264272"/>
  </r>
  <r>
    <d v="2025-06-11T00:00:00"/>
    <s v="EQ"/>
    <n v="1590.1"/>
    <n v="1634.6"/>
    <n v="1590.1"/>
    <n v="1596"/>
    <n v="1628"/>
    <n v="1631.1"/>
    <n v="1617.71"/>
    <n v="2006.45"/>
    <n v="1307"/>
    <n v="10597410"/>
    <n v="17143554884.6"/>
    <n v="219452"/>
    <x v="5"/>
    <n v="5.9000000000000909"/>
    <x v="1"/>
    <n v="6"/>
    <x v="6"/>
    <n v="-0.14188579017264272"/>
  </r>
  <r>
    <d v="2025-06-10T00:00:00"/>
    <s v="EQ"/>
    <n v="1584"/>
    <n v="1607.5"/>
    <n v="1577.5"/>
    <n v="1572.9"/>
    <n v="1594"/>
    <n v="1596"/>
    <n v="1595.07"/>
    <n v="2006.45"/>
    <n v="1307"/>
    <n v="8591925"/>
    <n v="13704698707.799999"/>
    <n v="222769"/>
    <x v="5"/>
    <n v="-11.099999999999909"/>
    <x v="1"/>
    <n v="6"/>
    <x v="6"/>
    <n v="-0.14188579017264272"/>
  </r>
  <r>
    <d v="2025-06-09T00:00:00"/>
    <s v="EQ"/>
    <n v="1578"/>
    <n v="1588"/>
    <n v="1571"/>
    <n v="1563.8"/>
    <n v="1572"/>
    <n v="1572.9"/>
    <n v="1577.22"/>
    <n v="2006.45"/>
    <n v="1307"/>
    <n v="2903202"/>
    <n v="4578975981.3999996"/>
    <n v="113233"/>
    <x v="5"/>
    <n v="-14.200000000000045"/>
    <x v="1"/>
    <n v="6"/>
    <x v="6"/>
    <n v="-0.14188579017264272"/>
  </r>
  <r>
    <d v="2025-06-06T00:00:00"/>
    <s v="EQ"/>
    <n v="1554.7"/>
    <n v="1568.9"/>
    <n v="1543.1"/>
    <n v="1554.3"/>
    <n v="1568"/>
    <n v="1563.8"/>
    <n v="1557.14"/>
    <n v="2006.45"/>
    <n v="1307"/>
    <n v="3960020"/>
    <n v="6166293295"/>
    <n v="90826"/>
    <x v="5"/>
    <n v="-0.40000000000009095"/>
    <x v="1"/>
    <n v="6"/>
    <x v="6"/>
    <n v="-0.14188579017264272"/>
  </r>
  <r>
    <d v="2025-06-05T00:00:00"/>
    <s v="EQ"/>
    <n v="1547.9"/>
    <n v="1567.7"/>
    <n v="1541.6"/>
    <n v="1551.2"/>
    <n v="1554.5"/>
    <n v="1554.3"/>
    <n v="1554.78"/>
    <n v="2006.45"/>
    <n v="1307"/>
    <n v="6948539"/>
    <n v="10803474457.1"/>
    <n v="128309"/>
    <x v="5"/>
    <n v="3.2999999999999545"/>
    <x v="1"/>
    <n v="6"/>
    <x v="6"/>
    <n v="-0.14188579017264272"/>
  </r>
  <r>
    <d v="2025-06-04T00:00:00"/>
    <s v="EQ"/>
    <n v="1543"/>
    <n v="1557.3"/>
    <n v="1541.4"/>
    <n v="1543"/>
    <n v="1550"/>
    <n v="1551.2"/>
    <n v="1550.49"/>
    <n v="2006.45"/>
    <n v="1307"/>
    <n v="4548307"/>
    <n v="7052104860.6000004"/>
    <n v="118648"/>
    <x v="5"/>
    <n v="0"/>
    <x v="1"/>
    <n v="6"/>
    <x v="6"/>
    <n v="-0.14188579017264272"/>
  </r>
  <r>
    <d v="2025-06-03T00:00:00"/>
    <s v="EQ"/>
    <n v="1559"/>
    <n v="1567.3"/>
    <n v="1535.6"/>
    <n v="1553.8"/>
    <n v="1543"/>
    <n v="1543"/>
    <n v="1546.37"/>
    <n v="2006.45"/>
    <n v="1307"/>
    <n v="6853403"/>
    <n v="10597870232.1"/>
    <n v="195003"/>
    <x v="5"/>
    <n v="-5.2000000000000455"/>
    <x v="1"/>
    <n v="6"/>
    <x v="6"/>
    <n v="-0.14188579017264272"/>
  </r>
  <r>
    <d v="2025-06-02T00:00:00"/>
    <s v="EQ"/>
    <n v="1560"/>
    <n v="1560"/>
    <n v="1539"/>
    <n v="1562.7"/>
    <n v="1551"/>
    <n v="1553.8"/>
    <n v="1550.25"/>
    <n v="2006.45"/>
    <n v="1307"/>
    <n v="4374509"/>
    <n v="6781587274"/>
    <n v="131906"/>
    <x v="5"/>
    <n v="2.7000000000000455"/>
    <x v="1"/>
    <n v="6"/>
    <x v="6"/>
    <n v="-0.14188579017264272"/>
  </r>
  <r>
    <d v="2025-05-30T00:00:00"/>
    <s v="EQ"/>
    <n v="1571"/>
    <n v="1572"/>
    <n v="1555.1"/>
    <n v="1585.6"/>
    <n v="1561.9"/>
    <n v="1562.7"/>
    <n v="1563.06"/>
    <n v="2006.45"/>
    <n v="1307"/>
    <n v="13148092"/>
    <n v="20551263119"/>
    <n v="167400"/>
    <x v="5"/>
    <n v="14.599999999999909"/>
    <x v="1"/>
    <n v="5"/>
    <x v="7"/>
    <n v="-0.14188579017264272"/>
  </r>
  <r>
    <d v="2025-05-29T00:00:00"/>
    <s v="EQ"/>
    <n v="1589"/>
    <n v="1608.9"/>
    <n v="1576.6"/>
    <n v="1571.8"/>
    <n v="1586.5"/>
    <n v="1585.6"/>
    <n v="1588.46"/>
    <n v="2006.45"/>
    <n v="1307"/>
    <n v="8609500"/>
    <n v="13675817253.9"/>
    <n v="194291"/>
    <x v="5"/>
    <n v="-17.200000000000045"/>
    <x v="1"/>
    <n v="5"/>
    <x v="7"/>
    <n v="-0.14188579017264272"/>
  </r>
  <r>
    <d v="2025-05-28T00:00:00"/>
    <s v="EQ"/>
    <n v="1581"/>
    <n v="1587.7"/>
    <n v="1570"/>
    <n v="1570.1"/>
    <n v="1571.8"/>
    <n v="1571.8"/>
    <n v="1576.59"/>
    <n v="2006.45"/>
    <n v="1307"/>
    <n v="3623370"/>
    <n v="5712574459"/>
    <n v="136660"/>
    <x v="5"/>
    <n v="-10.900000000000091"/>
    <x v="1"/>
    <n v="5"/>
    <x v="7"/>
    <n v="-0.14188579017264272"/>
  </r>
  <r>
    <d v="2025-05-27T00:00:00"/>
    <s v="EQ"/>
    <n v="1579.9"/>
    <n v="1582.9"/>
    <n v="1556.4"/>
    <n v="1580.5"/>
    <n v="1570.9"/>
    <n v="1570.1"/>
    <n v="1567.8"/>
    <n v="2006.45"/>
    <n v="1307"/>
    <n v="7775714"/>
    <n v="12190751506.200001"/>
    <n v="206543"/>
    <x v="5"/>
    <n v="0.59999999999990905"/>
    <x v="1"/>
    <n v="5"/>
    <x v="7"/>
    <n v="-0.14188579017264272"/>
  </r>
  <r>
    <d v="2025-05-26T00:00:00"/>
    <s v="EQ"/>
    <n v="1566.6"/>
    <n v="1583.8"/>
    <n v="1562.7"/>
    <n v="1564.8"/>
    <n v="1582"/>
    <n v="1580.5"/>
    <n v="1577.54"/>
    <n v="2006.45"/>
    <n v="1307"/>
    <n v="3170102"/>
    <n v="5000973812.6999998"/>
    <n v="84853"/>
    <x v="5"/>
    <n v="-1.7999999999999545"/>
    <x v="1"/>
    <n v="5"/>
    <x v="7"/>
    <n v="-0.14188579017264272"/>
  </r>
  <r>
    <d v="2025-05-23T00:00:00"/>
    <s v="EQ"/>
    <n v="1550"/>
    <n v="1587.2"/>
    <n v="1550"/>
    <n v="1547.5"/>
    <n v="1566.1"/>
    <n v="1564.8"/>
    <n v="1573.82"/>
    <n v="2006.45"/>
    <n v="1307"/>
    <n v="5038421"/>
    <n v="7929581517.5"/>
    <n v="119392"/>
    <x v="5"/>
    <n v="-2.5"/>
    <x v="1"/>
    <n v="5"/>
    <x v="7"/>
    <n v="-0.14188579017264272"/>
  </r>
  <r>
    <d v="2025-05-22T00:00:00"/>
    <s v="EQ"/>
    <n v="1555.5"/>
    <n v="1560.8"/>
    <n v="1540"/>
    <n v="1568.5"/>
    <n v="1551"/>
    <n v="1547.5"/>
    <n v="1548.79"/>
    <n v="2006.45"/>
    <n v="1307"/>
    <n v="6158990"/>
    <n v="9538994454.7000008"/>
    <n v="162974"/>
    <x v="5"/>
    <n v="13"/>
    <x v="1"/>
    <n v="5"/>
    <x v="7"/>
    <n v="-0.14188579017264272"/>
  </r>
  <r>
    <d v="2025-05-21T00:00:00"/>
    <s v="EQ"/>
    <n v="1567.9"/>
    <n v="1571"/>
    <n v="1552.1"/>
    <n v="1560.6"/>
    <n v="1566.9"/>
    <n v="1568.5"/>
    <n v="1566.02"/>
    <n v="2006.45"/>
    <n v="1307"/>
    <n v="4157309"/>
    <n v="6510414089.8999996"/>
    <n v="112304"/>
    <x v="5"/>
    <n v="-7.3000000000001819"/>
    <x v="1"/>
    <n v="5"/>
    <x v="7"/>
    <n v="-0.14188579017264272"/>
  </r>
  <r>
    <d v="2025-05-20T00:00:00"/>
    <s v="EQ"/>
    <n v="1570"/>
    <n v="1583.5"/>
    <n v="1558"/>
    <n v="1559.8"/>
    <n v="1563.5"/>
    <n v="1560.6"/>
    <n v="1566.97"/>
    <n v="2006.45"/>
    <n v="1307"/>
    <n v="7143998"/>
    <n v="11194455092.9"/>
    <n v="160169"/>
    <x v="5"/>
    <n v="-10.200000000000045"/>
    <x v="1"/>
    <n v="5"/>
    <x v="7"/>
    <n v="-0.14188579017264272"/>
  </r>
  <r>
    <d v="2025-05-19T00:00:00"/>
    <s v="EQ"/>
    <n v="1576.5"/>
    <n v="1585"/>
    <n v="1555.7"/>
    <n v="1589.9"/>
    <n v="1557.9"/>
    <n v="1559.8"/>
    <n v="1565.44"/>
    <n v="2006.45"/>
    <n v="1307"/>
    <n v="8855798"/>
    <n v="13863231180.1"/>
    <n v="186064"/>
    <x v="5"/>
    <n v="13.400000000000091"/>
    <x v="1"/>
    <n v="5"/>
    <x v="7"/>
    <n v="-0.14188579017264272"/>
  </r>
  <r>
    <d v="2025-05-16T00:00:00"/>
    <s v="EQ"/>
    <n v="1612.6"/>
    <n v="1612.6"/>
    <n v="1581.5"/>
    <n v="1613"/>
    <n v="1589.4"/>
    <n v="1589.9"/>
    <n v="1591.32"/>
    <n v="2006.45"/>
    <n v="1307"/>
    <n v="4576751"/>
    <n v="7283067573.3999996"/>
    <n v="132211"/>
    <x v="5"/>
    <n v="0.40000000000009095"/>
    <x v="1"/>
    <n v="5"/>
    <x v="7"/>
    <n v="-0.14188579017264272"/>
  </r>
  <r>
    <d v="2025-05-15T00:00:00"/>
    <s v="EQ"/>
    <n v="1589.8"/>
    <n v="1618.6"/>
    <n v="1571"/>
    <n v="1592.4"/>
    <n v="1609.5"/>
    <n v="1613"/>
    <n v="1600.37"/>
    <n v="2006.45"/>
    <n v="1307"/>
    <n v="11151167"/>
    <n v="17846028418.299999"/>
    <n v="226053"/>
    <x v="5"/>
    <n v="2.6000000000001364"/>
    <x v="1"/>
    <n v="5"/>
    <x v="7"/>
    <n v="-0.14188579017264272"/>
  </r>
  <r>
    <d v="2025-05-14T00:00:00"/>
    <s v="EQ"/>
    <n v="1574"/>
    <n v="1595"/>
    <n v="1569.5"/>
    <n v="1568.6"/>
    <n v="1592.8"/>
    <n v="1592.4"/>
    <n v="1588.83"/>
    <n v="2006.45"/>
    <n v="1307"/>
    <n v="4870057"/>
    <n v="7737687686"/>
    <n v="144908"/>
    <x v="5"/>
    <n v="-5.4000000000000909"/>
    <x v="1"/>
    <n v="5"/>
    <x v="7"/>
    <n v="-0.14188579017264272"/>
  </r>
  <r>
    <d v="2025-05-13T00:00:00"/>
    <s v="EQ"/>
    <n v="1609"/>
    <n v="1612.2"/>
    <n v="1564.6"/>
    <n v="1626.9"/>
    <n v="1567.9"/>
    <n v="1568.6"/>
    <n v="1579.63"/>
    <n v="2006.45"/>
    <n v="1307"/>
    <n v="12846210"/>
    <n v="20292258361.299999"/>
    <n v="335293"/>
    <x v="5"/>
    <n v="17.900000000000091"/>
    <x v="1"/>
    <n v="5"/>
    <x v="7"/>
    <n v="-0.14188579017264272"/>
  </r>
  <r>
    <d v="2025-05-12T00:00:00"/>
    <s v="EQ"/>
    <n v="1537"/>
    <n v="1632"/>
    <n v="1532"/>
    <n v="1507.6"/>
    <n v="1623.5"/>
    <n v="1626.9"/>
    <n v="1593.89"/>
    <n v="2006.45"/>
    <n v="1307"/>
    <n v="11372857"/>
    <n v="18127126262.5"/>
    <n v="290108"/>
    <x v="5"/>
    <n v="-29.400000000000091"/>
    <x v="1"/>
    <n v="5"/>
    <x v="7"/>
    <n v="-0.14188579017264272"/>
  </r>
  <r>
    <d v="2025-05-09T00:00:00"/>
    <s v="EQ"/>
    <n v="1500.7"/>
    <n v="1511.4"/>
    <n v="1494.1"/>
    <n v="1511.4"/>
    <n v="1507.2"/>
    <n v="1507.6"/>
    <n v="1504.2"/>
    <n v="2006.45"/>
    <n v="1307"/>
    <n v="4478653"/>
    <n v="6736782019.1999998"/>
    <n v="144158"/>
    <x v="5"/>
    <n v="10.700000000000045"/>
    <x v="1"/>
    <n v="5"/>
    <x v="7"/>
    <n v="-0.14188579017264272"/>
  </r>
  <r>
    <d v="2025-05-08T00:00:00"/>
    <s v="EQ"/>
    <n v="1508"/>
    <n v="1516.5"/>
    <n v="1501.2"/>
    <n v="1508.3"/>
    <n v="1506"/>
    <n v="1511.4"/>
    <n v="1508.8"/>
    <n v="2006.45"/>
    <n v="1307"/>
    <n v="8424409"/>
    <n v="12710783626.5"/>
    <n v="217543"/>
    <x v="5"/>
    <n v="0.29999999999995453"/>
    <x v="1"/>
    <n v="5"/>
    <x v="7"/>
    <n v="-0.14188579017264272"/>
  </r>
  <r>
    <d v="2025-05-07T00:00:00"/>
    <s v="EQ"/>
    <n v="1500"/>
    <n v="1518.8"/>
    <n v="1496.6"/>
    <n v="1511.5"/>
    <n v="1508.8"/>
    <n v="1508.3"/>
    <n v="1509.03"/>
    <n v="2006.45"/>
    <n v="1307"/>
    <n v="5691799"/>
    <n v="8589104210.8999996"/>
    <n v="144103"/>
    <x v="5"/>
    <n v="11.5"/>
    <x v="1"/>
    <n v="5"/>
    <x v="7"/>
    <n v="-0.14188579017264272"/>
  </r>
  <r>
    <d v="2025-05-06T00:00:00"/>
    <s v="EQ"/>
    <n v="1506"/>
    <n v="1515.6"/>
    <n v="1499.1"/>
    <n v="1508.6"/>
    <n v="1511"/>
    <n v="1511.5"/>
    <n v="1509.58"/>
    <n v="2006.45"/>
    <n v="1307"/>
    <n v="4270530"/>
    <n v="6446698483.8999996"/>
    <n v="105354"/>
    <x v="5"/>
    <n v="2.5999999999999091"/>
    <x v="1"/>
    <n v="5"/>
    <x v="7"/>
    <n v="-0.14188579017264272"/>
  </r>
  <r>
    <d v="2025-05-05T00:00:00"/>
    <s v="EQ"/>
    <n v="1515"/>
    <n v="1523"/>
    <n v="1502.8"/>
    <n v="1506.8"/>
    <n v="1507"/>
    <n v="1508.6"/>
    <n v="1509.96"/>
    <n v="2006.45"/>
    <n v="1307"/>
    <n v="4282493"/>
    <n v="6466387044.6999998"/>
    <n v="130549"/>
    <x v="5"/>
    <n v="-8.2000000000000455"/>
    <x v="1"/>
    <n v="5"/>
    <x v="7"/>
    <n v="-0.14188579017264272"/>
  </r>
  <r>
    <d v="2025-05-02T00:00:00"/>
    <s v="EQ"/>
    <n v="1499.7"/>
    <n v="1523.2"/>
    <n v="1496.2"/>
    <n v="1500.1"/>
    <n v="1502"/>
    <n v="1506.8"/>
    <n v="1509.45"/>
    <n v="2006.45"/>
    <n v="1307"/>
    <n v="8733014"/>
    <n v="13182067260.5"/>
    <n v="235475"/>
    <x v="5"/>
    <n v="0.39999999999986358"/>
    <x v="1"/>
    <n v="5"/>
    <x v="7"/>
    <n v="-0.14188579017264272"/>
  </r>
  <r>
    <d v="2025-04-30T00:00:00"/>
    <s v="EQ"/>
    <n v="1496.8"/>
    <n v="1508.8"/>
    <n v="1482.6"/>
    <n v="1497.5"/>
    <n v="1491.5"/>
    <n v="1500.1"/>
    <n v="1499.93"/>
    <n v="2006.45"/>
    <n v="1307"/>
    <n v="7704183"/>
    <n v="11555716056.4"/>
    <n v="128359"/>
    <x v="5"/>
    <n v="0.70000000000004547"/>
    <x v="1"/>
    <n v="4"/>
    <x v="8"/>
    <n v="-0.14188579017264272"/>
  </r>
  <r>
    <d v="2025-04-29T00:00:00"/>
    <s v="EQ"/>
    <n v="1482"/>
    <n v="1509.8"/>
    <n v="1474.1"/>
    <n v="1482.1"/>
    <n v="1498"/>
    <n v="1497.5"/>
    <n v="1495.87"/>
    <n v="2006.45"/>
    <n v="1307"/>
    <n v="8056743"/>
    <n v="12051862382.6"/>
    <n v="207221"/>
    <x v="5"/>
    <n v="9.9999999999909051E-2"/>
    <x v="1"/>
    <n v="4"/>
    <x v="8"/>
    <n v="-0.14188579017264272"/>
  </r>
  <r>
    <d v="2025-04-28T00:00:00"/>
    <s v="EQ"/>
    <n v="1480.2"/>
    <n v="1489.6"/>
    <n v="1465.3"/>
    <n v="1480.2"/>
    <n v="1481"/>
    <n v="1482.1"/>
    <n v="1478.19"/>
    <n v="2006.45"/>
    <n v="1307"/>
    <n v="5886253"/>
    <n v="8701029482.7000008"/>
    <n v="146345"/>
    <x v="5"/>
    <n v="0"/>
    <x v="1"/>
    <n v="4"/>
    <x v="8"/>
    <n v="-0.14188579017264272"/>
  </r>
  <r>
    <d v="2025-04-25T00:00:00"/>
    <s v="EQ"/>
    <n v="1475.5"/>
    <n v="1501.7"/>
    <n v="1463.5"/>
    <n v="1471.4"/>
    <n v="1480"/>
    <n v="1480.2"/>
    <n v="1484.47"/>
    <n v="2006.45"/>
    <n v="1307"/>
    <n v="8329979"/>
    <n v="12365598001.799999"/>
    <n v="199876"/>
    <x v="5"/>
    <n v="-4.0999999999999091"/>
    <x v="1"/>
    <n v="4"/>
    <x v="8"/>
    <n v="-0.14188579017264272"/>
  </r>
  <r>
    <d v="2025-04-24T00:00:00"/>
    <s v="EQ"/>
    <n v="1469.9"/>
    <n v="1482.9"/>
    <n v="1461.5"/>
    <n v="1474.9"/>
    <n v="1473"/>
    <n v="1471.4"/>
    <n v="1471.62"/>
    <n v="2006.45"/>
    <n v="1307"/>
    <n v="7114292"/>
    <n v="10469560317.200001"/>
    <n v="175991"/>
    <x v="5"/>
    <n v="5"/>
    <x v="1"/>
    <n v="4"/>
    <x v="8"/>
    <n v="-0.14188579017264272"/>
  </r>
  <r>
    <d v="2025-04-23T00:00:00"/>
    <s v="EQ"/>
    <n v="1446"/>
    <n v="1487.8"/>
    <n v="1439.6"/>
    <n v="1422.8"/>
    <n v="1476.2"/>
    <n v="1474.9"/>
    <n v="1471.47"/>
    <n v="2006.45"/>
    <n v="1307"/>
    <n v="11136642"/>
    <n v="16387181464.5"/>
    <n v="249560"/>
    <x v="5"/>
    <n v="-23.200000000000045"/>
    <x v="1"/>
    <n v="4"/>
    <x v="8"/>
    <n v="-0.14188579017264272"/>
  </r>
  <r>
    <d v="2025-04-22T00:00:00"/>
    <s v="EQ"/>
    <n v="1440"/>
    <n v="1440"/>
    <n v="1419.3"/>
    <n v="1451"/>
    <n v="1423"/>
    <n v="1422.8"/>
    <n v="1425.14"/>
    <n v="2006.45"/>
    <n v="1307"/>
    <n v="9399738"/>
    <n v="13395956021.299999"/>
    <n v="245817"/>
    <x v="5"/>
    <n v="11"/>
    <x v="1"/>
    <n v="4"/>
    <x v="8"/>
    <n v="-0.14188579017264272"/>
  </r>
  <r>
    <d v="2025-04-21T00:00:00"/>
    <s v="EQ"/>
    <n v="1410"/>
    <n v="1471.8"/>
    <n v="1410"/>
    <n v="1419.5"/>
    <n v="1449"/>
    <n v="1451"/>
    <n v="1452.45"/>
    <n v="2006.45"/>
    <n v="1307"/>
    <n v="15648970"/>
    <n v="22729378761.099998"/>
    <n v="271048"/>
    <x v="5"/>
    <n v="9.5"/>
    <x v="1"/>
    <n v="4"/>
    <x v="8"/>
    <n v="-0.14188579017264272"/>
  </r>
  <r>
    <d v="2025-04-17T00:00:00"/>
    <s v="EQ"/>
    <n v="1398"/>
    <n v="1429.8"/>
    <n v="1378.3"/>
    <n v="1413.1"/>
    <n v="1427.7"/>
    <n v="1419.5"/>
    <n v="1400.17"/>
    <n v="2006.45"/>
    <n v="1307"/>
    <n v="14264227"/>
    <n v="19972355994"/>
    <n v="349779"/>
    <x v="5"/>
    <n v="15.099999999999909"/>
    <x v="1"/>
    <n v="4"/>
    <x v="8"/>
    <n v="-0.14188579017264272"/>
  </r>
  <r>
    <d v="2025-04-16T00:00:00"/>
    <s v="EQ"/>
    <n v="1425"/>
    <n v="1427.5"/>
    <n v="1396.8"/>
    <n v="1426"/>
    <n v="1412.2"/>
    <n v="1413.1"/>
    <n v="1409.87"/>
    <n v="2006.45"/>
    <n v="1307"/>
    <n v="12022740"/>
    <n v="16950524011.299999"/>
    <n v="331555"/>
    <x v="5"/>
    <n v="1"/>
    <x v="1"/>
    <n v="4"/>
    <x v="8"/>
    <n v="-0.14188579017264272"/>
  </r>
  <r>
    <d v="2025-04-15T00:00:00"/>
    <s v="EQ"/>
    <n v="1445.6"/>
    <n v="1447.7"/>
    <n v="1409"/>
    <n v="1409.45"/>
    <n v="1430.4"/>
    <n v="1426"/>
    <n v="1424.37"/>
    <n v="2006.45"/>
    <n v="1307"/>
    <n v="10178530"/>
    <n v="14497963348.799999"/>
    <n v="258203"/>
    <x v="5"/>
    <n v="-36.149999999999864"/>
    <x v="1"/>
    <n v="4"/>
    <x v="8"/>
    <n v="-0.14188579017264272"/>
  </r>
  <r>
    <d v="2025-04-11T00:00:00"/>
    <s v="EQ"/>
    <n v="1411.25"/>
    <n v="1438.8"/>
    <n v="1397.05"/>
    <n v="1403.7"/>
    <n v="1416.8"/>
    <n v="1409.45"/>
    <n v="1418.1"/>
    <n v="2006.45"/>
    <n v="1307"/>
    <n v="12567440"/>
    <n v="17821840695.450001"/>
    <n v="262867"/>
    <x v="5"/>
    <n v="-7.5499999999999545"/>
    <x v="1"/>
    <n v="4"/>
    <x v="8"/>
    <n v="-0.14188579017264272"/>
  </r>
  <r>
    <d v="2025-04-09T00:00:00"/>
    <s v="EQ"/>
    <n v="1405.05"/>
    <n v="1409.45"/>
    <n v="1381.9"/>
    <n v="1428.8"/>
    <n v="1402"/>
    <n v="1403.7"/>
    <n v="1396.23"/>
    <n v="2006.45"/>
    <n v="1307"/>
    <n v="8546854"/>
    <n v="11933354452.15"/>
    <n v="220436"/>
    <x v="5"/>
    <n v="23.75"/>
    <x v="1"/>
    <n v="4"/>
    <x v="8"/>
    <n v="-0.14188579017264272"/>
  </r>
  <r>
    <d v="2025-04-08T00:00:00"/>
    <s v="EQ"/>
    <n v="1431"/>
    <n v="1456.5"/>
    <n v="1415"/>
    <n v="1396.75"/>
    <n v="1428"/>
    <n v="1428.8"/>
    <n v="1435.73"/>
    <n v="2006.45"/>
    <n v="1307"/>
    <n v="12805001"/>
    <n v="18384491521"/>
    <n v="254762"/>
    <x v="5"/>
    <n v="-34.25"/>
    <x v="1"/>
    <n v="4"/>
    <x v="8"/>
    <n v="-0.14188579017264272"/>
  </r>
  <r>
    <d v="2025-04-07T00:00:00"/>
    <s v="EQ"/>
    <n v="1352"/>
    <n v="1405.9"/>
    <n v="1307"/>
    <n v="1451.65"/>
    <n v="1404.9"/>
    <n v="1396.75"/>
    <n v="1365.23"/>
    <n v="2006.45"/>
    <n v="1307"/>
    <n v="21715252"/>
    <n v="29646233824.900002"/>
    <n v="445720"/>
    <x v="5"/>
    <n v="99.650000000000091"/>
    <x v="1"/>
    <n v="4"/>
    <x v="8"/>
    <n v="-0.14188579017264272"/>
  </r>
  <r>
    <d v="2025-04-04T00:00:00"/>
    <s v="EQ"/>
    <n v="1460.5"/>
    <n v="1472"/>
    <n v="1448"/>
    <n v="1496.5"/>
    <n v="1456.1"/>
    <n v="1451.65"/>
    <n v="1458.65"/>
    <n v="2006.45"/>
    <n v="1358.35"/>
    <n v="9590254"/>
    <n v="13988855633.450001"/>
    <n v="245192"/>
    <x v="5"/>
    <n v="36"/>
    <x v="1"/>
    <n v="4"/>
    <x v="8"/>
    <n v="-0.14188579017264272"/>
  </r>
  <r>
    <d v="2025-04-03T00:00:00"/>
    <s v="EQ"/>
    <n v="1534.65"/>
    <n v="1534.65"/>
    <n v="1485.05"/>
    <n v="1550.15"/>
    <n v="1495.8"/>
    <n v="1496.5"/>
    <n v="1499.79"/>
    <n v="2006.45"/>
    <n v="1358.35"/>
    <n v="10459504"/>
    <n v="15687069999.200001"/>
    <n v="390507"/>
    <x v="5"/>
    <n v="15.5"/>
    <x v="1"/>
    <n v="4"/>
    <x v="8"/>
    <n v="-0.14188579017264272"/>
  </r>
  <r>
    <d v="2025-04-02T00:00:00"/>
    <s v="EQ"/>
    <n v="1535.2"/>
    <n v="1555.65"/>
    <n v="1535.2"/>
    <n v="1526.5"/>
    <n v="1550"/>
    <n v="1550.15"/>
    <n v="1547.09"/>
    <n v="2006.45"/>
    <n v="1358.35"/>
    <n v="6193478"/>
    <n v="9581859877.3500004"/>
    <n v="183381"/>
    <x v="5"/>
    <n v="-8.7000000000000455"/>
    <x v="1"/>
    <n v="4"/>
    <x v="8"/>
    <n v="-0.14188579017264272"/>
  </r>
  <r>
    <d v="2025-04-01T00:00:00"/>
    <s v="EQ"/>
    <n v="1539.25"/>
    <n v="1547.4"/>
    <n v="1517.85"/>
    <n v="1570.65"/>
    <n v="1530.2"/>
    <n v="1526.5"/>
    <n v="1529.41"/>
    <n v="2006.45"/>
    <n v="1358.35"/>
    <n v="12680733"/>
    <n v="19394047386.75"/>
    <n v="328764"/>
    <x v="5"/>
    <n v="31.400000000000091"/>
    <x v="1"/>
    <n v="4"/>
    <x v="8"/>
    <n v="-0.14188579017264272"/>
  </r>
  <r>
    <d v="2025-03-28T00:00:00"/>
    <s v="EQ"/>
    <n v="1590"/>
    <n v="1598.45"/>
    <n v="1560"/>
    <n v="1603.55"/>
    <n v="1569"/>
    <n v="1570.65"/>
    <n v="1576.42"/>
    <n v="2006.45"/>
    <n v="1358.35"/>
    <n v="6799047"/>
    <n v="10718160396.85"/>
    <n v="217515"/>
    <x v="5"/>
    <n v="13.549999999999955"/>
    <x v="1"/>
    <n v="3"/>
    <x v="9"/>
    <n v="-0.14188579017264272"/>
  </r>
  <r>
    <d v="2025-03-27T00:00:00"/>
    <s v="EQ"/>
    <n v="1595.55"/>
    <n v="1619.95"/>
    <n v="1586"/>
    <n v="1599.45"/>
    <n v="1605"/>
    <n v="1603.55"/>
    <n v="1601.41"/>
    <n v="2006.45"/>
    <n v="1358.35"/>
    <n v="9426573"/>
    <n v="15095808795.9"/>
    <n v="201020"/>
    <x v="5"/>
    <n v="3.9000000000000909"/>
    <x v="1"/>
    <n v="3"/>
    <x v="9"/>
    <n v="-0.14188579017264272"/>
  </r>
  <r>
    <d v="2025-03-26T00:00:00"/>
    <s v="EQ"/>
    <n v="1626"/>
    <n v="1637.75"/>
    <n v="1595"/>
    <n v="1628.45"/>
    <n v="1599"/>
    <n v="1599.45"/>
    <n v="1610.78"/>
    <n v="2006.45"/>
    <n v="1358.35"/>
    <n v="6651302"/>
    <n v="10713771940.1"/>
    <n v="222554"/>
    <x v="5"/>
    <n v="2.4500000000000455"/>
    <x v="1"/>
    <n v="3"/>
    <x v="9"/>
    <n v="-0.14188579017264272"/>
  </r>
  <r>
    <d v="2025-03-25T00:00:00"/>
    <s v="EQ"/>
    <n v="1605"/>
    <n v="1636.15"/>
    <n v="1605"/>
    <n v="1592.75"/>
    <n v="1619.25"/>
    <n v="1628.45"/>
    <n v="1626.09"/>
    <n v="2006.45"/>
    <n v="1358.35"/>
    <n v="9890140"/>
    <n v="16082264118.35"/>
    <n v="266112"/>
    <x v="5"/>
    <n v="-12.25"/>
    <x v="1"/>
    <n v="3"/>
    <x v="9"/>
    <n v="-0.14188579017264272"/>
  </r>
  <r>
    <d v="2025-03-24T00:00:00"/>
    <s v="EQ"/>
    <n v="1597.95"/>
    <n v="1607.1"/>
    <n v="1572.7"/>
    <n v="1592.55"/>
    <n v="1593.95"/>
    <n v="1592.75"/>
    <n v="1588.76"/>
    <n v="2006.45"/>
    <n v="1358.35"/>
    <n v="8857726"/>
    <n v="14072823625.15"/>
    <n v="250512"/>
    <x v="5"/>
    <n v="-5.4000000000000909"/>
    <x v="1"/>
    <n v="3"/>
    <x v="9"/>
    <n v="-0.14188579017264272"/>
  </r>
  <r>
    <d v="2025-03-21T00:00:00"/>
    <s v="EQ"/>
    <n v="1577.95"/>
    <n v="1603.9"/>
    <n v="1563.65"/>
    <n v="1615.55"/>
    <n v="1595.4"/>
    <n v="1592.55"/>
    <n v="1591.34"/>
    <n v="2006.45"/>
    <n v="1358.35"/>
    <n v="10074677"/>
    <n v="16032262527.35"/>
    <n v="241185"/>
    <x v="5"/>
    <n v="37.599999999999909"/>
    <x v="1"/>
    <n v="3"/>
    <x v="9"/>
    <n v="-0.14188579017264272"/>
  </r>
  <r>
    <d v="2025-03-20T00:00:00"/>
    <s v="EQ"/>
    <n v="1592"/>
    <n v="1631.9"/>
    <n v="1592"/>
    <n v="1586.55"/>
    <n v="1609.05"/>
    <n v="1615.55"/>
    <n v="1616.31"/>
    <n v="2006.45"/>
    <n v="1358.35"/>
    <n v="7186750"/>
    <n v="11616004800.299999"/>
    <n v="229276"/>
    <x v="5"/>
    <n v="-5.4500000000000455"/>
    <x v="1"/>
    <n v="3"/>
    <x v="9"/>
    <n v="-0.14188579017264272"/>
  </r>
  <r>
    <d v="2025-03-19T00:00:00"/>
    <s v="EQ"/>
    <n v="1603"/>
    <n v="1603"/>
    <n v="1572.8"/>
    <n v="1609.35"/>
    <n v="1589.1"/>
    <n v="1586.55"/>
    <n v="1583.14"/>
    <n v="2006.45"/>
    <n v="1358.35"/>
    <n v="7387068"/>
    <n v="11694751809.1"/>
    <n v="250311"/>
    <x v="5"/>
    <n v="6.3499999999999091"/>
    <x v="1"/>
    <n v="3"/>
    <x v="9"/>
    <n v="-0.14188579017264272"/>
  </r>
  <r>
    <d v="2025-03-18T00:00:00"/>
    <s v="EQ"/>
    <n v="1597.65"/>
    <n v="1612.9"/>
    <n v="1582.35"/>
    <n v="1590.05"/>
    <n v="1608.2"/>
    <n v="1609.35"/>
    <n v="1602.43"/>
    <n v="2006.45"/>
    <n v="1358.35"/>
    <n v="6298054"/>
    <n v="10092166910.700001"/>
    <n v="157097"/>
    <x v="5"/>
    <n v="-7.6000000000001364"/>
    <x v="1"/>
    <n v="3"/>
    <x v="9"/>
    <n v="-0.14188579017264272"/>
  </r>
  <r>
    <d v="2025-03-17T00:00:00"/>
    <s v="EQ"/>
    <n v="1545.15"/>
    <n v="1594"/>
    <n v="1545.15"/>
    <n v="1579.85"/>
    <n v="1590"/>
    <n v="1590.05"/>
    <n v="1581.7"/>
    <n v="2006.45"/>
    <n v="1358.35"/>
    <n v="7526032"/>
    <n v="11903959172.65"/>
    <n v="220262"/>
    <x v="5"/>
    <n v="34.699999999999818"/>
    <x v="1"/>
    <n v="3"/>
    <x v="9"/>
    <n v="-0.14188579017264272"/>
  </r>
  <r>
    <d v="2025-03-13T00:00:00"/>
    <s v="EQ"/>
    <n v="1599.25"/>
    <n v="1606.05"/>
    <n v="1570.3"/>
    <n v="1590.85"/>
    <n v="1579"/>
    <n v="1579.85"/>
    <n v="1582.31"/>
    <n v="2006.45"/>
    <n v="1358.35"/>
    <n v="7822888"/>
    <n v="12378247563.85"/>
    <n v="258464"/>
    <x v="5"/>
    <n v="-8.4000000000000909"/>
    <x v="1"/>
    <n v="3"/>
    <x v="9"/>
    <n v="-0.14188579017264272"/>
  </r>
  <r>
    <d v="2025-03-12T00:00:00"/>
    <s v="EQ"/>
    <n v="1636.9"/>
    <n v="1636.9"/>
    <n v="1563.8"/>
    <n v="1661.6"/>
    <n v="1590.05"/>
    <n v="1590.85"/>
    <n v="1586.51"/>
    <n v="2006.45"/>
    <n v="1358.35"/>
    <n v="14870008"/>
    <n v="23591364599.5"/>
    <n v="491121"/>
    <x v="5"/>
    <n v="24.699999999999818"/>
    <x v="1"/>
    <n v="3"/>
    <x v="9"/>
    <n v="-0.14188579017264272"/>
  </r>
  <r>
    <d v="2025-03-11T00:00:00"/>
    <s v="EQ"/>
    <n v="1680"/>
    <n v="1680"/>
    <n v="1637.05"/>
    <n v="1701.45"/>
    <n v="1667"/>
    <n v="1661.6"/>
    <n v="1655.07"/>
    <n v="2006.45"/>
    <n v="1358.35"/>
    <n v="12671234"/>
    <n v="20971794102.349998"/>
    <n v="259181"/>
    <x v="5"/>
    <n v="21.450000000000045"/>
    <x v="1"/>
    <n v="3"/>
    <x v="9"/>
    <n v="-0.14188579017264272"/>
  </r>
  <r>
    <d v="2025-03-10T00:00:00"/>
    <s v="EQ"/>
    <n v="1686"/>
    <n v="1719"/>
    <n v="1676.2"/>
    <n v="1686"/>
    <n v="1700.05"/>
    <n v="1701.45"/>
    <n v="1703.14"/>
    <n v="2006.45"/>
    <n v="1358.35"/>
    <n v="7558981"/>
    <n v="12874009178"/>
    <n v="184536"/>
    <x v="5"/>
    <n v="0"/>
    <x v="1"/>
    <n v="3"/>
    <x v="9"/>
    <n v="-0.14188579017264272"/>
  </r>
  <r>
    <d v="2025-03-07T00:00:00"/>
    <s v="EQ"/>
    <n v="1703.1"/>
    <n v="1705"/>
    <n v="1675.5"/>
    <n v="1715.85"/>
    <n v="1685"/>
    <n v="1686"/>
    <n v="1686.32"/>
    <n v="2006.45"/>
    <n v="1358.35"/>
    <n v="8019331"/>
    <n v="13523183544.049999"/>
    <n v="234031"/>
    <x v="5"/>
    <n v="12.75"/>
    <x v="1"/>
    <n v="3"/>
    <x v="9"/>
    <n v="-0.14188579017264272"/>
  </r>
  <r>
    <d v="2025-03-06T00:00:00"/>
    <s v="EQ"/>
    <n v="1715"/>
    <n v="1722.3"/>
    <n v="1691.1"/>
    <n v="1711.5"/>
    <n v="1712"/>
    <n v="1715.85"/>
    <n v="1709.66"/>
    <n v="2006.45"/>
    <n v="1358.35"/>
    <n v="10610547"/>
    <n v="18140399842.700001"/>
    <n v="236281"/>
    <x v="5"/>
    <n v="-3.5"/>
    <x v="1"/>
    <n v="3"/>
    <x v="9"/>
    <n v="-0.14188579017264272"/>
  </r>
  <r>
    <d v="2025-03-05T00:00:00"/>
    <s v="EQ"/>
    <n v="1692.45"/>
    <n v="1732.95"/>
    <n v="1692.45"/>
    <n v="1688.3"/>
    <n v="1707"/>
    <n v="1711.5"/>
    <n v="1714.51"/>
    <n v="2006.45"/>
    <n v="1358.35"/>
    <n v="8180782"/>
    <n v="14026024448.6"/>
    <n v="184308"/>
    <x v="5"/>
    <n v="-4.1500000000000909"/>
    <x v="1"/>
    <n v="3"/>
    <x v="9"/>
    <n v="-0.14188579017264272"/>
  </r>
  <r>
    <d v="2025-03-04T00:00:00"/>
    <s v="EQ"/>
    <n v="1695"/>
    <n v="1699"/>
    <n v="1670"/>
    <n v="1708.6"/>
    <n v="1684"/>
    <n v="1688.3"/>
    <n v="1686.14"/>
    <n v="2006.45"/>
    <n v="1358.35"/>
    <n v="6759673"/>
    <n v="11397744323.6"/>
    <n v="244487"/>
    <x v="5"/>
    <n v="13.599999999999909"/>
    <x v="1"/>
    <n v="3"/>
    <x v="9"/>
    <n v="-0.14188579017264272"/>
  </r>
  <r>
    <d v="2025-03-03T00:00:00"/>
    <s v="EQ"/>
    <n v="1692.3"/>
    <n v="1728.6"/>
    <n v="1692.3"/>
    <n v="1687.7"/>
    <n v="1711"/>
    <n v="1708.6"/>
    <n v="1711.06"/>
    <n v="2006.45"/>
    <n v="1358.35"/>
    <n v="7504969"/>
    <n v="12841455573.450001"/>
    <n v="286660"/>
    <x v="5"/>
    <n v="-4.5999999999999091"/>
    <x v="1"/>
    <n v="3"/>
    <x v="9"/>
    <n v="-0.14188579017264272"/>
  </r>
  <r>
    <d v="2025-02-28T00:00:00"/>
    <s v="EQ"/>
    <n v="1755.05"/>
    <n v="1755.1"/>
    <n v="1682.45"/>
    <n v="1764.3"/>
    <n v="1693"/>
    <n v="1687.7"/>
    <n v="1694.54"/>
    <n v="2006.45"/>
    <n v="1358.35"/>
    <n v="12182167"/>
    <n v="20643137452.849998"/>
    <n v="460200"/>
    <x v="5"/>
    <n v="9.25"/>
    <x v="1"/>
    <n v="2"/>
    <x v="10"/>
    <n v="-0.14188579017264272"/>
  </r>
  <r>
    <d v="2025-02-27T00:00:00"/>
    <s v="EQ"/>
    <n v="1755.2"/>
    <n v="1775.85"/>
    <n v="1751.1"/>
    <n v="1767.7"/>
    <n v="1763"/>
    <n v="1764.3"/>
    <n v="1763.43"/>
    <n v="2006.45"/>
    <n v="1358.35"/>
    <n v="5757079"/>
    <n v="10152184052.299999"/>
    <n v="168385"/>
    <x v="5"/>
    <n v="12.5"/>
    <x v="1"/>
    <n v="2"/>
    <x v="10"/>
    <n v="-0.14188579017264272"/>
  </r>
  <r>
    <d v="2025-02-25T00:00:00"/>
    <s v="EQ"/>
    <n v="1745.15"/>
    <n v="1778.45"/>
    <n v="1745.15"/>
    <n v="1764.1"/>
    <n v="1766.75"/>
    <n v="1767.7"/>
    <n v="1766.12"/>
    <n v="2006.45"/>
    <n v="1358.35"/>
    <n v="5092963"/>
    <n v="8994761660.1499996"/>
    <n v="192822"/>
    <x v="5"/>
    <n v="18.949999999999818"/>
    <x v="1"/>
    <n v="2"/>
    <x v="10"/>
    <n v="-0.14188579017264272"/>
  </r>
  <r>
    <d v="2025-02-24T00:00:00"/>
    <s v="EQ"/>
    <n v="1800.05"/>
    <n v="1808"/>
    <n v="1750.25"/>
    <n v="1815"/>
    <n v="1763"/>
    <n v="1764.1"/>
    <n v="1766.73"/>
    <n v="2006.45"/>
    <n v="1358.35"/>
    <n v="7594720"/>
    <n v="13417827673.25"/>
    <n v="362392"/>
    <x v="5"/>
    <n v="14.950000000000045"/>
    <x v="1"/>
    <n v="2"/>
    <x v="10"/>
    <n v="-0.14188579017264272"/>
  </r>
  <r>
    <d v="2025-02-21T00:00:00"/>
    <s v="EQ"/>
    <n v="1821.8"/>
    <n v="1829.85"/>
    <n v="1806.2"/>
    <n v="1825.15"/>
    <n v="1815"/>
    <n v="1815"/>
    <n v="1817.56"/>
    <n v="2006.45"/>
    <n v="1358.35"/>
    <n v="3379879"/>
    <n v="6143129066.3500004"/>
    <n v="101664"/>
    <x v="5"/>
    <n v="3.3500000000001364"/>
    <x v="1"/>
    <n v="2"/>
    <x v="10"/>
    <n v="-0.14188579017264272"/>
  </r>
  <r>
    <d v="2025-02-20T00:00:00"/>
    <s v="EQ"/>
    <n v="1805.55"/>
    <n v="1831"/>
    <n v="1805.55"/>
    <n v="1810.8"/>
    <n v="1826"/>
    <n v="1825.15"/>
    <n v="1822.29"/>
    <n v="2006.45"/>
    <n v="1358.35"/>
    <n v="2218020"/>
    <n v="4041874473.4000001"/>
    <n v="116360"/>
    <x v="5"/>
    <n v="5.25"/>
    <x v="1"/>
    <n v="2"/>
    <x v="10"/>
    <n v="-0.14188579017264272"/>
  </r>
  <r>
    <d v="2025-02-19T00:00:00"/>
    <s v="EQ"/>
    <n v="1847.4"/>
    <n v="1849.2"/>
    <n v="1805.9"/>
    <n v="1851.95"/>
    <n v="1810.85"/>
    <n v="1810.8"/>
    <n v="1820.83"/>
    <n v="2006.45"/>
    <n v="1358.35"/>
    <n v="4611411"/>
    <n v="8396592012.1999998"/>
    <n v="214412"/>
    <x v="5"/>
    <n v="4.5499999999999545"/>
    <x v="1"/>
    <n v="2"/>
    <x v="10"/>
    <n v="-0.14188579017264272"/>
  </r>
  <r>
    <d v="2025-02-18T00:00:00"/>
    <s v="EQ"/>
    <n v="1842.3"/>
    <n v="1861.65"/>
    <n v="1837.6"/>
    <n v="1842.3"/>
    <n v="1848"/>
    <n v="1851.95"/>
    <n v="1848.81"/>
    <n v="2006.45"/>
    <n v="1358.35"/>
    <n v="4365260"/>
    <n v="8070546827.0500002"/>
    <n v="100362"/>
    <x v="5"/>
    <n v="0"/>
    <x v="1"/>
    <n v="2"/>
    <x v="10"/>
    <n v="-0.14188579017264272"/>
  </r>
  <r>
    <d v="2025-02-17T00:00:00"/>
    <s v="EQ"/>
    <n v="1838.55"/>
    <n v="1852.75"/>
    <n v="1822.15"/>
    <n v="1856.4"/>
    <n v="1843.05"/>
    <n v="1842.3"/>
    <n v="1838.63"/>
    <n v="2006.45"/>
    <n v="1358.35"/>
    <n v="4428956"/>
    <n v="8143213452.3000002"/>
    <n v="149656"/>
    <x v="5"/>
    <n v="17.850000000000136"/>
    <x v="1"/>
    <n v="2"/>
    <x v="10"/>
    <n v="-0.14188579017264272"/>
  </r>
  <r>
    <d v="2025-02-14T00:00:00"/>
    <s v="EQ"/>
    <n v="1854"/>
    <n v="1859.3"/>
    <n v="1828.35"/>
    <n v="1843.25"/>
    <n v="1853"/>
    <n v="1856.4"/>
    <n v="1845.06"/>
    <n v="2006.45"/>
    <n v="1358.35"/>
    <n v="5292961"/>
    <n v="9765818737.5499992"/>
    <n v="179989"/>
    <x v="5"/>
    <n v="-10.75"/>
    <x v="1"/>
    <n v="2"/>
    <x v="10"/>
    <n v="-0.14188579017264272"/>
  </r>
  <r>
    <d v="2025-02-13T00:00:00"/>
    <s v="EQ"/>
    <n v="1868.5"/>
    <n v="1873.5"/>
    <n v="1835.65"/>
    <n v="1863.15"/>
    <n v="1840.65"/>
    <n v="1843.25"/>
    <n v="1851.21"/>
    <n v="2006.45"/>
    <n v="1358.35"/>
    <n v="5237744"/>
    <n v="9696150378.6499996"/>
    <n v="192119"/>
    <x v="5"/>
    <n v="-5.3499999999999091"/>
    <x v="1"/>
    <n v="2"/>
    <x v="10"/>
    <n v="-0.14188579017264272"/>
  </r>
  <r>
    <d v="2025-02-12T00:00:00"/>
    <s v="EQ"/>
    <n v="1885"/>
    <n v="1894.6"/>
    <n v="1847"/>
    <n v="1875.65"/>
    <n v="1864"/>
    <n v="1863.15"/>
    <n v="1866.72"/>
    <n v="2006.45"/>
    <n v="1358.35"/>
    <n v="5633947"/>
    <n v="10516984029.1"/>
    <n v="222006"/>
    <x v="5"/>
    <n v="-9.3499999999999091"/>
    <x v="1"/>
    <n v="2"/>
    <x v="10"/>
    <n v="-0.14188579017264272"/>
  </r>
  <r>
    <d v="2025-02-11T00:00:00"/>
    <s v="EQ"/>
    <n v="1883.1"/>
    <n v="1903"/>
    <n v="1870"/>
    <n v="1880.3"/>
    <n v="1879"/>
    <n v="1875.65"/>
    <n v="1883.68"/>
    <n v="2006.45"/>
    <n v="1358.35"/>
    <n v="4411601"/>
    <n v="8310066406.3000002"/>
    <n v="160934"/>
    <x v="5"/>
    <n v="-2.7999999999999545"/>
    <x v="1"/>
    <n v="2"/>
    <x v="10"/>
    <n v="-0.14188579017264272"/>
  </r>
  <r>
    <d v="2025-02-10T00:00:00"/>
    <s v="EQ"/>
    <n v="1905"/>
    <n v="1905"/>
    <n v="1878.6"/>
    <n v="1903.65"/>
    <n v="1880"/>
    <n v="1880.3"/>
    <n v="1885.89"/>
    <n v="2006.45"/>
    <n v="1358.35"/>
    <n v="3828734"/>
    <n v="7220570924.25"/>
    <n v="151607"/>
    <x v="5"/>
    <n v="-1.3499999999999091"/>
    <x v="1"/>
    <n v="2"/>
    <x v="10"/>
    <n v="-0.14188579017264272"/>
  </r>
  <r>
    <d v="2025-02-07T00:00:00"/>
    <s v="EQ"/>
    <n v="1919.3"/>
    <n v="1923.7"/>
    <n v="1889.45"/>
    <n v="1915.65"/>
    <n v="1901.1"/>
    <n v="1903.65"/>
    <n v="1902.44"/>
    <n v="2006.45"/>
    <n v="1358.35"/>
    <n v="4126260"/>
    <n v="7849962358.0500002"/>
    <n v="155494"/>
    <x v="5"/>
    <n v="-3.6499999999998636"/>
    <x v="1"/>
    <n v="2"/>
    <x v="10"/>
    <n v="-0.14188579017264272"/>
  </r>
  <r>
    <d v="2025-02-06T00:00:00"/>
    <s v="EQ"/>
    <n v="1917"/>
    <n v="1924"/>
    <n v="1900"/>
    <n v="1897.05"/>
    <n v="1913.75"/>
    <n v="1915.65"/>
    <n v="1910.66"/>
    <n v="2006.45"/>
    <n v="1358.35"/>
    <n v="4765255"/>
    <n v="9104791357.3999996"/>
    <n v="151924"/>
    <x v="5"/>
    <n v="-19.950000000000045"/>
    <x v="1"/>
    <n v="2"/>
    <x v="10"/>
    <n v="-0.14188579017264272"/>
  </r>
  <r>
    <d v="2025-02-05T00:00:00"/>
    <s v="EQ"/>
    <n v="1906"/>
    <n v="1919.7"/>
    <n v="1894.3"/>
    <n v="1898.8"/>
    <n v="1899.15"/>
    <n v="1897.05"/>
    <n v="1901.79"/>
    <n v="2006.45"/>
    <n v="1358.35"/>
    <n v="4996744"/>
    <n v="9502754311.3500004"/>
    <n v="170651"/>
    <x v="5"/>
    <n v="-7.2000000000000455"/>
    <x v="1"/>
    <n v="2"/>
    <x v="10"/>
    <n v="-0.14188579017264272"/>
  </r>
  <r>
    <d v="2025-02-04T00:00:00"/>
    <s v="EQ"/>
    <n v="1889"/>
    <n v="1911.2"/>
    <n v="1875"/>
    <n v="1863.3"/>
    <n v="1894.85"/>
    <n v="1898.8"/>
    <n v="1892.32"/>
    <n v="2006.45"/>
    <n v="1358.35"/>
    <n v="7334787"/>
    <n v="13879756408.549999"/>
    <n v="254137"/>
    <x v="5"/>
    <n v="-25.700000000000045"/>
    <x v="1"/>
    <n v="2"/>
    <x v="10"/>
    <n v="-0.14188579017264272"/>
  </r>
  <r>
    <d v="2025-02-03T00:00:00"/>
    <s v="EQ"/>
    <n v="1836"/>
    <n v="1876.55"/>
    <n v="1832.4"/>
    <n v="1851.35"/>
    <n v="1864.1"/>
    <n v="1863.3"/>
    <n v="1858.62"/>
    <n v="2006.45"/>
    <n v="1358.35"/>
    <n v="4823228"/>
    <n v="8964553565.3999996"/>
    <n v="177156"/>
    <x v="5"/>
    <n v="15.349999999999909"/>
    <x v="1"/>
    <n v="2"/>
    <x v="10"/>
    <n v="-0.14188579017264272"/>
  </r>
  <r>
    <d v="2025-02-01T00:00:00"/>
    <s v="EQ"/>
    <n v="1880.3"/>
    <n v="1890.6"/>
    <n v="1846"/>
    <n v="1879.8"/>
    <n v="1863"/>
    <n v="1851.35"/>
    <n v="1862.44"/>
    <n v="2006.45"/>
    <n v="1358.35"/>
    <n v="1701402"/>
    <n v="3168763954"/>
    <n v="70335"/>
    <x v="5"/>
    <n v="-0.5"/>
    <x v="1"/>
    <n v="2"/>
    <x v="10"/>
    <n v="-0.14188579017264272"/>
  </r>
  <r>
    <d v="2025-01-31T00:00:00"/>
    <s v="EQ"/>
    <n v="1871"/>
    <n v="1897.45"/>
    <n v="1871"/>
    <n v="1859.95"/>
    <n v="1882.95"/>
    <n v="1879.8"/>
    <n v="1881.49"/>
    <n v="2006.45"/>
    <n v="1358.35"/>
    <n v="5820470"/>
    <n v="10951149690.200001"/>
    <n v="181998"/>
    <x v="5"/>
    <n v="-11.049999999999955"/>
    <x v="1"/>
    <n v="1"/>
    <x v="11"/>
    <n v="-0.14188579017264272"/>
  </r>
  <r>
    <d v="2025-01-30T00:00:00"/>
    <s v="EQ"/>
    <n v="1873.15"/>
    <n v="1887.2"/>
    <n v="1844"/>
    <n v="1881.25"/>
    <n v="1868.4"/>
    <n v="1859.95"/>
    <n v="1859.61"/>
    <n v="2006.45"/>
    <n v="1358.35"/>
    <n v="7336056"/>
    <n v="13642183045.25"/>
    <n v="203038"/>
    <x v="5"/>
    <n v="8.0999999999999091"/>
    <x v="1"/>
    <n v="1"/>
    <x v="11"/>
    <n v="-0.14188579017264272"/>
  </r>
  <r>
    <d v="2025-01-29T00:00:00"/>
    <s v="EQ"/>
    <n v="1845"/>
    <n v="1888.65"/>
    <n v="1840.5"/>
    <n v="1829.75"/>
    <n v="1877.55"/>
    <n v="1881.25"/>
    <n v="1867.04"/>
    <n v="2006.45"/>
    <n v="1358.35"/>
    <n v="5145155"/>
    <n v="9606185635.0499992"/>
    <n v="208458"/>
    <x v="5"/>
    <n v="-15.25"/>
    <x v="1"/>
    <n v="1"/>
    <x v="11"/>
    <n v="-0.14188579017264272"/>
  </r>
  <r>
    <d v="2025-01-28T00:00:00"/>
    <s v="EQ"/>
    <n v="1830"/>
    <n v="1863.5"/>
    <n v="1824.9"/>
    <n v="1822"/>
    <n v="1831"/>
    <n v="1829.75"/>
    <n v="1842.44"/>
    <n v="2006.45"/>
    <n v="1358.35"/>
    <n v="6999495"/>
    <n v="12896153068.9"/>
    <n v="343851"/>
    <x v="5"/>
    <n v="-8"/>
    <x v="1"/>
    <n v="1"/>
    <x v="11"/>
    <n v="-0.14188579017264272"/>
  </r>
  <r>
    <d v="2025-01-27T00:00:00"/>
    <s v="EQ"/>
    <n v="1848.75"/>
    <n v="1863"/>
    <n v="1812"/>
    <n v="1875.45"/>
    <n v="1823"/>
    <n v="1822"/>
    <n v="1838.09"/>
    <n v="2006.45"/>
    <n v="1358.35"/>
    <n v="7652371"/>
    <n v="14065747508.9"/>
    <n v="242782"/>
    <x v="5"/>
    <n v="26.700000000000045"/>
    <x v="1"/>
    <n v="1"/>
    <x v="11"/>
    <n v="-0.14188579017264272"/>
  </r>
  <r>
    <d v="2025-01-24T00:00:00"/>
    <s v="EQ"/>
    <n v="1865.5"/>
    <n v="1894.9"/>
    <n v="1864.25"/>
    <n v="1865.45"/>
    <n v="1875"/>
    <n v="1875.45"/>
    <n v="1881.56"/>
    <n v="2006.45"/>
    <n v="1358.35"/>
    <n v="4887027"/>
    <n v="9195242026.1000004"/>
    <n v="294925"/>
    <x v="5"/>
    <n v="-4.9999999999954525E-2"/>
    <x v="1"/>
    <n v="1"/>
    <x v="11"/>
    <n v="-0.14188579017264272"/>
  </r>
  <r>
    <d v="2025-01-23T00:00:00"/>
    <s v="EQ"/>
    <n v="1858"/>
    <n v="1879.55"/>
    <n v="1852.7"/>
    <n v="1856.45"/>
    <n v="1864.8"/>
    <n v="1865.45"/>
    <n v="1868.88"/>
    <n v="2006.45"/>
    <n v="1358.35"/>
    <n v="5907471"/>
    <n v="11040365439.1"/>
    <n v="305255"/>
    <x v="5"/>
    <n v="-1.5499999999999545"/>
    <x v="1"/>
    <n v="1"/>
    <x v="11"/>
    <n v="-0.14188579017264272"/>
  </r>
  <r>
    <d v="2025-01-22T00:00:00"/>
    <s v="EQ"/>
    <n v="1807.4"/>
    <n v="1865.8"/>
    <n v="1805.15"/>
    <n v="1800.7"/>
    <n v="1855"/>
    <n v="1856.45"/>
    <n v="1846.53"/>
    <n v="2006.45"/>
    <n v="1358.35"/>
    <n v="8373913"/>
    <n v="15462699193.549999"/>
    <n v="493438"/>
    <x v="5"/>
    <n v="-6.7000000000000455"/>
    <x v="1"/>
    <n v="1"/>
    <x v="11"/>
    <n v="-0.14188579017264272"/>
  </r>
  <r>
    <d v="2025-01-21T00:00:00"/>
    <s v="EQ"/>
    <n v="1819.05"/>
    <n v="1831.65"/>
    <n v="1793.05"/>
    <n v="1813.3"/>
    <n v="1804"/>
    <n v="1800.7"/>
    <n v="1814.25"/>
    <n v="2006.45"/>
    <n v="1358.35"/>
    <n v="7169109"/>
    <n v="13006582697.549999"/>
    <n v="252390"/>
    <x v="5"/>
    <n v="-5.75"/>
    <x v="1"/>
    <n v="1"/>
    <x v="11"/>
    <n v="-0.14188579017264272"/>
  </r>
  <r>
    <d v="2025-01-20T00:00:00"/>
    <s v="EQ"/>
    <n v="1822.95"/>
    <n v="1827.95"/>
    <n v="1793.15"/>
    <n v="1815.45"/>
    <n v="1813"/>
    <n v="1813.3"/>
    <n v="1809.37"/>
    <n v="2006.45"/>
    <n v="1358.35"/>
    <n v="4333011"/>
    <n v="7840006233.8000002"/>
    <n v="192938"/>
    <x v="5"/>
    <n v="-7.5"/>
    <x v="1"/>
    <n v="1"/>
    <x v="11"/>
    <n v="-0.14188579017264272"/>
  </r>
  <r>
    <d v="2025-01-17T00:00:00"/>
    <s v="EQ"/>
    <n v="1851"/>
    <n v="1858"/>
    <n v="1812"/>
    <n v="1928.45"/>
    <n v="1817.5"/>
    <n v="1815.45"/>
    <n v="1824.17"/>
    <n v="2006.45"/>
    <n v="1358.35"/>
    <n v="16409953"/>
    <n v="29934601377.849998"/>
    <n v="503030"/>
    <x v="5"/>
    <n v="77.450000000000045"/>
    <x v="1"/>
    <n v="1"/>
    <x v="11"/>
    <n v="-0.14188579017264272"/>
  </r>
  <r>
    <d v="2025-01-16T00:00:00"/>
    <s v="EQ"/>
    <n v="1965.95"/>
    <n v="1966.95"/>
    <n v="1916.85"/>
    <n v="1949.65"/>
    <n v="1920.05"/>
    <n v="1928.45"/>
    <n v="1939.38"/>
    <n v="2006.45"/>
    <n v="1358.35"/>
    <n v="7533579"/>
    <n v="14610485616.25"/>
    <n v="233848"/>
    <x v="5"/>
    <n v="-16.299999999999955"/>
    <x v="1"/>
    <n v="1"/>
    <x v="11"/>
    <n v="-0.14188579017264272"/>
  </r>
  <r>
    <d v="2025-01-15T00:00:00"/>
    <s v="EQ"/>
    <n v="1947"/>
    <n v="1958.05"/>
    <n v="1937.1"/>
    <n v="1940.05"/>
    <n v="1951.65"/>
    <n v="1949.65"/>
    <n v="1949.16"/>
    <n v="2006.45"/>
    <n v="1358.35"/>
    <n v="2985439"/>
    <n v="5819096239.5"/>
    <n v="153629"/>
    <x v="5"/>
    <n v="-6.9500000000000455"/>
    <x v="1"/>
    <n v="1"/>
    <x v="11"/>
    <n v="-0.14188579017264272"/>
  </r>
  <r>
    <d v="2025-01-14T00:00:00"/>
    <s v="EQ"/>
    <n v="1968.85"/>
    <n v="1971.8"/>
    <n v="1931.1"/>
    <n v="1962.2"/>
    <n v="1938"/>
    <n v="1940.05"/>
    <n v="1943.92"/>
    <n v="2006.45"/>
    <n v="1358.35"/>
    <n v="5792162"/>
    <n v="11259472879"/>
    <n v="267855"/>
    <x v="5"/>
    <n v="-6.6499999999998636"/>
    <x v="1"/>
    <n v="1"/>
    <x v="11"/>
    <n v="-0.14188579017264272"/>
  </r>
  <r>
    <d v="2025-01-13T00:00:00"/>
    <s v="EQ"/>
    <n v="1956"/>
    <n v="1982.8"/>
    <n v="1949"/>
    <n v="1966.95"/>
    <n v="1963"/>
    <n v="1962.2"/>
    <n v="1965.87"/>
    <n v="2006.45"/>
    <n v="1358.35"/>
    <n v="5804152"/>
    <n v="11410182349.85"/>
    <n v="224017"/>
    <x v="5"/>
    <n v="10.950000000000045"/>
    <x v="1"/>
    <n v="1"/>
    <x v="11"/>
    <n v="-0.14188579017264272"/>
  </r>
  <r>
    <d v="2025-01-10T00:00:00"/>
    <s v="EQ"/>
    <n v="1937"/>
    <n v="1977.8"/>
    <n v="1932.25"/>
    <n v="1917.3"/>
    <n v="1965.8"/>
    <n v="1966.95"/>
    <n v="1961.18"/>
    <n v="2006.45"/>
    <n v="1358.35"/>
    <n v="8036913"/>
    <n v="15761835256.950001"/>
    <n v="351137"/>
    <x v="5"/>
    <n v="-19.700000000000045"/>
    <x v="1"/>
    <n v="1"/>
    <x v="11"/>
    <n v="-0.14188579017264272"/>
  </r>
  <r>
    <d v="2025-01-09T00:00:00"/>
    <s v="EQ"/>
    <n v="1934.05"/>
    <n v="1951.85"/>
    <n v="1910.55"/>
    <n v="1933.15"/>
    <n v="1920.1"/>
    <n v="1917.3"/>
    <n v="1928.12"/>
    <n v="2006.45"/>
    <n v="1358.35"/>
    <n v="6833503"/>
    <n v="13175834552.9"/>
    <n v="228829"/>
    <x v="5"/>
    <n v="-0.89999999999986358"/>
    <x v="1"/>
    <n v="1"/>
    <x v="11"/>
    <n v="-0.14188579017264272"/>
  </r>
  <r>
    <d v="2025-01-08T00:00:00"/>
    <s v="EQ"/>
    <n v="1930"/>
    <n v="1938.6"/>
    <n v="1888.75"/>
    <n v="1930.85"/>
    <n v="1932.75"/>
    <n v="1933.15"/>
    <n v="1916.14"/>
    <n v="2006.45"/>
    <n v="1358.35"/>
    <n v="5482050"/>
    <n v="10504391305.450001"/>
    <n v="210525"/>
    <x v="5"/>
    <n v="0.84999999999990905"/>
    <x v="1"/>
    <n v="1"/>
    <x v="11"/>
    <n v="-0.14188579017264272"/>
  </r>
  <r>
    <d v="2025-01-07T00:00:00"/>
    <s v="EQ"/>
    <n v="1945"/>
    <n v="1958.55"/>
    <n v="1923.65"/>
    <n v="1937.85"/>
    <n v="1929"/>
    <n v="1930.85"/>
    <n v="1936.28"/>
    <n v="2006.45"/>
    <n v="1358.35"/>
    <n v="4294832"/>
    <n v="8315996332.75"/>
    <n v="250125"/>
    <x v="5"/>
    <n v="-7.1500000000000909"/>
    <x v="1"/>
    <n v="1"/>
    <x v="11"/>
    <n v="-0.14188579017264272"/>
  </r>
  <r>
    <d v="2025-01-06T00:00:00"/>
    <s v="EQ"/>
    <n v="1952"/>
    <n v="1973"/>
    <n v="1928"/>
    <n v="1938.75"/>
    <n v="1939"/>
    <n v="1937.85"/>
    <n v="1943.77"/>
    <n v="2006.45"/>
    <n v="1358.35"/>
    <n v="7164403"/>
    <n v="13925986567.85"/>
    <n v="247931"/>
    <x v="5"/>
    <n v="-13.25"/>
    <x v="1"/>
    <n v="1"/>
    <x v="11"/>
    <n v="-0.14188579017264272"/>
  </r>
  <r>
    <d v="2025-01-03T00:00:00"/>
    <s v="EQ"/>
    <n v="1952.95"/>
    <n v="1952.95"/>
    <n v="1922"/>
    <n v="1957.85"/>
    <n v="1939.1"/>
    <n v="1938.75"/>
    <n v="1936.53"/>
    <n v="2006.45"/>
    <n v="1358.35"/>
    <n v="6218003"/>
    <n v="12041366929.799999"/>
    <n v="226724"/>
    <x v="5"/>
    <n v="4.8999999999998636"/>
    <x v="1"/>
    <n v="1"/>
    <x v="11"/>
    <n v="-0.14188579017264272"/>
  </r>
  <r>
    <d v="2025-01-02T00:00:00"/>
    <s v="EQ"/>
    <n v="1887"/>
    <n v="1962.65"/>
    <n v="1885.3"/>
    <n v="1882.5"/>
    <n v="1954.75"/>
    <n v="1957.85"/>
    <n v="1944.51"/>
    <n v="2006.45"/>
    <n v="1358.35"/>
    <n v="7083645"/>
    <n v="13774239233.15"/>
    <n v="239506"/>
    <x v="5"/>
    <n v="-4.5"/>
    <x v="1"/>
    <n v="1"/>
    <x v="11"/>
    <n v="-0.14188579017264272"/>
  </r>
  <r>
    <d v="2025-01-01T00:00:00"/>
    <s v="EQ"/>
    <n v="1874"/>
    <n v="1892.95"/>
    <n v="1874"/>
    <n v="1880"/>
    <n v="1885"/>
    <n v="1882.5"/>
    <n v="1884.95"/>
    <n v="2006.45"/>
    <n v="1358.35"/>
    <n v="1838368"/>
    <n v="3465223831.8499999"/>
    <n v="69020"/>
    <x v="5"/>
    <n v="6"/>
    <x v="1"/>
    <n v="1"/>
    <x v="11"/>
    <n v="-0.14188579017264272"/>
  </r>
  <r>
    <d v="2025-12-31T00:00:00"/>
    <s v="EQ"/>
    <n v="401.1"/>
    <n v="403.75"/>
    <n v="400.85"/>
    <n v="400.6"/>
    <n v="402.7"/>
    <n v="403"/>
    <n v="402.81"/>
    <n v="471.5"/>
    <n v="390.15"/>
    <n v="9945109"/>
    <n v="4005957774.4499998"/>
    <n v="93789"/>
    <x v="6"/>
    <n v="-0.5"/>
    <x v="3"/>
    <n v="12"/>
    <x v="0"/>
    <n v="-0.16726934600681886"/>
  </r>
  <r>
    <d v="2025-12-30T00:00:00"/>
    <s v="EQ"/>
    <n v="403"/>
    <n v="403.45"/>
    <n v="400.3"/>
    <n v="402.6"/>
    <n v="401.1"/>
    <n v="400.6"/>
    <n v="401.22"/>
    <n v="471.5"/>
    <n v="390.15"/>
    <n v="12340527"/>
    <n v="4951265566.8500004"/>
    <n v="134214"/>
    <x v="6"/>
    <n v="-0.39999999999997726"/>
    <x v="3"/>
    <n v="12"/>
    <x v="0"/>
    <n v="-0.16726934600681886"/>
  </r>
  <r>
    <d v="2025-12-29T00:00:00"/>
    <s v="EQ"/>
    <n v="404.1"/>
    <n v="404.8"/>
    <n v="401.45"/>
    <n v="404.15"/>
    <n v="402.95"/>
    <n v="402.6"/>
    <n v="402.55"/>
    <n v="471.5"/>
    <n v="390.15"/>
    <n v="6647710"/>
    <n v="2676007103.6999998"/>
    <n v="90644"/>
    <x v="6"/>
    <n v="4.9999999999954525E-2"/>
    <x v="3"/>
    <n v="12"/>
    <x v="0"/>
    <n v="-0.16726934600681886"/>
  </r>
  <r>
    <d v="2025-12-26T00:00:00"/>
    <s v="EQ"/>
    <n v="406.5"/>
    <n v="407.15"/>
    <n v="403.85"/>
    <n v="406.6"/>
    <n v="404.9"/>
    <n v="404.15"/>
    <n v="404.63"/>
    <n v="471.5"/>
    <n v="390.15"/>
    <n v="3152453"/>
    <n v="1275562322.5999999"/>
    <n v="76263"/>
    <x v="6"/>
    <n v="0.10000000000002274"/>
    <x v="3"/>
    <n v="12"/>
    <x v="0"/>
    <n v="-0.16726934600681886"/>
  </r>
  <r>
    <d v="2025-12-24T00:00:00"/>
    <s v="EQ"/>
    <n v="407.95"/>
    <n v="409.5"/>
    <n v="405.65"/>
    <n v="407.35"/>
    <n v="406.8"/>
    <n v="406.6"/>
    <n v="407.18"/>
    <n v="471.5"/>
    <n v="390.15"/>
    <n v="5777430"/>
    <n v="2352433725"/>
    <n v="73260"/>
    <x v="6"/>
    <n v="-0.59999999999996589"/>
    <x v="3"/>
    <n v="12"/>
    <x v="0"/>
    <n v="-0.16726934600681886"/>
  </r>
  <r>
    <d v="2025-12-23T00:00:00"/>
    <s v="EQ"/>
    <n v="402.5"/>
    <n v="408.9"/>
    <n v="401.8"/>
    <n v="402.7"/>
    <n v="408.85"/>
    <n v="407.35"/>
    <n v="405.66"/>
    <n v="471.5"/>
    <n v="390.15"/>
    <n v="10081997"/>
    <n v="4089815715.8499999"/>
    <n v="158483"/>
    <x v="6"/>
    <n v="0.19999999999998863"/>
    <x v="3"/>
    <n v="12"/>
    <x v="0"/>
    <n v="-0.16726934600681886"/>
  </r>
  <r>
    <d v="2025-12-22T00:00:00"/>
    <s v="EQ"/>
    <n v="401.6"/>
    <n v="403.65"/>
    <n v="401.2"/>
    <n v="401.05"/>
    <n v="402.85"/>
    <n v="402.7"/>
    <n v="402.79"/>
    <n v="471.5"/>
    <n v="390.15"/>
    <n v="6847871"/>
    <n v="2758263703.8000002"/>
    <n v="96410"/>
    <x v="6"/>
    <n v="-0.55000000000001137"/>
    <x v="3"/>
    <n v="12"/>
    <x v="0"/>
    <n v="-0.16726934600681886"/>
  </r>
  <r>
    <d v="2025-12-19T00:00:00"/>
    <s v="EQ"/>
    <n v="400.25"/>
    <n v="402.65"/>
    <n v="400.25"/>
    <n v="400.4"/>
    <n v="400.9"/>
    <n v="401.05"/>
    <n v="401.39"/>
    <n v="471.5"/>
    <n v="390.15"/>
    <n v="10654835"/>
    <n v="4276783887.1999998"/>
    <n v="138048"/>
    <x v="6"/>
    <n v="0.14999999999997726"/>
    <x v="3"/>
    <n v="12"/>
    <x v="0"/>
    <n v="-0.16726934600681886"/>
  </r>
  <r>
    <d v="2025-12-18T00:00:00"/>
    <s v="EQ"/>
    <n v="400"/>
    <n v="401.95"/>
    <n v="399.85"/>
    <n v="399.8"/>
    <n v="400.85"/>
    <n v="400.4"/>
    <n v="400.74"/>
    <n v="471.5"/>
    <n v="390.15"/>
    <n v="7227668"/>
    <n v="2896390248.8000002"/>
    <n v="106780"/>
    <x v="6"/>
    <n v="-0.19999999999998863"/>
    <x v="3"/>
    <n v="12"/>
    <x v="0"/>
    <n v="-0.16726934600681886"/>
  </r>
  <r>
    <d v="2025-12-17T00:00:00"/>
    <s v="EQ"/>
    <n v="401"/>
    <n v="403.1"/>
    <n v="399.1"/>
    <n v="401.7"/>
    <n v="400.25"/>
    <n v="399.8"/>
    <n v="400.53"/>
    <n v="471.5"/>
    <n v="390.15"/>
    <n v="8087490"/>
    <n v="3239301844.8000002"/>
    <n v="117330"/>
    <x v="6"/>
    <n v="0.69999999999998863"/>
    <x v="3"/>
    <n v="12"/>
    <x v="0"/>
    <n v="-0.16726934600681886"/>
  </r>
  <r>
    <d v="2025-12-16T00:00:00"/>
    <s v="EQ"/>
    <n v="401.4"/>
    <n v="405.75"/>
    <n v="401.05"/>
    <n v="402.3"/>
    <n v="402"/>
    <n v="401.7"/>
    <n v="403.11"/>
    <n v="471.5"/>
    <n v="390.15"/>
    <n v="12347384"/>
    <n v="4977388189.8000002"/>
    <n v="120140"/>
    <x v="6"/>
    <n v="0.90000000000003411"/>
    <x v="3"/>
    <n v="12"/>
    <x v="0"/>
    <n v="-0.16726934600681886"/>
  </r>
  <r>
    <d v="2025-12-15T00:00:00"/>
    <s v="EQ"/>
    <n v="400.1"/>
    <n v="403.35"/>
    <n v="399.5"/>
    <n v="400.1"/>
    <n v="402"/>
    <n v="402.3"/>
    <n v="401.8"/>
    <n v="471.5"/>
    <n v="390.15"/>
    <n v="7756564"/>
    <n v="3116564595.5500002"/>
    <n v="96420"/>
    <x v="6"/>
    <n v="0"/>
    <x v="3"/>
    <n v="12"/>
    <x v="0"/>
    <n v="-0.16726934600681886"/>
  </r>
  <r>
    <d v="2025-12-12T00:00:00"/>
    <s v="EQ"/>
    <n v="402.9"/>
    <n v="404"/>
    <n v="399.85"/>
    <n v="402.9"/>
    <n v="400.7"/>
    <n v="400.1"/>
    <n v="400.55"/>
    <n v="471.5"/>
    <n v="390.15"/>
    <n v="12407516"/>
    <n v="4969785471.8500004"/>
    <n v="115410"/>
    <x v="6"/>
    <n v="0"/>
    <x v="3"/>
    <n v="12"/>
    <x v="0"/>
    <n v="-0.16726934600681886"/>
  </r>
  <r>
    <d v="2025-12-11T00:00:00"/>
    <s v="EQ"/>
    <n v="403.15"/>
    <n v="404"/>
    <n v="401.1"/>
    <n v="403.15"/>
    <n v="403"/>
    <n v="402.9"/>
    <n v="402.4"/>
    <n v="471.5"/>
    <n v="390.15"/>
    <n v="6980147"/>
    <n v="2808821372.0500002"/>
    <n v="99653"/>
    <x v="6"/>
    <n v="0"/>
    <x v="3"/>
    <n v="12"/>
    <x v="0"/>
    <n v="-0.16726934600681886"/>
  </r>
  <r>
    <d v="2025-12-10T00:00:00"/>
    <s v="EQ"/>
    <n v="401.1"/>
    <n v="404.4"/>
    <n v="401"/>
    <n v="401.05"/>
    <n v="403.05"/>
    <n v="403.15"/>
    <n v="403.31"/>
    <n v="471.5"/>
    <n v="390.15"/>
    <n v="6969146"/>
    <n v="2810730997.4499998"/>
    <n v="106280"/>
    <x v="6"/>
    <n v="-5.0000000000011369E-2"/>
    <x v="3"/>
    <n v="12"/>
    <x v="0"/>
    <n v="-0.16726934600681886"/>
  </r>
  <r>
    <d v="2025-12-09T00:00:00"/>
    <s v="EQ"/>
    <n v="402"/>
    <n v="404.5"/>
    <n v="400"/>
    <n v="402.3"/>
    <n v="401.25"/>
    <n v="401.05"/>
    <n v="402.28"/>
    <n v="471.5"/>
    <n v="390.15"/>
    <n v="9426717"/>
    <n v="3792190139.0500002"/>
    <n v="119643"/>
    <x v="6"/>
    <n v="0.30000000000001137"/>
    <x v="3"/>
    <n v="12"/>
    <x v="0"/>
    <n v="-0.16726934600681886"/>
  </r>
  <r>
    <d v="2025-12-08T00:00:00"/>
    <s v="EQ"/>
    <n v="404.95"/>
    <n v="405.25"/>
    <n v="400.55"/>
    <n v="404.95"/>
    <n v="402"/>
    <n v="402.3"/>
    <n v="402.89"/>
    <n v="471.5"/>
    <n v="390.15"/>
    <n v="6056866"/>
    <n v="2440276710.1500001"/>
    <n v="101139"/>
    <x v="6"/>
    <n v="0"/>
    <x v="3"/>
    <n v="12"/>
    <x v="0"/>
    <n v="-0.16726934600681886"/>
  </r>
  <r>
    <d v="2025-12-05T00:00:00"/>
    <s v="EQ"/>
    <n v="403.05"/>
    <n v="405.35"/>
    <n v="402"/>
    <n v="403.05"/>
    <n v="404.6"/>
    <n v="404.95"/>
    <n v="404.12"/>
    <n v="471.5"/>
    <n v="390.15"/>
    <n v="4419747"/>
    <n v="1786097800.3499999"/>
    <n v="73360"/>
    <x v="6"/>
    <n v="0"/>
    <x v="3"/>
    <n v="12"/>
    <x v="0"/>
    <n v="-0.16726934600681886"/>
  </r>
  <r>
    <d v="2025-12-04T00:00:00"/>
    <s v="EQ"/>
    <n v="400.1"/>
    <n v="403.55"/>
    <n v="399.05"/>
    <n v="400.5"/>
    <n v="403.25"/>
    <n v="403.05"/>
    <n v="402.09"/>
    <n v="471.5"/>
    <n v="390.15"/>
    <n v="8057989"/>
    <n v="3240008562.1500001"/>
    <n v="100529"/>
    <x v="6"/>
    <n v="0.39999999999997726"/>
    <x v="3"/>
    <n v="12"/>
    <x v="0"/>
    <n v="-0.16726934600681886"/>
  </r>
  <r>
    <d v="2025-12-03T00:00:00"/>
    <s v="EQ"/>
    <n v="401.7"/>
    <n v="402.2"/>
    <n v="398.85"/>
    <n v="400.95"/>
    <n v="400.7"/>
    <n v="400.5"/>
    <n v="400.33"/>
    <n v="471.5"/>
    <n v="390.15"/>
    <n v="10772192"/>
    <n v="4312388380.25"/>
    <n v="145572"/>
    <x v="6"/>
    <n v="-0.75"/>
    <x v="3"/>
    <n v="12"/>
    <x v="0"/>
    <n v="-0.16726934600681886"/>
  </r>
  <r>
    <d v="2025-12-02T00:00:00"/>
    <s v="EQ"/>
    <n v="404.25"/>
    <n v="405.5"/>
    <n v="400.5"/>
    <n v="404.25"/>
    <n v="401.7"/>
    <n v="400.95"/>
    <n v="401.68"/>
    <n v="471.5"/>
    <n v="390.15"/>
    <n v="8093808"/>
    <n v="3251135210.4499998"/>
    <n v="112342"/>
    <x v="6"/>
    <n v="0"/>
    <x v="3"/>
    <n v="12"/>
    <x v="0"/>
    <n v="-0.16726934600681886"/>
  </r>
  <r>
    <d v="2025-12-01T00:00:00"/>
    <s v="EQ"/>
    <n v="402.8"/>
    <n v="405.5"/>
    <n v="398.2"/>
    <n v="404.25"/>
    <n v="404.05"/>
    <n v="404.25"/>
    <n v="402.48"/>
    <n v="471.5"/>
    <n v="390.15"/>
    <n v="13442658"/>
    <n v="5410424427.8999996"/>
    <n v="204438"/>
    <x v="6"/>
    <n v="1.4499999999999886"/>
    <x v="3"/>
    <n v="12"/>
    <x v="0"/>
    <n v="-0.16726934600681886"/>
  </r>
  <r>
    <d v="2025-11-28T00:00:00"/>
    <s v="EQ"/>
    <n v="404.3"/>
    <n v="405"/>
    <n v="402.5"/>
    <n v="404.3"/>
    <n v="404.3"/>
    <n v="404.25"/>
    <n v="403.67"/>
    <n v="471.5"/>
    <n v="390.15"/>
    <n v="6883500"/>
    <n v="2778654678.4000001"/>
    <n v="104754"/>
    <x v="6"/>
    <n v="0"/>
    <x v="3"/>
    <n v="11"/>
    <x v="1"/>
    <n v="-0.16726934600681886"/>
  </r>
  <r>
    <d v="2025-11-27T00:00:00"/>
    <s v="EQ"/>
    <n v="403.5"/>
    <n v="405.95"/>
    <n v="402.1"/>
    <n v="402.3"/>
    <n v="405"/>
    <n v="404.3"/>
    <n v="403.22"/>
    <n v="471.5"/>
    <n v="390.15"/>
    <n v="8679529"/>
    <n v="3499792465.4000001"/>
    <n v="105551"/>
    <x v="6"/>
    <n v="-1.1999999999999886"/>
    <x v="3"/>
    <n v="11"/>
    <x v="1"/>
    <n v="-0.16726934600681886"/>
  </r>
  <r>
    <d v="2025-11-26T00:00:00"/>
    <s v="EQ"/>
    <n v="401"/>
    <n v="403.95"/>
    <n v="400.95"/>
    <n v="400.8"/>
    <n v="402.55"/>
    <n v="402.3"/>
    <n v="402.6"/>
    <n v="471.5"/>
    <n v="390.15"/>
    <n v="11443953"/>
    <n v="4607286432.3999996"/>
    <n v="107847"/>
    <x v="6"/>
    <n v="-0.19999999999998863"/>
    <x v="3"/>
    <n v="11"/>
    <x v="1"/>
    <n v="-0.16726934600681886"/>
  </r>
  <r>
    <d v="2025-11-25T00:00:00"/>
    <s v="EQ"/>
    <n v="403.55"/>
    <n v="404.5"/>
    <n v="400.1"/>
    <n v="403.55"/>
    <n v="400.4"/>
    <n v="400.8"/>
    <n v="402.29"/>
    <n v="471.5"/>
    <n v="390.15"/>
    <n v="8199785"/>
    <n v="3298722901.6500001"/>
    <n v="114076"/>
    <x v="6"/>
    <n v="0"/>
    <x v="3"/>
    <n v="11"/>
    <x v="1"/>
    <n v="-0.16726934600681886"/>
  </r>
  <r>
    <d v="2025-11-24T00:00:00"/>
    <s v="EQ"/>
    <n v="408.4"/>
    <n v="408.8"/>
    <n v="402.85"/>
    <n v="407.85"/>
    <n v="404.2"/>
    <n v="403.55"/>
    <n v="404.39"/>
    <n v="471.5"/>
    <n v="390.15"/>
    <n v="11037491"/>
    <n v="4463445092.75"/>
    <n v="128280"/>
    <x v="6"/>
    <n v="-0.54999999999995453"/>
    <x v="3"/>
    <n v="11"/>
    <x v="1"/>
    <n v="-0.16726934600681886"/>
  </r>
  <r>
    <d v="2025-11-21T00:00:00"/>
    <s v="EQ"/>
    <n v="405"/>
    <n v="408.5"/>
    <n v="404.7"/>
    <n v="405.45"/>
    <n v="408"/>
    <n v="407.85"/>
    <n v="407.28"/>
    <n v="471.5"/>
    <n v="390.15"/>
    <n v="5808131"/>
    <n v="2365541111.25"/>
    <n v="92059"/>
    <x v="6"/>
    <n v="0.44999999999998863"/>
    <x v="3"/>
    <n v="11"/>
    <x v="1"/>
    <n v="-0.16726934600681886"/>
  </r>
  <r>
    <d v="2025-11-20T00:00:00"/>
    <s v="EQ"/>
    <n v="403.55"/>
    <n v="407"/>
    <n v="403.25"/>
    <n v="403.55"/>
    <n v="405.6"/>
    <n v="405.45"/>
    <n v="405.55"/>
    <n v="471.5"/>
    <n v="390.15"/>
    <n v="6693410"/>
    <n v="2714519990.3499999"/>
    <n v="108333"/>
    <x v="6"/>
    <n v="0"/>
    <x v="3"/>
    <n v="11"/>
    <x v="1"/>
    <n v="-0.16726934600681886"/>
  </r>
  <r>
    <d v="2025-11-19T00:00:00"/>
    <s v="EQ"/>
    <n v="404.85"/>
    <n v="405.55"/>
    <n v="402.8"/>
    <n v="405.85"/>
    <n v="403.7"/>
    <n v="403.55"/>
    <n v="403.68"/>
    <n v="471.5"/>
    <n v="390.15"/>
    <n v="7882450"/>
    <n v="3181992048.0999999"/>
    <n v="134281"/>
    <x v="6"/>
    <n v="1"/>
    <x v="3"/>
    <n v="11"/>
    <x v="1"/>
    <n v="-0.16726934600681886"/>
  </r>
  <r>
    <d v="2025-11-18T00:00:00"/>
    <s v="EQ"/>
    <n v="408.25"/>
    <n v="409.8"/>
    <n v="404.55"/>
    <n v="407.1"/>
    <n v="405.7"/>
    <n v="405.85"/>
    <n v="405.64"/>
    <n v="471.5"/>
    <n v="390.15"/>
    <n v="7661681"/>
    <n v="3107854790.6500001"/>
    <n v="92029"/>
    <x v="6"/>
    <n v="-1.1499999999999773"/>
    <x v="3"/>
    <n v="11"/>
    <x v="1"/>
    <n v="-0.16726934600681886"/>
  </r>
  <r>
    <d v="2025-11-17T00:00:00"/>
    <s v="EQ"/>
    <n v="409.75"/>
    <n v="412"/>
    <n v="406"/>
    <n v="408.15"/>
    <n v="407.5"/>
    <n v="407.1"/>
    <n v="407.38"/>
    <n v="471.5"/>
    <n v="390.15"/>
    <n v="7855399"/>
    <n v="3200140693.4000001"/>
    <n v="114679"/>
    <x v="6"/>
    <n v="-1.6000000000000227"/>
    <x v="3"/>
    <n v="11"/>
    <x v="1"/>
    <n v="-0.16726934600681886"/>
  </r>
  <r>
    <d v="2025-11-14T00:00:00"/>
    <s v="EQ"/>
    <n v="404.7"/>
    <n v="408.75"/>
    <n v="400.1"/>
    <n v="405.7"/>
    <n v="408.25"/>
    <n v="408.15"/>
    <n v="401.39"/>
    <n v="471.5"/>
    <n v="390.15"/>
    <n v="64020258"/>
    <n v="25697182566.799999"/>
    <n v="151924"/>
    <x v="6"/>
    <n v="1"/>
    <x v="3"/>
    <n v="11"/>
    <x v="1"/>
    <n v="-0.16726934600681886"/>
  </r>
  <r>
    <d v="2025-11-13T00:00:00"/>
    <s v="EQ"/>
    <n v="407"/>
    <n v="407.5"/>
    <n v="404.5"/>
    <n v="407"/>
    <n v="406.5"/>
    <n v="405.7"/>
    <n v="406.31"/>
    <n v="471.5"/>
    <n v="390.15"/>
    <n v="6617185"/>
    <n v="2688612018.5"/>
    <n v="90395"/>
    <x v="6"/>
    <n v="0"/>
    <x v="3"/>
    <n v="11"/>
    <x v="1"/>
    <n v="-0.16726934600681886"/>
  </r>
  <r>
    <d v="2025-11-12T00:00:00"/>
    <s v="EQ"/>
    <n v="408"/>
    <n v="408.1"/>
    <n v="405.55"/>
    <n v="406.85"/>
    <n v="407.4"/>
    <n v="407"/>
    <n v="406.82"/>
    <n v="471.5"/>
    <n v="390.15"/>
    <n v="7987236"/>
    <n v="3249380333.5500002"/>
    <n v="107940"/>
    <x v="6"/>
    <n v="-1.1499999999999773"/>
    <x v="3"/>
    <n v="11"/>
    <x v="1"/>
    <n v="-0.16726934600681886"/>
  </r>
  <r>
    <d v="2025-11-11T00:00:00"/>
    <s v="EQ"/>
    <n v="406"/>
    <n v="408.05"/>
    <n v="404.6"/>
    <n v="405.55"/>
    <n v="407.2"/>
    <n v="406.85"/>
    <n v="406.29"/>
    <n v="471.5"/>
    <n v="390.15"/>
    <n v="12005318"/>
    <n v="4877632724.5500002"/>
    <n v="97321"/>
    <x v="6"/>
    <n v="-0.44999999999998863"/>
    <x v="3"/>
    <n v="11"/>
    <x v="1"/>
    <n v="-0.16726934600681886"/>
  </r>
  <r>
    <d v="2025-11-10T00:00:00"/>
    <s v="EQ"/>
    <n v="404.05"/>
    <n v="407.1"/>
    <n v="403.65"/>
    <n v="404.05"/>
    <n v="406"/>
    <n v="405.55"/>
    <n v="405.75"/>
    <n v="471.5"/>
    <n v="390.15"/>
    <n v="6650003"/>
    <n v="2698266556.5500002"/>
    <n v="128591"/>
    <x v="6"/>
    <n v="0"/>
    <x v="3"/>
    <n v="11"/>
    <x v="1"/>
    <n v="-0.16726934600681886"/>
  </r>
  <r>
    <d v="2025-11-07T00:00:00"/>
    <s v="EQ"/>
    <n v="406.05"/>
    <n v="409.1"/>
    <n v="403.1"/>
    <n v="407.5"/>
    <n v="404.4"/>
    <n v="404.05"/>
    <n v="405.13"/>
    <n v="471.5"/>
    <n v="390.15"/>
    <n v="8411611"/>
    <n v="3407815043.1999998"/>
    <n v="92747"/>
    <x v="6"/>
    <n v="1.4499999999999886"/>
    <x v="3"/>
    <n v="11"/>
    <x v="1"/>
    <n v="-0.16726934600681886"/>
  </r>
  <r>
    <d v="2025-11-06T00:00:00"/>
    <s v="EQ"/>
    <n v="410"/>
    <n v="413.3"/>
    <n v="406.55"/>
    <n v="408.9"/>
    <n v="408.5"/>
    <n v="407.5"/>
    <n v="408.26"/>
    <n v="471.5"/>
    <n v="390.15"/>
    <n v="10095563"/>
    <n v="4121588309.6500001"/>
    <n v="146248"/>
    <x v="6"/>
    <n v="-1.1000000000000227"/>
    <x v="3"/>
    <n v="11"/>
    <x v="1"/>
    <n v="-0.16726934600681886"/>
  </r>
  <r>
    <d v="2025-11-04T00:00:00"/>
    <s v="EQ"/>
    <n v="414"/>
    <n v="414.5"/>
    <n v="408.35"/>
    <n v="413.95"/>
    <n v="408.8"/>
    <n v="408.9"/>
    <n v="410.16"/>
    <n v="471.5"/>
    <n v="390.15"/>
    <n v="10085404"/>
    <n v="4136635461.4000001"/>
    <n v="140114"/>
    <x v="6"/>
    <n v="-5.0000000000011369E-2"/>
    <x v="3"/>
    <n v="11"/>
    <x v="1"/>
    <n v="-0.16726934600681886"/>
  </r>
  <r>
    <d v="2025-11-03T00:00:00"/>
    <s v="EQ"/>
    <n v="419.95"/>
    <n v="421.65"/>
    <n v="413.3"/>
    <n v="420.35"/>
    <n v="414"/>
    <n v="413.95"/>
    <n v="415.71"/>
    <n v="471.5"/>
    <n v="390.15"/>
    <n v="7635440"/>
    <n v="3174092208.1999998"/>
    <n v="168846"/>
    <x v="6"/>
    <n v="0.40000000000003411"/>
    <x v="3"/>
    <n v="11"/>
    <x v="1"/>
    <n v="-0.16726934600681886"/>
  </r>
  <r>
    <d v="2025-10-31T00:00:00"/>
    <s v="EQ"/>
    <n v="420.5"/>
    <n v="426.4"/>
    <n v="418.2"/>
    <n v="418.75"/>
    <n v="419.95"/>
    <n v="420.35"/>
    <n v="422.45"/>
    <n v="471.5"/>
    <n v="390.15"/>
    <n v="18599864"/>
    <n v="7857495955.9499998"/>
    <n v="203655"/>
    <x v="6"/>
    <n v="-1.75"/>
    <x v="3"/>
    <n v="10"/>
    <x v="2"/>
    <n v="-0.16726934600681886"/>
  </r>
  <r>
    <d v="2025-10-30T00:00:00"/>
    <s v="EQ"/>
    <n v="421.6"/>
    <n v="421.7"/>
    <n v="416.15"/>
    <n v="421.6"/>
    <n v="419.35"/>
    <n v="418.75"/>
    <n v="419.29"/>
    <n v="471.5"/>
    <n v="390.15"/>
    <n v="12938674"/>
    <n v="5425028130.1999998"/>
    <n v="128633"/>
    <x v="6"/>
    <n v="0"/>
    <x v="3"/>
    <n v="10"/>
    <x v="2"/>
    <n v="-0.16726934600681886"/>
  </r>
  <r>
    <d v="2025-10-29T00:00:00"/>
    <s v="EQ"/>
    <n v="418.2"/>
    <n v="422.2"/>
    <n v="416.05"/>
    <n v="417.9"/>
    <n v="421.85"/>
    <n v="421.6"/>
    <n v="419.47"/>
    <n v="471.5"/>
    <n v="390.15"/>
    <n v="11470661"/>
    <n v="4811576571.1499996"/>
    <n v="126826"/>
    <x v="6"/>
    <n v="-0.30000000000001137"/>
    <x v="3"/>
    <n v="10"/>
    <x v="2"/>
    <n v="-0.16726934600681886"/>
  </r>
  <r>
    <d v="2025-10-28T00:00:00"/>
    <s v="EQ"/>
    <n v="420.5"/>
    <n v="421.65"/>
    <n v="415.9"/>
    <n v="420.65"/>
    <n v="417.85"/>
    <n v="417.9"/>
    <n v="417.96"/>
    <n v="471.5"/>
    <n v="390.15"/>
    <n v="17163147"/>
    <n v="7173491707.0500002"/>
    <n v="147046"/>
    <x v="6"/>
    <n v="0.14999999999997726"/>
    <x v="3"/>
    <n v="10"/>
    <x v="2"/>
    <n v="-0.16726934600681886"/>
  </r>
  <r>
    <d v="2025-10-27T00:00:00"/>
    <s v="EQ"/>
    <n v="417"/>
    <n v="422.7"/>
    <n v="416.6"/>
    <n v="416.8"/>
    <n v="421"/>
    <n v="420.65"/>
    <n v="420.58"/>
    <n v="471.5"/>
    <n v="390.15"/>
    <n v="11603679"/>
    <n v="4880229507.8500004"/>
    <n v="115318"/>
    <x v="6"/>
    <n v="-0.19999999999998863"/>
    <x v="3"/>
    <n v="10"/>
    <x v="2"/>
    <n v="-0.16726934600681886"/>
  </r>
  <r>
    <d v="2025-10-24T00:00:00"/>
    <s v="EQ"/>
    <n v="415.95"/>
    <n v="417.95"/>
    <n v="413.45"/>
    <n v="415.95"/>
    <n v="417.8"/>
    <n v="416.8"/>
    <n v="415.51"/>
    <n v="471.5"/>
    <n v="390.15"/>
    <n v="14935678"/>
    <n v="6205957776.1000004"/>
    <n v="114037"/>
    <x v="6"/>
    <n v="0"/>
    <x v="3"/>
    <n v="10"/>
    <x v="2"/>
    <n v="-0.16726934600681886"/>
  </r>
  <r>
    <d v="2025-10-23T00:00:00"/>
    <s v="EQ"/>
    <n v="416"/>
    <n v="420.45"/>
    <n v="413.55"/>
    <n v="412.85"/>
    <n v="416.25"/>
    <n v="415.95"/>
    <n v="417.33"/>
    <n v="471.5"/>
    <n v="390.15"/>
    <n v="24305990"/>
    <n v="10143543220.15"/>
    <n v="189470"/>
    <x v="6"/>
    <n v="-3.1499999999999773"/>
    <x v="3"/>
    <n v="10"/>
    <x v="2"/>
    <n v="-0.16726934600681886"/>
  </r>
  <r>
    <d v="2025-10-21T00:00:00"/>
    <s v="EQ"/>
    <n v="413.5"/>
    <n v="413.95"/>
    <n v="412.35"/>
    <n v="413.05"/>
    <n v="412.5"/>
    <n v="412.85"/>
    <n v="412.93"/>
    <n v="471.5"/>
    <n v="390.15"/>
    <n v="1142130"/>
    <n v="471623300.60000002"/>
    <n v="38260"/>
    <x v="6"/>
    <n v="-0.44999999999998863"/>
    <x v="3"/>
    <n v="10"/>
    <x v="2"/>
    <n v="-0.16726934600681886"/>
  </r>
  <r>
    <d v="2025-10-20T00:00:00"/>
    <s v="EQ"/>
    <n v="412.55"/>
    <n v="414.85"/>
    <n v="411.3"/>
    <n v="412.15"/>
    <n v="412.6"/>
    <n v="413.05"/>
    <n v="412.96"/>
    <n v="471.5"/>
    <n v="390.15"/>
    <n v="13083621"/>
    <n v="5403072501.6000004"/>
    <n v="126249"/>
    <x v="6"/>
    <n v="-0.40000000000003411"/>
    <x v="3"/>
    <n v="10"/>
    <x v="2"/>
    <n v="-0.16726934600681886"/>
  </r>
  <r>
    <d v="2025-10-17T00:00:00"/>
    <s v="EQ"/>
    <n v="405.35"/>
    <n v="413.85"/>
    <n v="405.25"/>
    <n v="405.15"/>
    <n v="411.4"/>
    <n v="412.15"/>
    <n v="411.42"/>
    <n v="471.5"/>
    <n v="390.15"/>
    <n v="21071344"/>
    <n v="8669197740.6499996"/>
    <n v="155146"/>
    <x v="6"/>
    <n v="-0.20000000000004547"/>
    <x v="3"/>
    <n v="10"/>
    <x v="2"/>
    <n v="-0.16726934600681886"/>
  </r>
  <r>
    <d v="2025-10-16T00:00:00"/>
    <s v="EQ"/>
    <n v="401"/>
    <n v="406"/>
    <n v="399.55"/>
    <n v="399.9"/>
    <n v="405.45"/>
    <n v="405.15"/>
    <n v="403"/>
    <n v="471.5"/>
    <n v="390.15"/>
    <n v="22962049"/>
    <n v="9253741617.7000008"/>
    <n v="161737"/>
    <x v="6"/>
    <n v="-1.1000000000000227"/>
    <x v="3"/>
    <n v="10"/>
    <x v="2"/>
    <n v="-0.16726934600681886"/>
  </r>
  <r>
    <d v="2025-10-15T00:00:00"/>
    <s v="EQ"/>
    <n v="398"/>
    <n v="400.85"/>
    <n v="397.25"/>
    <n v="396.8"/>
    <n v="400.3"/>
    <n v="399.9"/>
    <n v="399.77"/>
    <n v="471.5"/>
    <n v="390.15"/>
    <n v="16043867"/>
    <n v="6413886116.5"/>
    <n v="107335"/>
    <x v="6"/>
    <n v="-1.1999999999999886"/>
    <x v="3"/>
    <n v="10"/>
    <x v="2"/>
    <n v="-0.16726934600681886"/>
  </r>
  <r>
    <d v="2025-10-14T00:00:00"/>
    <s v="EQ"/>
    <n v="400"/>
    <n v="400.85"/>
    <n v="396.2"/>
    <n v="399.25"/>
    <n v="396.7"/>
    <n v="396.8"/>
    <n v="397.77"/>
    <n v="471.5"/>
    <n v="390.15"/>
    <n v="10291102"/>
    <n v="4093509264"/>
    <n v="155469"/>
    <x v="6"/>
    <n v="-0.75"/>
    <x v="3"/>
    <n v="10"/>
    <x v="2"/>
    <n v="-0.16726934600681886"/>
  </r>
  <r>
    <d v="2025-10-13T00:00:00"/>
    <s v="EQ"/>
    <n v="400"/>
    <n v="400.95"/>
    <n v="398.55"/>
    <n v="402.8"/>
    <n v="399.4"/>
    <n v="399.25"/>
    <n v="399.67"/>
    <n v="471.5"/>
    <n v="390.15"/>
    <n v="9508594"/>
    <n v="3800278856.6999998"/>
    <n v="172792"/>
    <x v="6"/>
    <n v="2.8000000000000114"/>
    <x v="3"/>
    <n v="10"/>
    <x v="2"/>
    <n v="-0.16726934600681886"/>
  </r>
  <r>
    <d v="2025-10-10T00:00:00"/>
    <s v="EQ"/>
    <n v="400.45"/>
    <n v="403.85"/>
    <n v="399.5"/>
    <n v="399.9"/>
    <n v="402.5"/>
    <n v="402.8"/>
    <n v="402.29"/>
    <n v="471.5"/>
    <n v="390.15"/>
    <n v="15085738"/>
    <n v="6068794009.1000004"/>
    <n v="115991"/>
    <x v="6"/>
    <n v="-0.55000000000001137"/>
    <x v="3"/>
    <n v="10"/>
    <x v="2"/>
    <n v="-0.16726934600681886"/>
  </r>
  <r>
    <d v="2025-10-09T00:00:00"/>
    <s v="EQ"/>
    <n v="399"/>
    <n v="401.4"/>
    <n v="398.95"/>
    <n v="399.75"/>
    <n v="399.3"/>
    <n v="399.9"/>
    <n v="399.97"/>
    <n v="471.5"/>
    <n v="390.15"/>
    <n v="15656267"/>
    <n v="6262021427.1000004"/>
    <n v="127019"/>
    <x v="6"/>
    <n v="0.75"/>
    <x v="3"/>
    <n v="10"/>
    <x v="2"/>
    <n v="-0.16726934600681886"/>
  </r>
  <r>
    <d v="2025-10-08T00:00:00"/>
    <s v="EQ"/>
    <n v="400"/>
    <n v="401.75"/>
    <n v="398"/>
    <n v="399.8"/>
    <n v="399.5"/>
    <n v="399.75"/>
    <n v="399.5"/>
    <n v="471.5"/>
    <n v="390.15"/>
    <n v="8402463"/>
    <n v="3356745732.5500002"/>
    <n v="93216"/>
    <x v="6"/>
    <n v="-0.19999999999998863"/>
    <x v="3"/>
    <n v="10"/>
    <x v="2"/>
    <n v="-0.16726934600681886"/>
  </r>
  <r>
    <d v="2025-10-07T00:00:00"/>
    <s v="EQ"/>
    <n v="402.5"/>
    <n v="402.6"/>
    <n v="399.5"/>
    <n v="400.75"/>
    <n v="399.9"/>
    <n v="399.8"/>
    <n v="400.47"/>
    <n v="471.5"/>
    <n v="390.15"/>
    <n v="12298968"/>
    <n v="4925318576.6999998"/>
    <n v="128812"/>
    <x v="6"/>
    <n v="-1.75"/>
    <x v="3"/>
    <n v="10"/>
    <x v="2"/>
    <n v="-0.16726934600681886"/>
  </r>
  <r>
    <d v="2025-10-06T00:00:00"/>
    <s v="EQ"/>
    <n v="403"/>
    <n v="403.9"/>
    <n v="399.8"/>
    <n v="404.3"/>
    <n v="401.1"/>
    <n v="400.75"/>
    <n v="400.71"/>
    <n v="471.5"/>
    <n v="390.15"/>
    <n v="13989077"/>
    <n v="5605584637.3000002"/>
    <n v="119696"/>
    <x v="6"/>
    <n v="1.3000000000000114"/>
    <x v="3"/>
    <n v="10"/>
    <x v="2"/>
    <n v="-0.16726934600681886"/>
  </r>
  <r>
    <d v="2025-10-03T00:00:00"/>
    <s v="EQ"/>
    <n v="404.9"/>
    <n v="405.5"/>
    <n v="402.3"/>
    <n v="405.6"/>
    <n v="404.6"/>
    <n v="404.3"/>
    <n v="404.32"/>
    <n v="471.5"/>
    <n v="390.15"/>
    <n v="16987141"/>
    <n v="6868213808.3000002"/>
    <n v="119898"/>
    <x v="6"/>
    <n v="0.70000000000004547"/>
    <x v="3"/>
    <n v="10"/>
    <x v="2"/>
    <n v="-0.16726934600681886"/>
  </r>
  <r>
    <d v="2025-10-01T00:00:00"/>
    <s v="EQ"/>
    <n v="402.35"/>
    <n v="406"/>
    <n v="399.75"/>
    <n v="401.55"/>
    <n v="404.9"/>
    <n v="405.6"/>
    <n v="403.72"/>
    <n v="471.5"/>
    <n v="390.15"/>
    <n v="17643039"/>
    <n v="7122831971.25"/>
    <n v="116986"/>
    <x v="6"/>
    <n v="-0.80000000000001137"/>
    <x v="3"/>
    <n v="10"/>
    <x v="2"/>
    <n v="-0.16726934600681886"/>
  </r>
  <r>
    <d v="2025-09-30T00:00:00"/>
    <s v="EQ"/>
    <n v="406.75"/>
    <n v="406.75"/>
    <n v="400.4"/>
    <n v="407.25"/>
    <n v="401.7"/>
    <n v="401.55"/>
    <n v="402.22"/>
    <n v="471.5"/>
    <n v="390.15"/>
    <n v="9465490"/>
    <n v="3807199569.5"/>
    <n v="135011"/>
    <x v="6"/>
    <n v="0.5"/>
    <x v="3"/>
    <n v="9"/>
    <x v="3"/>
    <n v="-0.16726934600681886"/>
  </r>
  <r>
    <d v="2025-09-29T00:00:00"/>
    <s v="EQ"/>
    <n v="406.9"/>
    <n v="408"/>
    <n v="403.2"/>
    <n v="405.1"/>
    <n v="404.4"/>
    <n v="407.25"/>
    <n v="406.55"/>
    <n v="471.5"/>
    <n v="390.15"/>
    <n v="19717660"/>
    <n v="8016125728.8000002"/>
    <n v="138356"/>
    <x v="6"/>
    <n v="-1.7999999999999545"/>
    <x v="3"/>
    <n v="9"/>
    <x v="3"/>
    <n v="-0.16726934600681886"/>
  </r>
  <r>
    <d v="2025-09-26T00:00:00"/>
    <s v="EQ"/>
    <n v="400.1"/>
    <n v="405.9"/>
    <n v="399.8"/>
    <n v="400.1"/>
    <n v="405"/>
    <n v="405.1"/>
    <n v="403.62"/>
    <n v="471.5"/>
    <n v="390.15"/>
    <n v="14414044"/>
    <n v="5817782528.8999996"/>
    <n v="120767"/>
    <x v="6"/>
    <n v="0"/>
    <x v="3"/>
    <n v="9"/>
    <x v="3"/>
    <n v="-0.16726934600681886"/>
  </r>
  <r>
    <d v="2025-09-25T00:00:00"/>
    <s v="EQ"/>
    <n v="401.45"/>
    <n v="403"/>
    <n v="398"/>
    <n v="401"/>
    <n v="400.45"/>
    <n v="400.1"/>
    <n v="400.05"/>
    <n v="471.5"/>
    <n v="390.15"/>
    <n v="22006368"/>
    <n v="8803608106.5499992"/>
    <n v="174393"/>
    <x v="6"/>
    <n v="-0.44999999999998863"/>
    <x v="3"/>
    <n v="9"/>
    <x v="3"/>
    <n v="-0.16726934600681886"/>
  </r>
  <r>
    <d v="2025-09-24T00:00:00"/>
    <s v="EQ"/>
    <n v="403.2"/>
    <n v="404.65"/>
    <n v="400.7"/>
    <n v="403.2"/>
    <n v="401"/>
    <n v="401"/>
    <n v="401.65"/>
    <n v="471.5"/>
    <n v="390.15"/>
    <n v="12380865"/>
    <n v="4972836129.3500004"/>
    <n v="117613"/>
    <x v="6"/>
    <n v="0"/>
    <x v="3"/>
    <n v="9"/>
    <x v="3"/>
    <n v="-0.16726934600681886"/>
  </r>
  <r>
    <d v="2025-09-23T00:00:00"/>
    <s v="EQ"/>
    <n v="407.1"/>
    <n v="408.1"/>
    <n v="402.1"/>
    <n v="406.95"/>
    <n v="404"/>
    <n v="403.2"/>
    <n v="403.67"/>
    <n v="471.5"/>
    <n v="390.15"/>
    <n v="14936357"/>
    <n v="6029414917.8500004"/>
    <n v="165353"/>
    <x v="6"/>
    <n v="-0.15000000000003411"/>
    <x v="3"/>
    <n v="9"/>
    <x v="3"/>
    <n v="-0.16726934600681886"/>
  </r>
  <r>
    <d v="2025-09-22T00:00:00"/>
    <s v="EQ"/>
    <n v="410.65"/>
    <n v="411"/>
    <n v="406.05"/>
    <n v="410.65"/>
    <n v="407"/>
    <n v="406.95"/>
    <n v="408.02"/>
    <n v="471.5"/>
    <n v="390.15"/>
    <n v="8930779"/>
    <n v="3643975296.25"/>
    <n v="128779"/>
    <x v="6"/>
    <n v="0"/>
    <x v="3"/>
    <n v="9"/>
    <x v="3"/>
    <n v="-0.16726934600681886"/>
  </r>
  <r>
    <d v="2025-09-19T00:00:00"/>
    <s v="EQ"/>
    <n v="411.55"/>
    <n v="412.6"/>
    <n v="408.95"/>
    <n v="411.55"/>
    <n v="410"/>
    <n v="410.65"/>
    <n v="410.47"/>
    <n v="471.5"/>
    <n v="390.15"/>
    <n v="19505321"/>
    <n v="8006379578.25"/>
    <n v="119041"/>
    <x v="6"/>
    <n v="0"/>
    <x v="3"/>
    <n v="9"/>
    <x v="3"/>
    <n v="-0.16726934600681886"/>
  </r>
  <r>
    <d v="2025-09-18T00:00:00"/>
    <s v="EQ"/>
    <n v="411.35"/>
    <n v="413.05"/>
    <n v="410.1"/>
    <n v="409.3"/>
    <n v="412.5"/>
    <n v="411.55"/>
    <n v="411.51"/>
    <n v="471.5"/>
    <n v="390.15"/>
    <n v="15647808"/>
    <n v="6439299773.3000002"/>
    <n v="105500"/>
    <x v="6"/>
    <n v="-2.0500000000000114"/>
    <x v="3"/>
    <n v="9"/>
    <x v="3"/>
    <n v="-0.16726934600681886"/>
  </r>
  <r>
    <d v="2025-09-17T00:00:00"/>
    <s v="EQ"/>
    <n v="413.95"/>
    <n v="414.6"/>
    <n v="408.05"/>
    <n v="413.1"/>
    <n v="410.05"/>
    <n v="409.3"/>
    <n v="410.17"/>
    <n v="471.5"/>
    <n v="390.15"/>
    <n v="14113882"/>
    <n v="5789128854.5500002"/>
    <n v="147228"/>
    <x v="6"/>
    <n v="-0.84999999999996589"/>
    <x v="3"/>
    <n v="9"/>
    <x v="3"/>
    <n v="-0.16726934600681886"/>
  </r>
  <r>
    <d v="2025-09-16T00:00:00"/>
    <s v="EQ"/>
    <n v="413.2"/>
    <n v="414.35"/>
    <n v="412"/>
    <n v="412.65"/>
    <n v="413.65"/>
    <n v="413.1"/>
    <n v="413.12"/>
    <n v="471.5"/>
    <n v="390.15"/>
    <n v="8239087"/>
    <n v="3403729371.0500002"/>
    <n v="97899"/>
    <x v="6"/>
    <n v="-0.55000000000001137"/>
    <x v="3"/>
    <n v="9"/>
    <x v="3"/>
    <n v="-0.16726934600681886"/>
  </r>
  <r>
    <d v="2025-09-15T00:00:00"/>
    <s v="EQ"/>
    <n v="413.05"/>
    <n v="414.3"/>
    <n v="411.75"/>
    <n v="413.75"/>
    <n v="412.8"/>
    <n v="412.65"/>
    <n v="413.05"/>
    <n v="471.5"/>
    <n v="390.15"/>
    <n v="5707331"/>
    <n v="2357418512.5500002"/>
    <n v="91972"/>
    <x v="6"/>
    <n v="0.69999999999998863"/>
    <x v="3"/>
    <n v="9"/>
    <x v="3"/>
    <n v="-0.16726934600681886"/>
  </r>
  <r>
    <d v="2025-09-12T00:00:00"/>
    <s v="EQ"/>
    <n v="415.35"/>
    <n v="417.05"/>
    <n v="412.85"/>
    <n v="415.05"/>
    <n v="413.55"/>
    <n v="413.75"/>
    <n v="414.89"/>
    <n v="471.5"/>
    <n v="390.15"/>
    <n v="7803379"/>
    <n v="3237550924.5"/>
    <n v="78225"/>
    <x v="6"/>
    <n v="-0.30000000000001137"/>
    <x v="3"/>
    <n v="9"/>
    <x v="3"/>
    <n v="-0.16726934600681886"/>
  </r>
  <r>
    <d v="2025-09-11T00:00:00"/>
    <s v="EQ"/>
    <n v="413.05"/>
    <n v="416.7"/>
    <n v="412.45"/>
    <n v="413.05"/>
    <n v="415.35"/>
    <n v="415.05"/>
    <n v="415.51"/>
    <n v="471.5"/>
    <n v="390.15"/>
    <n v="8274406"/>
    <n v="3438066391.5500002"/>
    <n v="195524"/>
    <x v="6"/>
    <n v="0"/>
    <x v="3"/>
    <n v="9"/>
    <x v="3"/>
    <n v="-0.16726934600681886"/>
  </r>
  <r>
    <d v="2025-09-10T00:00:00"/>
    <s v="EQ"/>
    <n v="411"/>
    <n v="413.7"/>
    <n v="408.95"/>
    <n v="410.05"/>
    <n v="413"/>
    <n v="413.05"/>
    <n v="411.25"/>
    <n v="471.5"/>
    <n v="390.15"/>
    <n v="9252397"/>
    <n v="3805055609.0500002"/>
    <n v="141806"/>
    <x v="6"/>
    <n v="-0.94999999999998863"/>
    <x v="3"/>
    <n v="9"/>
    <x v="3"/>
    <n v="-0.16726934600681886"/>
  </r>
  <r>
    <d v="2025-09-09T00:00:00"/>
    <s v="EQ"/>
    <n v="408.5"/>
    <n v="410.95"/>
    <n v="407.4"/>
    <n v="407.55"/>
    <n v="410"/>
    <n v="410.05"/>
    <n v="409.78"/>
    <n v="471.5"/>
    <n v="390.15"/>
    <n v="8825896"/>
    <n v="3616692854.5999999"/>
    <n v="88691"/>
    <x v="6"/>
    <n v="-0.94999999999998863"/>
    <x v="3"/>
    <n v="9"/>
    <x v="3"/>
    <n v="-0.16726934600681886"/>
  </r>
  <r>
    <d v="2025-09-08T00:00:00"/>
    <s v="EQ"/>
    <n v="407.45"/>
    <n v="410.55"/>
    <n v="406.8"/>
    <n v="407.35"/>
    <n v="408.4"/>
    <n v="407.55"/>
    <n v="408.21"/>
    <n v="471.5"/>
    <n v="390.15"/>
    <n v="7419022"/>
    <n v="3028506105.1500001"/>
    <n v="113635"/>
    <x v="6"/>
    <n v="-9.9999999999965894E-2"/>
    <x v="3"/>
    <n v="9"/>
    <x v="3"/>
    <n v="-0.16726934600681886"/>
  </r>
  <r>
    <d v="2025-09-05T00:00:00"/>
    <s v="EQ"/>
    <n v="416.9"/>
    <n v="417"/>
    <n v="404.4"/>
    <n v="415.9"/>
    <n v="407.9"/>
    <n v="407.35"/>
    <n v="406.82"/>
    <n v="471.5"/>
    <n v="390.15"/>
    <n v="16000675"/>
    <n v="6509428201.4499998"/>
    <n v="213298"/>
    <x v="6"/>
    <n v="-1"/>
    <x v="3"/>
    <n v="9"/>
    <x v="3"/>
    <n v="-0.16726934600681886"/>
  </r>
  <r>
    <d v="2025-09-04T00:00:00"/>
    <s v="EQ"/>
    <n v="423.95"/>
    <n v="427"/>
    <n v="415"/>
    <n v="411.75"/>
    <n v="415.75"/>
    <n v="415.9"/>
    <n v="418.56"/>
    <n v="471.5"/>
    <n v="390.15"/>
    <n v="27274123"/>
    <n v="11415887821.049999"/>
    <n v="271564"/>
    <x v="6"/>
    <n v="-12.199999999999989"/>
    <x v="3"/>
    <n v="9"/>
    <x v="3"/>
    <n v="-0.16726934600681886"/>
  </r>
  <r>
    <d v="2025-09-03T00:00:00"/>
    <s v="EQ"/>
    <n v="408.5"/>
    <n v="413.25"/>
    <n v="407.3"/>
    <n v="406.75"/>
    <n v="411.1"/>
    <n v="411.75"/>
    <n v="410.55"/>
    <n v="471.5"/>
    <n v="390.15"/>
    <n v="12936588"/>
    <n v="5311134586.6000004"/>
    <n v="118422"/>
    <x v="6"/>
    <n v="-1.75"/>
    <x v="3"/>
    <n v="9"/>
    <x v="3"/>
    <n v="-0.16726934600681886"/>
  </r>
  <r>
    <d v="2025-09-02T00:00:00"/>
    <s v="EQ"/>
    <n v="406.55"/>
    <n v="407.85"/>
    <n v="404.45"/>
    <n v="405.85"/>
    <n v="407"/>
    <n v="406.75"/>
    <n v="406.37"/>
    <n v="471.5"/>
    <n v="390.15"/>
    <n v="19808255"/>
    <n v="8049546791.5"/>
    <n v="224334"/>
    <x v="6"/>
    <n v="-0.69999999999998863"/>
    <x v="3"/>
    <n v="9"/>
    <x v="3"/>
    <n v="-0.16726934600681886"/>
  </r>
  <r>
    <d v="2025-09-01T00:00:00"/>
    <s v="EQ"/>
    <n v="409.75"/>
    <n v="410.2"/>
    <n v="405"/>
    <n v="409.75"/>
    <n v="405.55"/>
    <n v="405.85"/>
    <n v="406.32"/>
    <n v="471.5"/>
    <n v="390.15"/>
    <n v="12268090"/>
    <n v="4984783795.8000002"/>
    <n v="169790"/>
    <x v="6"/>
    <n v="0"/>
    <x v="3"/>
    <n v="9"/>
    <x v="3"/>
    <n v="-0.16726934600681886"/>
  </r>
  <r>
    <d v="2025-08-29T00:00:00"/>
    <s v="EQ"/>
    <n v="402"/>
    <n v="410.45"/>
    <n v="401.9"/>
    <n v="400.9"/>
    <n v="409.5"/>
    <n v="409.75"/>
    <n v="407.54"/>
    <n v="471.5"/>
    <n v="390.15"/>
    <n v="25255050"/>
    <n v="10292536558.9"/>
    <n v="152907"/>
    <x v="6"/>
    <n v="-1.1000000000000227"/>
    <x v="3"/>
    <n v="8"/>
    <x v="4"/>
    <n v="-0.16726934600681886"/>
  </r>
  <r>
    <d v="2025-08-28T00:00:00"/>
    <s v="EQ"/>
    <n v="404.5"/>
    <n v="404.5"/>
    <n v="400"/>
    <n v="403.35"/>
    <n v="400.8"/>
    <n v="400.9"/>
    <n v="401.4"/>
    <n v="471.5"/>
    <n v="390.15"/>
    <n v="12471719"/>
    <n v="5006114050"/>
    <n v="165609"/>
    <x v="6"/>
    <n v="-1.1499999999999773"/>
    <x v="3"/>
    <n v="8"/>
    <x v="4"/>
    <n v="-0.16726934600681886"/>
  </r>
  <r>
    <d v="2025-08-26T00:00:00"/>
    <s v="EQ"/>
    <n v="399.3"/>
    <n v="405.4"/>
    <n v="398.4"/>
    <n v="399.35"/>
    <n v="403.35"/>
    <n v="403.35"/>
    <n v="402.3"/>
    <n v="471.5"/>
    <n v="390.15"/>
    <n v="13715752"/>
    <n v="5517842190"/>
    <n v="180641"/>
    <x v="6"/>
    <n v="5.0000000000011369E-2"/>
    <x v="3"/>
    <n v="8"/>
    <x v="4"/>
    <n v="-0.16726934600681886"/>
  </r>
  <r>
    <d v="2025-08-25T00:00:00"/>
    <s v="EQ"/>
    <n v="399"/>
    <n v="400.55"/>
    <n v="396.25"/>
    <n v="398.3"/>
    <n v="399.15"/>
    <n v="399.35"/>
    <n v="399.17"/>
    <n v="471.5"/>
    <n v="390.15"/>
    <n v="10440286"/>
    <n v="4167497911.5"/>
    <n v="142577"/>
    <x v="6"/>
    <n v="-0.69999999999998863"/>
    <x v="3"/>
    <n v="8"/>
    <x v="4"/>
    <n v="-0.16726934600681886"/>
  </r>
  <r>
    <d v="2025-08-22T00:00:00"/>
    <s v="EQ"/>
    <n v="406"/>
    <n v="406.5"/>
    <n v="397.5"/>
    <n v="405.55"/>
    <n v="398.3"/>
    <n v="398.3"/>
    <n v="399.91"/>
    <n v="471.5"/>
    <n v="390.15"/>
    <n v="13087624"/>
    <n v="5233881432.8000002"/>
    <n v="204639"/>
    <x v="6"/>
    <n v="-0.44999999999998863"/>
    <x v="3"/>
    <n v="8"/>
    <x v="4"/>
    <n v="-0.16726934600681886"/>
  </r>
  <r>
    <d v="2025-08-21T00:00:00"/>
    <s v="EQ"/>
    <n v="406.05"/>
    <n v="406.85"/>
    <n v="403.35"/>
    <n v="406.05"/>
    <n v="406"/>
    <n v="405.55"/>
    <n v="405.69"/>
    <n v="471.5"/>
    <n v="390.15"/>
    <n v="15028966"/>
    <n v="6097100177.4499998"/>
    <n v="182931"/>
    <x v="6"/>
    <n v="0"/>
    <x v="3"/>
    <n v="8"/>
    <x v="4"/>
    <n v="-0.16726934600681886"/>
  </r>
  <r>
    <d v="2025-08-20T00:00:00"/>
    <s v="EQ"/>
    <n v="409.1"/>
    <n v="410.25"/>
    <n v="405.45"/>
    <n v="409.1"/>
    <n v="406.25"/>
    <n v="406.05"/>
    <n v="407.87"/>
    <n v="471.5"/>
    <n v="390.15"/>
    <n v="18188129"/>
    <n v="7418416584.5500002"/>
    <n v="158846"/>
    <x v="6"/>
    <n v="0"/>
    <x v="3"/>
    <n v="8"/>
    <x v="4"/>
    <n v="-0.16726934600681886"/>
  </r>
  <r>
    <d v="2025-08-19T00:00:00"/>
    <s v="EQ"/>
    <n v="406.35"/>
    <n v="409.4"/>
    <n v="404.5"/>
    <n v="406.3"/>
    <n v="409.1"/>
    <n v="409.1"/>
    <n v="406.86"/>
    <n v="471.5"/>
    <n v="390.15"/>
    <n v="16681331"/>
    <n v="6786912397.3000002"/>
    <n v="175005"/>
    <x v="6"/>
    <n v="-5.0000000000011369E-2"/>
    <x v="3"/>
    <n v="8"/>
    <x v="4"/>
    <n v="-0.16726934600681886"/>
  </r>
  <r>
    <d v="2025-08-18T00:00:00"/>
    <s v="EQ"/>
    <n v="413"/>
    <n v="413.7"/>
    <n v="404.85"/>
    <n v="411.45"/>
    <n v="405.3"/>
    <n v="406.3"/>
    <n v="408.7"/>
    <n v="471.5"/>
    <n v="390.15"/>
    <n v="30950814"/>
    <n v="12649659054.299999"/>
    <n v="193343"/>
    <x v="6"/>
    <n v="-1.5500000000000114"/>
    <x v="3"/>
    <n v="8"/>
    <x v="4"/>
    <n v="-0.16726934600681886"/>
  </r>
  <r>
    <d v="2025-08-14T00:00:00"/>
    <s v="EQ"/>
    <n v="414.25"/>
    <n v="415.05"/>
    <n v="411"/>
    <n v="414.1"/>
    <n v="411.45"/>
    <n v="411.45"/>
    <n v="412.48"/>
    <n v="471.5"/>
    <n v="390.15"/>
    <n v="9580361"/>
    <n v="3951669337.5"/>
    <n v="122767"/>
    <x v="6"/>
    <n v="-0.14999999999997726"/>
    <x v="3"/>
    <n v="8"/>
    <x v="4"/>
    <n v="-0.16726934600681886"/>
  </r>
  <r>
    <d v="2025-08-13T00:00:00"/>
    <s v="EQ"/>
    <n v="417.2"/>
    <n v="417.5"/>
    <n v="413.6"/>
    <n v="416.35"/>
    <n v="414.2"/>
    <n v="414.1"/>
    <n v="414.82"/>
    <n v="471.5"/>
    <n v="390.15"/>
    <n v="10874910"/>
    <n v="4511079760.8000002"/>
    <n v="86765"/>
    <x v="6"/>
    <n v="-0.84999999999996589"/>
    <x v="3"/>
    <n v="8"/>
    <x v="4"/>
    <n v="-0.16726934600681886"/>
  </r>
  <r>
    <d v="2025-08-12T00:00:00"/>
    <s v="EQ"/>
    <n v="417"/>
    <n v="419.8"/>
    <n v="415.3"/>
    <n v="416.85"/>
    <n v="416.1"/>
    <n v="416.35"/>
    <n v="417.43"/>
    <n v="471.5"/>
    <n v="390.15"/>
    <n v="13635738"/>
    <n v="5692002511.3999996"/>
    <n v="105553"/>
    <x v="6"/>
    <n v="-0.14999999999997726"/>
    <x v="3"/>
    <n v="8"/>
    <x v="4"/>
    <n v="-0.16726934600681886"/>
  </r>
  <r>
    <d v="2025-08-11T00:00:00"/>
    <s v="EQ"/>
    <n v="414.5"/>
    <n v="417"/>
    <n v="414"/>
    <n v="414.5"/>
    <n v="417"/>
    <n v="416.85"/>
    <n v="416.05"/>
    <n v="471.5"/>
    <n v="390.15"/>
    <n v="8514272"/>
    <n v="3542355434.8000002"/>
    <n v="111986"/>
    <x v="6"/>
    <n v="0"/>
    <x v="3"/>
    <n v="8"/>
    <x v="4"/>
    <n v="-0.16726934600681886"/>
  </r>
  <r>
    <d v="2025-08-08T00:00:00"/>
    <s v="EQ"/>
    <n v="413.9"/>
    <n v="415.35"/>
    <n v="412.95"/>
    <n v="413.6"/>
    <n v="414.45"/>
    <n v="414.5"/>
    <n v="414.32"/>
    <n v="471.5"/>
    <n v="390.15"/>
    <n v="9814361"/>
    <n v="4066250194.9000001"/>
    <n v="95336"/>
    <x v="6"/>
    <n v="-0.29999999999995453"/>
    <x v="3"/>
    <n v="8"/>
    <x v="4"/>
    <n v="-0.16726934600681886"/>
  </r>
  <r>
    <d v="2025-08-07T00:00:00"/>
    <s v="EQ"/>
    <n v="412"/>
    <n v="414.75"/>
    <n v="411.65"/>
    <n v="412"/>
    <n v="413.8"/>
    <n v="413.6"/>
    <n v="413.34"/>
    <n v="471.5"/>
    <n v="390.15"/>
    <n v="11514878"/>
    <n v="4759538600.1000004"/>
    <n v="107647"/>
    <x v="6"/>
    <n v="0"/>
    <x v="3"/>
    <n v="8"/>
    <x v="4"/>
    <n v="-0.16726934600681886"/>
  </r>
  <r>
    <d v="2025-08-06T00:00:00"/>
    <s v="EQ"/>
    <n v="414.15"/>
    <n v="415"/>
    <n v="410.5"/>
    <n v="414.15"/>
    <n v="412.2"/>
    <n v="412"/>
    <n v="411.74"/>
    <n v="471.5"/>
    <n v="390.15"/>
    <n v="9080543"/>
    <n v="3738841645.3000002"/>
    <n v="123746"/>
    <x v="6"/>
    <n v="0"/>
    <x v="3"/>
    <n v="8"/>
    <x v="4"/>
    <n v="-0.16726934600681886"/>
  </r>
  <r>
    <d v="2025-08-05T00:00:00"/>
    <s v="EQ"/>
    <n v="417.2"/>
    <n v="417.95"/>
    <n v="413"/>
    <n v="416.85"/>
    <n v="413.8"/>
    <n v="414.15"/>
    <n v="414.33"/>
    <n v="471.5"/>
    <n v="390.15"/>
    <n v="8495104"/>
    <n v="3519798904.0500002"/>
    <n v="147684"/>
    <x v="6"/>
    <n v="-0.34999999999996589"/>
    <x v="3"/>
    <n v="8"/>
    <x v="4"/>
    <n v="-0.16726934600681886"/>
  </r>
  <r>
    <d v="2025-08-04T00:00:00"/>
    <s v="EQ"/>
    <n v="420.2"/>
    <n v="422.5"/>
    <n v="415.1"/>
    <n v="416.45"/>
    <n v="416.65"/>
    <n v="416.85"/>
    <n v="417.96"/>
    <n v="471.5"/>
    <n v="390.15"/>
    <n v="18352458"/>
    <n v="7670504419.3999996"/>
    <n v="346053"/>
    <x v="6"/>
    <n v="-3.75"/>
    <x v="3"/>
    <n v="8"/>
    <x v="4"/>
    <n v="-0.16726934600681886"/>
  </r>
  <r>
    <d v="2025-08-01T00:00:00"/>
    <s v="EQ"/>
    <n v="412.4"/>
    <n v="419.35"/>
    <n v="411.8"/>
    <n v="411.95"/>
    <n v="416.6"/>
    <n v="416.45"/>
    <n v="416.54"/>
    <n v="471.5"/>
    <n v="390.15"/>
    <n v="14324065"/>
    <n v="5966572601.75"/>
    <n v="143905"/>
    <x v="6"/>
    <n v="-0.44999999999998863"/>
    <x v="3"/>
    <n v="8"/>
    <x v="4"/>
    <n v="-0.16726934600681886"/>
  </r>
  <r>
    <d v="2025-07-31T00:00:00"/>
    <s v="EQ"/>
    <n v="405.95"/>
    <n v="414"/>
    <n v="405.55"/>
    <n v="407.6"/>
    <n v="411.7"/>
    <n v="411.95"/>
    <n v="410.46"/>
    <n v="471.5"/>
    <n v="390.15"/>
    <n v="19364174"/>
    <n v="7948130344.6999998"/>
    <n v="145541"/>
    <x v="6"/>
    <n v="1.6500000000000341"/>
    <x v="3"/>
    <n v="7"/>
    <x v="5"/>
    <n v="-0.16726934600681886"/>
  </r>
  <r>
    <d v="2025-07-30T00:00:00"/>
    <s v="EQ"/>
    <n v="409"/>
    <n v="409.3"/>
    <n v="405.75"/>
    <n v="408.45"/>
    <n v="407.8"/>
    <n v="407.6"/>
    <n v="407.37"/>
    <n v="471.5"/>
    <n v="390.15"/>
    <n v="10915863"/>
    <n v="4446803251.75"/>
    <n v="102742"/>
    <x v="6"/>
    <n v="-0.55000000000001137"/>
    <x v="3"/>
    <n v="7"/>
    <x v="5"/>
    <n v="-0.16726934600681886"/>
  </r>
  <r>
    <d v="2025-07-29T00:00:00"/>
    <s v="EQ"/>
    <n v="410"/>
    <n v="411.4"/>
    <n v="408"/>
    <n v="409.9"/>
    <n v="408.2"/>
    <n v="408.45"/>
    <n v="409.3"/>
    <n v="471.5"/>
    <n v="390.15"/>
    <n v="6811772"/>
    <n v="2788074823.5500002"/>
    <n v="97448"/>
    <x v="6"/>
    <n v="-0.10000000000002274"/>
    <x v="3"/>
    <n v="7"/>
    <x v="5"/>
    <n v="-0.16726934600681886"/>
  </r>
  <r>
    <d v="2025-07-28T00:00:00"/>
    <s v="EQ"/>
    <n v="410.8"/>
    <n v="410.85"/>
    <n v="408.6"/>
    <n v="409.4"/>
    <n v="409.8"/>
    <n v="409.9"/>
    <n v="409.88"/>
    <n v="471.5"/>
    <n v="390.15"/>
    <n v="8123337"/>
    <n v="3329557179.75"/>
    <n v="86106"/>
    <x v="6"/>
    <n v="-1.4000000000000341"/>
    <x v="3"/>
    <n v="7"/>
    <x v="5"/>
    <n v="-0.16726934600681886"/>
  </r>
  <r>
    <d v="2025-07-25T00:00:00"/>
    <s v="EQ"/>
    <n v="410"/>
    <n v="410.25"/>
    <n v="407.75"/>
    <n v="409.95"/>
    <n v="409.6"/>
    <n v="409.4"/>
    <n v="409.17"/>
    <n v="471.5"/>
    <n v="390.15"/>
    <n v="5824089"/>
    <n v="2383043433.0500002"/>
    <n v="100941"/>
    <x v="6"/>
    <n v="-5.0000000000011369E-2"/>
    <x v="3"/>
    <n v="7"/>
    <x v="5"/>
    <n v="-0.16726934600681886"/>
  </r>
  <r>
    <d v="2025-07-24T00:00:00"/>
    <s v="EQ"/>
    <n v="415.85"/>
    <n v="415.85"/>
    <n v="409.45"/>
    <n v="414.95"/>
    <n v="410"/>
    <n v="409.95"/>
    <n v="411.42"/>
    <n v="471.5"/>
    <n v="390.15"/>
    <n v="9005157"/>
    <n v="3704882523.9499998"/>
    <n v="132378"/>
    <x v="6"/>
    <n v="-0.90000000000003411"/>
    <x v="3"/>
    <n v="7"/>
    <x v="5"/>
    <n v="-0.16726934600681886"/>
  </r>
  <r>
    <d v="2025-07-23T00:00:00"/>
    <s v="EQ"/>
    <n v="417.1"/>
    <n v="417.9"/>
    <n v="414"/>
    <n v="416"/>
    <n v="415"/>
    <n v="414.95"/>
    <n v="415.04"/>
    <n v="471.5"/>
    <n v="390.15"/>
    <n v="12196187"/>
    <n v="5061866238.3999996"/>
    <n v="99775"/>
    <x v="6"/>
    <n v="-1.1000000000000227"/>
    <x v="3"/>
    <n v="7"/>
    <x v="5"/>
    <n v="-0.16726934600681886"/>
  </r>
  <r>
    <d v="2025-07-22T00:00:00"/>
    <s v="EQ"/>
    <n v="420.1"/>
    <n v="420.4"/>
    <n v="415.2"/>
    <n v="420.1"/>
    <n v="415.95"/>
    <n v="416"/>
    <n v="416.82"/>
    <n v="471.5"/>
    <n v="390.15"/>
    <n v="9869507"/>
    <n v="4113826380.9499998"/>
    <n v="117437"/>
    <x v="6"/>
    <n v="0"/>
    <x v="3"/>
    <n v="7"/>
    <x v="5"/>
    <n v="-0.16726934600681886"/>
  </r>
  <r>
    <d v="2025-07-21T00:00:00"/>
    <s v="EQ"/>
    <n v="422"/>
    <n v="422.75"/>
    <n v="418.4"/>
    <n v="422.75"/>
    <n v="420.3"/>
    <n v="420.1"/>
    <n v="420.55"/>
    <n v="471.5"/>
    <n v="390.15"/>
    <n v="4822343"/>
    <n v="2028012485.95"/>
    <n v="85747"/>
    <x v="6"/>
    <n v="0.75"/>
    <x v="3"/>
    <n v="7"/>
    <x v="5"/>
    <n v="-0.16726934600681886"/>
  </r>
  <r>
    <d v="2025-07-18T00:00:00"/>
    <s v="EQ"/>
    <n v="425.2"/>
    <n v="425.2"/>
    <n v="420.1"/>
    <n v="423.95"/>
    <n v="422"/>
    <n v="422.75"/>
    <n v="422.22"/>
    <n v="471.5"/>
    <n v="390.15"/>
    <n v="6730256"/>
    <n v="2841642514.0500002"/>
    <n v="82551"/>
    <x v="6"/>
    <n v="-1.25"/>
    <x v="3"/>
    <n v="7"/>
    <x v="5"/>
    <n v="-0.16726934600681886"/>
  </r>
  <r>
    <d v="2025-07-17T00:00:00"/>
    <s v="EQ"/>
    <n v="425.8"/>
    <n v="425.9"/>
    <n v="423"/>
    <n v="424.6"/>
    <n v="423.25"/>
    <n v="423.95"/>
    <n v="424.62"/>
    <n v="471.5"/>
    <n v="390.15"/>
    <n v="7240795"/>
    <n v="3074622256.6999998"/>
    <n v="85266"/>
    <x v="6"/>
    <n v="-1.1999999999999886"/>
    <x v="3"/>
    <n v="7"/>
    <x v="5"/>
    <n v="-0.16726934600681886"/>
  </r>
  <r>
    <d v="2025-07-16T00:00:00"/>
    <s v="EQ"/>
    <n v="422.1"/>
    <n v="425.45"/>
    <n v="420.3"/>
    <n v="422.1"/>
    <n v="424.4"/>
    <n v="424.6"/>
    <n v="423.52"/>
    <n v="471.5"/>
    <n v="390.15"/>
    <n v="9780773"/>
    <n v="4142330034.6500001"/>
    <n v="91064"/>
    <x v="6"/>
    <n v="0"/>
    <x v="3"/>
    <n v="7"/>
    <x v="5"/>
    <n v="-0.16726934600681886"/>
  </r>
  <r>
    <d v="2025-07-15T00:00:00"/>
    <s v="EQ"/>
    <n v="420.9"/>
    <n v="422.4"/>
    <n v="419"/>
    <n v="419.4"/>
    <n v="422.3"/>
    <n v="422.1"/>
    <n v="421.37"/>
    <n v="471.5"/>
    <n v="390.15"/>
    <n v="8532755"/>
    <n v="3595425226.1999998"/>
    <n v="112643"/>
    <x v="6"/>
    <n v="-1.5"/>
    <x v="3"/>
    <n v="7"/>
    <x v="5"/>
    <n v="-0.16726934600681886"/>
  </r>
  <r>
    <d v="2025-07-14T00:00:00"/>
    <s v="EQ"/>
    <n v="417.05"/>
    <n v="419.95"/>
    <n v="416.55"/>
    <n v="416.8"/>
    <n v="419.35"/>
    <n v="419.4"/>
    <n v="418.9"/>
    <n v="471.5"/>
    <n v="390.15"/>
    <n v="6896989"/>
    <n v="2889123352.9499998"/>
    <n v="94592"/>
    <x v="6"/>
    <n v="-0.25"/>
    <x v="3"/>
    <n v="7"/>
    <x v="5"/>
    <n v="-0.16726934600681886"/>
  </r>
  <r>
    <d v="2025-07-11T00:00:00"/>
    <s v="EQ"/>
    <n v="417"/>
    <n v="418.05"/>
    <n v="415.5"/>
    <n v="416.85"/>
    <n v="416.65"/>
    <n v="416.8"/>
    <n v="416.92"/>
    <n v="471.5"/>
    <n v="390.15"/>
    <n v="8578844"/>
    <n v="3576713516.4499998"/>
    <n v="96778"/>
    <x v="6"/>
    <n v="-0.14999999999997726"/>
    <x v="3"/>
    <n v="7"/>
    <x v="5"/>
    <n v="-0.16726934600681886"/>
  </r>
  <r>
    <d v="2025-07-10T00:00:00"/>
    <s v="EQ"/>
    <n v="420.3"/>
    <n v="420.3"/>
    <n v="416.4"/>
    <n v="419.45"/>
    <n v="416.65"/>
    <n v="416.85"/>
    <n v="417.61"/>
    <n v="471.5"/>
    <n v="390.15"/>
    <n v="6220360"/>
    <n v="2597661683.25"/>
    <n v="76333"/>
    <x v="6"/>
    <n v="-0.85000000000002274"/>
    <x v="3"/>
    <n v="7"/>
    <x v="5"/>
    <n v="-0.16726934600681886"/>
  </r>
  <r>
    <d v="2025-07-09T00:00:00"/>
    <s v="EQ"/>
    <n v="416.2"/>
    <n v="420.3"/>
    <n v="415.45"/>
    <n v="417.2"/>
    <n v="419.1"/>
    <n v="419.45"/>
    <n v="419.08"/>
    <n v="471.5"/>
    <n v="390.15"/>
    <n v="9930533"/>
    <n v="4161651352.25"/>
    <n v="146808"/>
    <x v="6"/>
    <n v="1"/>
    <x v="3"/>
    <n v="7"/>
    <x v="5"/>
    <n v="-0.16726934600681886"/>
  </r>
  <r>
    <d v="2025-07-08T00:00:00"/>
    <s v="EQ"/>
    <n v="416.15"/>
    <n v="418.1"/>
    <n v="414.65"/>
    <n v="416.15"/>
    <n v="418"/>
    <n v="417.2"/>
    <n v="416.46"/>
    <n v="471.5"/>
    <n v="390.15"/>
    <n v="6807192"/>
    <n v="2834924838.5500002"/>
    <n v="76566"/>
    <x v="6"/>
    <n v="0"/>
    <x v="3"/>
    <n v="7"/>
    <x v="5"/>
    <n v="-0.16726934600681886"/>
  </r>
  <r>
    <d v="2025-07-07T00:00:00"/>
    <s v="EQ"/>
    <n v="413"/>
    <n v="417.2"/>
    <n v="412"/>
    <n v="412.55"/>
    <n v="416.5"/>
    <n v="416.15"/>
    <n v="415.88"/>
    <n v="471.5"/>
    <n v="390.15"/>
    <n v="6845218"/>
    <n v="2846807822.5"/>
    <n v="120392"/>
    <x v="6"/>
    <n v="-0.44999999999998863"/>
    <x v="3"/>
    <n v="7"/>
    <x v="5"/>
    <n v="-0.16726934600681886"/>
  </r>
  <r>
    <d v="2025-07-04T00:00:00"/>
    <s v="EQ"/>
    <n v="414.9"/>
    <n v="415"/>
    <n v="411.75"/>
    <n v="413.35"/>
    <n v="412.7"/>
    <n v="412.55"/>
    <n v="412.8"/>
    <n v="471.5"/>
    <n v="390.15"/>
    <n v="8256733"/>
    <n v="3408342585.9499998"/>
    <n v="103880"/>
    <x v="6"/>
    <n v="-1.5499999999999545"/>
    <x v="3"/>
    <n v="7"/>
    <x v="5"/>
    <n v="-0.16726934600681886"/>
  </r>
  <r>
    <d v="2025-07-03T00:00:00"/>
    <s v="EQ"/>
    <n v="414"/>
    <n v="416"/>
    <n v="411.25"/>
    <n v="412.95"/>
    <n v="413.9"/>
    <n v="413.35"/>
    <n v="413.57"/>
    <n v="471.5"/>
    <n v="390.15"/>
    <n v="14185298"/>
    <n v="5866630211.25"/>
    <n v="142804"/>
    <x v="6"/>
    <n v="-1.0500000000000114"/>
    <x v="3"/>
    <n v="7"/>
    <x v="5"/>
    <n v="-0.16726934600681886"/>
  </r>
  <r>
    <d v="2025-07-02T00:00:00"/>
    <s v="EQ"/>
    <n v="416.9"/>
    <n v="416.9"/>
    <n v="411.7"/>
    <n v="415.1"/>
    <n v="413.2"/>
    <n v="412.95"/>
    <n v="413.58"/>
    <n v="471.5"/>
    <n v="390.15"/>
    <n v="15990899"/>
    <n v="6613437048"/>
    <n v="148675"/>
    <x v="6"/>
    <n v="-1.7999999999999545"/>
    <x v="3"/>
    <n v="7"/>
    <x v="5"/>
    <n v="-0.16726934600681886"/>
  </r>
  <r>
    <d v="2025-07-01T00:00:00"/>
    <s v="EQ"/>
    <n v="417"/>
    <n v="418.85"/>
    <n v="414.9"/>
    <n v="416.45"/>
    <n v="415.1"/>
    <n v="415.1"/>
    <n v="416.37"/>
    <n v="471.5"/>
    <n v="390.15"/>
    <n v="13670465"/>
    <n v="5691910423.4499998"/>
    <n v="135207"/>
    <x v="6"/>
    <n v="-0.55000000000001137"/>
    <x v="3"/>
    <n v="7"/>
    <x v="5"/>
    <n v="-0.16726934600681886"/>
  </r>
  <r>
    <d v="2025-06-30T00:00:00"/>
    <s v="EQ"/>
    <n v="419.8"/>
    <n v="420.75"/>
    <n v="415.8"/>
    <n v="418.65"/>
    <n v="416.3"/>
    <n v="416.45"/>
    <n v="417.37"/>
    <n v="471.5"/>
    <n v="390.15"/>
    <n v="12317124"/>
    <n v="5140785633.0500002"/>
    <n v="145533"/>
    <x v="6"/>
    <n v="-1.1500000000000341"/>
    <x v="3"/>
    <n v="6"/>
    <x v="6"/>
    <n v="-0.16726934600681886"/>
  </r>
  <r>
    <d v="2025-06-27T00:00:00"/>
    <s v="EQ"/>
    <n v="421"/>
    <n v="422"/>
    <n v="417.8"/>
    <n v="420.3"/>
    <n v="420"/>
    <n v="418.65"/>
    <n v="419.38"/>
    <n v="471.5"/>
    <n v="390.15"/>
    <n v="21409935"/>
    <n v="8978830736"/>
    <n v="138937"/>
    <x v="6"/>
    <n v="-0.69999999999998863"/>
    <x v="3"/>
    <n v="6"/>
    <x v="6"/>
    <n v="-0.16726934600681886"/>
  </r>
  <r>
    <d v="2025-06-26T00:00:00"/>
    <s v="EQ"/>
    <n v="417.2"/>
    <n v="420.9"/>
    <n v="416.25"/>
    <n v="416.35"/>
    <n v="420"/>
    <n v="420.3"/>
    <n v="418.46"/>
    <n v="471.5"/>
    <n v="390.15"/>
    <n v="13703918"/>
    <n v="5734531592.1499996"/>
    <n v="248476"/>
    <x v="6"/>
    <n v="-0.84999999999996589"/>
    <x v="3"/>
    <n v="6"/>
    <x v="6"/>
    <n v="-0.16726934600681886"/>
  </r>
  <r>
    <d v="2025-06-25T00:00:00"/>
    <s v="EQ"/>
    <n v="416.4"/>
    <n v="418.15"/>
    <n v="415.1"/>
    <n v="414.35"/>
    <n v="416.1"/>
    <n v="416.35"/>
    <n v="416.89"/>
    <n v="471.5"/>
    <n v="390.15"/>
    <n v="9946718"/>
    <n v="4146714301.4499998"/>
    <n v="150780"/>
    <x v="6"/>
    <n v="-2.0499999999999545"/>
    <x v="3"/>
    <n v="6"/>
    <x v="6"/>
    <n v="-0.16726934600681886"/>
  </r>
  <r>
    <d v="2025-06-24T00:00:00"/>
    <s v="EQ"/>
    <n v="416.9"/>
    <n v="420.65"/>
    <n v="413.75"/>
    <n v="413.9"/>
    <n v="414.55"/>
    <n v="414.35"/>
    <n v="416.39"/>
    <n v="471.5"/>
    <n v="390.15"/>
    <n v="16690068"/>
    <n v="6949518762.75"/>
    <n v="201406"/>
    <x v="6"/>
    <n v="-3"/>
    <x v="3"/>
    <n v="6"/>
    <x v="6"/>
    <n v="-0.16726934600681886"/>
  </r>
  <r>
    <d v="2025-06-23T00:00:00"/>
    <s v="EQ"/>
    <n v="417"/>
    <n v="417.5"/>
    <n v="411.75"/>
    <n v="418.55"/>
    <n v="413.4"/>
    <n v="413.9"/>
    <n v="415"/>
    <n v="471.5"/>
    <n v="390.15"/>
    <n v="14839890"/>
    <n v="6158508971.4499998"/>
    <n v="171311"/>
    <x v="6"/>
    <n v="1.5500000000000114"/>
    <x v="3"/>
    <n v="6"/>
    <x v="6"/>
    <n v="-0.16726934600681886"/>
  </r>
  <r>
    <d v="2025-06-20T00:00:00"/>
    <s v="EQ"/>
    <n v="416"/>
    <n v="419.5"/>
    <n v="416"/>
    <n v="416"/>
    <n v="417.25"/>
    <n v="418.55"/>
    <n v="418.46"/>
    <n v="471.5"/>
    <n v="390.15"/>
    <n v="13203184"/>
    <n v="5524985516.3000002"/>
    <n v="110675"/>
    <x v="6"/>
    <n v="0"/>
    <x v="3"/>
    <n v="6"/>
    <x v="6"/>
    <n v="-0.16726934600681886"/>
  </r>
  <r>
    <d v="2025-06-19T00:00:00"/>
    <s v="EQ"/>
    <n v="415.65"/>
    <n v="418.25"/>
    <n v="414.8"/>
    <n v="415.9"/>
    <n v="415.8"/>
    <n v="416"/>
    <n v="416.72"/>
    <n v="471.5"/>
    <n v="390.15"/>
    <n v="12601006"/>
    <n v="5251107254.8500004"/>
    <n v="91846"/>
    <x v="6"/>
    <n v="0.25"/>
    <x v="3"/>
    <n v="6"/>
    <x v="6"/>
    <n v="-0.16726934600681886"/>
  </r>
  <r>
    <d v="2025-06-18T00:00:00"/>
    <s v="EQ"/>
    <n v="417"/>
    <n v="418.45"/>
    <n v="414.9"/>
    <n v="417.4"/>
    <n v="415.6"/>
    <n v="415.9"/>
    <n v="416.11"/>
    <n v="471.5"/>
    <n v="390.15"/>
    <n v="8036215"/>
    <n v="3343960493.9499998"/>
    <n v="126035"/>
    <x v="6"/>
    <n v="0.39999999999997726"/>
    <x v="3"/>
    <n v="6"/>
    <x v="6"/>
    <n v="-0.16726934600681886"/>
  </r>
  <r>
    <d v="2025-06-17T00:00:00"/>
    <s v="EQ"/>
    <n v="418.1"/>
    <n v="419.05"/>
    <n v="415.7"/>
    <n v="418.2"/>
    <n v="417.05"/>
    <n v="417.4"/>
    <n v="417.33"/>
    <n v="471.5"/>
    <n v="390.15"/>
    <n v="9028406"/>
    <n v="3767781671.25"/>
    <n v="115094"/>
    <x v="6"/>
    <n v="9.9999999999965894E-2"/>
    <x v="3"/>
    <n v="6"/>
    <x v="6"/>
    <n v="-0.16726934600681886"/>
  </r>
  <r>
    <d v="2025-06-16T00:00:00"/>
    <s v="EQ"/>
    <n v="414.95"/>
    <n v="418.9"/>
    <n v="413.25"/>
    <n v="413.9"/>
    <n v="418.65"/>
    <n v="418.2"/>
    <n v="417.32"/>
    <n v="471.5"/>
    <n v="390.15"/>
    <n v="7006629"/>
    <n v="2924040280.9499998"/>
    <n v="101302"/>
    <x v="6"/>
    <n v="-1.0500000000000114"/>
    <x v="3"/>
    <n v="6"/>
    <x v="6"/>
    <n v="-0.16726934600681886"/>
  </r>
  <r>
    <d v="2025-06-13T00:00:00"/>
    <s v="EQ"/>
    <n v="415"/>
    <n v="419.35"/>
    <n v="413.5"/>
    <n v="421"/>
    <n v="413.95"/>
    <n v="413.9"/>
    <n v="416.29"/>
    <n v="471.5"/>
    <n v="390.15"/>
    <n v="17873926"/>
    <n v="7440750348.6999998"/>
    <n v="163341"/>
    <x v="6"/>
    <n v="6"/>
    <x v="3"/>
    <n v="6"/>
    <x v="6"/>
    <n v="-0.16726934600681886"/>
  </r>
  <r>
    <d v="2025-06-12T00:00:00"/>
    <s v="EQ"/>
    <n v="427"/>
    <n v="427.2"/>
    <n v="419.55"/>
    <n v="426.15"/>
    <n v="420.95"/>
    <n v="421"/>
    <n v="421.78"/>
    <n v="471.5"/>
    <n v="390.15"/>
    <n v="18508835"/>
    <n v="7806698998.5"/>
    <n v="250912"/>
    <x v="6"/>
    <n v="-0.85000000000002274"/>
    <x v="3"/>
    <n v="6"/>
    <x v="6"/>
    <n v="-0.16726934600681886"/>
  </r>
  <r>
    <d v="2025-06-11T00:00:00"/>
    <s v="EQ"/>
    <n v="428"/>
    <n v="428.1"/>
    <n v="424.85"/>
    <n v="427"/>
    <n v="425.55"/>
    <n v="426.15"/>
    <n v="426.47"/>
    <n v="471.5"/>
    <n v="390.15"/>
    <n v="20789182"/>
    <n v="8866064896.5"/>
    <n v="148079"/>
    <x v="6"/>
    <n v="-1"/>
    <x v="3"/>
    <n v="6"/>
    <x v="6"/>
    <n v="-0.16726934600681886"/>
  </r>
  <r>
    <d v="2025-06-10T00:00:00"/>
    <s v="EQ"/>
    <n v="424.5"/>
    <n v="428.55"/>
    <n v="423.05"/>
    <n v="423.05"/>
    <n v="427.65"/>
    <n v="427"/>
    <n v="426.58"/>
    <n v="471.5"/>
    <n v="390.15"/>
    <n v="13041075"/>
    <n v="5563034401.5"/>
    <n v="170097"/>
    <x v="6"/>
    <n v="-1.4499999999999886"/>
    <x v="3"/>
    <n v="6"/>
    <x v="6"/>
    <n v="-0.16726934600681886"/>
  </r>
  <r>
    <d v="2025-06-09T00:00:00"/>
    <s v="EQ"/>
    <n v="422"/>
    <n v="423.6"/>
    <n v="420.5"/>
    <n v="421.05"/>
    <n v="423"/>
    <n v="423.05"/>
    <n v="422.61"/>
    <n v="471.5"/>
    <n v="390.15"/>
    <n v="10473123"/>
    <n v="4426007949.6499996"/>
    <n v="152980"/>
    <x v="6"/>
    <n v="-0.94999999999998863"/>
    <x v="3"/>
    <n v="6"/>
    <x v="6"/>
    <n v="-0.16726934600681886"/>
  </r>
  <r>
    <d v="2025-06-06T00:00:00"/>
    <s v="EQ"/>
    <n v="420.3"/>
    <n v="421.3"/>
    <n v="419"/>
    <n v="419.1"/>
    <n v="421.05"/>
    <n v="421.05"/>
    <n v="420.36"/>
    <n v="471.5"/>
    <n v="390.15"/>
    <n v="8774988"/>
    <n v="3688650527.1999998"/>
    <n v="135147"/>
    <x v="6"/>
    <n v="-1.1999999999999886"/>
    <x v="3"/>
    <n v="6"/>
    <x v="6"/>
    <n v="-0.16726934600681886"/>
  </r>
  <r>
    <d v="2025-06-05T00:00:00"/>
    <s v="EQ"/>
    <n v="418.5"/>
    <n v="420.95"/>
    <n v="415.75"/>
    <n v="417"/>
    <n v="419.45"/>
    <n v="419.1"/>
    <n v="418.56"/>
    <n v="471.5"/>
    <n v="390.15"/>
    <n v="13212523"/>
    <n v="5530248629.8000002"/>
    <n v="125958"/>
    <x v="6"/>
    <n v="-1.5"/>
    <x v="3"/>
    <n v="6"/>
    <x v="6"/>
    <n v="-0.16726934600681886"/>
  </r>
  <r>
    <d v="2025-06-04T00:00:00"/>
    <s v="EQ"/>
    <n v="417.15"/>
    <n v="419"/>
    <n v="415.95"/>
    <n v="416.95"/>
    <n v="416.8"/>
    <n v="417"/>
    <n v="417.14"/>
    <n v="471.5"/>
    <n v="390.15"/>
    <n v="12598933"/>
    <n v="5255534433.3999996"/>
    <n v="116476"/>
    <x v="6"/>
    <n v="-0.19999999999998863"/>
    <x v="3"/>
    <n v="6"/>
    <x v="6"/>
    <n v="-0.16726934600681886"/>
  </r>
  <r>
    <d v="2025-06-03T00:00:00"/>
    <s v="EQ"/>
    <n v="419"/>
    <n v="421.7"/>
    <n v="415.65"/>
    <n v="419.3"/>
    <n v="417"/>
    <n v="416.95"/>
    <n v="418.03"/>
    <n v="471.5"/>
    <n v="390.15"/>
    <n v="13216486"/>
    <n v="5524919470.1999998"/>
    <n v="140901"/>
    <x v="6"/>
    <n v="0.30000000000001137"/>
    <x v="3"/>
    <n v="6"/>
    <x v="6"/>
    <n v="-0.16726934600681886"/>
  </r>
  <r>
    <d v="2025-06-02T00:00:00"/>
    <s v="EQ"/>
    <n v="418.3"/>
    <n v="420.45"/>
    <n v="414.55"/>
    <n v="418.05"/>
    <n v="418.5"/>
    <n v="419.3"/>
    <n v="418.16"/>
    <n v="471.5"/>
    <n v="390.15"/>
    <n v="14973380"/>
    <n v="6261214003.6000004"/>
    <n v="165410"/>
    <x v="6"/>
    <n v="-0.25"/>
    <x v="3"/>
    <n v="6"/>
    <x v="6"/>
    <n v="-0.16726934600681886"/>
  </r>
  <r>
    <d v="2025-05-30T00:00:00"/>
    <s v="EQ"/>
    <n v="419.1"/>
    <n v="420.05"/>
    <n v="416.4"/>
    <n v="418.75"/>
    <n v="418.75"/>
    <n v="418.05"/>
    <n v="417.87"/>
    <n v="471.5"/>
    <n v="390.15"/>
    <n v="30656239"/>
    <n v="12810187425.4"/>
    <n v="159932"/>
    <x v="6"/>
    <n v="-0.35000000000002274"/>
    <x v="3"/>
    <n v="5"/>
    <x v="7"/>
    <n v="-0.16726934600681886"/>
  </r>
  <r>
    <d v="2025-05-29T00:00:00"/>
    <s v="EQ"/>
    <n v="422"/>
    <n v="422.8"/>
    <n v="416.6"/>
    <n v="420.2"/>
    <n v="419.35"/>
    <n v="418.75"/>
    <n v="418.44"/>
    <n v="471.5"/>
    <n v="390.15"/>
    <n v="21478547"/>
    <n v="8987465219.8999996"/>
    <n v="201763"/>
    <x v="6"/>
    <n v="-1.8000000000000114"/>
    <x v="3"/>
    <n v="5"/>
    <x v="7"/>
    <n v="-0.16726934600681886"/>
  </r>
  <r>
    <d v="2025-05-28T00:00:00"/>
    <s v="EQ"/>
    <n v="417.7"/>
    <n v="422.6"/>
    <n v="413"/>
    <n v="433.9"/>
    <n v="421"/>
    <n v="420.2"/>
    <n v="415.08"/>
    <n v="471.5"/>
    <n v="390.15"/>
    <n v="431851622"/>
    <n v="179255083660.79999"/>
    <n v="413487"/>
    <x v="6"/>
    <n v="16.199999999999989"/>
    <x v="3"/>
    <n v="5"/>
    <x v="7"/>
    <n v="-0.16726934600681886"/>
  </r>
  <r>
    <d v="2025-05-27T00:00:00"/>
    <s v="EQ"/>
    <n v="442.9"/>
    <n v="444.2"/>
    <n v="430.85"/>
    <n v="442.9"/>
    <n v="434.7"/>
    <n v="433.9"/>
    <n v="436.39"/>
    <n v="471.5"/>
    <n v="390.15"/>
    <n v="26986022"/>
    <n v="11776331084.9"/>
    <n v="224458"/>
    <x v="6"/>
    <n v="0"/>
    <x v="3"/>
    <n v="5"/>
    <x v="7"/>
    <n v="-0.16726934600681886"/>
  </r>
  <r>
    <d v="2025-05-26T00:00:00"/>
    <s v="EQ"/>
    <n v="438.25"/>
    <n v="443.55"/>
    <n v="436.75"/>
    <n v="436.3"/>
    <n v="442.9"/>
    <n v="442.9"/>
    <n v="440.19"/>
    <n v="471.5"/>
    <n v="390.15"/>
    <n v="13107662"/>
    <n v="5769828393.5500002"/>
    <n v="107919"/>
    <x v="6"/>
    <n v="-1.9499999999999886"/>
    <x v="3"/>
    <n v="5"/>
    <x v="7"/>
    <n v="-0.16726934600681886"/>
  </r>
  <r>
    <d v="2025-05-23T00:00:00"/>
    <s v="EQ"/>
    <n v="434"/>
    <n v="439"/>
    <n v="429"/>
    <n v="426.1"/>
    <n v="436"/>
    <n v="436.3"/>
    <n v="435.32"/>
    <n v="471.5"/>
    <n v="390.15"/>
    <n v="18536884"/>
    <n v="8069422032.25"/>
    <n v="180589"/>
    <x v="6"/>
    <n v="-7.8999999999999773"/>
    <x v="3"/>
    <n v="5"/>
    <x v="7"/>
    <n v="-0.16726934600681886"/>
  </r>
  <r>
    <d v="2025-05-22T00:00:00"/>
    <s v="EQ"/>
    <n v="433"/>
    <n v="433"/>
    <n v="422.9"/>
    <n v="433"/>
    <n v="425.5"/>
    <n v="426.1"/>
    <n v="425.53"/>
    <n v="471.5"/>
    <n v="390.15"/>
    <n v="19451749"/>
    <n v="8277312766.3999996"/>
    <n v="172555"/>
    <x v="6"/>
    <n v="0"/>
    <x v="3"/>
    <n v="5"/>
    <x v="7"/>
    <n v="-0.16726934600681886"/>
  </r>
  <r>
    <d v="2025-05-21T00:00:00"/>
    <s v="EQ"/>
    <n v="436.6"/>
    <n v="438.2"/>
    <n v="432"/>
    <n v="434.9"/>
    <n v="432.4"/>
    <n v="433"/>
    <n v="435.04"/>
    <n v="471.5"/>
    <n v="390.15"/>
    <n v="5776672"/>
    <n v="2513103067.75"/>
    <n v="64175"/>
    <x v="6"/>
    <n v="-1.7000000000000455"/>
    <x v="3"/>
    <n v="5"/>
    <x v="7"/>
    <n v="-0.16726934600681886"/>
  </r>
  <r>
    <d v="2025-05-20T00:00:00"/>
    <s v="EQ"/>
    <n v="437"/>
    <n v="440.8"/>
    <n v="432.9"/>
    <n v="435.35"/>
    <n v="435.4"/>
    <n v="434.9"/>
    <n v="436.58"/>
    <n v="471.5"/>
    <n v="390.15"/>
    <n v="9868414"/>
    <n v="4308392163.3999996"/>
    <n v="103234"/>
    <x v="6"/>
    <n v="-1.6499999999999773"/>
    <x v="3"/>
    <n v="5"/>
    <x v="7"/>
    <n v="-0.16726934600681886"/>
  </r>
  <r>
    <d v="2025-05-19T00:00:00"/>
    <s v="EQ"/>
    <n v="435"/>
    <n v="438.5"/>
    <n v="432.65"/>
    <n v="435.7"/>
    <n v="436.1"/>
    <n v="435.35"/>
    <n v="435"/>
    <n v="471.5"/>
    <n v="390.15"/>
    <n v="7543854"/>
    <n v="3281549026.5999999"/>
    <n v="104429"/>
    <x v="6"/>
    <n v="0.69999999999998863"/>
    <x v="3"/>
    <n v="5"/>
    <x v="7"/>
    <n v="-0.16726934600681886"/>
  </r>
  <r>
    <d v="2025-05-16T00:00:00"/>
    <s v="EQ"/>
    <n v="434.9"/>
    <n v="436.2"/>
    <n v="432.1"/>
    <n v="432.65"/>
    <n v="435.6"/>
    <n v="435.7"/>
    <n v="434.74"/>
    <n v="471.5"/>
    <n v="390.15"/>
    <n v="16402035"/>
    <n v="7130684218.5500002"/>
    <n v="105849"/>
    <x v="6"/>
    <n v="-2.25"/>
    <x v="3"/>
    <n v="5"/>
    <x v="7"/>
    <n v="-0.16726934600681886"/>
  </r>
  <r>
    <d v="2025-05-15T00:00:00"/>
    <s v="EQ"/>
    <n v="429.1"/>
    <n v="435.4"/>
    <n v="426"/>
    <n v="429.1"/>
    <n v="432"/>
    <n v="432.65"/>
    <n v="431.14"/>
    <n v="471.5"/>
    <n v="390.15"/>
    <n v="24263510"/>
    <n v="10460938250.1"/>
    <n v="173965"/>
    <x v="6"/>
    <n v="0"/>
    <x v="3"/>
    <n v="5"/>
    <x v="7"/>
    <n v="-0.16726934600681886"/>
  </r>
  <r>
    <d v="2025-05-14T00:00:00"/>
    <s v="EQ"/>
    <n v="427.1"/>
    <n v="431.85"/>
    <n v="425.9"/>
    <n v="427.9"/>
    <n v="429.05"/>
    <n v="429.1"/>
    <n v="428.65"/>
    <n v="471.5"/>
    <n v="390.15"/>
    <n v="9557309"/>
    <n v="4096782375.4499998"/>
    <n v="96326"/>
    <x v="6"/>
    <n v="0.79999999999995453"/>
    <x v="3"/>
    <n v="5"/>
    <x v="7"/>
    <n v="-0.16726934600681886"/>
  </r>
  <r>
    <d v="2025-05-13T00:00:00"/>
    <s v="EQ"/>
    <n v="434.9"/>
    <n v="437.95"/>
    <n v="425.35"/>
    <n v="435.5"/>
    <n v="427.9"/>
    <n v="427.9"/>
    <n v="429.47"/>
    <n v="471.5"/>
    <n v="390.15"/>
    <n v="14976369"/>
    <n v="6431940112.4499998"/>
    <n v="153294"/>
    <x v="6"/>
    <n v="0.60000000000002274"/>
    <x v="3"/>
    <n v="5"/>
    <x v="7"/>
    <n v="-0.16726934600681886"/>
  </r>
  <r>
    <d v="2025-05-12T00:00:00"/>
    <s v="EQ"/>
    <n v="429.5"/>
    <n v="436.2"/>
    <n v="428.15"/>
    <n v="423.55"/>
    <n v="435.1"/>
    <n v="435.5"/>
    <n v="433.63"/>
    <n v="471.5"/>
    <n v="390.15"/>
    <n v="8031891"/>
    <n v="3482863921.6500001"/>
    <n v="78145"/>
    <x v="6"/>
    <n v="-5.9499999999999886"/>
    <x v="3"/>
    <n v="5"/>
    <x v="7"/>
    <n v="-0.16726934600681886"/>
  </r>
  <r>
    <d v="2025-05-09T00:00:00"/>
    <s v="EQ"/>
    <n v="425.95"/>
    <n v="429.15"/>
    <n v="423"/>
    <n v="430.6"/>
    <n v="424"/>
    <n v="423.55"/>
    <n v="425.58"/>
    <n v="471.5"/>
    <n v="390.15"/>
    <n v="8226512"/>
    <n v="3501026096.6500001"/>
    <n v="134382"/>
    <x v="6"/>
    <n v="4.6500000000000341"/>
    <x v="3"/>
    <n v="5"/>
    <x v="7"/>
    <n v="-0.16726934600681886"/>
  </r>
  <r>
    <d v="2025-05-08T00:00:00"/>
    <s v="EQ"/>
    <n v="429"/>
    <n v="431.5"/>
    <n v="423.55"/>
    <n v="431.15"/>
    <n v="429.4"/>
    <n v="430.6"/>
    <n v="428.99"/>
    <n v="471.5"/>
    <n v="390.15"/>
    <n v="19937960"/>
    <n v="8553117657.75"/>
    <n v="173524"/>
    <x v="6"/>
    <n v="2.1499999999999773"/>
    <x v="3"/>
    <n v="5"/>
    <x v="7"/>
    <n v="-0.16726934600681886"/>
  </r>
  <r>
    <d v="2025-05-07T00:00:00"/>
    <s v="EQ"/>
    <n v="433.4"/>
    <n v="435"/>
    <n v="429.7"/>
    <n v="435.55"/>
    <n v="430.15"/>
    <n v="431.15"/>
    <n v="431.77"/>
    <n v="471.5"/>
    <n v="390.15"/>
    <n v="9710361"/>
    <n v="4192656819.5999999"/>
    <n v="148037"/>
    <x v="6"/>
    <n v="2.1500000000000341"/>
    <x v="3"/>
    <n v="5"/>
    <x v="7"/>
    <n v="-0.16726934600681886"/>
  </r>
  <r>
    <d v="2025-05-06T00:00:00"/>
    <s v="EQ"/>
    <n v="437.5"/>
    <n v="439.65"/>
    <n v="433"/>
    <n v="436.95"/>
    <n v="433.2"/>
    <n v="435.55"/>
    <n v="436.24"/>
    <n v="471.5"/>
    <n v="390.15"/>
    <n v="15026568"/>
    <n v="6555176631.8999996"/>
    <n v="133609"/>
    <x v="6"/>
    <n v="-0.55000000000001137"/>
    <x v="3"/>
    <n v="5"/>
    <x v="7"/>
    <n v="-0.16726934600681886"/>
  </r>
  <r>
    <d v="2025-05-05T00:00:00"/>
    <s v="EQ"/>
    <n v="430.25"/>
    <n v="438.5"/>
    <n v="429.35"/>
    <n v="430.25"/>
    <n v="437.5"/>
    <n v="436.95"/>
    <n v="436.11"/>
    <n v="471.5"/>
    <n v="390.15"/>
    <n v="11525305"/>
    <n v="5026339793.8000002"/>
    <n v="117066"/>
    <x v="6"/>
    <n v="0"/>
    <x v="3"/>
    <n v="5"/>
    <x v="7"/>
    <n v="-0.16726934600681886"/>
  </r>
  <r>
    <d v="2025-05-02T00:00:00"/>
    <s v="EQ"/>
    <n v="424.1"/>
    <n v="431.5"/>
    <n v="424.1"/>
    <n v="425.8"/>
    <n v="429.3"/>
    <n v="430.25"/>
    <n v="428.82"/>
    <n v="471.5"/>
    <n v="390.15"/>
    <n v="12769461"/>
    <n v="5475858517.6499996"/>
    <n v="115137"/>
    <x v="6"/>
    <n v="1.6999999999999886"/>
    <x v="3"/>
    <n v="5"/>
    <x v="7"/>
    <n v="-0.16726934600681886"/>
  </r>
  <r>
    <d v="2025-04-30T00:00:00"/>
    <s v="EQ"/>
    <n v="427.4"/>
    <n v="429.3"/>
    <n v="422"/>
    <n v="426"/>
    <n v="425"/>
    <n v="425.8"/>
    <n v="426.72"/>
    <n v="471.5"/>
    <n v="390.15"/>
    <n v="10026546"/>
    <n v="4278552724.8000002"/>
    <n v="197832"/>
    <x v="6"/>
    <n v="-1.3999999999999773"/>
    <x v="3"/>
    <n v="4"/>
    <x v="8"/>
    <n v="-0.16726934600681886"/>
  </r>
  <r>
    <d v="2025-04-29T00:00:00"/>
    <s v="EQ"/>
    <n v="428.9"/>
    <n v="429.6"/>
    <n v="425"/>
    <n v="428.8"/>
    <n v="425.35"/>
    <n v="426"/>
    <n v="426.31"/>
    <n v="471.5"/>
    <n v="390.15"/>
    <n v="11189930"/>
    <n v="4770331679.8000002"/>
    <n v="228223"/>
    <x v="6"/>
    <n v="-9.9999999999965894E-2"/>
    <x v="3"/>
    <n v="4"/>
    <x v="8"/>
    <n v="-0.16726934600681886"/>
  </r>
  <r>
    <d v="2025-04-28T00:00:00"/>
    <s v="EQ"/>
    <n v="426.65"/>
    <n v="430.5"/>
    <n v="424.75"/>
    <n v="427.8"/>
    <n v="428.75"/>
    <n v="428.8"/>
    <n v="428.56"/>
    <n v="471.5"/>
    <n v="390.15"/>
    <n v="6287095"/>
    <n v="2694427013.8499999"/>
    <n v="73016"/>
    <x v="6"/>
    <n v="1.1500000000000341"/>
    <x v="3"/>
    <n v="4"/>
    <x v="8"/>
    <n v="-0.16726934600681886"/>
  </r>
  <r>
    <d v="2025-04-25T00:00:00"/>
    <s v="EQ"/>
    <n v="430.05"/>
    <n v="432.7"/>
    <n v="423.3"/>
    <n v="430.05"/>
    <n v="427.6"/>
    <n v="427.8"/>
    <n v="425.99"/>
    <n v="471.5"/>
    <n v="390.15"/>
    <n v="22944377"/>
    <n v="9774087061.5"/>
    <n v="120877"/>
    <x v="6"/>
    <n v="0"/>
    <x v="3"/>
    <n v="4"/>
    <x v="8"/>
    <n v="-0.16726934600681886"/>
  </r>
  <r>
    <d v="2025-04-24T00:00:00"/>
    <s v="EQ"/>
    <n v="431.85"/>
    <n v="436.05"/>
    <n v="429.3"/>
    <n v="430.85"/>
    <n v="429.85"/>
    <n v="430.05"/>
    <n v="431.79"/>
    <n v="471.5"/>
    <n v="390.15"/>
    <n v="26064089"/>
    <n v="11254147788.1"/>
    <n v="134018"/>
    <x v="6"/>
    <n v="-1"/>
    <x v="3"/>
    <n v="4"/>
    <x v="8"/>
    <n v="-0.16726934600681886"/>
  </r>
  <r>
    <d v="2025-04-23T00:00:00"/>
    <s v="EQ"/>
    <n v="436.2"/>
    <n v="437.45"/>
    <n v="428.85"/>
    <n v="433.6"/>
    <n v="430.15"/>
    <n v="430.85"/>
    <n v="431.14"/>
    <n v="471.5"/>
    <n v="390.15"/>
    <n v="19566317"/>
    <n v="8435917733.6499996"/>
    <n v="144472"/>
    <x v="6"/>
    <n v="-2.5999999999999659"/>
    <x v="3"/>
    <n v="4"/>
    <x v="8"/>
    <n v="-0.16726934600681886"/>
  </r>
  <r>
    <d v="2025-04-22T00:00:00"/>
    <s v="EQ"/>
    <n v="425.95"/>
    <n v="434.8"/>
    <n v="423.55"/>
    <n v="422.85"/>
    <n v="432.85"/>
    <n v="433.6"/>
    <n v="427.96"/>
    <n v="471.5"/>
    <n v="390.15"/>
    <n v="32031936"/>
    <n v="13708485407.15"/>
    <n v="167601"/>
    <x v="6"/>
    <n v="-3.0999999999999659"/>
    <x v="3"/>
    <n v="4"/>
    <x v="8"/>
    <n v="-0.16726934600681886"/>
  </r>
  <r>
    <d v="2025-04-21T00:00:00"/>
    <s v="EQ"/>
    <n v="428.05"/>
    <n v="429.1"/>
    <n v="421.5"/>
    <n v="427.25"/>
    <n v="422.95"/>
    <n v="422.85"/>
    <n v="422.51"/>
    <n v="471.5"/>
    <n v="390.15"/>
    <n v="27388236"/>
    <n v="11571885187.299999"/>
    <n v="218049"/>
    <x v="6"/>
    <n v="-0.80000000000001137"/>
    <x v="3"/>
    <n v="4"/>
    <x v="8"/>
    <n v="-0.16726934600681886"/>
  </r>
  <r>
    <d v="2025-04-17T00:00:00"/>
    <s v="EQ"/>
    <n v="425"/>
    <n v="427.85"/>
    <n v="421.55"/>
    <n v="424.45"/>
    <n v="427"/>
    <n v="427.25"/>
    <n v="425.37"/>
    <n v="471.5"/>
    <n v="390.15"/>
    <n v="22410217"/>
    <n v="9532679412.8999996"/>
    <n v="222404"/>
    <x v="6"/>
    <n v="-0.55000000000001137"/>
    <x v="3"/>
    <n v="4"/>
    <x v="8"/>
    <n v="-0.16726934600681886"/>
  </r>
  <r>
    <d v="2025-04-16T00:00:00"/>
    <s v="EQ"/>
    <n v="418"/>
    <n v="426.05"/>
    <n v="418"/>
    <n v="420.4"/>
    <n v="424.9"/>
    <n v="424.45"/>
    <n v="423.29"/>
    <n v="471.5"/>
    <n v="390.15"/>
    <n v="13034594"/>
    <n v="5517451893.1499996"/>
    <n v="115189"/>
    <x v="6"/>
    <n v="2.3999999999999773"/>
    <x v="3"/>
    <n v="4"/>
    <x v="8"/>
    <n v="-0.16726934600681886"/>
  </r>
  <r>
    <d v="2025-04-15T00:00:00"/>
    <s v="EQ"/>
    <n v="429.2"/>
    <n v="429.2"/>
    <n v="419"/>
    <n v="421.55"/>
    <n v="420.35"/>
    <n v="420.4"/>
    <n v="421.35"/>
    <n v="471.5"/>
    <n v="390.15"/>
    <n v="11685880"/>
    <n v="4923848655.8000002"/>
    <n v="129742"/>
    <x v="6"/>
    <n v="-7.6499999999999773"/>
    <x v="3"/>
    <n v="4"/>
    <x v="8"/>
    <n v="-0.16726934600681886"/>
  </r>
  <r>
    <d v="2025-04-11T00:00:00"/>
    <s v="EQ"/>
    <n v="420"/>
    <n v="422.45"/>
    <n v="417"/>
    <n v="416.3"/>
    <n v="422"/>
    <n v="421.55"/>
    <n v="420.4"/>
    <n v="471.5"/>
    <n v="390.15"/>
    <n v="8939356"/>
    <n v="3758063114.5500002"/>
    <n v="98015"/>
    <x v="6"/>
    <n v="-3.6999999999999886"/>
    <x v="3"/>
    <n v="4"/>
    <x v="8"/>
    <n v="-0.16726934600681886"/>
  </r>
  <r>
    <d v="2025-04-09T00:00:00"/>
    <s v="EQ"/>
    <n v="413"/>
    <n v="419.05"/>
    <n v="411.25"/>
    <n v="412.55"/>
    <n v="416.15"/>
    <n v="416.3"/>
    <n v="416.41"/>
    <n v="471.5"/>
    <n v="390.15"/>
    <n v="21785572"/>
    <n v="9071650104.3500004"/>
    <n v="242191"/>
    <x v="6"/>
    <n v="-0.44999999999998863"/>
    <x v="3"/>
    <n v="4"/>
    <x v="8"/>
    <n v="-0.16726934600681886"/>
  </r>
  <r>
    <d v="2025-04-08T00:00:00"/>
    <s v="EQ"/>
    <n v="411.9"/>
    <n v="415.8"/>
    <n v="407.25"/>
    <n v="406.05"/>
    <n v="413.5"/>
    <n v="412.55"/>
    <n v="411.57"/>
    <n v="471.5"/>
    <n v="390.15"/>
    <n v="18600796"/>
    <n v="7655492505.5"/>
    <n v="234584"/>
    <x v="6"/>
    <n v="-5.8499999999999659"/>
    <x v="3"/>
    <n v="4"/>
    <x v="8"/>
    <n v="-0.16726934600681886"/>
  </r>
  <r>
    <d v="2025-04-07T00:00:00"/>
    <s v="EQ"/>
    <n v="390.15"/>
    <n v="408.1"/>
    <n v="390.15"/>
    <n v="409.7"/>
    <n v="406.75"/>
    <n v="406.05"/>
    <n v="403.02"/>
    <n v="471.5"/>
    <n v="390.15"/>
    <n v="26762866"/>
    <n v="10785870136.450001"/>
    <n v="307280"/>
    <x v="6"/>
    <n v="19.550000000000011"/>
    <x v="3"/>
    <n v="4"/>
    <x v="8"/>
    <n v="-0.16726934600681886"/>
  </r>
  <r>
    <d v="2025-04-04T00:00:00"/>
    <s v="EQ"/>
    <n v="407.5"/>
    <n v="412.8"/>
    <n v="404.5"/>
    <n v="409.4"/>
    <n v="409.3"/>
    <n v="409.7"/>
    <n v="409.44"/>
    <n v="471.5"/>
    <n v="391.2"/>
    <n v="18627592"/>
    <n v="7626798175.75"/>
    <n v="149408"/>
    <x v="6"/>
    <n v="1.8999999999999773"/>
    <x v="3"/>
    <n v="4"/>
    <x v="8"/>
    <n v="-0.16726934600681886"/>
  </r>
  <r>
    <d v="2025-04-03T00:00:00"/>
    <s v="EQ"/>
    <n v="407.05"/>
    <n v="410.2"/>
    <n v="406.7"/>
    <n v="409.05"/>
    <n v="409"/>
    <n v="409.4"/>
    <n v="408.93"/>
    <n v="471.5"/>
    <n v="391.2"/>
    <n v="7059566"/>
    <n v="2886881314.8499999"/>
    <n v="78934"/>
    <x v="6"/>
    <n v="2"/>
    <x v="3"/>
    <n v="4"/>
    <x v="8"/>
    <n v="-0.16726934600681886"/>
  </r>
  <r>
    <d v="2025-04-02T00:00:00"/>
    <s v="EQ"/>
    <n v="407.05"/>
    <n v="410"/>
    <n v="406.05"/>
    <n v="406.65"/>
    <n v="408.7"/>
    <n v="409.05"/>
    <n v="408.65"/>
    <n v="471.5"/>
    <n v="391.2"/>
    <n v="8001323"/>
    <n v="3269711918.8000002"/>
    <n v="72562"/>
    <x v="6"/>
    <n v="-0.40000000000003411"/>
    <x v="3"/>
    <n v="4"/>
    <x v="8"/>
    <n v="-0.16726934600681886"/>
  </r>
  <r>
    <d v="2025-04-01T00:00:00"/>
    <s v="EQ"/>
    <n v="409.8"/>
    <n v="414.4"/>
    <n v="405.6"/>
    <n v="409.75"/>
    <n v="406.6"/>
    <n v="406.65"/>
    <n v="409.28"/>
    <n v="471.5"/>
    <n v="391.2"/>
    <n v="15206240"/>
    <n v="6223651577.6000004"/>
    <n v="127499"/>
    <x v="6"/>
    <n v="-5.0000000000011369E-2"/>
    <x v="3"/>
    <n v="4"/>
    <x v="8"/>
    <n v="-0.16726934600681886"/>
  </r>
  <r>
    <d v="2025-03-28T00:00:00"/>
    <s v="EQ"/>
    <n v="410.9"/>
    <n v="415.6"/>
    <n v="408.15"/>
    <n v="409.45"/>
    <n v="410.25"/>
    <n v="409.75"/>
    <n v="410.91"/>
    <n v="471.5"/>
    <n v="391.2"/>
    <n v="12981873"/>
    <n v="5334443057.8999996"/>
    <n v="114689"/>
    <x v="6"/>
    <n v="-1.4499999999999886"/>
    <x v="3"/>
    <n v="3"/>
    <x v="9"/>
    <n v="-0.16726934600681886"/>
  </r>
  <r>
    <d v="2025-03-27T00:00:00"/>
    <s v="EQ"/>
    <n v="408"/>
    <n v="410.7"/>
    <n v="405.65"/>
    <n v="407.35"/>
    <n v="409.35"/>
    <n v="409.45"/>
    <n v="409.35"/>
    <n v="471.5"/>
    <n v="391.2"/>
    <n v="18642328"/>
    <n v="7631235472.1999998"/>
    <n v="153590"/>
    <x v="6"/>
    <n v="-0.64999999999997726"/>
    <x v="3"/>
    <n v="3"/>
    <x v="9"/>
    <n v="-0.16726934600681886"/>
  </r>
  <r>
    <d v="2025-03-26T00:00:00"/>
    <s v="EQ"/>
    <n v="410.3"/>
    <n v="411.2"/>
    <n v="406.25"/>
    <n v="409.8"/>
    <n v="407.4"/>
    <n v="407.35"/>
    <n v="409.03"/>
    <n v="471.5"/>
    <n v="391.2"/>
    <n v="13891436"/>
    <n v="5681950426.0500002"/>
    <n v="103317"/>
    <x v="6"/>
    <n v="-0.5"/>
    <x v="3"/>
    <n v="3"/>
    <x v="9"/>
    <n v="-0.16726934600681886"/>
  </r>
  <r>
    <d v="2025-03-25T00:00:00"/>
    <s v="EQ"/>
    <n v="412"/>
    <n v="415.25"/>
    <n v="408.7"/>
    <n v="410.9"/>
    <n v="409.2"/>
    <n v="409.8"/>
    <n v="411.17"/>
    <n v="471.5"/>
    <n v="391.2"/>
    <n v="20338110"/>
    <n v="8362411027.5"/>
    <n v="138414"/>
    <x v="6"/>
    <n v="-1.1000000000000227"/>
    <x v="3"/>
    <n v="3"/>
    <x v="9"/>
    <n v="-0.16726934600681886"/>
  </r>
  <r>
    <d v="2025-03-24T00:00:00"/>
    <s v="EQ"/>
    <n v="407"/>
    <n v="412.85"/>
    <n v="405.6"/>
    <n v="405.55"/>
    <n v="411"/>
    <n v="410.9"/>
    <n v="409.64"/>
    <n v="471.5"/>
    <n v="391.2"/>
    <n v="14362572"/>
    <n v="5883505695.5"/>
    <n v="138703"/>
    <x v="6"/>
    <n v="-1.4499999999999886"/>
    <x v="3"/>
    <n v="3"/>
    <x v="9"/>
    <n v="-0.16726934600681886"/>
  </r>
  <r>
    <d v="2025-03-21T00:00:00"/>
    <s v="EQ"/>
    <n v="405.95"/>
    <n v="407.5"/>
    <n v="401.7"/>
    <n v="403.95"/>
    <n v="406.5"/>
    <n v="405.55"/>
    <n v="404.1"/>
    <n v="471.5"/>
    <n v="391.2"/>
    <n v="25302035"/>
    <n v="10224618507.85"/>
    <n v="130427"/>
    <x v="6"/>
    <n v="-2"/>
    <x v="3"/>
    <n v="3"/>
    <x v="9"/>
    <n v="-0.16726934600681886"/>
  </r>
  <r>
    <d v="2025-03-20T00:00:00"/>
    <s v="EQ"/>
    <n v="405"/>
    <n v="406.65"/>
    <n v="401.9"/>
    <n v="403.05"/>
    <n v="403.6"/>
    <n v="403.95"/>
    <n v="403.5"/>
    <n v="471.5"/>
    <n v="391.2"/>
    <n v="16994037"/>
    <n v="6857153651.6499996"/>
    <n v="125979"/>
    <x v="6"/>
    <n v="-1.9499999999999886"/>
    <x v="3"/>
    <n v="3"/>
    <x v="9"/>
    <n v="-0.16726934600681886"/>
  </r>
  <r>
    <d v="2025-03-19T00:00:00"/>
    <s v="EQ"/>
    <n v="410"/>
    <n v="410.75"/>
    <n v="402.6"/>
    <n v="409.1"/>
    <n v="403.4"/>
    <n v="403.05"/>
    <n v="404.51"/>
    <n v="471.5"/>
    <n v="391.2"/>
    <n v="12830387"/>
    <n v="5189984214.6000004"/>
    <n v="135494"/>
    <x v="6"/>
    <n v="-0.89999999999997726"/>
    <x v="3"/>
    <n v="3"/>
    <x v="9"/>
    <n v="-0.16726934600681886"/>
  </r>
  <r>
    <d v="2025-03-18T00:00:00"/>
    <s v="EQ"/>
    <n v="410"/>
    <n v="411.95"/>
    <n v="407.75"/>
    <n v="407.95"/>
    <n v="409.5"/>
    <n v="409.1"/>
    <n v="409.5"/>
    <n v="471.5"/>
    <n v="391.2"/>
    <n v="13861897"/>
    <n v="5676500784.8500004"/>
    <n v="106364"/>
    <x v="6"/>
    <n v="-2.0500000000000114"/>
    <x v="3"/>
    <n v="3"/>
    <x v="9"/>
    <n v="-0.16726934600681886"/>
  </r>
  <r>
    <d v="2025-03-17T00:00:00"/>
    <s v="EQ"/>
    <n v="413"/>
    <n v="416.25"/>
    <n v="407"/>
    <n v="412.05"/>
    <n v="407.8"/>
    <n v="407.95"/>
    <n v="409.81"/>
    <n v="471.5"/>
    <n v="391.2"/>
    <n v="5257859"/>
    <n v="2154706809.4000001"/>
    <n v="87899"/>
    <x v="6"/>
    <n v="-0.94999999999998863"/>
    <x v="3"/>
    <n v="3"/>
    <x v="9"/>
    <n v="-0.16726934600681886"/>
  </r>
  <r>
    <d v="2025-03-13T00:00:00"/>
    <s v="EQ"/>
    <n v="413"/>
    <n v="414.4"/>
    <n v="408.2"/>
    <n v="412.4"/>
    <n v="411.45"/>
    <n v="412.05"/>
    <n v="412.4"/>
    <n v="471.5"/>
    <n v="391.2"/>
    <n v="8196569"/>
    <n v="3380286305.6999998"/>
    <n v="122083"/>
    <x v="6"/>
    <n v="-0.60000000000002274"/>
    <x v="3"/>
    <n v="3"/>
    <x v="9"/>
    <n v="-0.16726934600681886"/>
  </r>
  <r>
    <d v="2025-03-12T00:00:00"/>
    <s v="EQ"/>
    <n v="406.4"/>
    <n v="413.3"/>
    <n v="404"/>
    <n v="406.2"/>
    <n v="412.55"/>
    <n v="412.4"/>
    <n v="409.75"/>
    <n v="471.5"/>
    <n v="391.2"/>
    <n v="13844306"/>
    <n v="5672766834.6000004"/>
    <n v="99237"/>
    <x v="6"/>
    <n v="-0.19999999999998863"/>
    <x v="3"/>
    <n v="3"/>
    <x v="9"/>
    <n v="-0.16726934600681886"/>
  </r>
  <r>
    <d v="2025-03-11T00:00:00"/>
    <s v="EQ"/>
    <n v="401.5"/>
    <n v="408.4"/>
    <n v="401.2"/>
    <n v="405"/>
    <n v="406.2"/>
    <n v="406.2"/>
    <n v="406.58"/>
    <n v="471.5"/>
    <n v="391.2"/>
    <n v="11099475"/>
    <n v="4512793431.6999998"/>
    <n v="116862"/>
    <x v="6"/>
    <n v="3.5"/>
    <x v="3"/>
    <n v="3"/>
    <x v="9"/>
    <n v="-0.16726934600681886"/>
  </r>
  <r>
    <d v="2025-03-10T00:00:00"/>
    <s v="EQ"/>
    <n v="401.05"/>
    <n v="406.85"/>
    <n v="400.4"/>
    <n v="403.9"/>
    <n v="404.8"/>
    <n v="405"/>
    <n v="404.7"/>
    <n v="471.5"/>
    <n v="391.2"/>
    <n v="9785018"/>
    <n v="3960032837.25"/>
    <n v="114078"/>
    <x v="6"/>
    <n v="2.8499999999999659"/>
    <x v="3"/>
    <n v="3"/>
    <x v="9"/>
    <n v="-0.16726934600681886"/>
  </r>
  <r>
    <d v="2025-03-07T00:00:00"/>
    <s v="EQ"/>
    <n v="403.55"/>
    <n v="405.85"/>
    <n v="401.7"/>
    <n v="405.7"/>
    <n v="403.75"/>
    <n v="403.9"/>
    <n v="403.66"/>
    <n v="471.5"/>
    <n v="391.2"/>
    <n v="11180761"/>
    <n v="4513190673.1499996"/>
    <n v="129975"/>
    <x v="6"/>
    <n v="2.1499999999999773"/>
    <x v="3"/>
    <n v="3"/>
    <x v="9"/>
    <n v="-0.16726934600681886"/>
  </r>
  <r>
    <d v="2025-03-06T00:00:00"/>
    <s v="EQ"/>
    <n v="409.15"/>
    <n v="409.7"/>
    <n v="400.55"/>
    <n v="405.05"/>
    <n v="406.2"/>
    <n v="405.7"/>
    <n v="403.66"/>
    <n v="471.5"/>
    <n v="391.2"/>
    <n v="17869996"/>
    <n v="7213483492.1999998"/>
    <n v="170718"/>
    <x v="6"/>
    <n v="-4.0999999999999659"/>
    <x v="3"/>
    <n v="3"/>
    <x v="9"/>
    <n v="-0.16726934600681886"/>
  </r>
  <r>
    <d v="2025-03-05T00:00:00"/>
    <s v="EQ"/>
    <n v="394.5"/>
    <n v="412.75"/>
    <n v="394.5"/>
    <n v="394.85"/>
    <n v="409.2"/>
    <n v="405.05"/>
    <n v="399.82"/>
    <n v="471.5"/>
    <n v="391.2"/>
    <n v="15665018"/>
    <n v="6263165318.0500002"/>
    <n v="169098"/>
    <x v="6"/>
    <n v="0.35000000000002274"/>
    <x v="3"/>
    <n v="3"/>
    <x v="9"/>
    <n v="-0.16726934600681886"/>
  </r>
  <r>
    <d v="2025-03-04T00:00:00"/>
    <s v="EQ"/>
    <n v="395.4"/>
    <n v="397.2"/>
    <n v="392.85"/>
    <n v="397.45"/>
    <n v="394.45"/>
    <n v="394.85"/>
    <n v="394.38"/>
    <n v="471.5"/>
    <n v="391.2"/>
    <n v="13404774"/>
    <n v="5286594132.8000002"/>
    <n v="154199"/>
    <x v="6"/>
    <n v="2.0500000000000114"/>
    <x v="3"/>
    <n v="3"/>
    <x v="9"/>
    <n v="-0.16726934600681886"/>
  </r>
  <r>
    <d v="2025-03-03T00:00:00"/>
    <s v="EQ"/>
    <n v="395.95"/>
    <n v="399"/>
    <n v="391.2"/>
    <n v="395"/>
    <n v="397"/>
    <n v="397.45"/>
    <n v="396.98"/>
    <n v="471.5"/>
    <n v="391.2"/>
    <n v="10702826"/>
    <n v="4248773535.6500001"/>
    <n v="169634"/>
    <x v="6"/>
    <n v="-0.94999999999998863"/>
    <x v="3"/>
    <n v="3"/>
    <x v="9"/>
    <n v="-0.16726934600681886"/>
  </r>
  <r>
    <d v="2025-02-28T00:00:00"/>
    <s v="EQ"/>
    <n v="399"/>
    <n v="402.5"/>
    <n v="392.2"/>
    <n v="401.6"/>
    <n v="395.9"/>
    <n v="395"/>
    <n v="394.79"/>
    <n v="471.5"/>
    <n v="392.2"/>
    <n v="31954776"/>
    <n v="12615432840.9"/>
    <n v="244503"/>
    <x v="6"/>
    <n v="2.6000000000000227"/>
    <x v="3"/>
    <n v="2"/>
    <x v="10"/>
    <n v="-0.16726934600681886"/>
  </r>
  <r>
    <d v="2025-02-27T00:00:00"/>
    <s v="EQ"/>
    <n v="404.85"/>
    <n v="406.5"/>
    <n v="399.5"/>
    <n v="404.85"/>
    <n v="401.5"/>
    <n v="401.6"/>
    <n v="401.75"/>
    <n v="471.5"/>
    <n v="396.2"/>
    <n v="19051003"/>
    <n v="7653697871.25"/>
    <n v="163369"/>
    <x v="6"/>
    <n v="0"/>
    <x v="3"/>
    <n v="2"/>
    <x v="10"/>
    <n v="-0.16726934600681886"/>
  </r>
  <r>
    <d v="2025-02-25T00:00:00"/>
    <s v="EQ"/>
    <n v="402"/>
    <n v="407"/>
    <n v="400.5"/>
    <n v="401.9"/>
    <n v="404"/>
    <n v="404.85"/>
    <n v="404.11"/>
    <n v="471.5"/>
    <n v="396.2"/>
    <n v="15760891"/>
    <n v="6369071142.9499998"/>
    <n v="138641"/>
    <x v="6"/>
    <n v="-0.10000000000002274"/>
    <x v="3"/>
    <n v="2"/>
    <x v="10"/>
    <n v="-0.16726934600681886"/>
  </r>
  <r>
    <d v="2025-02-24T00:00:00"/>
    <s v="EQ"/>
    <n v="400"/>
    <n v="403.4"/>
    <n v="398.75"/>
    <n v="400.9"/>
    <n v="402"/>
    <n v="401.9"/>
    <n v="401.96"/>
    <n v="471.5"/>
    <n v="396.2"/>
    <n v="7037625"/>
    <n v="2828832996.75"/>
    <n v="121155"/>
    <x v="6"/>
    <n v="0.89999999999997726"/>
    <x v="3"/>
    <n v="2"/>
    <x v="10"/>
    <n v="-0.16726934600681886"/>
  </r>
  <r>
    <d v="2025-02-21T00:00:00"/>
    <s v="EQ"/>
    <n v="402.05"/>
    <n v="403.25"/>
    <n v="399.2"/>
    <n v="402.05"/>
    <n v="400.7"/>
    <n v="400.9"/>
    <n v="400.75"/>
    <n v="471.5"/>
    <n v="396.2"/>
    <n v="8240986"/>
    <n v="3302544309.75"/>
    <n v="175217"/>
    <x v="6"/>
    <n v="0"/>
    <x v="3"/>
    <n v="2"/>
    <x v="10"/>
    <n v="-0.16726934600681886"/>
  </r>
  <r>
    <d v="2025-02-20T00:00:00"/>
    <s v="EQ"/>
    <n v="399.95"/>
    <n v="403.9"/>
    <n v="396.2"/>
    <n v="406.4"/>
    <n v="402"/>
    <n v="402.05"/>
    <n v="401.31"/>
    <n v="471.5"/>
    <n v="396.2"/>
    <n v="15355585"/>
    <n v="6162379397.3500004"/>
    <n v="226856"/>
    <x v="6"/>
    <n v="6.4499999999999886"/>
    <x v="3"/>
    <n v="2"/>
    <x v="10"/>
    <n v="-0.16726934600681886"/>
  </r>
  <r>
    <d v="2025-02-19T00:00:00"/>
    <s v="EQ"/>
    <n v="404.8"/>
    <n v="408.8"/>
    <n v="404.5"/>
    <n v="405.25"/>
    <n v="406.2"/>
    <n v="406.4"/>
    <n v="406.89"/>
    <n v="471.5"/>
    <n v="404"/>
    <n v="7079032"/>
    <n v="2880411815.9000001"/>
    <n v="88693"/>
    <x v="6"/>
    <n v="0.44999999999998863"/>
    <x v="3"/>
    <n v="2"/>
    <x v="10"/>
    <n v="-0.16726934600681886"/>
  </r>
  <r>
    <d v="2025-02-18T00:00:00"/>
    <s v="EQ"/>
    <n v="408"/>
    <n v="410.85"/>
    <n v="404"/>
    <n v="408.6"/>
    <n v="404.9"/>
    <n v="405.25"/>
    <n v="406.53"/>
    <n v="471.5"/>
    <n v="404"/>
    <n v="12998403"/>
    <n v="5284237636.8000002"/>
    <n v="208753"/>
    <x v="6"/>
    <n v="0.60000000000002274"/>
    <x v="3"/>
    <n v="2"/>
    <x v="10"/>
    <n v="-0.16726934600681886"/>
  </r>
  <r>
    <d v="2025-02-17T00:00:00"/>
    <s v="EQ"/>
    <n v="409.8"/>
    <n v="411.4"/>
    <n v="406.75"/>
    <n v="410.25"/>
    <n v="408.6"/>
    <n v="408.6"/>
    <n v="408.96"/>
    <n v="471.5"/>
    <n v="406.75"/>
    <n v="11975265"/>
    <n v="4897417889.1000004"/>
    <n v="285419"/>
    <x v="6"/>
    <n v="0.44999999999998863"/>
    <x v="3"/>
    <n v="2"/>
    <x v="10"/>
    <n v="-0.16726934600681886"/>
  </r>
  <r>
    <d v="2025-02-14T00:00:00"/>
    <s v="EQ"/>
    <n v="411.75"/>
    <n v="416.2"/>
    <n v="408.4"/>
    <n v="409.7"/>
    <n v="410"/>
    <n v="410.25"/>
    <n v="411.41"/>
    <n v="471.5"/>
    <n v="407.6"/>
    <n v="14124236"/>
    <n v="5810870731"/>
    <n v="199616"/>
    <x v="6"/>
    <n v="-2.0500000000000114"/>
    <x v="3"/>
    <n v="2"/>
    <x v="10"/>
    <n v="-0.16726934600681886"/>
  </r>
  <r>
    <d v="2025-02-13T00:00:00"/>
    <s v="EQ"/>
    <n v="409.95"/>
    <n v="413.95"/>
    <n v="409"/>
    <n v="409.9"/>
    <n v="410"/>
    <n v="409.7"/>
    <n v="411.14"/>
    <n v="471.5"/>
    <n v="407.6"/>
    <n v="12989029"/>
    <n v="5340310573.8999996"/>
    <n v="185598"/>
    <x v="6"/>
    <n v="-5.0000000000011369E-2"/>
    <x v="3"/>
    <n v="2"/>
    <x v="10"/>
    <n v="-0.16726934600681886"/>
  </r>
  <r>
    <d v="2025-02-12T00:00:00"/>
    <s v="EQ"/>
    <n v="413.15"/>
    <n v="413.8"/>
    <n v="407.6"/>
    <n v="418.3"/>
    <n v="411.2"/>
    <n v="409.9"/>
    <n v="410.36"/>
    <n v="471.5"/>
    <n v="407.6"/>
    <n v="13884574"/>
    <n v="5697674234.6499996"/>
    <n v="207478"/>
    <x v="6"/>
    <n v="5.1500000000000341"/>
    <x v="3"/>
    <n v="2"/>
    <x v="10"/>
    <n v="-0.16726934600681886"/>
  </r>
  <r>
    <d v="2025-02-11T00:00:00"/>
    <s v="EQ"/>
    <n v="428.8"/>
    <n v="430.55"/>
    <n v="417.5"/>
    <n v="427.2"/>
    <n v="418.05"/>
    <n v="418.3"/>
    <n v="421.57"/>
    <n v="471.5"/>
    <n v="417.5"/>
    <n v="14288751"/>
    <n v="6023750310.8000002"/>
    <n v="187384"/>
    <x v="6"/>
    <n v="-1.6000000000000227"/>
    <x v="3"/>
    <n v="2"/>
    <x v="10"/>
    <n v="-0.16726934600681886"/>
  </r>
  <r>
    <d v="2025-02-10T00:00:00"/>
    <s v="EQ"/>
    <n v="427"/>
    <n v="433.3"/>
    <n v="426.5"/>
    <n v="430.85"/>
    <n v="427.7"/>
    <n v="427.2"/>
    <n v="428.76"/>
    <n v="471.5"/>
    <n v="426.5"/>
    <n v="12227140"/>
    <n v="5242493795.8000002"/>
    <n v="156939"/>
    <x v="6"/>
    <n v="3.8500000000000227"/>
    <x v="3"/>
    <n v="2"/>
    <x v="10"/>
    <n v="-0.16726934600681886"/>
  </r>
  <r>
    <d v="2025-02-07T00:00:00"/>
    <s v="EQ"/>
    <n v="440"/>
    <n v="445.5"/>
    <n v="428.4"/>
    <n v="441.1"/>
    <n v="430.1"/>
    <n v="430.85"/>
    <n v="432.24"/>
    <n v="471.5"/>
    <n v="428.4"/>
    <n v="18875982"/>
    <n v="8158860785.3000002"/>
    <n v="212183"/>
    <x v="6"/>
    <n v="1.1000000000000227"/>
    <x v="3"/>
    <n v="2"/>
    <x v="10"/>
    <n v="-0.16726934600681886"/>
  </r>
  <r>
    <d v="2025-02-06T00:00:00"/>
    <s v="EQ"/>
    <n v="450"/>
    <n v="450"/>
    <n v="438.2"/>
    <n v="448.15"/>
    <n v="442.75"/>
    <n v="441.1"/>
    <n v="441.65"/>
    <n v="471.5"/>
    <n v="430.1"/>
    <n v="17469129"/>
    <n v="7715280524.9499998"/>
    <n v="164798"/>
    <x v="6"/>
    <n v="-1.8500000000000227"/>
    <x v="3"/>
    <n v="2"/>
    <x v="10"/>
    <n v="-0.16726934600681886"/>
  </r>
  <r>
    <d v="2025-02-05T00:00:00"/>
    <s v="EQ"/>
    <n v="455.15"/>
    <n v="455.85"/>
    <n v="446.5"/>
    <n v="455.15"/>
    <n v="448.5"/>
    <n v="448.15"/>
    <n v="450.02"/>
    <n v="471.5"/>
    <n v="430.1"/>
    <n v="12836283"/>
    <n v="5776523794.1999998"/>
    <n v="155466"/>
    <x v="6"/>
    <n v="0"/>
    <x v="3"/>
    <n v="2"/>
    <x v="10"/>
    <n v="-0.16726934600681886"/>
  </r>
  <r>
    <d v="2025-02-04T00:00:00"/>
    <s v="EQ"/>
    <n v="458"/>
    <n v="460.35"/>
    <n v="448.75"/>
    <n v="454.35"/>
    <n v="454.3"/>
    <n v="455.15"/>
    <n v="454.39"/>
    <n v="471.5"/>
    <n v="430.1"/>
    <n v="18923681"/>
    <n v="8598691176.8999996"/>
    <n v="219082"/>
    <x v="6"/>
    <n v="-3.6499999999999773"/>
    <x v="3"/>
    <n v="2"/>
    <x v="10"/>
    <n v="-0.16726934600681886"/>
  </r>
  <r>
    <d v="2025-02-03T00:00:00"/>
    <s v="EQ"/>
    <n v="462"/>
    <n v="465.2"/>
    <n v="452.3"/>
    <n v="462.55"/>
    <n v="453.5"/>
    <n v="454.35"/>
    <n v="457.77"/>
    <n v="471.5"/>
    <n v="430.1"/>
    <n v="16991730"/>
    <n v="7778230238.5"/>
    <n v="278444"/>
    <x v="6"/>
    <n v="0.55000000000001137"/>
    <x v="3"/>
    <n v="2"/>
    <x v="10"/>
    <n v="-0.16726934600681886"/>
  </r>
  <r>
    <d v="2025-02-01T00:00:00"/>
    <s v="EQ"/>
    <n v="448"/>
    <n v="471.5"/>
    <n v="439.55"/>
    <n v="447.5"/>
    <n v="461.55"/>
    <n v="462.55"/>
    <n v="459.22"/>
    <n v="471.5"/>
    <n v="430.1"/>
    <n v="30393007"/>
    <n v="13957038228.1"/>
    <n v="308264"/>
    <x v="6"/>
    <n v="-0.5"/>
    <x v="3"/>
    <n v="2"/>
    <x v="10"/>
    <n v="-0.16726934600681886"/>
  </r>
  <r>
    <d v="2025-01-31T00:00:00"/>
    <s v="EQ"/>
    <n v="436.5"/>
    <n v="448.2"/>
    <n v="435.1"/>
    <n v="436.2"/>
    <n v="447.7"/>
    <n v="447.5"/>
    <n v="443.74"/>
    <n v="461.75"/>
    <n v="430.1"/>
    <n v="13546181"/>
    <n v="6011029618.0500002"/>
    <n v="292498"/>
    <x v="6"/>
    <n v="-0.30000000000001137"/>
    <x v="3"/>
    <n v="1"/>
    <x v="11"/>
    <n v="-0.16726934600681886"/>
  </r>
  <r>
    <d v="2025-01-30T00:00:00"/>
    <s v="EQ"/>
    <n v="433"/>
    <n v="438"/>
    <n v="431.45"/>
    <n v="433.35"/>
    <n v="436"/>
    <n v="436.2"/>
    <n v="434.97"/>
    <n v="461.75"/>
    <n v="430.1"/>
    <n v="22496695"/>
    <n v="9785477722.3999996"/>
    <n v="206602"/>
    <x v="6"/>
    <n v="0.35000000000002274"/>
    <x v="3"/>
    <n v="1"/>
    <x v="11"/>
    <n v="-0.16726934600681886"/>
  </r>
  <r>
    <d v="2025-01-29T00:00:00"/>
    <s v="EQ"/>
    <n v="435.95"/>
    <n v="437.5"/>
    <n v="430.1"/>
    <n v="435.45"/>
    <n v="433.25"/>
    <n v="433.35"/>
    <n v="433.19"/>
    <n v="461.75"/>
    <n v="430.1"/>
    <n v="15158510"/>
    <n v="6566456115"/>
    <n v="270156"/>
    <x v="6"/>
    <n v="-0.5"/>
    <x v="3"/>
    <n v="1"/>
    <x v="11"/>
    <n v="-0.16726934600681886"/>
  </r>
  <r>
    <d v="2025-01-28T00:00:00"/>
    <s v="EQ"/>
    <n v="440"/>
    <n v="441.8"/>
    <n v="434.5"/>
    <n v="440.1"/>
    <n v="434.65"/>
    <n v="435.45"/>
    <n v="437.14"/>
    <n v="461.75"/>
    <n v="431.1"/>
    <n v="20813072"/>
    <n v="9098282699.2000008"/>
    <n v="174411"/>
    <x v="6"/>
    <n v="0.10000000000002274"/>
    <x v="3"/>
    <n v="1"/>
    <x v="11"/>
    <n v="-0.16726934600681886"/>
  </r>
  <r>
    <d v="2025-01-27T00:00:00"/>
    <s v="EQ"/>
    <n v="440.8"/>
    <n v="445"/>
    <n v="436.55"/>
    <n v="441.6"/>
    <n v="439.9"/>
    <n v="440.1"/>
    <n v="440.42"/>
    <n v="461.75"/>
    <n v="431.1"/>
    <n v="10480203"/>
    <n v="4615646516.4499998"/>
    <n v="155397"/>
    <x v="6"/>
    <n v="0.80000000000001137"/>
    <x v="3"/>
    <n v="1"/>
    <x v="11"/>
    <n v="-0.16726934600681886"/>
  </r>
  <r>
    <d v="2025-01-24T00:00:00"/>
    <s v="EQ"/>
    <n v="439.4"/>
    <n v="445"/>
    <n v="439.05"/>
    <n v="440.2"/>
    <n v="441.4"/>
    <n v="441.6"/>
    <n v="442.53"/>
    <n v="461.75"/>
    <n v="431.1"/>
    <n v="9665384"/>
    <n v="4277228029.6999998"/>
    <n v="141694"/>
    <x v="6"/>
    <n v="0.80000000000001137"/>
    <x v="3"/>
    <n v="1"/>
    <x v="11"/>
    <n v="-0.16726934600681886"/>
  </r>
  <r>
    <d v="2025-01-23T00:00:00"/>
    <s v="EQ"/>
    <n v="435"/>
    <n v="441.85"/>
    <n v="434.1"/>
    <n v="437"/>
    <n v="440.45"/>
    <n v="440.2"/>
    <n v="439.59"/>
    <n v="461.75"/>
    <n v="431.1"/>
    <n v="8888248"/>
    <n v="3907165756.8499999"/>
    <n v="131321"/>
    <x v="6"/>
    <n v="2"/>
    <x v="3"/>
    <n v="1"/>
    <x v="11"/>
    <n v="-0.16726934600681886"/>
  </r>
  <r>
    <d v="2025-01-22T00:00:00"/>
    <s v="EQ"/>
    <n v="439.9"/>
    <n v="441.95"/>
    <n v="436.55"/>
    <n v="437.55"/>
    <n v="436.75"/>
    <n v="437"/>
    <n v="438.79"/>
    <n v="461.75"/>
    <n v="431.1"/>
    <n v="9619648"/>
    <n v="4220997156.0999999"/>
    <n v="133708"/>
    <x v="6"/>
    <n v="-2.3499999999999659"/>
    <x v="3"/>
    <n v="1"/>
    <x v="11"/>
    <n v="-0.16726934600681886"/>
  </r>
  <r>
    <d v="2025-01-21T00:00:00"/>
    <s v="EQ"/>
    <n v="438"/>
    <n v="447"/>
    <n v="435.25"/>
    <n v="437.7"/>
    <n v="437.95"/>
    <n v="437.55"/>
    <n v="440.22"/>
    <n v="461.75"/>
    <n v="431.1"/>
    <n v="15686500"/>
    <n v="6905471880.0500002"/>
    <n v="216692"/>
    <x v="6"/>
    <n v="-0.30000000000001137"/>
    <x v="3"/>
    <n v="1"/>
    <x v="11"/>
    <n v="-0.16726934600681886"/>
  </r>
  <r>
    <d v="2025-01-20T00:00:00"/>
    <s v="EQ"/>
    <n v="439"/>
    <n v="441.2"/>
    <n v="436"/>
    <n v="440.2"/>
    <n v="437.45"/>
    <n v="437.7"/>
    <n v="437.61"/>
    <n v="461.75"/>
    <n v="431.1"/>
    <n v="8742771"/>
    <n v="3825927431.8499999"/>
    <n v="152896"/>
    <x v="6"/>
    <n v="1.1999999999999886"/>
    <x v="3"/>
    <n v="1"/>
    <x v="11"/>
    <n v="-0.16726934600681886"/>
  </r>
  <r>
    <d v="2025-01-17T00:00:00"/>
    <s v="EQ"/>
    <n v="433"/>
    <n v="441.8"/>
    <n v="432.5"/>
    <n v="432.85"/>
    <n v="439.65"/>
    <n v="440.2"/>
    <n v="438.78"/>
    <n v="461.75"/>
    <n v="431.1"/>
    <n v="11270061"/>
    <n v="4945104351.0500002"/>
    <n v="119845"/>
    <x v="6"/>
    <n v="-0.14999999999997726"/>
    <x v="3"/>
    <n v="1"/>
    <x v="11"/>
    <n v="-0.16726934600681886"/>
  </r>
  <r>
    <d v="2025-01-16T00:00:00"/>
    <s v="EQ"/>
    <n v="438.05"/>
    <n v="439.45"/>
    <n v="431.1"/>
    <n v="437.35"/>
    <n v="432.9"/>
    <n v="432.85"/>
    <n v="432.62"/>
    <n v="461.75"/>
    <n v="431.1"/>
    <n v="15774070"/>
    <n v="6824178083.3999996"/>
    <n v="197000"/>
    <x v="6"/>
    <n v="-0.69999999999998863"/>
    <x v="3"/>
    <n v="1"/>
    <x v="11"/>
    <n v="-0.16726934600681886"/>
  </r>
  <r>
    <d v="2025-01-15T00:00:00"/>
    <s v="EQ"/>
    <n v="436.6"/>
    <n v="441.8"/>
    <n v="435.35"/>
    <n v="436.6"/>
    <n v="437"/>
    <n v="437.35"/>
    <n v="437.99"/>
    <n v="461.75"/>
    <n v="435"/>
    <n v="9786805"/>
    <n v="4286512512.75"/>
    <n v="123376"/>
    <x v="6"/>
    <n v="0"/>
    <x v="3"/>
    <n v="1"/>
    <x v="11"/>
    <n v="-0.16726934600681886"/>
  </r>
  <r>
    <d v="2025-01-14T00:00:00"/>
    <s v="EQ"/>
    <n v="441"/>
    <n v="441.5"/>
    <n v="435.85"/>
    <n v="439.05"/>
    <n v="436.95"/>
    <n v="436.6"/>
    <n v="438.04"/>
    <n v="461.75"/>
    <n v="435"/>
    <n v="18048459"/>
    <n v="7905915833.3500004"/>
    <n v="233131"/>
    <x v="6"/>
    <n v="-1.9499999999999886"/>
    <x v="3"/>
    <n v="1"/>
    <x v="11"/>
    <n v="-0.16726934600681886"/>
  </r>
  <r>
    <d v="2025-01-13T00:00:00"/>
    <s v="EQ"/>
    <n v="435"/>
    <n v="444"/>
    <n v="435"/>
    <n v="444.9"/>
    <n v="439"/>
    <n v="439.05"/>
    <n v="440.27"/>
    <n v="461.75"/>
    <n v="435"/>
    <n v="17799607"/>
    <n v="7836665097.9499998"/>
    <n v="172276"/>
    <x v="6"/>
    <n v="9.8999999999999773"/>
    <x v="3"/>
    <n v="1"/>
    <x v="11"/>
    <n v="-0.16726934600681886"/>
  </r>
  <r>
    <d v="2025-01-10T00:00:00"/>
    <s v="EQ"/>
    <n v="449.95"/>
    <n v="452"/>
    <n v="442.5"/>
    <n v="450.1"/>
    <n v="443.85"/>
    <n v="444.9"/>
    <n v="445.59"/>
    <n v="461.75"/>
    <n v="437.1"/>
    <n v="9145729"/>
    <n v="4075202264.9000001"/>
    <n v="169176"/>
    <x v="6"/>
    <n v="0.15000000000003411"/>
    <x v="3"/>
    <n v="1"/>
    <x v="11"/>
    <n v="-0.16726934600681886"/>
  </r>
  <r>
    <d v="2025-01-09T00:00:00"/>
    <s v="EQ"/>
    <n v="449.4"/>
    <n v="460.65"/>
    <n v="446.05"/>
    <n v="449.55"/>
    <n v="450.45"/>
    <n v="450.1"/>
    <n v="452.64"/>
    <n v="461.75"/>
    <n v="437.1"/>
    <n v="19732649"/>
    <n v="8931846709.4500008"/>
    <n v="214398"/>
    <x v="6"/>
    <n v="0.15000000000003411"/>
    <x v="3"/>
    <n v="1"/>
    <x v="11"/>
    <n v="-0.16726934600681886"/>
  </r>
  <r>
    <d v="2025-01-08T00:00:00"/>
    <s v="EQ"/>
    <n v="443"/>
    <n v="452.05"/>
    <n v="437.1"/>
    <n v="441.1"/>
    <n v="449.65"/>
    <n v="449.55"/>
    <n v="444.83"/>
    <n v="461.75"/>
    <n v="437.1"/>
    <n v="13482926"/>
    <n v="5997660207.25"/>
    <n v="163390"/>
    <x v="6"/>
    <n v="-1.8999999999999773"/>
    <x v="3"/>
    <n v="1"/>
    <x v="11"/>
    <n v="-0.16726934600681886"/>
  </r>
  <r>
    <d v="2025-01-07T00:00:00"/>
    <s v="EQ"/>
    <n v="445.5"/>
    <n v="447.6"/>
    <n v="440.15"/>
    <n v="442.65"/>
    <n v="441.1"/>
    <n v="441.1"/>
    <n v="442.97"/>
    <n v="461.75"/>
    <n v="440.15"/>
    <n v="14294780"/>
    <n v="6332098307.3000002"/>
    <n v="180441"/>
    <x v="6"/>
    <n v="-2.8500000000000227"/>
    <x v="3"/>
    <n v="1"/>
    <x v="11"/>
    <n v="-0.16726934600681886"/>
  </r>
  <r>
    <d v="2025-01-06T00:00:00"/>
    <s v="EQ"/>
    <n v="455.6"/>
    <n v="461.75"/>
    <n v="441.25"/>
    <n v="481.6"/>
    <n v="445.35"/>
    <n v="442.65"/>
    <n v="450.15"/>
    <n v="461.75"/>
    <n v="441.25"/>
    <n v="22009958"/>
    <n v="9907771203.0499992"/>
    <n v="286532"/>
    <x v="6"/>
    <n v="26"/>
    <x v="3"/>
    <n v="1"/>
    <x v="11"/>
    <n v="-0.16726934600681886"/>
  </r>
  <r>
    <d v="2025-01-03T00:00:00"/>
    <s v="EQ"/>
    <n v="490.25"/>
    <n v="491"/>
    <n v="479.85"/>
    <n v="489.05"/>
    <n v="483.95"/>
    <n v="481.6"/>
    <n v="482.67"/>
    <n v="528.5"/>
    <n v="399.35"/>
    <n v="37072992"/>
    <n v="17893961935.849998"/>
    <n v="227193"/>
    <x v="6"/>
    <n v="-1.1999999999999886"/>
    <x v="3"/>
    <n v="1"/>
    <x v="11"/>
    <n v="-0.16726934600681886"/>
  </r>
  <r>
    <d v="2025-01-02T00:00:00"/>
    <s v="EQ"/>
    <n v="485.35"/>
    <n v="490"/>
    <n v="482.3"/>
    <n v="483.95"/>
    <n v="489.5"/>
    <n v="489.05"/>
    <n v="486.22"/>
    <n v="528.5"/>
    <n v="399.35"/>
    <n v="26124980"/>
    <n v="12702491020.450001"/>
    <n v="224779"/>
    <x v="6"/>
    <n v="-1.4000000000000341"/>
    <x v="3"/>
    <n v="1"/>
    <x v="11"/>
    <n v="-0.16726934600681886"/>
  </r>
  <r>
    <d v="2025-01-01T00:00:00"/>
    <s v="EQ"/>
    <n v="486"/>
    <n v="486.85"/>
    <n v="482.15"/>
    <n v="483.65"/>
    <n v="484.7"/>
    <n v="483.95"/>
    <n v="484.93"/>
    <n v="528.5"/>
    <n v="399.35"/>
    <n v="18229128"/>
    <n v="8839930024.3999996"/>
    <n v="164587"/>
    <x v="6"/>
    <n v="-2.3500000000000227"/>
    <x v="3"/>
    <n v="1"/>
    <x v="11"/>
    <n v="-0.16726934600681886"/>
  </r>
  <r>
    <d v="2025-12-31T00:00:00"/>
    <s v="EQ"/>
    <n v="1541"/>
    <n v="1577"/>
    <n v="1541"/>
    <n v="1539.8"/>
    <n v="1569"/>
    <n v="1570.4"/>
    <n v="1566.86"/>
    <n v="1581.3"/>
    <n v="1114.8499999999999"/>
    <n v="5771830"/>
    <n v="9043650348.5"/>
    <n v="141792"/>
    <x v="7"/>
    <n v="-1.2000000000000455"/>
    <x v="4"/>
    <n v="12"/>
    <x v="0"/>
    <n v="0.2858955987717503"/>
  </r>
  <r>
    <d v="2025-12-30T00:00:00"/>
    <s v="EQ"/>
    <n v="1547"/>
    <n v="1553.6"/>
    <n v="1537.8"/>
    <n v="1545.6"/>
    <n v="1541"/>
    <n v="1539.8"/>
    <n v="1543.21"/>
    <n v="1581.3"/>
    <n v="1114.8499999999999"/>
    <n v="8815884"/>
    <n v="13604745435"/>
    <n v="199428"/>
    <x v="7"/>
    <n v="-1.4000000000000909"/>
    <x v="4"/>
    <n v="12"/>
    <x v="0"/>
    <n v="0.2858955987717503"/>
  </r>
  <r>
    <d v="2025-12-29T00:00:00"/>
    <s v="EQ"/>
    <n v="1554.9"/>
    <n v="1558.1"/>
    <n v="1543.6"/>
    <n v="1559.2"/>
    <n v="1546.7"/>
    <n v="1545.6"/>
    <n v="1547.8"/>
    <n v="1581.3"/>
    <n v="1114.8499999999999"/>
    <n v="5972105"/>
    <n v="9243616142.2999992"/>
    <n v="158162"/>
    <x v="7"/>
    <n v="4.2999999999999545"/>
    <x v="4"/>
    <n v="12"/>
    <x v="0"/>
    <n v="0.2858955987717503"/>
  </r>
  <r>
    <d v="2025-12-26T00:00:00"/>
    <s v="EQ"/>
    <n v="1554.7"/>
    <n v="1561"/>
    <n v="1554.3"/>
    <n v="1558.2"/>
    <n v="1560"/>
    <n v="1559.2"/>
    <n v="1558.05"/>
    <n v="1581.3"/>
    <n v="1114.8499999999999"/>
    <n v="2311495"/>
    <n v="3601435338.6999998"/>
    <n v="81976"/>
    <x v="7"/>
    <n v="3.5"/>
    <x v="4"/>
    <n v="12"/>
    <x v="0"/>
    <n v="0.2858955987717503"/>
  </r>
  <r>
    <d v="2025-12-24T00:00:00"/>
    <s v="EQ"/>
    <n v="1572.7"/>
    <n v="1575.7"/>
    <n v="1553.6"/>
    <n v="1570.7"/>
    <n v="1560.6"/>
    <n v="1558.2"/>
    <n v="1559.55"/>
    <n v="1581.3"/>
    <n v="1114.8499999999999"/>
    <n v="8815745"/>
    <n v="13748600530.9"/>
    <n v="243970"/>
    <x v="7"/>
    <n v="-2"/>
    <x v="4"/>
    <n v="12"/>
    <x v="0"/>
    <n v="0.2858955987717503"/>
  </r>
  <r>
    <d v="2025-12-23T00:00:00"/>
    <s v="EQ"/>
    <n v="1580.9"/>
    <n v="1580.9"/>
    <n v="1568.1"/>
    <n v="1575.4"/>
    <n v="1569"/>
    <n v="1570.7"/>
    <n v="1573.01"/>
    <n v="1581.3"/>
    <n v="1114.8499999999999"/>
    <n v="7506564"/>
    <n v="11807916323.5"/>
    <n v="179265"/>
    <x v="7"/>
    <n v="-5.5"/>
    <x v="4"/>
    <n v="12"/>
    <x v="0"/>
    <n v="0.2858955987717503"/>
  </r>
  <r>
    <d v="2025-12-22T00:00:00"/>
    <s v="EQ"/>
    <n v="1573.5"/>
    <n v="1577.5"/>
    <n v="1565.3"/>
    <n v="1565.1"/>
    <n v="1577"/>
    <n v="1575.4"/>
    <n v="1571.96"/>
    <n v="1581.3"/>
    <n v="1114.8499999999999"/>
    <n v="10184852"/>
    <n v="16010206159.5"/>
    <n v="371017"/>
    <x v="7"/>
    <n v="-8.4000000000000909"/>
    <x v="4"/>
    <n v="12"/>
    <x v="0"/>
    <n v="0.2858955987717503"/>
  </r>
  <r>
    <d v="2025-12-19T00:00:00"/>
    <s v="EQ"/>
    <n v="1554.4"/>
    <n v="1574.2"/>
    <n v="1551"/>
    <n v="1544.4"/>
    <n v="1564.9"/>
    <n v="1565.1"/>
    <n v="1566.6"/>
    <n v="1581.3"/>
    <n v="1114.8499999999999"/>
    <n v="13937275"/>
    <n v="21834130206.799999"/>
    <n v="279233"/>
    <x v="7"/>
    <n v="-10"/>
    <x v="4"/>
    <n v="12"/>
    <x v="0"/>
    <n v="0.2858955987717503"/>
  </r>
  <r>
    <d v="2025-12-18T00:00:00"/>
    <s v="EQ"/>
    <n v="1535.2"/>
    <n v="1551.5"/>
    <n v="1535.2"/>
    <n v="1544.4"/>
    <n v="1543.5"/>
    <n v="1544.4"/>
    <n v="1545.3"/>
    <n v="1581.3"/>
    <n v="1114.8499999999999"/>
    <n v="6580829"/>
    <n v="10169353778"/>
    <n v="175814"/>
    <x v="7"/>
    <n v="9.2000000000000455"/>
    <x v="4"/>
    <n v="12"/>
    <x v="0"/>
    <n v="0.2858955987717503"/>
  </r>
  <r>
    <d v="2025-12-17T00:00:00"/>
    <s v="EQ"/>
    <n v="1550"/>
    <n v="1550"/>
    <n v="1539.3"/>
    <n v="1542.3"/>
    <n v="1545.1"/>
    <n v="1544.4"/>
    <n v="1544.14"/>
    <n v="1581.3"/>
    <n v="1114.8499999999999"/>
    <n v="7116649"/>
    <n v="10989103491.9"/>
    <n v="176852"/>
    <x v="7"/>
    <n v="-7.7000000000000455"/>
    <x v="4"/>
    <n v="12"/>
    <x v="0"/>
    <n v="0.2858955987717503"/>
  </r>
  <r>
    <d v="2025-12-16T00:00:00"/>
    <s v="EQ"/>
    <n v="1545"/>
    <n v="1551.7"/>
    <n v="1538.8"/>
    <n v="1556.2"/>
    <n v="1540.7"/>
    <n v="1542.3"/>
    <n v="1544.3"/>
    <n v="1581.3"/>
    <n v="1114.8499999999999"/>
    <n v="11731856"/>
    <n v="18117538818.099998"/>
    <n v="246980"/>
    <x v="7"/>
    <n v="11.200000000000045"/>
    <x v="4"/>
    <n v="12"/>
    <x v="0"/>
    <n v="0.2858955987717503"/>
  </r>
  <r>
    <d v="2025-12-15T00:00:00"/>
    <s v="EQ"/>
    <n v="1551.2"/>
    <n v="1558.6"/>
    <n v="1546.5"/>
    <n v="1556.5"/>
    <n v="1557"/>
    <n v="1556.2"/>
    <n v="1553.69"/>
    <n v="1581.3"/>
    <n v="1114.8499999999999"/>
    <n v="5774543"/>
    <n v="8971836560.7000008"/>
    <n v="185872"/>
    <x v="7"/>
    <n v="5.2999999999999545"/>
    <x v="4"/>
    <n v="12"/>
    <x v="0"/>
    <n v="0.2858955987717503"/>
  </r>
  <r>
    <d v="2025-12-12T00:00:00"/>
    <s v="EQ"/>
    <n v="1550.8"/>
    <n v="1559.8"/>
    <n v="1546.1"/>
    <n v="1545"/>
    <n v="1554.3"/>
    <n v="1556.5"/>
    <n v="1555.21"/>
    <n v="1581.3"/>
    <n v="1114.8499999999999"/>
    <n v="5106655"/>
    <n v="7941940758.5"/>
    <n v="139702"/>
    <x v="7"/>
    <n v="-5.7999999999999545"/>
    <x v="4"/>
    <n v="12"/>
    <x v="0"/>
    <n v="0.2858955987717503"/>
  </r>
  <r>
    <d v="2025-12-11T00:00:00"/>
    <s v="EQ"/>
    <n v="1536.9"/>
    <n v="1550"/>
    <n v="1524"/>
    <n v="1536.9"/>
    <n v="1543"/>
    <n v="1545"/>
    <n v="1540.61"/>
    <n v="1581.3"/>
    <n v="1114.8499999999999"/>
    <n v="4706197"/>
    <n v="7250428118.3999996"/>
    <n v="168155"/>
    <x v="7"/>
    <n v="0"/>
    <x v="4"/>
    <n v="12"/>
    <x v="0"/>
    <n v="0.2858955987717503"/>
  </r>
  <r>
    <d v="2025-12-10T00:00:00"/>
    <s v="EQ"/>
    <n v="1534"/>
    <n v="1547.5"/>
    <n v="1531.4"/>
    <n v="1529.4"/>
    <n v="1533.5"/>
    <n v="1536.9"/>
    <n v="1539.72"/>
    <n v="1581.3"/>
    <n v="1114.8499999999999"/>
    <n v="7991629"/>
    <n v="12304893787.5"/>
    <n v="202989"/>
    <x v="7"/>
    <n v="-4.5999999999999091"/>
    <x v="4"/>
    <n v="12"/>
    <x v="0"/>
    <n v="0.2858955987717503"/>
  </r>
  <r>
    <d v="2025-12-09T00:00:00"/>
    <s v="EQ"/>
    <n v="1540.3"/>
    <n v="1542.5"/>
    <n v="1520.1"/>
    <n v="1543"/>
    <n v="1532.4"/>
    <n v="1529.4"/>
    <n v="1530"/>
    <n v="1581.3"/>
    <n v="1114.8499999999999"/>
    <n v="11503971"/>
    <n v="17601083501.200001"/>
    <n v="205129"/>
    <x v="7"/>
    <n v="2.7000000000000455"/>
    <x v="4"/>
    <n v="12"/>
    <x v="0"/>
    <n v="0.2858955987717503"/>
  </r>
  <r>
    <d v="2025-12-08T00:00:00"/>
    <s v="EQ"/>
    <n v="1539.2"/>
    <n v="1551"/>
    <n v="1535"/>
    <n v="1540.6"/>
    <n v="1539.9"/>
    <n v="1543"/>
    <n v="1540.71"/>
    <n v="1581.3"/>
    <n v="1114.8499999999999"/>
    <n v="11301491"/>
    <n v="17412309977.700001"/>
    <n v="182756"/>
    <x v="7"/>
    <n v="1.3999999999998636"/>
    <x v="4"/>
    <n v="12"/>
    <x v="0"/>
    <n v="0.2858955987717503"/>
  </r>
  <r>
    <d v="2025-12-05T00:00:00"/>
    <s v="EQ"/>
    <n v="1530.4"/>
    <n v="1545.8"/>
    <n v="1520.6"/>
    <n v="1535.6"/>
    <n v="1544.6"/>
    <n v="1540.6"/>
    <n v="1534.8"/>
    <n v="1581.3"/>
    <n v="1114.8499999999999"/>
    <n v="10183266"/>
    <n v="15629290582.5"/>
    <n v="181528"/>
    <x v="7"/>
    <n v="5.1999999999998181"/>
    <x v="4"/>
    <n v="12"/>
    <x v="0"/>
    <n v="0.2858955987717503"/>
  </r>
  <r>
    <d v="2025-12-04T00:00:00"/>
    <s v="EQ"/>
    <n v="1536"/>
    <n v="1560.5"/>
    <n v="1517.6"/>
    <n v="1538.8"/>
    <n v="1525.3"/>
    <n v="1535.6"/>
    <n v="1543.73"/>
    <n v="1581.3"/>
    <n v="1114.8499999999999"/>
    <n v="11867930"/>
    <n v="18320833054.599998"/>
    <n v="203260"/>
    <x v="7"/>
    <n v="2.7999999999999545"/>
    <x v="4"/>
    <n v="12"/>
    <x v="0"/>
    <n v="0.2858955987717503"/>
  </r>
  <r>
    <d v="2025-12-03T00:00:00"/>
    <s v="EQ"/>
    <n v="1545.2"/>
    <n v="1552.4"/>
    <n v="1533"/>
    <n v="1546.3"/>
    <n v="1539.1"/>
    <n v="1538.8"/>
    <n v="1539.45"/>
    <n v="1581.3"/>
    <n v="1114.8499999999999"/>
    <n v="6090883"/>
    <n v="9376593978.8999996"/>
    <n v="156721"/>
    <x v="7"/>
    <n v="1.0999999999999091"/>
    <x v="4"/>
    <n v="12"/>
    <x v="0"/>
    <n v="0.2858955987717503"/>
  </r>
  <r>
    <d v="2025-12-02T00:00:00"/>
    <s v="EQ"/>
    <n v="1561.1"/>
    <n v="1567.5"/>
    <n v="1542"/>
    <n v="1566.1"/>
    <n v="1548.3"/>
    <n v="1546.3"/>
    <n v="1550.62"/>
    <n v="1581.3"/>
    <n v="1114.8499999999999"/>
    <n v="11389150"/>
    <n v="17660297036.299999"/>
    <n v="323713"/>
    <x v="7"/>
    <n v="5"/>
    <x v="4"/>
    <n v="12"/>
    <x v="0"/>
    <n v="0.2858955987717503"/>
  </r>
  <r>
    <d v="2025-12-01T00:00:00"/>
    <s v="EQ"/>
    <n v="1575"/>
    <n v="1577.5"/>
    <n v="1563.6"/>
    <n v="1567.5"/>
    <n v="1566.5"/>
    <n v="1566.1"/>
    <n v="1571.31"/>
    <n v="1581.3"/>
    <n v="1114.8499999999999"/>
    <n v="8920233"/>
    <n v="14016486649.5"/>
    <n v="292601"/>
    <x v="7"/>
    <n v="-7.5"/>
    <x v="4"/>
    <n v="12"/>
    <x v="0"/>
    <n v="0.2858955987717503"/>
  </r>
  <r>
    <d v="2025-11-28T00:00:00"/>
    <s v="EQ"/>
    <n v="1568"/>
    <n v="1581.3"/>
    <n v="1563"/>
    <n v="1563.4"/>
    <n v="1569"/>
    <n v="1567.5"/>
    <n v="1571.94"/>
    <n v="1581.3"/>
    <n v="1114.8499999999999"/>
    <n v="8959508"/>
    <n v="14083838960.4"/>
    <n v="229373"/>
    <x v="7"/>
    <n v="-4.5999999999999091"/>
    <x v="4"/>
    <n v="11"/>
    <x v="1"/>
    <n v="0.2858955987717503"/>
  </r>
  <r>
    <d v="2025-11-27T00:00:00"/>
    <s v="EQ"/>
    <n v="1575"/>
    <n v="1575.5"/>
    <n v="1556"/>
    <n v="1569.9"/>
    <n v="1564.8"/>
    <n v="1563.4"/>
    <n v="1563.68"/>
    <n v="1575.5"/>
    <n v="1114.8499999999999"/>
    <n v="9794643"/>
    <n v="15315704900.9"/>
    <n v="278929"/>
    <x v="7"/>
    <n v="-5.0999999999999091"/>
    <x v="4"/>
    <n v="11"/>
    <x v="1"/>
    <n v="0.2858955987717503"/>
  </r>
  <r>
    <d v="2025-11-26T00:00:00"/>
    <s v="EQ"/>
    <n v="1542.3"/>
    <n v="1571.6"/>
    <n v="1540.5"/>
    <n v="1539.7"/>
    <n v="1569.6"/>
    <n v="1569.9"/>
    <n v="1562.98"/>
    <n v="1571.6"/>
    <n v="1114.8499999999999"/>
    <n v="14054299"/>
    <n v="21966588733.900002"/>
    <n v="285274"/>
    <x v="7"/>
    <n v="-2.5999999999999091"/>
    <x v="4"/>
    <n v="11"/>
    <x v="1"/>
    <n v="0.2858955987717503"/>
  </r>
  <r>
    <d v="2025-11-25T00:00:00"/>
    <s v="EQ"/>
    <n v="1535.9"/>
    <n v="1559.6"/>
    <n v="1525.1"/>
    <n v="1535.9"/>
    <n v="1540"/>
    <n v="1539.7"/>
    <n v="1546.34"/>
    <n v="1559.6"/>
    <n v="1114.8499999999999"/>
    <n v="15033482"/>
    <n v="23246909829.700001"/>
    <n v="299805"/>
    <x v="7"/>
    <n v="0"/>
    <x v="4"/>
    <n v="11"/>
    <x v="1"/>
    <n v="0.2858955987717503"/>
  </r>
  <r>
    <d v="2025-11-24T00:00:00"/>
    <s v="EQ"/>
    <n v="1550"/>
    <n v="1550"/>
    <n v="1531.8"/>
    <n v="1546.6"/>
    <n v="1534.9"/>
    <n v="1535.9"/>
    <n v="1537.26"/>
    <n v="1557.8"/>
    <n v="1114.8499999999999"/>
    <n v="18433951"/>
    <n v="28337841303.400002"/>
    <n v="198313"/>
    <x v="7"/>
    <n v="-3.4000000000000909"/>
    <x v="4"/>
    <n v="11"/>
    <x v="1"/>
    <n v="0.2858955987717503"/>
  </r>
  <r>
    <d v="2025-11-21T00:00:00"/>
    <s v="EQ"/>
    <n v="1541"/>
    <n v="1557.8"/>
    <n v="1540.1"/>
    <n v="1549.1"/>
    <n v="1543.7"/>
    <n v="1546.6"/>
    <n v="1549.35"/>
    <n v="1557.8"/>
    <n v="1114.8499999999999"/>
    <n v="9615271"/>
    <n v="14897385970.299999"/>
    <n v="240250"/>
    <x v="7"/>
    <n v="8.0999999999999091"/>
    <x v="4"/>
    <n v="11"/>
    <x v="1"/>
    <n v="0.2858955987717503"/>
  </r>
  <r>
    <d v="2025-11-20T00:00:00"/>
    <s v="EQ"/>
    <n v="1530"/>
    <n v="1550.9"/>
    <n v="1526.7"/>
    <n v="1518.9"/>
    <n v="1549.5"/>
    <n v="1549.1"/>
    <n v="1543.57"/>
    <n v="1551"/>
    <n v="1114.8499999999999"/>
    <n v="18171724"/>
    <n v="28049306041.5"/>
    <n v="246552"/>
    <x v="7"/>
    <n v="-11.099999999999909"/>
    <x v="4"/>
    <n v="11"/>
    <x v="1"/>
    <n v="0.2858955987717503"/>
  </r>
  <r>
    <d v="2025-11-19T00:00:00"/>
    <s v="EQ"/>
    <n v="1517.4"/>
    <n v="1522.3"/>
    <n v="1512"/>
    <n v="1519.4"/>
    <n v="1519"/>
    <n v="1518.9"/>
    <n v="1518.64"/>
    <n v="1551"/>
    <n v="1114.8499999999999"/>
    <n v="5692366"/>
    <n v="8644640452.7000008"/>
    <n v="131481"/>
    <x v="7"/>
    <n v="2"/>
    <x v="4"/>
    <n v="11"/>
    <x v="1"/>
    <n v="0.2858955987717503"/>
  </r>
  <r>
    <d v="2025-11-18T00:00:00"/>
    <s v="EQ"/>
    <n v="1521.7"/>
    <n v="1527.8"/>
    <n v="1510.5"/>
    <n v="1518.3"/>
    <n v="1520"/>
    <n v="1519.4"/>
    <n v="1520.18"/>
    <n v="1551"/>
    <n v="1114.8499999999999"/>
    <n v="11045042"/>
    <n v="16790505249.5"/>
    <n v="165850"/>
    <x v="7"/>
    <n v="-3.4000000000000909"/>
    <x v="4"/>
    <n v="11"/>
    <x v="1"/>
    <n v="0.2858955987717503"/>
  </r>
  <r>
    <d v="2025-11-17T00:00:00"/>
    <s v="EQ"/>
    <n v="1520.9"/>
    <n v="1523.7"/>
    <n v="1511.5"/>
    <n v="1518.9"/>
    <n v="1518"/>
    <n v="1518.3"/>
    <n v="1516.89"/>
    <n v="1551"/>
    <n v="1114.8499999999999"/>
    <n v="5871416"/>
    <n v="8906294222.2999992"/>
    <n v="123473"/>
    <x v="7"/>
    <n v="-2"/>
    <x v="4"/>
    <n v="11"/>
    <x v="1"/>
    <n v="0.2858955987717503"/>
  </r>
  <r>
    <d v="2025-11-14T00:00:00"/>
    <s v="EQ"/>
    <n v="1505.5"/>
    <n v="1520.9"/>
    <n v="1505.5"/>
    <n v="1510.9"/>
    <n v="1518.2"/>
    <n v="1518.9"/>
    <n v="1516.51"/>
    <n v="1551"/>
    <n v="1114.8499999999999"/>
    <n v="7682823"/>
    <n v="11651084505.299999"/>
    <n v="194941"/>
    <x v="7"/>
    <n v="5.4000000000000909"/>
    <x v="4"/>
    <n v="11"/>
    <x v="1"/>
    <n v="0.2858955987717503"/>
  </r>
  <r>
    <d v="2025-11-13T00:00:00"/>
    <s v="EQ"/>
    <n v="1515"/>
    <n v="1522.1"/>
    <n v="1506.8"/>
    <n v="1511.5"/>
    <n v="1512.1"/>
    <n v="1510.9"/>
    <n v="1514.35"/>
    <n v="1551"/>
    <n v="1114.8499999999999"/>
    <n v="7196443"/>
    <n v="10897956389.700001"/>
    <n v="209774"/>
    <x v="7"/>
    <n v="-3.5"/>
    <x v="4"/>
    <n v="11"/>
    <x v="1"/>
    <n v="0.2858955987717503"/>
  </r>
  <r>
    <d v="2025-11-12T00:00:00"/>
    <s v="EQ"/>
    <n v="1505"/>
    <n v="1524.7"/>
    <n v="1500"/>
    <n v="1493.4"/>
    <n v="1511.8"/>
    <n v="1511.5"/>
    <n v="1515"/>
    <n v="1551"/>
    <n v="1114.8499999999999"/>
    <n v="12384459"/>
    <n v="18762517172.200001"/>
    <n v="252417"/>
    <x v="7"/>
    <n v="-11.599999999999909"/>
    <x v="4"/>
    <n v="11"/>
    <x v="1"/>
    <n v="0.2858955987717503"/>
  </r>
  <r>
    <d v="2025-11-11T00:00:00"/>
    <s v="EQ"/>
    <n v="1497"/>
    <n v="1498.8"/>
    <n v="1480.2"/>
    <n v="1489.3"/>
    <n v="1493.8"/>
    <n v="1493.4"/>
    <n v="1489.58"/>
    <n v="1551"/>
    <n v="1114.8499999999999"/>
    <n v="7127506"/>
    <n v="10616976771.799999"/>
    <n v="149607"/>
    <x v="7"/>
    <n v="-7.7000000000000455"/>
    <x v="4"/>
    <n v="11"/>
    <x v="1"/>
    <n v="0.2858955987717503"/>
  </r>
  <r>
    <d v="2025-11-10T00:00:00"/>
    <s v="EQ"/>
    <n v="1477.9"/>
    <n v="1501"/>
    <n v="1475.5"/>
    <n v="1478"/>
    <n v="1490.1"/>
    <n v="1489.3"/>
    <n v="1492.69"/>
    <n v="1551"/>
    <n v="1114.8499999999999"/>
    <n v="7068438"/>
    <n v="10550978254.299999"/>
    <n v="154602"/>
    <x v="7"/>
    <n v="9.9999999999909051E-2"/>
    <x v="4"/>
    <n v="11"/>
    <x v="1"/>
    <n v="0.2858955987717503"/>
  </r>
  <r>
    <d v="2025-11-07T00:00:00"/>
    <s v="EQ"/>
    <n v="1494.6"/>
    <n v="1498.4"/>
    <n v="1475.9"/>
    <n v="1496.1"/>
    <n v="1480"/>
    <n v="1478"/>
    <n v="1486.71"/>
    <n v="1551"/>
    <n v="1114.8499999999999"/>
    <n v="7821765"/>
    <n v="11628733264.1"/>
    <n v="139608"/>
    <x v="7"/>
    <n v="1.5"/>
    <x v="4"/>
    <n v="11"/>
    <x v="1"/>
    <n v="0.2858955987717503"/>
  </r>
  <r>
    <d v="2025-11-06T00:00:00"/>
    <s v="EQ"/>
    <n v="1484"/>
    <n v="1501.6"/>
    <n v="1476.2"/>
    <n v="1473.1"/>
    <n v="1494.8"/>
    <n v="1496.1"/>
    <n v="1494.08"/>
    <n v="1551"/>
    <n v="1114.8499999999999"/>
    <n v="16772678"/>
    <n v="25059656533.299999"/>
    <n v="269902"/>
    <x v="7"/>
    <n v="-10.900000000000091"/>
    <x v="4"/>
    <n v="11"/>
    <x v="1"/>
    <n v="0.2858955987717503"/>
  </r>
  <r>
    <d v="2025-11-04T00:00:00"/>
    <s v="EQ"/>
    <n v="1483.9"/>
    <n v="1492.8"/>
    <n v="1470.1"/>
    <n v="1484.7"/>
    <n v="1471.1"/>
    <n v="1473.1"/>
    <n v="1480.96"/>
    <n v="1551"/>
    <n v="1114.8499999999999"/>
    <n v="10007806"/>
    <n v="14821144472.700001"/>
    <n v="218103"/>
    <x v="7"/>
    <n v="0.79999999999995453"/>
    <x v="4"/>
    <n v="11"/>
    <x v="1"/>
    <n v="0.2858955987717503"/>
  </r>
  <r>
    <d v="2025-11-03T00:00:00"/>
    <s v="EQ"/>
    <n v="1486"/>
    <n v="1495"/>
    <n v="1479.3"/>
    <n v="1486.4"/>
    <n v="1487.3"/>
    <n v="1484.7"/>
    <n v="1488.29"/>
    <n v="1551"/>
    <n v="1114.8499999999999"/>
    <n v="8452085"/>
    <n v="12579161982.9"/>
    <n v="245664"/>
    <x v="7"/>
    <n v="0.40000000000009095"/>
    <x v="4"/>
    <n v="11"/>
    <x v="1"/>
    <n v="0.2858955987717503"/>
  </r>
  <r>
    <d v="2025-10-31T00:00:00"/>
    <s v="EQ"/>
    <n v="1490.4"/>
    <n v="1497.5"/>
    <n v="1482.3"/>
    <n v="1488.5"/>
    <n v="1487"/>
    <n v="1486.4"/>
    <n v="1487.8"/>
    <n v="1551"/>
    <n v="1114.8499999999999"/>
    <n v="8758053"/>
    <n v="13030257785.299999"/>
    <n v="206898"/>
    <x v="7"/>
    <n v="-1.9000000000000909"/>
    <x v="4"/>
    <n v="10"/>
    <x v="2"/>
    <n v="0.2858955987717503"/>
  </r>
  <r>
    <d v="2025-10-30T00:00:00"/>
    <s v="EQ"/>
    <n v="1500"/>
    <n v="1503.1"/>
    <n v="1484"/>
    <n v="1504.2"/>
    <n v="1489.5"/>
    <n v="1488.5"/>
    <n v="1492.27"/>
    <n v="1551"/>
    <n v="1114.8499999999999"/>
    <n v="9318663"/>
    <n v="13905920959.9"/>
    <n v="276397"/>
    <x v="7"/>
    <n v="4.2000000000000455"/>
    <x v="4"/>
    <n v="10"/>
    <x v="2"/>
    <n v="0.2858955987717503"/>
  </r>
  <r>
    <d v="2025-10-29T00:00:00"/>
    <s v="EQ"/>
    <n v="1490"/>
    <n v="1508.3"/>
    <n v="1488.1"/>
    <n v="1486.9"/>
    <n v="1504"/>
    <n v="1504.2"/>
    <n v="1502.67"/>
    <n v="1551"/>
    <n v="1114.8499999999999"/>
    <n v="11884745"/>
    <n v="17858800582.599998"/>
    <n v="219504"/>
    <x v="7"/>
    <n v="-3.0999999999999091"/>
    <x v="4"/>
    <n v="10"/>
    <x v="2"/>
    <n v="0.2858955987717503"/>
  </r>
  <r>
    <d v="2025-10-28T00:00:00"/>
    <s v="EQ"/>
    <n v="1484.1"/>
    <n v="1492"/>
    <n v="1477.6"/>
    <n v="1484.1"/>
    <n v="1489.7"/>
    <n v="1486.9"/>
    <n v="1484.96"/>
    <n v="1551"/>
    <n v="1114.8499999999999"/>
    <n v="17631577"/>
    <n v="26182248923.900002"/>
    <n v="314894"/>
    <x v="7"/>
    <n v="0"/>
    <x v="4"/>
    <n v="10"/>
    <x v="2"/>
    <n v="0.2858955987717503"/>
  </r>
  <r>
    <d v="2025-10-27T00:00:00"/>
    <s v="EQ"/>
    <n v="1463"/>
    <n v="1485"/>
    <n v="1458"/>
    <n v="1451.6"/>
    <n v="1483.2"/>
    <n v="1484.1"/>
    <n v="1480.24"/>
    <n v="1551"/>
    <n v="1114.8499999999999"/>
    <n v="14113867"/>
    <n v="20891882342.5"/>
    <n v="274839"/>
    <x v="7"/>
    <n v="-11.400000000000091"/>
    <x v="4"/>
    <n v="10"/>
    <x v="2"/>
    <n v="0.2858955987717503"/>
  </r>
  <r>
    <d v="2025-10-24T00:00:00"/>
    <s v="EQ"/>
    <n v="1450"/>
    <n v="1459.8"/>
    <n v="1441"/>
    <n v="1448.4"/>
    <n v="1451.1"/>
    <n v="1451.6"/>
    <n v="1450.25"/>
    <n v="2752"/>
    <n v="1114.8499999999999"/>
    <n v="9700837"/>
    <n v="14068622023.200001"/>
    <n v="221258"/>
    <x v="7"/>
    <n v="-1.5999999999999091"/>
    <x v="4"/>
    <n v="10"/>
    <x v="2"/>
    <n v="0.2858955987717503"/>
  </r>
  <r>
    <d v="2025-10-23T00:00:00"/>
    <s v="EQ"/>
    <n v="1475"/>
    <n v="1482.9"/>
    <n v="1444.6"/>
    <n v="1465.2"/>
    <n v="1448"/>
    <n v="1448.4"/>
    <n v="1464.71"/>
    <n v="2752"/>
    <n v="1114.8499999999999"/>
    <n v="18707090"/>
    <n v="27400374842.5"/>
    <n v="376220"/>
    <x v="7"/>
    <n v="-9.7999999999999545"/>
    <x v="4"/>
    <n v="10"/>
    <x v="2"/>
    <n v="0.2858955987717503"/>
  </r>
  <r>
    <d v="2025-10-21T00:00:00"/>
    <s v="EQ"/>
    <n v="1468"/>
    <n v="1474"/>
    <n v="1460"/>
    <n v="1466.8"/>
    <n v="1461"/>
    <n v="1465.2"/>
    <n v="1467.87"/>
    <n v="2752"/>
    <n v="1114.8499999999999"/>
    <n v="2066169"/>
    <n v="3032861642.8000002"/>
    <n v="86819"/>
    <x v="7"/>
    <n v="-1.2000000000000455"/>
    <x v="4"/>
    <n v="10"/>
    <x v="2"/>
    <n v="0.2858955987717503"/>
  </r>
  <r>
    <d v="2025-10-20T00:00:00"/>
    <s v="EQ"/>
    <n v="1440"/>
    <n v="1473.8"/>
    <n v="1433.3"/>
    <n v="1416.8"/>
    <n v="1467.9"/>
    <n v="1466.8"/>
    <n v="1461.76"/>
    <n v="2752"/>
    <n v="1114.8499999999999"/>
    <n v="24721978"/>
    <n v="36137673257.5"/>
    <n v="512798"/>
    <x v="7"/>
    <n v="-23.200000000000045"/>
    <x v="4"/>
    <n v="10"/>
    <x v="2"/>
    <n v="0.2858955987717503"/>
  </r>
  <r>
    <d v="2025-10-17T00:00:00"/>
    <s v="EQ"/>
    <n v="1401"/>
    <n v="1423.3"/>
    <n v="1399.1"/>
    <n v="1398.3"/>
    <n v="1419.1"/>
    <n v="1416.8"/>
    <n v="1413.78"/>
    <n v="2760.15"/>
    <n v="1114.8499999999999"/>
    <n v="19335561"/>
    <n v="27336205033"/>
    <n v="350761"/>
    <x v="7"/>
    <n v="-2.7000000000000455"/>
    <x v="4"/>
    <n v="10"/>
    <x v="2"/>
    <n v="0.2858955987717503"/>
  </r>
  <r>
    <d v="2025-10-16T00:00:00"/>
    <s v="EQ"/>
    <n v="1375.1"/>
    <n v="1400.5"/>
    <n v="1375"/>
    <n v="1374.3"/>
    <n v="1398.5"/>
    <n v="1398.3"/>
    <n v="1387.2"/>
    <n v="2760.15"/>
    <n v="1114.8499999999999"/>
    <n v="12315932"/>
    <n v="17084636046.799999"/>
    <n v="287913"/>
    <x v="7"/>
    <n v="-0.79999999999995453"/>
    <x v="4"/>
    <n v="10"/>
    <x v="2"/>
    <n v="0.2858955987717503"/>
  </r>
  <r>
    <d v="2025-10-15T00:00:00"/>
    <s v="EQ"/>
    <n v="1383"/>
    <n v="1384"/>
    <n v="1372.7"/>
    <n v="1375.9"/>
    <n v="1374.7"/>
    <n v="1374.3"/>
    <n v="1377.15"/>
    <n v="2760.15"/>
    <n v="1114.8499999999999"/>
    <n v="10882743"/>
    <n v="14987155897.299999"/>
    <n v="239811"/>
    <x v="7"/>
    <n v="-7.0999999999999091"/>
    <x v="4"/>
    <n v="10"/>
    <x v="2"/>
    <n v="0.2858955987717503"/>
  </r>
  <r>
    <d v="2025-10-14T00:00:00"/>
    <s v="EQ"/>
    <n v="1380"/>
    <n v="1388"/>
    <n v="1370.1"/>
    <n v="1375"/>
    <n v="1374.9"/>
    <n v="1375.9"/>
    <n v="1377.47"/>
    <n v="2760.15"/>
    <n v="1114.8499999999999"/>
    <n v="9768174"/>
    <n v="13455395764.799999"/>
    <n v="164937"/>
    <x v="7"/>
    <n v="-5"/>
    <x v="4"/>
    <n v="10"/>
    <x v="2"/>
    <n v="0.2858955987717503"/>
  </r>
  <r>
    <d v="2025-10-13T00:00:00"/>
    <s v="EQ"/>
    <n v="1376.9"/>
    <n v="1377.7"/>
    <n v="1367.8"/>
    <n v="1381.7"/>
    <n v="1376"/>
    <n v="1375"/>
    <n v="1372.7"/>
    <n v="2760.15"/>
    <n v="1114.8499999999999"/>
    <n v="7600682"/>
    <n v="10433492493.5"/>
    <n v="175585"/>
    <x v="7"/>
    <n v="4.7999999999999545"/>
    <x v="4"/>
    <n v="10"/>
    <x v="2"/>
    <n v="0.2858955987717503"/>
  </r>
  <r>
    <d v="2025-10-10T00:00:00"/>
    <s v="EQ"/>
    <n v="1377.8"/>
    <n v="1388"/>
    <n v="1375.1"/>
    <n v="1377.8"/>
    <n v="1380.9"/>
    <n v="1381.7"/>
    <n v="1383.21"/>
    <n v="2802"/>
    <n v="1114.8499999999999"/>
    <n v="6373084"/>
    <n v="8815317323.1000004"/>
    <n v="193985"/>
    <x v="7"/>
    <n v="0"/>
    <x v="4"/>
    <n v="10"/>
    <x v="2"/>
    <n v="0.2858955987717503"/>
  </r>
  <r>
    <d v="2025-10-09T00:00:00"/>
    <s v="EQ"/>
    <n v="1374"/>
    <n v="1380"/>
    <n v="1369.1"/>
    <n v="1367.4"/>
    <n v="1376.5"/>
    <n v="1377.8"/>
    <n v="1376.25"/>
    <n v="2802"/>
    <n v="1114.8499999999999"/>
    <n v="8826633"/>
    <n v="12147669213.5"/>
    <n v="217890"/>
    <x v="7"/>
    <n v="-6.5999999999999091"/>
    <x v="4"/>
    <n v="10"/>
    <x v="2"/>
    <n v="0.2858955987717503"/>
  </r>
  <r>
    <d v="2025-10-08T00:00:00"/>
    <s v="EQ"/>
    <n v="1384.8"/>
    <n v="1389"/>
    <n v="1364.5"/>
    <n v="1384.8"/>
    <n v="1367.3"/>
    <n v="1367.4"/>
    <n v="1371.62"/>
    <n v="2802"/>
    <n v="1114.8499999999999"/>
    <n v="8525081"/>
    <n v="11693212975.1"/>
    <n v="214245"/>
    <x v="7"/>
    <n v="0"/>
    <x v="4"/>
    <n v="10"/>
    <x v="2"/>
    <n v="0.2858955987717503"/>
  </r>
  <r>
    <d v="2025-10-07T00:00:00"/>
    <s v="EQ"/>
    <n v="1376"/>
    <n v="1395.9"/>
    <n v="1375.9"/>
    <n v="1375"/>
    <n v="1384.5"/>
    <n v="1384.8"/>
    <n v="1386.79"/>
    <n v="2802"/>
    <n v="1114.8499999999999"/>
    <n v="11244040"/>
    <n v="15593176402.200001"/>
    <n v="196055"/>
    <x v="7"/>
    <n v="-1"/>
    <x v="4"/>
    <n v="10"/>
    <x v="2"/>
    <n v="0.2858955987717503"/>
  </r>
  <r>
    <d v="2025-10-06T00:00:00"/>
    <s v="EQ"/>
    <n v="1360"/>
    <n v="1377.4"/>
    <n v="1359"/>
    <n v="1363.4"/>
    <n v="1374.9"/>
    <n v="1375"/>
    <n v="1367.85"/>
    <n v="2802"/>
    <n v="1114.8499999999999"/>
    <n v="12396580"/>
    <n v="16956655218.299999"/>
    <n v="184550"/>
    <x v="7"/>
    <n v="3.4000000000000909"/>
    <x v="4"/>
    <n v="10"/>
    <x v="2"/>
    <n v="0.2858955987717503"/>
  </r>
  <r>
    <d v="2025-10-03T00:00:00"/>
    <s v="EQ"/>
    <n v="1363.2"/>
    <n v="1371.6"/>
    <n v="1356.9"/>
    <n v="1368.7"/>
    <n v="1363.3"/>
    <n v="1363.4"/>
    <n v="1362.13"/>
    <n v="3049.95"/>
    <n v="1114.8499999999999"/>
    <n v="12842347"/>
    <n v="17492914973.799999"/>
    <n v="216161"/>
    <x v="7"/>
    <n v="5.5"/>
    <x v="4"/>
    <n v="10"/>
    <x v="2"/>
    <n v="0.2858955987717503"/>
  </r>
  <r>
    <d v="2025-10-01T00:00:00"/>
    <s v="EQ"/>
    <n v="1367"/>
    <n v="1378.6"/>
    <n v="1362.7"/>
    <n v="1364"/>
    <n v="1370"/>
    <n v="1368.7"/>
    <n v="1369.56"/>
    <n v="3049.95"/>
    <n v="1114.8499999999999"/>
    <n v="12045916"/>
    <n v="16497635567.1"/>
    <n v="258017"/>
    <x v="7"/>
    <n v="-3"/>
    <x v="4"/>
    <n v="10"/>
    <x v="2"/>
    <n v="0.2858955987717503"/>
  </r>
  <r>
    <d v="2025-09-30T00:00:00"/>
    <s v="EQ"/>
    <n v="1377.1"/>
    <n v="1377.1"/>
    <n v="1362.8"/>
    <n v="1372.8"/>
    <n v="1364"/>
    <n v="1364"/>
    <n v="1366.52"/>
    <n v="3049.95"/>
    <n v="1114.8499999999999"/>
    <n v="14604684"/>
    <n v="19957582304.900002"/>
    <n v="223375"/>
    <x v="7"/>
    <n v="-4.2999999999999545"/>
    <x v="4"/>
    <n v="9"/>
    <x v="3"/>
    <n v="0.2858955987717503"/>
  </r>
  <r>
    <d v="2025-09-29T00:00:00"/>
    <s v="EQ"/>
    <n v="1381.6"/>
    <n v="1389"/>
    <n v="1368"/>
    <n v="1377.6"/>
    <n v="1376"/>
    <n v="1372.8"/>
    <n v="1375.78"/>
    <n v="3049.95"/>
    <n v="1114.8499999999999"/>
    <n v="14231999"/>
    <n v="19580110793.700001"/>
    <n v="213268"/>
    <x v="7"/>
    <n v="-4"/>
    <x v="4"/>
    <n v="9"/>
    <x v="3"/>
    <n v="0.2858955987717503"/>
  </r>
  <r>
    <d v="2025-09-26T00:00:00"/>
    <s v="EQ"/>
    <n v="1372"/>
    <n v="1382.7"/>
    <n v="1366"/>
    <n v="1372.4"/>
    <n v="1379"/>
    <n v="1377.6"/>
    <n v="1376.37"/>
    <n v="3066.95"/>
    <n v="1114.8499999999999"/>
    <n v="9879109"/>
    <n v="13597342647"/>
    <n v="148644"/>
    <x v="7"/>
    <n v="0.40000000000009095"/>
    <x v="4"/>
    <n v="9"/>
    <x v="3"/>
    <n v="0.2858955987717503"/>
  </r>
  <r>
    <d v="2025-09-25T00:00:00"/>
    <s v="EQ"/>
    <n v="1381.3"/>
    <n v="1384.5"/>
    <n v="1369"/>
    <n v="1383"/>
    <n v="1374.8"/>
    <n v="1372.4"/>
    <n v="1375.53"/>
    <n v="3066.95"/>
    <n v="1114.8499999999999"/>
    <n v="11411143"/>
    <n v="15696373894"/>
    <n v="155102"/>
    <x v="7"/>
    <n v="1.7000000000000455"/>
    <x v="4"/>
    <n v="9"/>
    <x v="3"/>
    <n v="0.2858955987717503"/>
  </r>
  <r>
    <d v="2025-09-24T00:00:00"/>
    <s v="EQ"/>
    <n v="1385.3"/>
    <n v="1396"/>
    <n v="1380.4"/>
    <n v="1389.8"/>
    <n v="1381.1"/>
    <n v="1383"/>
    <n v="1387.32"/>
    <n v="3066.95"/>
    <n v="1114.8499999999999"/>
    <n v="5922759"/>
    <n v="8216778017.5"/>
    <n v="120399"/>
    <x v="7"/>
    <n v="4.5"/>
    <x v="4"/>
    <n v="9"/>
    <x v="3"/>
    <n v="0.2858955987717503"/>
  </r>
  <r>
    <d v="2025-09-23T00:00:00"/>
    <s v="EQ"/>
    <n v="1391"/>
    <n v="1395"/>
    <n v="1376.8"/>
    <n v="1390.6"/>
    <n v="1390.5"/>
    <n v="1389.8"/>
    <n v="1387.57"/>
    <n v="3066.95"/>
    <n v="1114.8499999999999"/>
    <n v="14014702"/>
    <n v="19446355038.700001"/>
    <n v="210931"/>
    <x v="7"/>
    <n v="-0.40000000000009095"/>
    <x v="4"/>
    <n v="9"/>
    <x v="3"/>
    <n v="0.2858955987717503"/>
  </r>
  <r>
    <d v="2025-09-22T00:00:00"/>
    <s v="EQ"/>
    <n v="1403.9"/>
    <n v="1410.7"/>
    <n v="1388"/>
    <n v="1407.4"/>
    <n v="1390.9"/>
    <n v="1390.6"/>
    <n v="1400.91"/>
    <n v="3066.95"/>
    <n v="1114.8499999999999"/>
    <n v="7757970"/>
    <n v="10868228760.6"/>
    <n v="136991"/>
    <x v="7"/>
    <n v="3.5"/>
    <x v="4"/>
    <n v="9"/>
    <x v="3"/>
    <n v="0.2858955987717503"/>
  </r>
  <r>
    <d v="2025-09-19T00:00:00"/>
    <s v="EQ"/>
    <n v="1414.9"/>
    <n v="1417"/>
    <n v="1403.6"/>
    <n v="1415"/>
    <n v="1407.6"/>
    <n v="1407.4"/>
    <n v="1408.43"/>
    <n v="3066.95"/>
    <n v="1114.8499999999999"/>
    <n v="13461373"/>
    <n v="18959342246.099998"/>
    <n v="143644"/>
    <x v="7"/>
    <n v="9.9999999999909051E-2"/>
    <x v="4"/>
    <n v="9"/>
    <x v="3"/>
    <n v="0.2858955987717503"/>
  </r>
  <r>
    <d v="2025-09-18T00:00:00"/>
    <s v="EQ"/>
    <n v="1420.4"/>
    <n v="1422"/>
    <n v="1410.7"/>
    <n v="1413.8"/>
    <n v="1415"/>
    <n v="1415"/>
    <n v="1415.31"/>
    <n v="3066.95"/>
    <n v="1114.8499999999999"/>
    <n v="9332642"/>
    <n v="13208589778.1"/>
    <n v="182559"/>
    <x v="7"/>
    <n v="-6.6000000000001364"/>
    <x v="4"/>
    <n v="9"/>
    <x v="3"/>
    <n v="0.2858955987717503"/>
  </r>
  <r>
    <d v="2025-09-17T00:00:00"/>
    <s v="EQ"/>
    <n v="1407"/>
    <n v="1416.2"/>
    <n v="1406.9"/>
    <n v="1405.3"/>
    <n v="1413"/>
    <n v="1413.8"/>
    <n v="1412.05"/>
    <n v="3066.95"/>
    <n v="1114.8499999999999"/>
    <n v="7519417"/>
    <n v="10617806261"/>
    <n v="189638"/>
    <x v="7"/>
    <n v="-1.7000000000000455"/>
    <x v="4"/>
    <n v="9"/>
    <x v="3"/>
    <n v="0.2858955987717503"/>
  </r>
  <r>
    <d v="2025-09-16T00:00:00"/>
    <s v="EQ"/>
    <n v="1404.7"/>
    <n v="1408"/>
    <n v="1398.2"/>
    <n v="1399.3"/>
    <n v="1405.9"/>
    <n v="1405.3"/>
    <n v="1404"/>
    <n v="3066.95"/>
    <n v="1114.8499999999999"/>
    <n v="8686961"/>
    <n v="12196451860.1"/>
    <n v="170452"/>
    <x v="7"/>
    <n v="-5.4000000000000909"/>
    <x v="4"/>
    <n v="9"/>
    <x v="3"/>
    <n v="0.2858955987717503"/>
  </r>
  <r>
    <d v="2025-09-15T00:00:00"/>
    <s v="EQ"/>
    <n v="1393"/>
    <n v="1400.8"/>
    <n v="1388.6"/>
    <n v="1395"/>
    <n v="1399.3"/>
    <n v="1399.3"/>
    <n v="1395.97"/>
    <n v="3066.95"/>
    <n v="1114.8499999999999"/>
    <n v="5396697"/>
    <n v="7533635758.1999998"/>
    <n v="130728"/>
    <x v="7"/>
    <n v="2"/>
    <x v="4"/>
    <n v="9"/>
    <x v="3"/>
    <n v="0.2858955987717503"/>
  </r>
  <r>
    <d v="2025-09-12T00:00:00"/>
    <s v="EQ"/>
    <n v="1383.3"/>
    <n v="1396.3"/>
    <n v="1380.5"/>
    <n v="1383.3"/>
    <n v="1395"/>
    <n v="1395"/>
    <n v="1392.69"/>
    <n v="3066.95"/>
    <n v="1114.8499999999999"/>
    <n v="7403368"/>
    <n v="10310608459.5"/>
    <n v="156369"/>
    <x v="7"/>
    <n v="0"/>
    <x v="4"/>
    <n v="9"/>
    <x v="3"/>
    <n v="0.2858955987717503"/>
  </r>
  <r>
    <d v="2025-09-11T00:00:00"/>
    <s v="EQ"/>
    <n v="1376"/>
    <n v="1385.5"/>
    <n v="1375"/>
    <n v="1377"/>
    <n v="1382.1"/>
    <n v="1383.3"/>
    <n v="1382.49"/>
    <n v="3066.95"/>
    <n v="1114.8499999999999"/>
    <n v="9766072"/>
    <n v="13501479258.5"/>
    <n v="173431"/>
    <x v="7"/>
    <n v="1"/>
    <x v="4"/>
    <n v="9"/>
    <x v="3"/>
    <n v="0.2858955987717503"/>
  </r>
  <r>
    <d v="2025-09-10T00:00:00"/>
    <s v="EQ"/>
    <n v="1383.9"/>
    <n v="1388.5"/>
    <n v="1374.1"/>
    <n v="1376.2"/>
    <n v="1377.5"/>
    <n v="1377"/>
    <n v="1380.12"/>
    <n v="3066.95"/>
    <n v="1114.8499999999999"/>
    <n v="7790815"/>
    <n v="10752266849.200001"/>
    <n v="222655"/>
    <x v="7"/>
    <n v="-7.7000000000000455"/>
    <x v="4"/>
    <n v="9"/>
    <x v="3"/>
    <n v="0.2858955987717503"/>
  </r>
  <r>
    <d v="2025-09-09T00:00:00"/>
    <s v="EQ"/>
    <n v="1376.6"/>
    <n v="1381.2"/>
    <n v="1368.7"/>
    <n v="1378.5"/>
    <n v="1376.1"/>
    <n v="1376.2"/>
    <n v="1375.44"/>
    <n v="3066.95"/>
    <n v="1114.8499999999999"/>
    <n v="9754452"/>
    <n v="13416675656.700001"/>
    <n v="209637"/>
    <x v="7"/>
    <n v="1.9000000000000909"/>
    <x v="4"/>
    <n v="9"/>
    <x v="3"/>
    <n v="0.2858955987717503"/>
  </r>
  <r>
    <d v="2025-09-08T00:00:00"/>
    <s v="EQ"/>
    <n v="1380"/>
    <n v="1386"/>
    <n v="1372.4"/>
    <n v="1375"/>
    <n v="1378.9"/>
    <n v="1378.5"/>
    <n v="1379.43"/>
    <n v="3066.95"/>
    <n v="1114.8499999999999"/>
    <n v="6986720"/>
    <n v="9637680456.6000004"/>
    <n v="131052"/>
    <x v="7"/>
    <n v="-5"/>
    <x v="4"/>
    <n v="9"/>
    <x v="3"/>
    <n v="0.2858955987717503"/>
  </r>
  <r>
    <d v="2025-09-05T00:00:00"/>
    <s v="EQ"/>
    <n v="1363"/>
    <n v="1381"/>
    <n v="1359.3"/>
    <n v="1359.3"/>
    <n v="1375.7"/>
    <n v="1375"/>
    <n v="1370.36"/>
    <n v="3066.95"/>
    <n v="1114.8499999999999"/>
    <n v="5777575"/>
    <n v="7917373815.6000004"/>
    <n v="142951"/>
    <x v="7"/>
    <n v="-3.7000000000000455"/>
    <x v="4"/>
    <n v="9"/>
    <x v="3"/>
    <n v="0.2858955987717503"/>
  </r>
  <r>
    <d v="2025-09-04T00:00:00"/>
    <s v="EQ"/>
    <n v="1371.8"/>
    <n v="1374"/>
    <n v="1357.1"/>
    <n v="1372.6"/>
    <n v="1359.1"/>
    <n v="1359.3"/>
    <n v="1363.97"/>
    <n v="3066.95"/>
    <n v="1114.8499999999999"/>
    <n v="13223177"/>
    <n v="18035988833.700001"/>
    <n v="200473"/>
    <x v="7"/>
    <n v="0.79999999999995453"/>
    <x v="4"/>
    <n v="9"/>
    <x v="3"/>
    <n v="0.2858955987717503"/>
  </r>
  <r>
    <d v="2025-09-03T00:00:00"/>
    <s v="EQ"/>
    <n v="1369.7"/>
    <n v="1376.5"/>
    <n v="1360.5"/>
    <n v="1366.5"/>
    <n v="1372"/>
    <n v="1372.6"/>
    <n v="1368.85"/>
    <n v="3066.95"/>
    <n v="1114.8499999999999"/>
    <n v="7847563"/>
    <n v="10742161678.4"/>
    <n v="209277"/>
    <x v="7"/>
    <n v="-3.2000000000000455"/>
    <x v="4"/>
    <n v="9"/>
    <x v="3"/>
    <n v="0.2858955987717503"/>
  </r>
  <r>
    <d v="2025-09-02T00:00:00"/>
    <s v="EQ"/>
    <n v="1354.8"/>
    <n v="1384.5"/>
    <n v="1354.5"/>
    <n v="1353.9"/>
    <n v="1367.5"/>
    <n v="1366.5"/>
    <n v="1374.28"/>
    <n v="3066.95"/>
    <n v="1114.8499999999999"/>
    <n v="11517006"/>
    <n v="15827620364.299999"/>
    <n v="235433"/>
    <x v="7"/>
    <n v="-0.89999999999986358"/>
    <x v="4"/>
    <n v="9"/>
    <x v="3"/>
    <n v="0.2858955987717503"/>
  </r>
  <r>
    <d v="2025-09-01T00:00:00"/>
    <s v="EQ"/>
    <n v="1356"/>
    <n v="1363.2"/>
    <n v="1340.6"/>
    <n v="1357.2"/>
    <n v="1355"/>
    <n v="1353.9"/>
    <n v="1353.99"/>
    <n v="3066.95"/>
    <n v="1114.8499999999999"/>
    <n v="11232238"/>
    <n v="15208377268.5"/>
    <n v="249574"/>
    <x v="7"/>
    <n v="1.2000000000000455"/>
    <x v="4"/>
    <n v="9"/>
    <x v="3"/>
    <n v="0.2858955987717503"/>
  </r>
  <r>
    <d v="2025-08-29T00:00:00"/>
    <s v="EQ"/>
    <n v="1381.1"/>
    <n v="1403.5"/>
    <n v="1350"/>
    <n v="1385.9"/>
    <n v="1356"/>
    <n v="1357.2"/>
    <n v="1375.14"/>
    <n v="3079.45"/>
    <n v="1114.8499999999999"/>
    <n v="18758842"/>
    <n v="25796085387.599998"/>
    <n v="348532"/>
    <x v="7"/>
    <n v="4.8000000000001819"/>
    <x v="4"/>
    <n v="8"/>
    <x v="4"/>
    <n v="0.2858955987717503"/>
  </r>
  <r>
    <d v="2025-08-28T00:00:00"/>
    <s v="EQ"/>
    <n v="1389.9"/>
    <n v="1392.2"/>
    <n v="1366.5"/>
    <n v="1384.9"/>
    <n v="1390.9"/>
    <n v="1385.9"/>
    <n v="1380.78"/>
    <n v="3079.45"/>
    <n v="1114.8499999999999"/>
    <n v="13161813"/>
    <n v="18173599832"/>
    <n v="252423"/>
    <x v="7"/>
    <n v="-5"/>
    <x v="4"/>
    <n v="8"/>
    <x v="4"/>
    <n v="0.2858955987717503"/>
  </r>
  <r>
    <d v="2025-08-26T00:00:00"/>
    <s v="EQ"/>
    <n v="1408"/>
    <n v="1410"/>
    <n v="1381.6"/>
    <n v="1412.6"/>
    <n v="1383.8"/>
    <n v="1384.9"/>
    <n v="1390.78"/>
    <n v="3079.45"/>
    <n v="1114.8499999999999"/>
    <n v="12145259"/>
    <n v="16891359345.299999"/>
    <n v="201578"/>
    <x v="7"/>
    <n v="4.5999999999999091"/>
    <x v="4"/>
    <n v="8"/>
    <x v="4"/>
    <n v="0.2858955987717503"/>
  </r>
  <r>
    <d v="2025-08-25T00:00:00"/>
    <s v="EQ"/>
    <n v="1414.7"/>
    <n v="1419.5"/>
    <n v="1405.7"/>
    <n v="1409.2"/>
    <n v="1413.7"/>
    <n v="1412.6"/>
    <n v="1412.48"/>
    <n v="3079.45"/>
    <n v="1114.8499999999999"/>
    <n v="5979407"/>
    <n v="8445789682.3000002"/>
    <n v="184067"/>
    <x v="7"/>
    <n v="-5.5"/>
    <x v="4"/>
    <n v="8"/>
    <x v="4"/>
    <n v="0.2858955987717503"/>
  </r>
  <r>
    <d v="2025-08-22T00:00:00"/>
    <s v="EQ"/>
    <n v="1420"/>
    <n v="1423.4"/>
    <n v="1407.9"/>
    <n v="1424.8"/>
    <n v="1409.9"/>
    <n v="1409.2"/>
    <n v="1414"/>
    <n v="3079.45"/>
    <n v="1114.8499999999999"/>
    <n v="5818868"/>
    <n v="8227876997.3000002"/>
    <n v="137165"/>
    <x v="7"/>
    <n v="4.7999999999999545"/>
    <x v="4"/>
    <n v="8"/>
    <x v="4"/>
    <n v="0.2858955987717503"/>
  </r>
  <r>
    <d v="2025-08-21T00:00:00"/>
    <s v="EQ"/>
    <n v="1425"/>
    <n v="1431.9"/>
    <n v="1420.3"/>
    <n v="1413"/>
    <n v="1424.3"/>
    <n v="1424.8"/>
    <n v="1427.55"/>
    <n v="3079.45"/>
    <n v="1114.8499999999999"/>
    <n v="11021323"/>
    <n v="15733474504.4"/>
    <n v="231863"/>
    <x v="7"/>
    <n v="-12"/>
    <x v="4"/>
    <n v="8"/>
    <x v="4"/>
    <n v="0.2858955987717503"/>
  </r>
  <r>
    <d v="2025-08-20T00:00:00"/>
    <s v="EQ"/>
    <n v="1413"/>
    <n v="1424.9"/>
    <n v="1410"/>
    <n v="1420.1"/>
    <n v="1412"/>
    <n v="1413"/>
    <n v="1418.58"/>
    <n v="3079.45"/>
    <n v="1114.8499999999999"/>
    <n v="8725641"/>
    <n v="12377983949.700001"/>
    <n v="196554"/>
    <x v="7"/>
    <n v="7.0999999999999091"/>
    <x v="4"/>
    <n v="8"/>
    <x v="4"/>
    <n v="0.2858955987717503"/>
  </r>
  <r>
    <d v="2025-08-19T00:00:00"/>
    <s v="EQ"/>
    <n v="1390"/>
    <n v="1421"/>
    <n v="1389.1"/>
    <n v="1381.7"/>
    <n v="1421"/>
    <n v="1420.1"/>
    <n v="1413.6"/>
    <n v="3079.45"/>
    <n v="1114.8499999999999"/>
    <n v="14384719"/>
    <n v="20334296972.400002"/>
    <n v="288664"/>
    <x v="7"/>
    <n v="-8.2999999999999545"/>
    <x v="4"/>
    <n v="8"/>
    <x v="4"/>
    <n v="0.2858955987717503"/>
  </r>
  <r>
    <d v="2025-08-18T00:00:00"/>
    <s v="EQ"/>
    <n v="1390"/>
    <n v="1394.9"/>
    <n v="1377"/>
    <n v="1373.8"/>
    <n v="1382.9"/>
    <n v="1381.7"/>
    <n v="1384.21"/>
    <n v="3079.45"/>
    <n v="1114.8499999999999"/>
    <n v="11785109"/>
    <n v="16313018769.799999"/>
    <n v="319844"/>
    <x v="7"/>
    <n v="-16.200000000000045"/>
    <x v="4"/>
    <n v="8"/>
    <x v="4"/>
    <n v="0.2858955987717503"/>
  </r>
  <r>
    <d v="2025-08-14T00:00:00"/>
    <s v="EQ"/>
    <n v="1377.3"/>
    <n v="1380.7"/>
    <n v="1370.1"/>
    <n v="1382.6"/>
    <n v="1372.9"/>
    <n v="1373.8"/>
    <n v="1375.17"/>
    <n v="3079.45"/>
    <n v="1114.8499999999999"/>
    <n v="7126128"/>
    <n v="9799629519.8999996"/>
    <n v="175588"/>
    <x v="7"/>
    <n v="5.2999999999999545"/>
    <x v="4"/>
    <n v="8"/>
    <x v="4"/>
    <n v="0.2858955987717503"/>
  </r>
  <r>
    <d v="2025-08-13T00:00:00"/>
    <s v="EQ"/>
    <n v="1388"/>
    <n v="1391.8"/>
    <n v="1377.5"/>
    <n v="1380.4"/>
    <n v="1384"/>
    <n v="1382.6"/>
    <n v="1384.19"/>
    <n v="3079.45"/>
    <n v="1114.8499999999999"/>
    <n v="7457021"/>
    <n v="10321969058.700001"/>
    <n v="208576"/>
    <x v="7"/>
    <n v="-7.5999999999999091"/>
    <x v="4"/>
    <n v="8"/>
    <x v="4"/>
    <n v="0.2858955987717503"/>
  </r>
  <r>
    <d v="2025-08-12T00:00:00"/>
    <s v="EQ"/>
    <n v="1381.9"/>
    <n v="1401.9"/>
    <n v="1375.2"/>
    <n v="1386.2"/>
    <n v="1381"/>
    <n v="1380.4"/>
    <n v="1386.76"/>
    <n v="3079.45"/>
    <n v="1114.8499999999999"/>
    <n v="12244664"/>
    <n v="16980368560.1"/>
    <n v="179433"/>
    <x v="7"/>
    <n v="4.2999999999999545"/>
    <x v="4"/>
    <n v="8"/>
    <x v="4"/>
    <n v="0.2858955987717503"/>
  </r>
  <r>
    <d v="2025-08-11T00:00:00"/>
    <s v="EQ"/>
    <n v="1370"/>
    <n v="1388"/>
    <n v="1361.2"/>
    <n v="1367.8"/>
    <n v="1384.6"/>
    <n v="1386.2"/>
    <n v="1375.78"/>
    <n v="3079.45"/>
    <n v="1114.8499999999999"/>
    <n v="9997486"/>
    <n v="13754351256.5"/>
    <n v="226304"/>
    <x v="7"/>
    <n v="-2.2000000000000455"/>
    <x v="4"/>
    <n v="8"/>
    <x v="4"/>
    <n v="0.2858955987717503"/>
  </r>
  <r>
    <d v="2025-08-08T00:00:00"/>
    <s v="EQ"/>
    <n v="1385"/>
    <n v="1397.2"/>
    <n v="1365"/>
    <n v="1389.4"/>
    <n v="1366.2"/>
    <n v="1367.8"/>
    <n v="1374.93"/>
    <n v="3079.45"/>
    <n v="1114.8499999999999"/>
    <n v="8793606"/>
    <n v="12090591567.6"/>
    <n v="208137"/>
    <x v="7"/>
    <n v="4.4000000000000909"/>
    <x v="4"/>
    <n v="8"/>
    <x v="4"/>
    <n v="0.2858955987717503"/>
  </r>
  <r>
    <d v="2025-08-07T00:00:00"/>
    <s v="EQ"/>
    <n v="1387.7"/>
    <n v="1393.7"/>
    <n v="1366"/>
    <n v="1392.8"/>
    <n v="1391"/>
    <n v="1389.4"/>
    <n v="1381.52"/>
    <n v="3079.45"/>
    <n v="1114.8499999999999"/>
    <n v="9976705"/>
    <n v="13783047743.5"/>
    <n v="293767"/>
    <x v="7"/>
    <n v="5.0999999999999091"/>
    <x v="4"/>
    <n v="8"/>
    <x v="4"/>
    <n v="0.2858955987717503"/>
  </r>
  <r>
    <d v="2025-08-06T00:00:00"/>
    <s v="EQ"/>
    <n v="1391.9"/>
    <n v="1395.9"/>
    <n v="1383.3"/>
    <n v="1391.7"/>
    <n v="1393"/>
    <n v="1392.8"/>
    <n v="1390.57"/>
    <n v="3079.45"/>
    <n v="1114.8499999999999"/>
    <n v="5834312"/>
    <n v="8113006686"/>
    <n v="156725"/>
    <x v="7"/>
    <n v="-0.20000000000004547"/>
    <x v="4"/>
    <n v="8"/>
    <x v="4"/>
    <n v="0.2858955987717503"/>
  </r>
  <r>
    <d v="2025-08-05T00:00:00"/>
    <s v="EQ"/>
    <n v="1411"/>
    <n v="1411"/>
    <n v="1388.1"/>
    <n v="1411.5"/>
    <n v="1390"/>
    <n v="1391.7"/>
    <n v="1394.5"/>
    <n v="3079.45"/>
    <n v="1114.8499999999999"/>
    <n v="9315972"/>
    <n v="12991163046.799999"/>
    <n v="238858"/>
    <x v="7"/>
    <n v="0.5"/>
    <x v="4"/>
    <n v="8"/>
    <x v="4"/>
    <n v="0.2858955987717503"/>
  </r>
  <r>
    <d v="2025-08-04T00:00:00"/>
    <s v="EQ"/>
    <n v="1395.1"/>
    <n v="1416.1"/>
    <n v="1391.7"/>
    <n v="1393.7"/>
    <n v="1410.2"/>
    <n v="1411.5"/>
    <n v="1410.61"/>
    <n v="3079.45"/>
    <n v="1114.8499999999999"/>
    <n v="6312820"/>
    <n v="8904907900.6000004"/>
    <n v="188246"/>
    <x v="7"/>
    <n v="-1.3999999999998636"/>
    <x v="4"/>
    <n v="8"/>
    <x v="4"/>
    <n v="0.2858955987717503"/>
  </r>
  <r>
    <d v="2025-08-01T00:00:00"/>
    <s v="EQ"/>
    <n v="1386.9"/>
    <n v="1405.9"/>
    <n v="1384.3"/>
    <n v="1390.2"/>
    <n v="1394.1"/>
    <n v="1393.7"/>
    <n v="1397.47"/>
    <n v="3079.45"/>
    <n v="1114.8499999999999"/>
    <n v="10321171"/>
    <n v="14423488951.799999"/>
    <n v="208431"/>
    <x v="7"/>
    <n v="3.2999999999999545"/>
    <x v="4"/>
    <n v="8"/>
    <x v="4"/>
    <n v="0.2858955987717503"/>
  </r>
  <r>
    <d v="2025-07-31T00:00:00"/>
    <s v="EQ"/>
    <n v="1388.1"/>
    <n v="1402.6"/>
    <n v="1382.2"/>
    <n v="1410.1"/>
    <n v="1390"/>
    <n v="1390.2"/>
    <n v="1392.63"/>
    <n v="3079.45"/>
    <n v="1114.8499999999999"/>
    <n v="17065827"/>
    <n v="23766374015.299999"/>
    <n v="373516"/>
    <x v="7"/>
    <n v="22"/>
    <x v="4"/>
    <n v="7"/>
    <x v="5"/>
    <n v="0.2858955987717503"/>
  </r>
  <r>
    <d v="2025-07-30T00:00:00"/>
    <s v="EQ"/>
    <n v="1418.1"/>
    <n v="1423.3"/>
    <n v="1401.3"/>
    <n v="1417.1"/>
    <n v="1409.7"/>
    <n v="1410.1"/>
    <n v="1411.5"/>
    <n v="3079.45"/>
    <n v="1114.8499999999999"/>
    <n v="7209849"/>
    <n v="10176719970.799999"/>
    <n v="167311"/>
    <x v="7"/>
    <n v="-1"/>
    <x v="4"/>
    <n v="7"/>
    <x v="5"/>
    <n v="0.2858955987717503"/>
  </r>
  <r>
    <d v="2025-07-29T00:00:00"/>
    <s v="EQ"/>
    <n v="1383"/>
    <n v="1420.2"/>
    <n v="1383"/>
    <n v="1387.6"/>
    <n v="1416.6"/>
    <n v="1417.1"/>
    <n v="1402.99"/>
    <n v="3079.45"/>
    <n v="1114.8499999999999"/>
    <n v="10750072"/>
    <n v="15082211933.299999"/>
    <n v="187813"/>
    <x v="7"/>
    <n v="4.5999999999999091"/>
    <x v="4"/>
    <n v="7"/>
    <x v="5"/>
    <n v="0.2858955987717503"/>
  </r>
  <r>
    <d v="2025-07-28T00:00:00"/>
    <s v="EQ"/>
    <n v="1392.3"/>
    <n v="1407.8"/>
    <n v="1385"/>
    <n v="1391.7"/>
    <n v="1387.1"/>
    <n v="1387.6"/>
    <n v="1394.17"/>
    <n v="3079.45"/>
    <n v="1114.8499999999999"/>
    <n v="7748361"/>
    <n v="10802552328.1"/>
    <n v="198421"/>
    <x v="7"/>
    <n v="-0.59999999999990905"/>
    <x v="4"/>
    <n v="7"/>
    <x v="5"/>
    <n v="0.2858955987717503"/>
  </r>
  <r>
    <d v="2025-07-25T00:00:00"/>
    <s v="EQ"/>
    <n v="1398.9"/>
    <n v="1401"/>
    <n v="1384.1"/>
    <n v="1402.9"/>
    <n v="1392.4"/>
    <n v="1391.7"/>
    <n v="1394.22"/>
    <n v="3079.45"/>
    <n v="1114.8499999999999"/>
    <n v="11854722"/>
    <n v="16528044233.5"/>
    <n v="237018"/>
    <x v="7"/>
    <n v="4"/>
    <x v="4"/>
    <n v="7"/>
    <x v="5"/>
    <n v="0.2858955987717503"/>
  </r>
  <r>
    <d v="2025-07-24T00:00:00"/>
    <s v="EQ"/>
    <n v="1419.2"/>
    <n v="1423"/>
    <n v="1396"/>
    <n v="1424.6"/>
    <n v="1402.8"/>
    <n v="1402.9"/>
    <n v="1407.06"/>
    <n v="3079.45"/>
    <n v="1114.8499999999999"/>
    <n v="14740507"/>
    <n v="20740788758.299999"/>
    <n v="314670"/>
    <x v="7"/>
    <n v="5.3999999999998636"/>
    <x v="4"/>
    <n v="7"/>
    <x v="5"/>
    <n v="0.2858955987717503"/>
  </r>
  <r>
    <d v="2025-07-23T00:00:00"/>
    <s v="EQ"/>
    <n v="1426"/>
    <n v="1426"/>
    <n v="1414.4"/>
    <n v="1412.8"/>
    <n v="1425"/>
    <n v="1424.6"/>
    <n v="1421.41"/>
    <n v="3079.45"/>
    <n v="1114.8499999999999"/>
    <n v="8354596"/>
    <n v="11875315134.700001"/>
    <n v="225103"/>
    <x v="7"/>
    <n v="-13.200000000000045"/>
    <x v="4"/>
    <n v="7"/>
    <x v="5"/>
    <n v="0.2858955987717503"/>
  </r>
  <r>
    <d v="2025-07-22T00:00:00"/>
    <s v="EQ"/>
    <n v="1427.4"/>
    <n v="1431.9"/>
    <n v="1410.7"/>
    <n v="1428.6"/>
    <n v="1413.8"/>
    <n v="1412.8"/>
    <n v="1417.05"/>
    <n v="3079.45"/>
    <n v="1114.8499999999999"/>
    <n v="20396320"/>
    <n v="28902700383.400002"/>
    <n v="504145"/>
    <x v="7"/>
    <n v="1.1999999999998181"/>
    <x v="4"/>
    <n v="7"/>
    <x v="5"/>
    <n v="0.2858955987717503"/>
  </r>
  <r>
    <d v="2025-07-21T00:00:00"/>
    <s v="EQ"/>
    <n v="1465"/>
    <n v="1476"/>
    <n v="1423.1"/>
    <n v="1476"/>
    <n v="1428.2"/>
    <n v="1428.6"/>
    <n v="1435.24"/>
    <n v="3079.45"/>
    <n v="1114.8499999999999"/>
    <n v="22442744"/>
    <n v="32210751693.5"/>
    <n v="630358"/>
    <x v="7"/>
    <n v="11"/>
    <x v="4"/>
    <n v="7"/>
    <x v="5"/>
    <n v="0.2858955987717503"/>
  </r>
  <r>
    <d v="2025-07-18T00:00:00"/>
    <s v="EQ"/>
    <n v="1484.8"/>
    <n v="1484.8"/>
    <n v="1469.1"/>
    <n v="1476.4"/>
    <n v="1476"/>
    <n v="1476"/>
    <n v="1475.2"/>
    <n v="3211.7"/>
    <n v="1114.8499999999999"/>
    <n v="10296318"/>
    <n v="15189104342"/>
    <n v="222241"/>
    <x v="7"/>
    <n v="-8.3999999999998636"/>
    <x v="4"/>
    <n v="7"/>
    <x v="5"/>
    <n v="0.2858955987717503"/>
  </r>
  <r>
    <d v="2025-07-17T00:00:00"/>
    <s v="EQ"/>
    <n v="1487.4"/>
    <n v="1489.6"/>
    <n v="1473.9"/>
    <n v="1485.6"/>
    <n v="1478.7"/>
    <n v="1476.4"/>
    <n v="1479.78"/>
    <n v="3211.7"/>
    <n v="1114.8499999999999"/>
    <n v="11854613"/>
    <n v="17542205685.799999"/>
    <n v="189733"/>
    <x v="7"/>
    <n v="-1.8000000000001819"/>
    <x v="4"/>
    <n v="7"/>
    <x v="5"/>
    <n v="0.2858955987717503"/>
  </r>
  <r>
    <d v="2025-07-16T00:00:00"/>
    <s v="EQ"/>
    <n v="1473"/>
    <n v="1491"/>
    <n v="1471.5"/>
    <n v="1485.4"/>
    <n v="1486.2"/>
    <n v="1485.6"/>
    <n v="1481.43"/>
    <n v="3211.7"/>
    <n v="1114.8499999999999"/>
    <n v="10409983"/>
    <n v="15421636574.6"/>
    <n v="191598"/>
    <x v="7"/>
    <n v="12.400000000000091"/>
    <x v="4"/>
    <n v="7"/>
    <x v="5"/>
    <n v="0.2858955987717503"/>
  </r>
  <r>
    <d v="2025-07-15T00:00:00"/>
    <s v="EQ"/>
    <n v="1486.2"/>
    <n v="1496.5"/>
    <n v="1482.4"/>
    <n v="1483.7"/>
    <n v="1488.5"/>
    <n v="1485.4"/>
    <n v="1487.92"/>
    <n v="3211.7"/>
    <n v="1114.8499999999999"/>
    <n v="8132454"/>
    <n v="12100448372.9"/>
    <n v="173756"/>
    <x v="7"/>
    <n v="-2.5"/>
    <x v="4"/>
    <n v="7"/>
    <x v="5"/>
    <n v="0.2858955987717503"/>
  </r>
  <r>
    <d v="2025-07-14T00:00:00"/>
    <s v="EQ"/>
    <n v="1492.2"/>
    <n v="1500"/>
    <n v="1479.1"/>
    <n v="1495.2"/>
    <n v="1486.4"/>
    <n v="1483.7"/>
    <n v="1487.76"/>
    <n v="3211.7"/>
    <n v="1114.8499999999999"/>
    <n v="10311846"/>
    <n v="15341529534.700001"/>
    <n v="186122"/>
    <x v="7"/>
    <n v="3"/>
    <x v="4"/>
    <n v="7"/>
    <x v="5"/>
    <n v="0.2858955987717503"/>
  </r>
  <r>
    <d v="2025-07-11T00:00:00"/>
    <s v="EQ"/>
    <n v="1512"/>
    <n v="1515"/>
    <n v="1490.3"/>
    <n v="1517.2"/>
    <n v="1495"/>
    <n v="1495.2"/>
    <n v="1496.06"/>
    <n v="3217.6"/>
    <n v="1114.8499999999999"/>
    <n v="7234991"/>
    <n v="10823982872.200001"/>
    <n v="178490"/>
    <x v="7"/>
    <n v="5.2000000000000455"/>
    <x v="4"/>
    <n v="7"/>
    <x v="5"/>
    <n v="0.2858955987717503"/>
  </r>
  <r>
    <d v="2025-07-10T00:00:00"/>
    <s v="EQ"/>
    <n v="1519.7"/>
    <n v="1524.7"/>
    <n v="1507.5"/>
    <n v="1519"/>
    <n v="1515.2"/>
    <n v="1517.2"/>
    <n v="1516.2"/>
    <n v="3217.6"/>
    <n v="1114.8499999999999"/>
    <n v="10047129"/>
    <n v="15233458376.4"/>
    <n v="289035"/>
    <x v="7"/>
    <n v="-0.70000000000004547"/>
    <x v="4"/>
    <n v="7"/>
    <x v="5"/>
    <n v="0.2858955987717503"/>
  </r>
  <r>
    <d v="2025-07-09T00:00:00"/>
    <s v="EQ"/>
    <n v="1536.7"/>
    <n v="1551"/>
    <n v="1510.1"/>
    <n v="1537.6"/>
    <n v="1520.5"/>
    <n v="1519"/>
    <n v="1532.97"/>
    <n v="3217.6"/>
    <n v="1114.8499999999999"/>
    <n v="8870660"/>
    <n v="13598441338.6"/>
    <n v="254524"/>
    <x v="7"/>
    <n v="0.89999999999986358"/>
    <x v="4"/>
    <n v="7"/>
    <x v="5"/>
    <n v="0.2858955987717503"/>
  </r>
  <r>
    <d v="2025-07-08T00:00:00"/>
    <s v="EQ"/>
    <n v="1536"/>
    <n v="1544.9"/>
    <n v="1530.2"/>
    <n v="1541.5"/>
    <n v="1538"/>
    <n v="1537.6"/>
    <n v="1536.23"/>
    <n v="3217.6"/>
    <n v="1114.8499999999999"/>
    <n v="7171261"/>
    <n v="11016684351.6"/>
    <n v="191265"/>
    <x v="7"/>
    <n v="5.5"/>
    <x v="4"/>
    <n v="7"/>
    <x v="5"/>
    <n v="0.2858955987717503"/>
  </r>
  <r>
    <d v="2025-07-07T00:00:00"/>
    <s v="EQ"/>
    <n v="1526.6"/>
    <n v="1544.8"/>
    <n v="1525"/>
    <n v="1527.3"/>
    <n v="1540.5"/>
    <n v="1541.5"/>
    <n v="1539.06"/>
    <n v="3217.6"/>
    <n v="1114.8499999999999"/>
    <n v="7251074"/>
    <n v="11159858745.5"/>
    <n v="205134"/>
    <x v="7"/>
    <n v="0.70000000000004547"/>
    <x v="4"/>
    <n v="7"/>
    <x v="5"/>
    <n v="0.2858955987717503"/>
  </r>
  <r>
    <d v="2025-07-04T00:00:00"/>
    <s v="EQ"/>
    <n v="1524"/>
    <n v="1530"/>
    <n v="1517.2"/>
    <n v="1517.8"/>
    <n v="1528.1"/>
    <n v="1527.3"/>
    <n v="1523.57"/>
    <n v="3217.6"/>
    <n v="1114.8499999999999"/>
    <n v="6603501"/>
    <n v="10060908691"/>
    <n v="167255"/>
    <x v="7"/>
    <n v="-6.2000000000000455"/>
    <x v="4"/>
    <n v="7"/>
    <x v="5"/>
    <n v="0.2858955987717503"/>
  </r>
  <r>
    <d v="2025-07-03T00:00:00"/>
    <s v="EQ"/>
    <n v="1520.8"/>
    <n v="1531.9"/>
    <n v="1513"/>
    <n v="1518.8"/>
    <n v="1515"/>
    <n v="1517.8"/>
    <n v="1520.57"/>
    <n v="3217.6"/>
    <n v="1114.8499999999999"/>
    <n v="11283291"/>
    <n v="17156979936.799999"/>
    <n v="258008"/>
    <x v="7"/>
    <n v="-2"/>
    <x v="4"/>
    <n v="7"/>
    <x v="5"/>
    <n v="0.2858955987717503"/>
  </r>
  <r>
    <d v="2025-07-02T00:00:00"/>
    <s v="EQ"/>
    <n v="1528.4"/>
    <n v="1530"/>
    <n v="1508.7"/>
    <n v="1528.4"/>
    <n v="1517.1"/>
    <n v="1518.8"/>
    <n v="1518.29"/>
    <n v="3217.6"/>
    <n v="1114.8499999999999"/>
    <n v="6361002"/>
    <n v="9657844399.3999996"/>
    <n v="183873"/>
    <x v="7"/>
    <n v="0"/>
    <x v="4"/>
    <n v="7"/>
    <x v="5"/>
    <n v="0.2858955987717503"/>
  </r>
  <r>
    <d v="2025-07-01T00:00:00"/>
    <s v="EQ"/>
    <n v="1500.6"/>
    <n v="1531.4"/>
    <n v="1500.1"/>
    <n v="1500.6"/>
    <n v="1526.8"/>
    <n v="1528.4"/>
    <n v="1522.95"/>
    <n v="3217.6"/>
    <n v="1114.8499999999999"/>
    <n v="10368523"/>
    <n v="15790750945.4"/>
    <n v="232573"/>
    <x v="7"/>
    <n v="0"/>
    <x v="4"/>
    <n v="7"/>
    <x v="5"/>
    <n v="0.2858955987717503"/>
  </r>
  <r>
    <d v="2025-06-30T00:00:00"/>
    <s v="EQ"/>
    <n v="1513.8"/>
    <n v="1524.8"/>
    <n v="1496"/>
    <n v="1515.4"/>
    <n v="1499.9"/>
    <n v="1500.6"/>
    <n v="1509.28"/>
    <n v="3217.6"/>
    <n v="1114.8499999999999"/>
    <n v="8409527"/>
    <n v="12692329820.1"/>
    <n v="242195"/>
    <x v="7"/>
    <n v="1.6000000000001364"/>
    <x v="4"/>
    <n v="6"/>
    <x v="6"/>
    <n v="0.2858955987717503"/>
  </r>
  <r>
    <d v="2025-06-27T00:00:00"/>
    <s v="EQ"/>
    <n v="1499.4"/>
    <n v="1522"/>
    <n v="1496.9"/>
    <n v="1495.3"/>
    <n v="1514"/>
    <n v="1515.4"/>
    <n v="1511.99"/>
    <n v="3217.6"/>
    <n v="1114.8499999999999"/>
    <n v="11117052"/>
    <n v="16808908375.4"/>
    <n v="269877"/>
    <x v="7"/>
    <n v="-4.1000000000001364"/>
    <x v="4"/>
    <n v="6"/>
    <x v="6"/>
    <n v="0.2858955987717503"/>
  </r>
  <r>
    <d v="2025-06-26T00:00:00"/>
    <s v="EQ"/>
    <n v="1469.1"/>
    <n v="1498.8"/>
    <n v="1465.1"/>
    <n v="1467.3"/>
    <n v="1495.3"/>
    <n v="1495.3"/>
    <n v="1488.16"/>
    <n v="3217.6"/>
    <n v="1114.8499999999999"/>
    <n v="14657893"/>
    <n v="21813325246.099998"/>
    <n v="247215"/>
    <x v="7"/>
    <n v="-1.7999999999999545"/>
    <x v="4"/>
    <n v="6"/>
    <x v="6"/>
    <n v="0.2858955987717503"/>
  </r>
  <r>
    <d v="2025-06-25T00:00:00"/>
    <s v="EQ"/>
    <n v="1464"/>
    <n v="1472.4"/>
    <n v="1460.5"/>
    <n v="1450.8"/>
    <n v="1467.6"/>
    <n v="1467.3"/>
    <n v="1467.46"/>
    <n v="3217.6"/>
    <n v="1114.8499999999999"/>
    <n v="7525851"/>
    <n v="11043861535.4"/>
    <n v="197720"/>
    <x v="7"/>
    <n v="-13.200000000000045"/>
    <x v="4"/>
    <n v="6"/>
    <x v="6"/>
    <n v="0.2858955987717503"/>
  </r>
  <r>
    <d v="2025-06-24T00:00:00"/>
    <s v="EQ"/>
    <n v="1465"/>
    <n v="1475"/>
    <n v="1443.1"/>
    <n v="1456.8"/>
    <n v="1456.8"/>
    <n v="1450.8"/>
    <n v="1456.68"/>
    <n v="3217.6"/>
    <n v="1114.8499999999999"/>
    <n v="16402744"/>
    <n v="23893522923.200001"/>
    <n v="284313"/>
    <x v="7"/>
    <n v="-8.2000000000000455"/>
    <x v="4"/>
    <n v="6"/>
    <x v="6"/>
    <n v="0.2858955987717503"/>
  </r>
  <r>
    <d v="2025-06-23T00:00:00"/>
    <s v="EQ"/>
    <n v="1453"/>
    <n v="1463.8"/>
    <n v="1442"/>
    <n v="1466.2"/>
    <n v="1456"/>
    <n v="1456.8"/>
    <n v="1453.48"/>
    <n v="3217.6"/>
    <n v="1114.8499999999999"/>
    <n v="5989078"/>
    <n v="8705005211.5"/>
    <n v="226309"/>
    <x v="7"/>
    <n v="13.200000000000045"/>
    <x v="4"/>
    <n v="6"/>
    <x v="6"/>
    <n v="0.2858955987717503"/>
  </r>
  <r>
    <d v="2025-06-20T00:00:00"/>
    <s v="EQ"/>
    <n v="1431"/>
    <n v="1471"/>
    <n v="1428.1"/>
    <n v="1433.3"/>
    <n v="1464.1"/>
    <n v="1466.2"/>
    <n v="1462.68"/>
    <n v="3217.6"/>
    <n v="1114.8499999999999"/>
    <n v="29010635"/>
    <n v="42433300495.599998"/>
    <n v="276278"/>
    <x v="7"/>
    <n v="2.2999999999999545"/>
    <x v="4"/>
    <n v="6"/>
    <x v="6"/>
    <n v="0.2858955987717503"/>
  </r>
  <r>
    <d v="2025-06-19T00:00:00"/>
    <s v="EQ"/>
    <n v="1430.1"/>
    <n v="1439.9"/>
    <n v="1425.7"/>
    <n v="1430.1"/>
    <n v="1428"/>
    <n v="1433.3"/>
    <n v="1433.8"/>
    <n v="3217.6"/>
    <n v="1114.8499999999999"/>
    <n v="10007230"/>
    <n v="14348370217.6"/>
    <n v="179473"/>
    <x v="7"/>
    <n v="0"/>
    <x v="4"/>
    <n v="6"/>
    <x v="6"/>
    <n v="0.2858955987717503"/>
  </r>
  <r>
    <d v="2025-06-18T00:00:00"/>
    <s v="EQ"/>
    <n v="1430"/>
    <n v="1442.8"/>
    <n v="1425.7"/>
    <n v="1431.2"/>
    <n v="1429.7"/>
    <n v="1430.1"/>
    <n v="1431.31"/>
    <n v="3217.6"/>
    <n v="1114.8499999999999"/>
    <n v="6681735"/>
    <n v="9563629434"/>
    <n v="138211"/>
    <x v="7"/>
    <n v="1.2000000000000455"/>
    <x v="4"/>
    <n v="6"/>
    <x v="6"/>
    <n v="0.2858955987717503"/>
  </r>
  <r>
    <d v="2025-06-17T00:00:00"/>
    <s v="EQ"/>
    <n v="1448"/>
    <n v="1448"/>
    <n v="1425.8"/>
    <n v="1437.8"/>
    <n v="1430"/>
    <n v="1431.2"/>
    <n v="1432.15"/>
    <n v="3217.6"/>
    <n v="1114.8499999999999"/>
    <n v="10366599"/>
    <n v="14846517402.4"/>
    <n v="191173"/>
    <x v="7"/>
    <n v="-10.200000000000045"/>
    <x v="4"/>
    <n v="6"/>
    <x v="6"/>
    <n v="0.2858955987717503"/>
  </r>
  <r>
    <d v="2025-06-16T00:00:00"/>
    <s v="EQ"/>
    <n v="1426.9"/>
    <n v="1442.4"/>
    <n v="1424.4"/>
    <n v="1427.9"/>
    <n v="1436.9"/>
    <n v="1437.8"/>
    <n v="1436.42"/>
    <n v="3217.6"/>
    <n v="1114.8499999999999"/>
    <n v="8458093"/>
    <n v="12149412490.700001"/>
    <n v="213623"/>
    <x v="7"/>
    <n v="1"/>
    <x v="4"/>
    <n v="6"/>
    <x v="6"/>
    <n v="0.2858955987717503"/>
  </r>
  <r>
    <d v="2025-06-13T00:00:00"/>
    <s v="EQ"/>
    <n v="1424"/>
    <n v="1435.5"/>
    <n v="1414.3"/>
    <n v="1441.6"/>
    <n v="1427.5"/>
    <n v="1427.9"/>
    <n v="1423.95"/>
    <n v="3217.6"/>
    <n v="1114.8499999999999"/>
    <n v="9757276"/>
    <n v="13893905321.299999"/>
    <n v="202256"/>
    <x v="7"/>
    <n v="17.599999999999909"/>
    <x v="4"/>
    <n v="6"/>
    <x v="6"/>
    <n v="0.2858955987717503"/>
  </r>
  <r>
    <d v="2025-06-12T00:00:00"/>
    <s v="EQ"/>
    <n v="1453.5"/>
    <n v="1457"/>
    <n v="1434.4"/>
    <n v="1448.9"/>
    <n v="1439.5"/>
    <n v="1441.6"/>
    <n v="1444.32"/>
    <n v="3217.6"/>
    <n v="1114.8499999999999"/>
    <n v="8828114"/>
    <n v="12750612321.299999"/>
    <n v="190194"/>
    <x v="7"/>
    <n v="-4.5999999999999091"/>
    <x v="4"/>
    <n v="6"/>
    <x v="6"/>
    <n v="0.2858955987717503"/>
  </r>
  <r>
    <d v="2025-06-11T00:00:00"/>
    <s v="EQ"/>
    <n v="1445.8"/>
    <n v="1468.6"/>
    <n v="1443.1"/>
    <n v="1438.5"/>
    <n v="1448"/>
    <n v="1448.9"/>
    <n v="1456.11"/>
    <n v="3217.6"/>
    <n v="1114.8499999999999"/>
    <n v="8195700"/>
    <n v="11933850942.700001"/>
    <n v="184593"/>
    <x v="7"/>
    <n v="-7.2999999999999545"/>
    <x v="4"/>
    <n v="6"/>
    <x v="6"/>
    <n v="0.2858955987717503"/>
  </r>
  <r>
    <d v="2025-06-10T00:00:00"/>
    <s v="EQ"/>
    <n v="1450"/>
    <n v="1453.9"/>
    <n v="1436"/>
    <n v="1448.8"/>
    <n v="1437.3"/>
    <n v="1438.5"/>
    <n v="1442.59"/>
    <n v="3217.6"/>
    <n v="1114.8499999999999"/>
    <n v="7913181"/>
    <n v="11415476580.5"/>
    <n v="167203"/>
    <x v="7"/>
    <n v="-1.2000000000000455"/>
    <x v="4"/>
    <n v="6"/>
    <x v="6"/>
    <n v="0.2858955987717503"/>
  </r>
  <r>
    <d v="2025-06-09T00:00:00"/>
    <s v="EQ"/>
    <n v="1457"/>
    <n v="1457.5"/>
    <n v="1445.3"/>
    <n v="1443.5"/>
    <n v="1447.2"/>
    <n v="1448.8"/>
    <n v="1449.95"/>
    <n v="3217.6"/>
    <n v="1114.8499999999999"/>
    <n v="7885125"/>
    <n v="11433033631.799999"/>
    <n v="159916"/>
    <x v="7"/>
    <n v="-13.5"/>
    <x v="4"/>
    <n v="6"/>
    <x v="6"/>
    <n v="0.2858955987717503"/>
  </r>
  <r>
    <d v="2025-06-06T00:00:00"/>
    <s v="EQ"/>
    <n v="1441"/>
    <n v="1451.5"/>
    <n v="1437"/>
    <n v="1442.4"/>
    <n v="1443"/>
    <n v="1443.5"/>
    <n v="1444.22"/>
    <n v="3217.6"/>
    <n v="1114.8499999999999"/>
    <n v="8182161"/>
    <n v="11816875426.1"/>
    <n v="179734"/>
    <x v="7"/>
    <n v="1.4000000000000909"/>
    <x v="4"/>
    <n v="6"/>
    <x v="6"/>
    <n v="0.2858955987717503"/>
  </r>
  <r>
    <d v="2025-06-05T00:00:00"/>
    <s v="EQ"/>
    <n v="1428"/>
    <n v="1454.7"/>
    <n v="1423.6"/>
    <n v="1423.5"/>
    <n v="1442.7"/>
    <n v="1442.4"/>
    <n v="1442.72"/>
    <n v="3217.6"/>
    <n v="1114.8499999999999"/>
    <n v="13716817"/>
    <n v="19789468217"/>
    <n v="304069"/>
    <x v="7"/>
    <n v="-4.5"/>
    <x v="4"/>
    <n v="6"/>
    <x v="6"/>
    <n v="0.2858955987717503"/>
  </r>
  <r>
    <d v="2025-06-04T00:00:00"/>
    <s v="EQ"/>
    <n v="1414.7"/>
    <n v="1425.7"/>
    <n v="1406.1"/>
    <n v="1405.5"/>
    <n v="1421"/>
    <n v="1423.5"/>
    <n v="1415.78"/>
    <n v="3217.6"/>
    <n v="1114.8499999999999"/>
    <n v="8126827"/>
    <n v="11505806730.5"/>
    <n v="152064"/>
    <x v="7"/>
    <n v="-9.2000000000000455"/>
    <x v="4"/>
    <n v="6"/>
    <x v="6"/>
    <n v="0.2858955987717503"/>
  </r>
  <r>
    <d v="2025-06-03T00:00:00"/>
    <s v="EQ"/>
    <n v="1422.3"/>
    <n v="1426.5"/>
    <n v="1403.4"/>
    <n v="1413.7"/>
    <n v="1405.4"/>
    <n v="1405.5"/>
    <n v="1412.34"/>
    <n v="3217.6"/>
    <n v="1114.8499999999999"/>
    <n v="11252626"/>
    <n v="15892572174.1"/>
    <n v="230110"/>
    <x v="7"/>
    <n v="-8.5999999999999091"/>
    <x v="4"/>
    <n v="6"/>
    <x v="6"/>
    <n v="0.2858955987717503"/>
  </r>
  <r>
    <d v="2025-06-02T00:00:00"/>
    <s v="EQ"/>
    <n v="1412.1"/>
    <n v="1417.5"/>
    <n v="1395.6"/>
    <n v="1420.9"/>
    <n v="1412.6"/>
    <n v="1413.7"/>
    <n v="1407.75"/>
    <n v="3217.6"/>
    <n v="1114.8499999999999"/>
    <n v="8098668"/>
    <n v="11400864785"/>
    <n v="189977"/>
    <x v="7"/>
    <n v="8.8000000000001819"/>
    <x v="4"/>
    <n v="6"/>
    <x v="6"/>
    <n v="0.2858955987717503"/>
  </r>
  <r>
    <d v="2025-05-30T00:00:00"/>
    <s v="EQ"/>
    <n v="1418"/>
    <n v="1430.6"/>
    <n v="1409.7"/>
    <n v="1417.8"/>
    <n v="1417.9"/>
    <n v="1420.9"/>
    <n v="1419.89"/>
    <n v="3217.6"/>
    <n v="1114.8499999999999"/>
    <n v="13788484"/>
    <n v="19578154095"/>
    <n v="155127"/>
    <x v="7"/>
    <n v="-0.20000000000004547"/>
    <x v="4"/>
    <n v="5"/>
    <x v="7"/>
    <n v="0.2858955987717503"/>
  </r>
  <r>
    <d v="2025-05-29T00:00:00"/>
    <s v="EQ"/>
    <n v="1412.1"/>
    <n v="1420"/>
    <n v="1408.6"/>
    <n v="1412.9"/>
    <n v="1419.5"/>
    <n v="1417.8"/>
    <n v="1414.72"/>
    <n v="3217.6"/>
    <n v="1114.8499999999999"/>
    <n v="13771917"/>
    <n v="19483424681.599998"/>
    <n v="265116"/>
    <x v="7"/>
    <n v="0.8000000000001819"/>
    <x v="4"/>
    <n v="5"/>
    <x v="7"/>
    <n v="0.2858955987717503"/>
  </r>
  <r>
    <d v="2025-05-28T00:00:00"/>
    <s v="EQ"/>
    <n v="1420.1"/>
    <n v="1422.6"/>
    <n v="1410.7"/>
    <n v="1422.1"/>
    <n v="1412.8"/>
    <n v="1412.9"/>
    <n v="1414.99"/>
    <n v="3217.6"/>
    <n v="1114.8499999999999"/>
    <n v="5944611"/>
    <n v="8411575745.5"/>
    <n v="169185"/>
    <x v="7"/>
    <n v="2"/>
    <x v="4"/>
    <n v="5"/>
    <x v="7"/>
    <n v="0.2858955987717503"/>
  </r>
  <r>
    <d v="2025-05-27T00:00:00"/>
    <s v="EQ"/>
    <n v="1426.1"/>
    <n v="1437"/>
    <n v="1413.9"/>
    <n v="1434.8"/>
    <n v="1424.2"/>
    <n v="1422.1"/>
    <n v="1421.81"/>
    <n v="3217.6"/>
    <n v="1114.8499999999999"/>
    <n v="12640414"/>
    <n v="17972211281.700001"/>
    <n v="211047"/>
    <x v="7"/>
    <n v="8.7000000000000455"/>
    <x v="4"/>
    <n v="5"/>
    <x v="7"/>
    <n v="0.2858955987717503"/>
  </r>
  <r>
    <d v="2025-05-26T00:00:00"/>
    <s v="EQ"/>
    <n v="1432"/>
    <n v="1441"/>
    <n v="1425.1"/>
    <n v="1426.8"/>
    <n v="1435.9"/>
    <n v="1434.8"/>
    <n v="1437.16"/>
    <n v="3217.6"/>
    <n v="1114.8499999999999"/>
    <n v="4842944"/>
    <n v="6960105851.3999996"/>
    <n v="171837"/>
    <x v="7"/>
    <n v="-5.2000000000000455"/>
    <x v="4"/>
    <n v="5"/>
    <x v="7"/>
    <n v="0.2858955987717503"/>
  </r>
  <r>
    <d v="2025-05-23T00:00:00"/>
    <s v="EQ"/>
    <n v="1406.6"/>
    <n v="1433.8"/>
    <n v="1406.6"/>
    <n v="1409.4"/>
    <n v="1426"/>
    <n v="1426.8"/>
    <n v="1424.63"/>
    <n v="3217.6"/>
    <n v="1114.8499999999999"/>
    <n v="6474883"/>
    <n v="9224312172.6000004"/>
    <n v="135371"/>
    <x v="7"/>
    <n v="2.8000000000001819"/>
    <x v="4"/>
    <n v="5"/>
    <x v="7"/>
    <n v="0.2858955987717503"/>
  </r>
  <r>
    <d v="2025-05-22T00:00:00"/>
    <s v="EQ"/>
    <n v="1421.2"/>
    <n v="1423.8"/>
    <n v="1396.9"/>
    <n v="1429.2"/>
    <n v="1411.5"/>
    <n v="1409.4"/>
    <n v="1406.85"/>
    <n v="3217.6"/>
    <n v="1114.8499999999999"/>
    <n v="12134466"/>
    <n v="17071402011.9"/>
    <n v="228031"/>
    <x v="7"/>
    <n v="8"/>
    <x v="4"/>
    <n v="5"/>
    <x v="7"/>
    <n v="0.2858955987717503"/>
  </r>
  <r>
    <d v="2025-05-21T00:00:00"/>
    <s v="EQ"/>
    <n v="1423.9"/>
    <n v="1436.2"/>
    <n v="1418.1"/>
    <n v="1424.6"/>
    <n v="1428.2"/>
    <n v="1429.2"/>
    <n v="1427.75"/>
    <n v="3217.6"/>
    <n v="1114.8499999999999"/>
    <n v="6136364"/>
    <n v="8761209045.8999996"/>
    <n v="232529"/>
    <x v="7"/>
    <n v="0.6999999999998181"/>
    <x v="4"/>
    <n v="5"/>
    <x v="7"/>
    <n v="0.2858955987717503"/>
  </r>
  <r>
    <d v="2025-05-20T00:00:00"/>
    <s v="EQ"/>
    <n v="1438.2"/>
    <n v="1445"/>
    <n v="1421.8"/>
    <n v="1440.8"/>
    <n v="1424.5"/>
    <n v="1424.6"/>
    <n v="1429.91"/>
    <n v="3217.6"/>
    <n v="1114.8499999999999"/>
    <n v="11270560"/>
    <n v="16115906328.299999"/>
    <n v="182531"/>
    <x v="7"/>
    <n v="2.5999999999999091"/>
    <x v="4"/>
    <n v="5"/>
    <x v="7"/>
    <n v="0.2858955987717503"/>
  </r>
  <r>
    <d v="2025-05-19T00:00:00"/>
    <s v="EQ"/>
    <n v="1452.1"/>
    <n v="1454.6"/>
    <n v="1438.2"/>
    <n v="1456.4"/>
    <n v="1442.9"/>
    <n v="1440.8"/>
    <n v="1443.67"/>
    <n v="3217.6"/>
    <n v="1114.8499999999999"/>
    <n v="6195791"/>
    <n v="8944705922.2999992"/>
    <n v="144606"/>
    <x v="7"/>
    <n v="4.3000000000001819"/>
    <x v="4"/>
    <n v="5"/>
    <x v="7"/>
    <n v="0.2858955987717503"/>
  </r>
  <r>
    <d v="2025-05-16T00:00:00"/>
    <s v="EQ"/>
    <n v="1453.2"/>
    <n v="1461"/>
    <n v="1447.3"/>
    <n v="1454.2"/>
    <n v="1454.8"/>
    <n v="1456.4"/>
    <n v="1455.16"/>
    <n v="3217.6"/>
    <n v="1114.8499999999999"/>
    <n v="9036695"/>
    <n v="13149797875.4"/>
    <n v="196322"/>
    <x v="7"/>
    <n v="1"/>
    <x v="4"/>
    <n v="5"/>
    <x v="7"/>
    <n v="0.2858955987717503"/>
  </r>
  <r>
    <d v="2025-05-15T00:00:00"/>
    <s v="EQ"/>
    <n v="1425"/>
    <n v="1461.4"/>
    <n v="1412.7"/>
    <n v="1424.4"/>
    <n v="1453"/>
    <n v="1454.2"/>
    <n v="1441.41"/>
    <n v="3217.6"/>
    <n v="1114.8499999999999"/>
    <n v="20177211"/>
    <n v="29083683834.799999"/>
    <n v="314261"/>
    <x v="7"/>
    <n v="-0.59999999999990905"/>
    <x v="4"/>
    <n v="5"/>
    <x v="7"/>
    <n v="0.2858955987717503"/>
  </r>
  <r>
    <d v="2025-05-14T00:00:00"/>
    <s v="EQ"/>
    <n v="1420"/>
    <n v="1429.9"/>
    <n v="1415.5"/>
    <n v="1415.7"/>
    <n v="1425.2"/>
    <n v="1424.4"/>
    <n v="1423.31"/>
    <n v="3217.6"/>
    <n v="1114.8499999999999"/>
    <n v="5570160"/>
    <n v="7928045614.6999998"/>
    <n v="145014"/>
    <x v="7"/>
    <n v="-4.2999999999999545"/>
    <x v="4"/>
    <n v="5"/>
    <x v="7"/>
    <n v="0.2858955987717503"/>
  </r>
  <r>
    <d v="2025-05-13T00:00:00"/>
    <s v="EQ"/>
    <n v="1433.5"/>
    <n v="1447.7"/>
    <n v="1412.4"/>
    <n v="1436.5"/>
    <n v="1416.5"/>
    <n v="1415.7"/>
    <n v="1423.23"/>
    <n v="3217.6"/>
    <n v="1114.8499999999999"/>
    <n v="11407896"/>
    <n v="16236102678.9"/>
    <n v="281992"/>
    <x v="7"/>
    <n v="3"/>
    <x v="4"/>
    <n v="5"/>
    <x v="7"/>
    <n v="0.2858955987717503"/>
  </r>
  <r>
    <d v="2025-05-12T00:00:00"/>
    <s v="EQ"/>
    <n v="1400"/>
    <n v="1439"/>
    <n v="1400"/>
    <n v="1377.2"/>
    <n v="1436.9"/>
    <n v="1436.5"/>
    <n v="1426.35"/>
    <n v="3217.6"/>
    <n v="1114.8499999999999"/>
    <n v="10674081"/>
    <n v="15224970250.5"/>
    <n v="310602"/>
    <x v="7"/>
    <n v="-22.799999999999955"/>
    <x v="4"/>
    <n v="5"/>
    <x v="7"/>
    <n v="0.2858955987717503"/>
  </r>
  <r>
    <d v="2025-05-09T00:00:00"/>
    <s v="EQ"/>
    <n v="1385.5"/>
    <n v="1394.8"/>
    <n v="1374.5"/>
    <n v="1407"/>
    <n v="1379.5"/>
    <n v="1377.2"/>
    <n v="1382.39"/>
    <n v="3217.6"/>
    <n v="1114.8499999999999"/>
    <n v="13668904"/>
    <n v="18895751340.099998"/>
    <n v="388013"/>
    <x v="7"/>
    <n v="21.5"/>
    <x v="4"/>
    <n v="5"/>
    <x v="7"/>
    <n v="0.2858955987717503"/>
  </r>
  <r>
    <d v="2025-05-08T00:00:00"/>
    <s v="EQ"/>
    <n v="1404.1"/>
    <n v="1420.8"/>
    <n v="1398"/>
    <n v="1406"/>
    <n v="1398"/>
    <n v="1407"/>
    <n v="1410.51"/>
    <n v="3217.6"/>
    <n v="1114.8499999999999"/>
    <n v="16106175"/>
    <n v="22717878064.299999"/>
    <n v="231342"/>
    <x v="7"/>
    <n v="1.9000000000000909"/>
    <x v="4"/>
    <n v="5"/>
    <x v="7"/>
    <n v="0.2858955987717503"/>
  </r>
  <r>
    <d v="2025-05-07T00:00:00"/>
    <s v="EQ"/>
    <n v="1420.9"/>
    <n v="1424.4"/>
    <n v="1402.7"/>
    <n v="1420.9"/>
    <n v="1405.9"/>
    <n v="1406"/>
    <n v="1412.79"/>
    <n v="3217.6"/>
    <n v="1114.8499999999999"/>
    <n v="13440169"/>
    <n v="18988126278.299999"/>
    <n v="222903"/>
    <x v="7"/>
    <n v="0"/>
    <x v="4"/>
    <n v="5"/>
    <x v="7"/>
    <n v="0.2858955987717503"/>
  </r>
  <r>
    <d v="2025-05-06T00:00:00"/>
    <s v="EQ"/>
    <n v="1431"/>
    <n v="1432"/>
    <n v="1410.6"/>
    <n v="1431.3"/>
    <n v="1418"/>
    <n v="1420.9"/>
    <n v="1419.01"/>
    <n v="3217.6"/>
    <n v="1114.8499999999999"/>
    <n v="14084117"/>
    <n v="19985559677.400002"/>
    <n v="226761"/>
    <x v="7"/>
    <n v="0.29999999999995453"/>
    <x v="4"/>
    <n v="5"/>
    <x v="7"/>
    <n v="0.2858955987717503"/>
  </r>
  <r>
    <d v="2025-05-05T00:00:00"/>
    <s v="EQ"/>
    <n v="1431"/>
    <n v="1439.5"/>
    <n v="1426.9"/>
    <n v="1422.4"/>
    <n v="1430"/>
    <n v="1431.3"/>
    <n v="1432"/>
    <n v="3217.6"/>
    <n v="1114.8499999999999"/>
    <n v="12685649"/>
    <n v="18165843553"/>
    <n v="204503"/>
    <x v="7"/>
    <n v="-8.5999999999999091"/>
    <x v="4"/>
    <n v="5"/>
    <x v="7"/>
    <n v="0.2858955987717503"/>
  </r>
  <r>
    <d v="2025-05-02T00:00:00"/>
    <s v="EQ"/>
    <n v="1414"/>
    <n v="1426.7"/>
    <n v="1409.1"/>
    <n v="1405"/>
    <n v="1422.5"/>
    <n v="1422.4"/>
    <n v="1419.65"/>
    <n v="3217.6"/>
    <n v="1114.8499999999999"/>
    <n v="17535402"/>
    <n v="24894140200"/>
    <n v="378385"/>
    <x v="7"/>
    <n v="-9"/>
    <x v="4"/>
    <n v="5"/>
    <x v="7"/>
    <n v="0.2858955987717503"/>
  </r>
  <r>
    <d v="2025-04-30T00:00:00"/>
    <s v="EQ"/>
    <n v="1402"/>
    <n v="1412.4"/>
    <n v="1369"/>
    <n v="1399.7"/>
    <n v="1395"/>
    <n v="1405"/>
    <n v="1404.87"/>
    <n v="3217.6"/>
    <n v="1114.8499999999999"/>
    <n v="25480745"/>
    <n v="35797220282"/>
    <n v="598769"/>
    <x v="7"/>
    <n v="-2.2999999999999545"/>
    <x v="4"/>
    <n v="4"/>
    <x v="8"/>
    <n v="0.2858955987717503"/>
  </r>
  <r>
    <d v="2025-04-29T00:00:00"/>
    <s v="EQ"/>
    <n v="1371"/>
    <n v="1410.9"/>
    <n v="1370"/>
    <n v="1368.8"/>
    <n v="1398.9"/>
    <n v="1399.7"/>
    <n v="1395.77"/>
    <n v="3217.6"/>
    <n v="1114.8499999999999"/>
    <n v="32538970"/>
    <n v="45417061104.5"/>
    <n v="680195"/>
    <x v="7"/>
    <n v="-2.2000000000000455"/>
    <x v="4"/>
    <n v="4"/>
    <x v="8"/>
    <n v="0.2858955987717503"/>
  </r>
  <r>
    <d v="2025-04-28T00:00:00"/>
    <s v="EQ"/>
    <n v="1340"/>
    <n v="1374.6"/>
    <n v="1320.2"/>
    <n v="1300.4000000000001"/>
    <n v="1366.3"/>
    <n v="1368.8"/>
    <n v="1355.02"/>
    <n v="3217.6"/>
    <n v="1114.8499999999999"/>
    <n v="31104496"/>
    <n v="42147123069"/>
    <n v="893347"/>
    <x v="7"/>
    <n v="-39.599999999999909"/>
    <x v="4"/>
    <n v="4"/>
    <x v="8"/>
    <n v="0.2858955987717503"/>
  </r>
  <r>
    <d v="2025-04-25T00:00:00"/>
    <s v="EQ"/>
    <n v="1303.5"/>
    <n v="1325.2"/>
    <n v="1288.0999999999999"/>
    <n v="1301.5999999999999"/>
    <n v="1301"/>
    <n v="1300.4000000000001"/>
    <n v="1303.3"/>
    <n v="3217.6"/>
    <n v="1114.8499999999999"/>
    <n v="14431012"/>
    <n v="18807907514.700001"/>
    <n v="307093"/>
    <x v="7"/>
    <n v="-1.9000000000000909"/>
    <x v="4"/>
    <n v="4"/>
    <x v="8"/>
    <n v="0.2858955987717503"/>
  </r>
  <r>
    <d v="2025-04-24T00:00:00"/>
    <s v="EQ"/>
    <n v="1292.4000000000001"/>
    <n v="1304.5"/>
    <n v="1290.3"/>
    <n v="1300"/>
    <n v="1303.5"/>
    <n v="1301.5999999999999"/>
    <n v="1298.32"/>
    <n v="3217.6"/>
    <n v="1114.8499999999999"/>
    <n v="10468940"/>
    <n v="13592084385"/>
    <n v="181309"/>
    <x v="7"/>
    <n v="7.5999999999999091"/>
    <x v="4"/>
    <n v="4"/>
    <x v="8"/>
    <n v="0.2858955987717503"/>
  </r>
  <r>
    <d v="2025-04-23T00:00:00"/>
    <s v="EQ"/>
    <n v="1297"/>
    <n v="1306"/>
    <n v="1285.4000000000001"/>
    <n v="1291.2"/>
    <n v="1297"/>
    <n v="1300"/>
    <n v="1297.08"/>
    <n v="3217.6"/>
    <n v="1114.8499999999999"/>
    <n v="10480888"/>
    <n v="13594597555"/>
    <n v="232149"/>
    <x v="7"/>
    <n v="-5.7999999999999545"/>
    <x v="4"/>
    <n v="4"/>
    <x v="8"/>
    <n v="0.2858955987717503"/>
  </r>
  <r>
    <d v="2025-04-22T00:00:00"/>
    <s v="EQ"/>
    <n v="1300"/>
    <n v="1303.9000000000001"/>
    <n v="1286.3"/>
    <n v="1295.5"/>
    <n v="1289"/>
    <n v="1291.2"/>
    <n v="1295.99"/>
    <n v="3217.6"/>
    <n v="1114.8499999999999"/>
    <n v="13051707"/>
    <n v="16914900850.299999"/>
    <n v="229331"/>
    <x v="7"/>
    <n v="-4.5"/>
    <x v="4"/>
    <n v="4"/>
    <x v="8"/>
    <n v="0.2858955987717503"/>
  </r>
  <r>
    <d v="2025-04-21T00:00:00"/>
    <s v="EQ"/>
    <n v="1270"/>
    <n v="1300.9000000000001"/>
    <n v="1267"/>
    <n v="1274.5"/>
    <n v="1295.2"/>
    <n v="1295.5"/>
    <n v="1291.47"/>
    <n v="3217.6"/>
    <n v="1114.8499999999999"/>
    <n v="10429964"/>
    <n v="13469949890"/>
    <n v="257857"/>
    <x v="7"/>
    <n v="4.5"/>
    <x v="4"/>
    <n v="4"/>
    <x v="8"/>
    <n v="0.2858955987717503"/>
  </r>
  <r>
    <d v="2025-04-17T00:00:00"/>
    <s v="EQ"/>
    <n v="1240.2"/>
    <n v="1280.2"/>
    <n v="1227.5999999999999"/>
    <n v="1239.3"/>
    <n v="1273"/>
    <n v="1274.5"/>
    <n v="1260.3800000000001"/>
    <n v="3217.6"/>
    <n v="1114.8499999999999"/>
    <n v="15398401"/>
    <n v="19407871411"/>
    <n v="321235"/>
    <x v="7"/>
    <n v="-0.90000000000009095"/>
    <x v="4"/>
    <n v="4"/>
    <x v="8"/>
    <n v="0.2858955987717503"/>
  </r>
  <r>
    <d v="2025-04-16T00:00:00"/>
    <s v="EQ"/>
    <n v="1234.0999999999999"/>
    <n v="1240.9000000000001"/>
    <n v="1229"/>
    <n v="1240.0999999999999"/>
    <n v="1238"/>
    <n v="1239.3"/>
    <n v="1235.6099999999999"/>
    <n v="3217.6"/>
    <n v="1114.8499999999999"/>
    <n v="8248464"/>
    <n v="10191864641.700001"/>
    <n v="164065"/>
    <x v="7"/>
    <n v="6"/>
    <x v="4"/>
    <n v="4"/>
    <x v="8"/>
    <n v="0.2858955987717503"/>
  </r>
  <r>
    <d v="2025-04-15T00:00:00"/>
    <s v="EQ"/>
    <n v="1251"/>
    <n v="1251"/>
    <n v="1237.0999999999999"/>
    <n v="1218.95"/>
    <n v="1239.5999999999999"/>
    <n v="1240.0999999999999"/>
    <n v="1242.83"/>
    <n v="3217.6"/>
    <n v="1114.8499999999999"/>
    <n v="13378535"/>
    <n v="16627177949.1"/>
    <n v="199888"/>
    <x v="7"/>
    <n v="-32.049999999999955"/>
    <x v="4"/>
    <n v="4"/>
    <x v="8"/>
    <n v="0.2858955987717503"/>
  </r>
  <r>
    <d v="2025-04-11T00:00:00"/>
    <s v="EQ"/>
    <n v="1195.1500000000001"/>
    <n v="1222.6500000000001"/>
    <n v="1195.1500000000001"/>
    <n v="1185.3499999999999"/>
    <n v="1220"/>
    <n v="1218.95"/>
    <n v="1214.05"/>
    <n v="3217.6"/>
    <n v="1114.8499999999999"/>
    <n v="11224242"/>
    <n v="13626831085.65"/>
    <n v="187059"/>
    <x v="7"/>
    <n v="-9.8000000000001819"/>
    <x v="4"/>
    <n v="4"/>
    <x v="8"/>
    <n v="0.2858955987717503"/>
  </r>
  <r>
    <d v="2025-04-09T00:00:00"/>
    <s v="EQ"/>
    <n v="1169.5"/>
    <n v="1189.8"/>
    <n v="1168"/>
    <n v="1182.2"/>
    <n v="1187.5"/>
    <n v="1185.3499999999999"/>
    <n v="1183.08"/>
    <n v="3217.6"/>
    <n v="1114.8499999999999"/>
    <n v="10223104"/>
    <n v="12094749463.200001"/>
    <n v="193325"/>
    <x v="7"/>
    <n v="12.700000000000045"/>
    <x v="4"/>
    <n v="4"/>
    <x v="8"/>
    <n v="0.2858955987717503"/>
  </r>
  <r>
    <d v="2025-04-08T00:00:00"/>
    <s v="EQ"/>
    <n v="1172"/>
    <n v="1196.5999999999999"/>
    <n v="1163.3"/>
    <n v="1165.7"/>
    <n v="1181.05"/>
    <n v="1182.2"/>
    <n v="1179.5"/>
    <n v="3217.6"/>
    <n v="1114.8499999999999"/>
    <n v="19555040"/>
    <n v="23065209423"/>
    <n v="314171"/>
    <x v="7"/>
    <n v="-6.2999999999999545"/>
    <x v="4"/>
    <n v="4"/>
    <x v="8"/>
    <n v="0.2858955987717503"/>
  </r>
  <r>
    <d v="2025-04-07T00:00:00"/>
    <s v="EQ"/>
    <n v="1132.2"/>
    <n v="1171.25"/>
    <n v="1114.8499999999999"/>
    <n v="1204.7"/>
    <n v="1171.25"/>
    <n v="1165.7"/>
    <n v="1150.54"/>
    <n v="3217.6"/>
    <n v="1114.8499999999999"/>
    <n v="22156106"/>
    <n v="25491501838.900002"/>
    <n v="677564"/>
    <x v="7"/>
    <n v="72.5"/>
    <x v="4"/>
    <n v="4"/>
    <x v="8"/>
    <n v="0.2858955987717503"/>
  </r>
  <r>
    <d v="2025-04-04T00:00:00"/>
    <s v="EQ"/>
    <n v="1241.0999999999999"/>
    <n v="1245.45"/>
    <n v="1193.1500000000001"/>
    <n v="1248.7"/>
    <n v="1205.9000000000001"/>
    <n v="1204.7"/>
    <n v="1206.6199999999999"/>
    <n v="3217.6"/>
    <n v="1156"/>
    <n v="17908652"/>
    <n v="21608977995.099998"/>
    <n v="542347"/>
    <x v="7"/>
    <n v="7.6000000000001364"/>
    <x v="4"/>
    <n v="4"/>
    <x v="8"/>
    <n v="0.2858955987717503"/>
  </r>
  <r>
    <d v="2025-04-03T00:00:00"/>
    <s v="EQ"/>
    <n v="1233.05"/>
    <n v="1251.8"/>
    <n v="1233.05"/>
    <n v="1251.1500000000001"/>
    <n v="1248.5"/>
    <n v="1248.7"/>
    <n v="1246.31"/>
    <n v="3217.6"/>
    <n v="1156"/>
    <n v="7434366"/>
    <n v="9265530670.8500004"/>
    <n v="146316"/>
    <x v="7"/>
    <n v="18.100000000000136"/>
    <x v="4"/>
    <n v="4"/>
    <x v="8"/>
    <n v="0.2858955987717503"/>
  </r>
  <r>
    <d v="2025-04-02T00:00:00"/>
    <s v="EQ"/>
    <n v="1247.55"/>
    <n v="1255.55"/>
    <n v="1243.9000000000001"/>
    <n v="1252.5999999999999"/>
    <n v="1252"/>
    <n v="1251.1500000000001"/>
    <n v="1251.04"/>
    <n v="3217.6"/>
    <n v="1156"/>
    <n v="10142590"/>
    <n v="12688802512.15"/>
    <n v="177979"/>
    <x v="7"/>
    <n v="5.0499999999999545"/>
    <x v="4"/>
    <n v="4"/>
    <x v="8"/>
    <n v="0.2858955987717503"/>
  </r>
  <r>
    <d v="2025-04-01T00:00:00"/>
    <s v="EQ"/>
    <n v="1264.5999999999999"/>
    <n v="1277.9000000000001"/>
    <n v="1249.3"/>
    <n v="1275.0999999999999"/>
    <n v="1254"/>
    <n v="1252.5999999999999"/>
    <n v="1260.72"/>
    <n v="3217.6"/>
    <n v="1156"/>
    <n v="12099648"/>
    <n v="15254261046.799999"/>
    <n v="260862"/>
    <x v="7"/>
    <n v="10.5"/>
    <x v="4"/>
    <n v="4"/>
    <x v="8"/>
    <n v="0.2858955987717503"/>
  </r>
  <r>
    <d v="2025-03-28T00:00:00"/>
    <s v="EQ"/>
    <n v="1280"/>
    <n v="1295.75"/>
    <n v="1269"/>
    <n v="1278.2"/>
    <n v="1274"/>
    <n v="1275.0999999999999"/>
    <n v="1278.1500000000001"/>
    <n v="3217.6"/>
    <n v="1156"/>
    <n v="18147129"/>
    <n v="23194774030.900002"/>
    <n v="265113"/>
    <x v="7"/>
    <n v="-1.7999999999999545"/>
    <x v="4"/>
    <n v="3"/>
    <x v="9"/>
    <n v="0.2858955987717503"/>
  </r>
  <r>
    <d v="2025-03-27T00:00:00"/>
    <s v="EQ"/>
    <n v="1278.1500000000001"/>
    <n v="1285"/>
    <n v="1271.3"/>
    <n v="1273.05"/>
    <n v="1280"/>
    <n v="1278.2"/>
    <n v="1278.9000000000001"/>
    <n v="3217.6"/>
    <n v="1156"/>
    <n v="15028056"/>
    <n v="19219399902.900002"/>
    <n v="224828"/>
    <x v="7"/>
    <n v="-5.1000000000001364"/>
    <x v="4"/>
    <n v="3"/>
    <x v="9"/>
    <n v="0.2858955987717503"/>
  </r>
  <r>
    <d v="2025-03-26T00:00:00"/>
    <s v="EQ"/>
    <n v="1291"/>
    <n v="1293.8"/>
    <n v="1268.75"/>
    <n v="1285.45"/>
    <n v="1270.9000000000001"/>
    <n v="1273.05"/>
    <n v="1279.04"/>
    <n v="3217.6"/>
    <n v="1156"/>
    <n v="12074747"/>
    <n v="15444062345.35"/>
    <n v="292138"/>
    <x v="7"/>
    <n v="-5.5499999999999545"/>
    <x v="4"/>
    <n v="3"/>
    <x v="9"/>
    <n v="0.2858955987717503"/>
  </r>
  <r>
    <d v="2025-03-25T00:00:00"/>
    <s v="EQ"/>
    <n v="1307.7"/>
    <n v="1307.7"/>
    <n v="1282.5999999999999"/>
    <n v="1302.0999999999999"/>
    <n v="1285.25"/>
    <n v="1285.45"/>
    <n v="1290.6300000000001"/>
    <n v="3217.6"/>
    <n v="1156"/>
    <n v="13713899"/>
    <n v="17699568389.849998"/>
    <n v="271251"/>
    <x v="7"/>
    <n v="-5.6000000000001364"/>
    <x v="4"/>
    <n v="3"/>
    <x v="9"/>
    <n v="0.2858955987717503"/>
  </r>
  <r>
    <d v="2025-03-24T00:00:00"/>
    <s v="EQ"/>
    <n v="1291"/>
    <n v="1306"/>
    <n v="1284.25"/>
    <n v="1276.3499999999999"/>
    <n v="1302.6500000000001"/>
    <n v="1302.0999999999999"/>
    <n v="1297.3800000000001"/>
    <n v="3217.6"/>
    <n v="1156"/>
    <n v="20299319"/>
    <n v="26335901171.150002"/>
    <n v="347056"/>
    <x v="7"/>
    <n v="-14.650000000000091"/>
    <x v="4"/>
    <n v="3"/>
    <x v="9"/>
    <n v="0.2858955987717503"/>
  </r>
  <r>
    <d v="2025-03-21T00:00:00"/>
    <s v="EQ"/>
    <n v="1275"/>
    <n v="1281"/>
    <n v="1270.0999999999999"/>
    <n v="1269.1500000000001"/>
    <n v="1277.5"/>
    <n v="1276.3499999999999"/>
    <n v="1276.3399999999999"/>
    <n v="3217.6"/>
    <n v="1156"/>
    <n v="21780769"/>
    <n v="27799653516.400002"/>
    <n v="230001"/>
    <x v="7"/>
    <n v="-5.8499999999999091"/>
    <x v="4"/>
    <n v="3"/>
    <x v="9"/>
    <n v="0.2858955987717503"/>
  </r>
  <r>
    <d v="2025-03-20T00:00:00"/>
    <s v="EQ"/>
    <n v="1251.8499999999999"/>
    <n v="1273"/>
    <n v="1250.05"/>
    <n v="1247.1500000000001"/>
    <n v="1268.2"/>
    <n v="1269.1500000000001"/>
    <n v="1262.54"/>
    <n v="3217.6"/>
    <n v="1156"/>
    <n v="15971477"/>
    <n v="20164561988.349998"/>
    <n v="219527"/>
    <x v="7"/>
    <n v="-4.6999999999998181"/>
    <x v="4"/>
    <n v="3"/>
    <x v="9"/>
    <n v="0.2858955987717503"/>
  </r>
  <r>
    <d v="2025-03-19T00:00:00"/>
    <s v="EQ"/>
    <n v="1241.05"/>
    <n v="1253.25"/>
    <n v="1238.8"/>
    <n v="1238.8"/>
    <n v="1248"/>
    <n v="1247.1500000000001"/>
    <n v="1247.22"/>
    <n v="3217.6"/>
    <n v="1156"/>
    <n v="16162399"/>
    <n v="20158006340.599998"/>
    <n v="217782"/>
    <x v="7"/>
    <n v="-2.25"/>
    <x v="4"/>
    <n v="3"/>
    <x v="9"/>
    <n v="0.2858955987717503"/>
  </r>
  <r>
    <d v="2025-03-18T00:00:00"/>
    <s v="EQ"/>
    <n v="1244.7"/>
    <n v="1248.3499999999999"/>
    <n v="1235"/>
    <n v="1238.8499999999999"/>
    <n v="1239.95"/>
    <n v="1238.8"/>
    <n v="1238.98"/>
    <n v="3217.6"/>
    <n v="1156"/>
    <n v="15745877"/>
    <n v="19508893454.650002"/>
    <n v="312315"/>
    <x v="7"/>
    <n v="-5.8500000000001364"/>
    <x v="4"/>
    <n v="3"/>
    <x v="9"/>
    <n v="0.2858955987717503"/>
  </r>
  <r>
    <d v="2025-03-17T00:00:00"/>
    <s v="EQ"/>
    <n v="1242.1500000000001"/>
    <n v="1257.4000000000001"/>
    <n v="1233.0999999999999"/>
    <n v="1247.9000000000001"/>
    <n v="1241.55"/>
    <n v="1238.8499999999999"/>
    <n v="1239.76"/>
    <n v="3217.6"/>
    <n v="1156"/>
    <n v="16640952"/>
    <n v="20630843725.150002"/>
    <n v="269824"/>
    <x v="7"/>
    <n v="5.75"/>
    <x v="4"/>
    <n v="3"/>
    <x v="9"/>
    <n v="0.2858955987717503"/>
  </r>
  <r>
    <d v="2025-03-13T00:00:00"/>
    <s v="EQ"/>
    <n v="1260.05"/>
    <n v="1264.1500000000001"/>
    <n v="1243.8499999999999"/>
    <n v="1257.05"/>
    <n v="1246.6500000000001"/>
    <n v="1247.9000000000001"/>
    <n v="1254.23"/>
    <n v="3217.6"/>
    <n v="1156"/>
    <n v="9505270"/>
    <n v="11921766653.799999"/>
    <n v="194588"/>
    <x v="7"/>
    <n v="-3"/>
    <x v="4"/>
    <n v="3"/>
    <x v="9"/>
    <n v="0.2858955987717503"/>
  </r>
  <r>
    <d v="2025-03-12T00:00:00"/>
    <s v="EQ"/>
    <n v="1258"/>
    <n v="1263"/>
    <n v="1244"/>
    <n v="1247.3"/>
    <n v="1255.95"/>
    <n v="1257.05"/>
    <n v="1252.97"/>
    <n v="3217.6"/>
    <n v="1156"/>
    <n v="11977555"/>
    <n v="15007514668.9"/>
    <n v="161536"/>
    <x v="7"/>
    <n v="-10.700000000000045"/>
    <x v="4"/>
    <n v="3"/>
    <x v="9"/>
    <n v="0.2858955987717503"/>
  </r>
  <r>
    <d v="2025-03-11T00:00:00"/>
    <s v="EQ"/>
    <n v="1240"/>
    <n v="1249.5"/>
    <n v="1229.75"/>
    <n v="1238.4000000000001"/>
    <n v="1247.25"/>
    <n v="1247.3"/>
    <n v="1241.71"/>
    <n v="3217.6"/>
    <n v="1156"/>
    <n v="10089838"/>
    <n v="12528623904.200001"/>
    <n v="155065"/>
    <x v="7"/>
    <n v="-1.5999999999999091"/>
    <x v="4"/>
    <n v="3"/>
    <x v="9"/>
    <n v="0.2858955987717503"/>
  </r>
  <r>
    <d v="2025-03-10T00:00:00"/>
    <s v="EQ"/>
    <n v="1245"/>
    <n v="1258"/>
    <n v="1235.4000000000001"/>
    <n v="1249.8"/>
    <n v="1237.7"/>
    <n v="1238.4000000000001"/>
    <n v="1245.8499999999999"/>
    <n v="3217.6"/>
    <n v="1156"/>
    <n v="11931051"/>
    <n v="14864340065.65"/>
    <n v="288299"/>
    <x v="7"/>
    <n v="4.7999999999999545"/>
    <x v="4"/>
    <n v="3"/>
    <x v="9"/>
    <n v="0.2858955987717503"/>
  </r>
  <r>
    <d v="2025-03-07T00:00:00"/>
    <s v="EQ"/>
    <n v="1216"/>
    <n v="1254.8"/>
    <n v="1212"/>
    <n v="1209.5999999999999"/>
    <n v="1246.4000000000001"/>
    <n v="1249.8"/>
    <n v="1243.95"/>
    <n v="3217.6"/>
    <n v="1156"/>
    <n v="16474965"/>
    <n v="20494065096.799999"/>
    <n v="424924"/>
    <x v="7"/>
    <n v="-6.4000000000000909"/>
    <x v="4"/>
    <n v="3"/>
    <x v="9"/>
    <n v="0.2858955987717503"/>
  </r>
  <r>
    <d v="2025-03-06T00:00:00"/>
    <s v="EQ"/>
    <n v="1197"/>
    <n v="1213.95"/>
    <n v="1185.1500000000001"/>
    <n v="1175.5999999999999"/>
    <n v="1211.5"/>
    <n v="1209.5999999999999"/>
    <n v="1199.05"/>
    <n v="3217.6"/>
    <n v="1156"/>
    <n v="14468014"/>
    <n v="17347917723.200001"/>
    <n v="250467"/>
    <x v="7"/>
    <n v="-21.400000000000091"/>
    <x v="4"/>
    <n v="3"/>
    <x v="9"/>
    <n v="0.2858955987717503"/>
  </r>
  <r>
    <d v="2025-03-05T00:00:00"/>
    <s v="EQ"/>
    <n v="1161"/>
    <n v="1183"/>
    <n v="1157"/>
    <n v="1161.9000000000001"/>
    <n v="1177.1500000000001"/>
    <n v="1175.5999999999999"/>
    <n v="1173.4000000000001"/>
    <n v="3217.6"/>
    <n v="1156"/>
    <n v="8664095"/>
    <n v="10166451492.549999"/>
    <n v="196774"/>
    <x v="7"/>
    <n v="0.90000000000009095"/>
    <x v="4"/>
    <n v="3"/>
    <x v="9"/>
    <n v="0.2858955987717503"/>
  </r>
  <r>
    <d v="2025-03-04T00:00:00"/>
    <s v="EQ"/>
    <n v="1162.2"/>
    <n v="1174"/>
    <n v="1159.55"/>
    <n v="1171.25"/>
    <n v="1160.45"/>
    <n v="1161.9000000000001"/>
    <n v="1164.92"/>
    <n v="3217.6"/>
    <n v="1156"/>
    <n v="11377373"/>
    <n v="13253711939.15"/>
    <n v="275459"/>
    <x v="7"/>
    <n v="9.0499999999999545"/>
    <x v="4"/>
    <n v="3"/>
    <x v="9"/>
    <n v="0.2858955987717503"/>
  </r>
  <r>
    <d v="2025-03-03T00:00:00"/>
    <s v="EQ"/>
    <n v="1204"/>
    <n v="1206.45"/>
    <n v="1156"/>
    <n v="1200.0999999999999"/>
    <n v="1174"/>
    <n v="1171.25"/>
    <n v="1168.57"/>
    <n v="3217.6"/>
    <n v="1156"/>
    <n v="17944938"/>
    <n v="20969945818.549999"/>
    <n v="682013"/>
    <x v="7"/>
    <n v="-3.9000000000000909"/>
    <x v="4"/>
    <n v="3"/>
    <x v="9"/>
    <n v="0.2858955987717503"/>
  </r>
  <r>
    <d v="2025-02-28T00:00:00"/>
    <s v="EQ"/>
    <n v="1202"/>
    <n v="1217.3499999999999"/>
    <n v="1193.3"/>
    <n v="1207.0999999999999"/>
    <n v="1198"/>
    <n v="1200.0999999999999"/>
    <n v="1205.6199999999999"/>
    <n v="3217.6"/>
    <n v="1193.3"/>
    <n v="23007298"/>
    <n v="27738125737.599998"/>
    <n v="355378"/>
    <x v="7"/>
    <n v="5.0999999999999091"/>
    <x v="4"/>
    <n v="2"/>
    <x v="10"/>
    <n v="0.2858955987717503"/>
  </r>
  <r>
    <d v="2025-02-27T00:00:00"/>
    <s v="EQ"/>
    <n v="1212.8"/>
    <n v="1215"/>
    <n v="1200.6500000000001"/>
    <n v="1204"/>
    <n v="1208"/>
    <n v="1207.0999999999999"/>
    <n v="1206.31"/>
    <n v="3217.6"/>
    <n v="1193.3499999999999"/>
    <n v="11509215"/>
    <n v="13883637029.450001"/>
    <n v="236188"/>
    <x v="7"/>
    <n v="-8.7999999999999545"/>
    <x v="4"/>
    <n v="2"/>
    <x v="10"/>
    <n v="0.2858955987717503"/>
  </r>
  <r>
    <d v="2025-02-25T00:00:00"/>
    <s v="EQ"/>
    <n v="1211"/>
    <n v="1221"/>
    <n v="1201.5"/>
    <n v="1214.55"/>
    <n v="1202"/>
    <n v="1204"/>
    <n v="1209.5999999999999"/>
    <n v="3217.6"/>
    <n v="1193.3499999999999"/>
    <n v="11552182"/>
    <n v="13973492939.799999"/>
    <n v="213192"/>
    <x v="7"/>
    <n v="3.5499999999999545"/>
    <x v="4"/>
    <n v="2"/>
    <x v="10"/>
    <n v="0.2858955987717503"/>
  </r>
  <r>
    <d v="2025-02-24T00:00:00"/>
    <s v="EQ"/>
    <n v="1216.55"/>
    <n v="1223.25"/>
    <n v="1210.5"/>
    <n v="1228.1500000000001"/>
    <n v="1215"/>
    <n v="1214.55"/>
    <n v="1215.9000000000001"/>
    <n v="3217.6"/>
    <n v="1193.3499999999999"/>
    <n v="7172498"/>
    <n v="8721021715.3500004"/>
    <n v="200264"/>
    <x v="7"/>
    <n v="11.600000000000136"/>
    <x v="4"/>
    <n v="2"/>
    <x v="10"/>
    <n v="0.2858955987717503"/>
  </r>
  <r>
    <d v="2025-02-21T00:00:00"/>
    <s v="EQ"/>
    <n v="1228.7"/>
    <n v="1240"/>
    <n v="1222.1500000000001"/>
    <n v="1233"/>
    <n v="1226.9000000000001"/>
    <n v="1228.1500000000001"/>
    <n v="1231.3699999999999"/>
    <n v="3217.6"/>
    <n v="1193.3499999999999"/>
    <n v="6904025"/>
    <n v="8501382497.6999998"/>
    <n v="213824"/>
    <x v="7"/>
    <n v="4.2999999999999545"/>
    <x v="4"/>
    <n v="2"/>
    <x v="10"/>
    <n v="0.2858955987717503"/>
  </r>
  <r>
    <d v="2025-02-20T00:00:00"/>
    <s v="EQ"/>
    <n v="1223.95"/>
    <n v="1239.3499999999999"/>
    <n v="1222"/>
    <n v="1227.45"/>
    <n v="1232"/>
    <n v="1233"/>
    <n v="1233.94"/>
    <n v="3217.6"/>
    <n v="1193.3499999999999"/>
    <n v="7795582"/>
    <n v="9619277166.5"/>
    <n v="162561"/>
    <x v="7"/>
    <n v="3.5"/>
    <x v="4"/>
    <n v="2"/>
    <x v="10"/>
    <n v="0.2858955987717503"/>
  </r>
  <r>
    <d v="2025-02-19T00:00:00"/>
    <s v="EQ"/>
    <n v="1219.5"/>
    <n v="1232.75"/>
    <n v="1217.55"/>
    <n v="1225.4000000000001"/>
    <n v="1226.3"/>
    <n v="1227.45"/>
    <n v="1226.67"/>
    <n v="3217.6"/>
    <n v="1193.3499999999999"/>
    <n v="6217338"/>
    <n v="7626601753.25"/>
    <n v="178165"/>
    <x v="7"/>
    <n v="5.9000000000000909"/>
    <x v="4"/>
    <n v="2"/>
    <x v="10"/>
    <n v="0.2858955987717503"/>
  </r>
  <r>
    <d v="2025-02-18T00:00:00"/>
    <s v="EQ"/>
    <n v="1224.8499999999999"/>
    <n v="1229.9000000000001"/>
    <n v="1216.0999999999999"/>
    <n v="1224.9000000000001"/>
    <n v="1223.95"/>
    <n v="1225.4000000000001"/>
    <n v="1223.94"/>
    <n v="3217.6"/>
    <n v="1193.3499999999999"/>
    <n v="6673250"/>
    <n v="8167661853.9499998"/>
    <n v="181273"/>
    <x v="7"/>
    <n v="5.0000000000181899E-2"/>
    <x v="4"/>
    <n v="2"/>
    <x v="10"/>
    <n v="0.2858955987717503"/>
  </r>
  <r>
    <d v="2025-02-17T00:00:00"/>
    <s v="EQ"/>
    <n v="1211.0999999999999"/>
    <n v="1227.5"/>
    <n v="1204.5"/>
    <n v="1217.25"/>
    <n v="1225.45"/>
    <n v="1224.9000000000001"/>
    <n v="1219.6199999999999"/>
    <n v="3217.6"/>
    <n v="1193.3499999999999"/>
    <n v="8166683"/>
    <n v="9960241446.8500004"/>
    <n v="220670"/>
    <x v="7"/>
    <n v="6.1500000000000909"/>
    <x v="4"/>
    <n v="2"/>
    <x v="10"/>
    <n v="0.2858955987717503"/>
  </r>
  <r>
    <d v="2025-02-14T00:00:00"/>
    <s v="EQ"/>
    <n v="1219"/>
    <n v="1224"/>
    <n v="1205.45"/>
    <n v="1216.0999999999999"/>
    <n v="1214.75"/>
    <n v="1217.25"/>
    <n v="1215.0999999999999"/>
    <n v="3217.6"/>
    <n v="1193.3499999999999"/>
    <n v="10298145"/>
    <n v="12513277266.75"/>
    <n v="202314"/>
    <x v="7"/>
    <n v="-2.9000000000000909"/>
    <x v="4"/>
    <n v="2"/>
    <x v="10"/>
    <n v="0.2858955987717503"/>
  </r>
  <r>
    <d v="2025-02-13T00:00:00"/>
    <s v="EQ"/>
    <n v="1217.05"/>
    <n v="1228"/>
    <n v="1212"/>
    <n v="1216.55"/>
    <n v="1216.2"/>
    <n v="1216.0999999999999"/>
    <n v="1219.5999999999999"/>
    <n v="3217.6"/>
    <n v="1193.3499999999999"/>
    <n v="8511216"/>
    <n v="10380276762.25"/>
    <n v="266249"/>
    <x v="7"/>
    <n v="-0.5"/>
    <x v="4"/>
    <n v="2"/>
    <x v="10"/>
    <n v="0.2858955987717503"/>
  </r>
  <r>
    <d v="2025-02-12T00:00:00"/>
    <s v="EQ"/>
    <n v="1219.45"/>
    <n v="1226.9000000000001"/>
    <n v="1193.3499999999999"/>
    <n v="1234.8499999999999"/>
    <n v="1217.05"/>
    <n v="1216.55"/>
    <n v="1211.3900000000001"/>
    <n v="3217.6"/>
    <n v="1193.3499999999999"/>
    <n v="21131654"/>
    <n v="25598619531.25"/>
    <n v="404276"/>
    <x v="7"/>
    <n v="15.399999999999864"/>
    <x v="4"/>
    <n v="2"/>
    <x v="10"/>
    <n v="0.2858955987717503"/>
  </r>
  <r>
    <d v="2025-02-11T00:00:00"/>
    <s v="EQ"/>
    <n v="1264.55"/>
    <n v="1264.55"/>
    <n v="1230.0999999999999"/>
    <n v="1253.6500000000001"/>
    <n v="1237.55"/>
    <n v="1234.8499999999999"/>
    <n v="1244.26"/>
    <n v="3217.6"/>
    <n v="1201.5"/>
    <n v="8859714"/>
    <n v="11023757522.950001"/>
    <n v="240683"/>
    <x v="7"/>
    <n v="-10.899999999999864"/>
    <x v="4"/>
    <n v="2"/>
    <x v="10"/>
    <n v="0.2858955987717503"/>
  </r>
  <r>
    <d v="2025-02-10T00:00:00"/>
    <s v="EQ"/>
    <n v="1264.5"/>
    <n v="1266.5"/>
    <n v="1245.55"/>
    <n v="1266.7"/>
    <n v="1254.6500000000001"/>
    <n v="1253.6500000000001"/>
    <n v="1251.52"/>
    <n v="3217.6"/>
    <n v="1201.5"/>
    <n v="6970972"/>
    <n v="8724286360.5499992"/>
    <n v="173316"/>
    <x v="7"/>
    <n v="2.2000000000000455"/>
    <x v="4"/>
    <n v="2"/>
    <x v="10"/>
    <n v="0.2858955987717503"/>
  </r>
  <r>
    <d v="2025-02-07T00:00:00"/>
    <s v="EQ"/>
    <n v="1276.1500000000001"/>
    <n v="1283.7"/>
    <n v="1262"/>
    <n v="1281.55"/>
    <n v="1266.5"/>
    <n v="1266.7"/>
    <n v="1270.98"/>
    <n v="3217.6"/>
    <n v="1201.5"/>
    <n v="8764283"/>
    <n v="11139240963.049999"/>
    <n v="174531"/>
    <x v="7"/>
    <n v="5.3999999999998636"/>
    <x v="4"/>
    <n v="2"/>
    <x v="10"/>
    <n v="0.2858955987717503"/>
  </r>
  <r>
    <d v="2025-02-06T00:00:00"/>
    <s v="EQ"/>
    <n v="1273.7"/>
    <n v="1288"/>
    <n v="1270.3499999999999"/>
    <n v="1278.2"/>
    <n v="1283"/>
    <n v="1281.55"/>
    <n v="1279.27"/>
    <n v="3217.6"/>
    <n v="1201.5"/>
    <n v="9956001"/>
    <n v="12736385821.450001"/>
    <n v="217888"/>
    <x v="7"/>
    <n v="4.5"/>
    <x v="4"/>
    <n v="2"/>
    <x v="10"/>
    <n v="0.2858955987717503"/>
  </r>
  <r>
    <d v="2025-02-05T00:00:00"/>
    <s v="EQ"/>
    <n v="1282.6500000000001"/>
    <n v="1290.5"/>
    <n v="1276.7"/>
    <n v="1285.2"/>
    <n v="1278.5"/>
    <n v="1278.2"/>
    <n v="1281.97"/>
    <n v="3217.6"/>
    <n v="1201.5"/>
    <n v="10112028"/>
    <n v="12963336513.049999"/>
    <n v="219550"/>
    <x v="7"/>
    <n v="2.5499999999999545"/>
    <x v="4"/>
    <n v="2"/>
    <x v="10"/>
    <n v="0.2858955987717503"/>
  </r>
  <r>
    <d v="2025-02-04T00:00:00"/>
    <s v="EQ"/>
    <n v="1248.05"/>
    <n v="1288.8"/>
    <n v="1246.5999999999999"/>
    <n v="1245.9000000000001"/>
    <n v="1282.9000000000001"/>
    <n v="1285.2"/>
    <n v="1273.6500000000001"/>
    <n v="3217.6"/>
    <n v="1201.5"/>
    <n v="16691069"/>
    <n v="21258496964.75"/>
    <n v="323415"/>
    <x v="7"/>
    <n v="-2.1499999999998636"/>
    <x v="4"/>
    <n v="2"/>
    <x v="10"/>
    <n v="0.2858955987717503"/>
  </r>
  <r>
    <d v="2025-02-03T00:00:00"/>
    <s v="EQ"/>
    <n v="1251"/>
    <n v="1256"/>
    <n v="1237.55"/>
    <n v="1264.5999999999999"/>
    <n v="1247"/>
    <n v="1245.9000000000001"/>
    <n v="1247.1400000000001"/>
    <n v="3217.6"/>
    <n v="1201.5"/>
    <n v="9252345"/>
    <n v="11538963041"/>
    <n v="268425"/>
    <x v="7"/>
    <n v="13.599999999999909"/>
    <x v="4"/>
    <n v="2"/>
    <x v="10"/>
    <n v="0.2858955987717503"/>
  </r>
  <r>
    <d v="2025-02-01T00:00:00"/>
    <s v="EQ"/>
    <n v="1265.0999999999999"/>
    <n v="1270.55"/>
    <n v="1241"/>
    <n v="1265.0999999999999"/>
    <n v="1264"/>
    <n v="1264.5999999999999"/>
    <n v="1260.42"/>
    <n v="3217.6"/>
    <n v="1201.5"/>
    <n v="7118453"/>
    <n v="8972248877.3500004"/>
    <n v="143258"/>
    <x v="7"/>
    <n v="0"/>
    <x v="4"/>
    <n v="2"/>
    <x v="10"/>
    <n v="0.2858955987717503"/>
  </r>
  <r>
    <d v="2025-01-31T00:00:00"/>
    <s v="EQ"/>
    <n v="1255.8499999999999"/>
    <n v="1267"/>
    <n v="1249"/>
    <n v="1253.05"/>
    <n v="1266"/>
    <n v="1265.0999999999999"/>
    <n v="1261.32"/>
    <n v="3217.6"/>
    <n v="1201.5"/>
    <n v="6584612"/>
    <n v="8305291978.4499998"/>
    <n v="169481"/>
    <x v="7"/>
    <n v="-2.7999999999999545"/>
    <x v="4"/>
    <n v="1"/>
    <x v="11"/>
    <n v="0.2858955987717503"/>
  </r>
  <r>
    <d v="2025-01-30T00:00:00"/>
    <s v="EQ"/>
    <n v="1235.55"/>
    <n v="1257"/>
    <n v="1232.4000000000001"/>
    <n v="1235.5"/>
    <n v="1253.1500000000001"/>
    <n v="1253.05"/>
    <n v="1249.1500000000001"/>
    <n v="3217.6"/>
    <n v="1201.5"/>
    <n v="9269259"/>
    <n v="11578693152.950001"/>
    <n v="227871"/>
    <x v="7"/>
    <n v="-4.9999999999954525E-2"/>
    <x v="4"/>
    <n v="1"/>
    <x v="11"/>
    <n v="0.2858955987717503"/>
  </r>
  <r>
    <d v="2025-01-29T00:00:00"/>
    <s v="EQ"/>
    <n v="1236"/>
    <n v="1242.75"/>
    <n v="1228.05"/>
    <n v="1234.4000000000001"/>
    <n v="1237.25"/>
    <n v="1235.5"/>
    <n v="1236.6600000000001"/>
    <n v="3217.6"/>
    <n v="1201.5"/>
    <n v="5928156"/>
    <n v="7331119895.8000002"/>
    <n v="167073"/>
    <x v="7"/>
    <n v="-1.5999999999999091"/>
    <x v="4"/>
    <n v="1"/>
    <x v="11"/>
    <n v="0.2858955987717503"/>
  </r>
  <r>
    <d v="2025-01-28T00:00:00"/>
    <s v="EQ"/>
    <n v="1238"/>
    <n v="1244.75"/>
    <n v="1218.5"/>
    <n v="1229.3499999999999"/>
    <n v="1235"/>
    <n v="1234.4000000000001"/>
    <n v="1232.6500000000001"/>
    <n v="3217.6"/>
    <n v="1201.5"/>
    <n v="10568025"/>
    <n v="13026673067.35"/>
    <n v="286863"/>
    <x v="7"/>
    <n v="-8.6500000000000909"/>
    <x v="4"/>
    <n v="1"/>
    <x v="11"/>
    <n v="0.2858955987717503"/>
  </r>
  <r>
    <d v="2025-01-27T00:00:00"/>
    <s v="EQ"/>
    <n v="1239.0999999999999"/>
    <n v="1240.45"/>
    <n v="1220"/>
    <n v="1246.3"/>
    <n v="1229"/>
    <n v="1229.3499999999999"/>
    <n v="1229.3499999999999"/>
    <n v="3217.6"/>
    <n v="1201.5"/>
    <n v="9536019"/>
    <n v="11723127883.65"/>
    <n v="368025"/>
    <x v="7"/>
    <n v="7.2000000000000455"/>
    <x v="4"/>
    <n v="1"/>
    <x v="11"/>
    <n v="0.2858955987717503"/>
  </r>
  <r>
    <d v="2025-01-24T00:00:00"/>
    <s v="EQ"/>
    <n v="1266"/>
    <n v="1273"/>
    <n v="1243.5"/>
    <n v="1263.6500000000001"/>
    <n v="1244.45"/>
    <n v="1246.3"/>
    <n v="1252.27"/>
    <n v="3217.6"/>
    <n v="1201.5"/>
    <n v="14235970"/>
    <n v="17827272395"/>
    <n v="263461"/>
    <x v="7"/>
    <n v="-2.3499999999999091"/>
    <x v="4"/>
    <n v="1"/>
    <x v="11"/>
    <n v="0.2858955987717503"/>
  </r>
  <r>
    <d v="2025-01-23T00:00:00"/>
    <s v="EQ"/>
    <n v="1270"/>
    <n v="1277.3499999999999"/>
    <n v="1261.5999999999999"/>
    <n v="1277.0999999999999"/>
    <n v="1264.9000000000001"/>
    <n v="1263.6500000000001"/>
    <n v="1267.52"/>
    <n v="3217.6"/>
    <n v="1201.5"/>
    <n v="8720682"/>
    <n v="11053624692.799999"/>
    <n v="188421"/>
    <x v="7"/>
    <n v="7.0999999999999091"/>
    <x v="4"/>
    <n v="1"/>
    <x v="11"/>
    <n v="0.2858955987717503"/>
  </r>
  <r>
    <d v="2025-01-22T00:00:00"/>
    <s v="EQ"/>
    <n v="1278.3"/>
    <n v="1282.9000000000001"/>
    <n v="1268.7"/>
    <n v="1273.7"/>
    <n v="1278"/>
    <n v="1277.0999999999999"/>
    <n v="1276.0899999999999"/>
    <n v="3217.6"/>
    <n v="1201.5"/>
    <n v="10273590"/>
    <n v="13110004094.65"/>
    <n v="239816"/>
    <x v="7"/>
    <n v="-4.5999999999999091"/>
    <x v="4"/>
    <n v="1"/>
    <x v="11"/>
    <n v="0.2858955987717503"/>
  </r>
  <r>
    <d v="2025-01-21T00:00:00"/>
    <s v="EQ"/>
    <n v="1310.5"/>
    <n v="1313"/>
    <n v="1270.2"/>
    <n v="1305.45"/>
    <n v="1277.5999999999999"/>
    <n v="1273.7"/>
    <n v="1284.79"/>
    <n v="3217.6"/>
    <n v="1201.5"/>
    <n v="14562976"/>
    <n v="18710366859.099998"/>
    <n v="325783"/>
    <x v="7"/>
    <n v="-5.0499999999999545"/>
    <x v="4"/>
    <n v="1"/>
    <x v="11"/>
    <n v="0.2858955987717503"/>
  </r>
  <r>
    <d v="2025-01-20T00:00:00"/>
    <s v="EQ"/>
    <n v="1316"/>
    <n v="1316"/>
    <n v="1300.25"/>
    <n v="1302.3499999999999"/>
    <n v="1304"/>
    <n v="1305.45"/>
    <n v="1307.82"/>
    <n v="3217.6"/>
    <n v="1201.5"/>
    <n v="14040244"/>
    <n v="18362047246.700001"/>
    <n v="280553"/>
    <x v="7"/>
    <n v="-13.650000000000091"/>
    <x v="4"/>
    <n v="1"/>
    <x v="11"/>
    <n v="0.2858955987717503"/>
  </r>
  <r>
    <d v="2025-01-17T00:00:00"/>
    <s v="EQ"/>
    <n v="1322.25"/>
    <n v="1326"/>
    <n v="1285"/>
    <n v="1266.45"/>
    <n v="1300"/>
    <n v="1302.3499999999999"/>
    <n v="1300.8"/>
    <n v="3217.6"/>
    <n v="1201.5"/>
    <n v="29366277"/>
    <n v="38199728794.400002"/>
    <n v="594018"/>
    <x v="7"/>
    <n v="-55.799999999999955"/>
    <x v="4"/>
    <n v="1"/>
    <x v="11"/>
    <n v="0.2858955987717503"/>
  </r>
  <r>
    <d v="2025-01-16T00:00:00"/>
    <s v="EQ"/>
    <n v="1258.9000000000001"/>
    <n v="1275"/>
    <n v="1251.3"/>
    <n v="1252.2"/>
    <n v="1275"/>
    <n v="1266.45"/>
    <n v="1262.8599999999999"/>
    <n v="3217.6"/>
    <n v="1201.5"/>
    <n v="14117603"/>
    <n v="17828486685.900002"/>
    <n v="207451"/>
    <x v="7"/>
    <n v="-6.7000000000000455"/>
    <x v="4"/>
    <n v="1"/>
    <x v="11"/>
    <n v="0.2858955987717503"/>
  </r>
  <r>
    <d v="2025-01-15T00:00:00"/>
    <s v="EQ"/>
    <n v="1244.95"/>
    <n v="1257"/>
    <n v="1241.8499999999999"/>
    <n v="1238.75"/>
    <n v="1252"/>
    <n v="1252.2"/>
    <n v="1250.1099999999999"/>
    <n v="3217.6"/>
    <n v="1201.5"/>
    <n v="9578856"/>
    <n v="11974600753.049999"/>
    <n v="220174"/>
    <x v="7"/>
    <n v="-6.2000000000000455"/>
    <x v="4"/>
    <n v="1"/>
    <x v="11"/>
    <n v="0.2858955987717503"/>
  </r>
  <r>
    <d v="2025-01-14T00:00:00"/>
    <s v="EQ"/>
    <n v="1244.0999999999999"/>
    <n v="1253.3499999999999"/>
    <n v="1227.25"/>
    <n v="1239.8499999999999"/>
    <n v="1239"/>
    <n v="1238.75"/>
    <n v="1236.46"/>
    <n v="3217.6"/>
    <n v="1201.5"/>
    <n v="13095266"/>
    <n v="16191765836.200001"/>
    <n v="278977"/>
    <x v="7"/>
    <n v="-4.25"/>
    <x v="4"/>
    <n v="1"/>
    <x v="11"/>
    <n v="0.2858955987717503"/>
  </r>
  <r>
    <d v="2025-01-13T00:00:00"/>
    <s v="EQ"/>
    <n v="1230"/>
    <n v="1245.25"/>
    <n v="1226.4000000000001"/>
    <n v="1241.9000000000001"/>
    <n v="1240.75"/>
    <n v="1239.8499999999999"/>
    <n v="1238.0999999999999"/>
    <n v="3217.6"/>
    <n v="1201.5"/>
    <n v="13764861"/>
    <n v="17042274859.85"/>
    <n v="398257"/>
    <x v="7"/>
    <n v="11.900000000000091"/>
    <x v="4"/>
    <n v="1"/>
    <x v="11"/>
    <n v="0.2858955987717503"/>
  </r>
  <r>
    <d v="2025-01-10T00:00:00"/>
    <s v="EQ"/>
    <n v="1253.8499999999999"/>
    <n v="1256.75"/>
    <n v="1236"/>
    <n v="1254.75"/>
    <n v="1245.55"/>
    <n v="1241.9000000000001"/>
    <n v="1245.97"/>
    <n v="3217.6"/>
    <n v="1201.5"/>
    <n v="8120332"/>
    <n v="10117685547.700001"/>
    <n v="340024"/>
    <x v="7"/>
    <n v="0.90000000000009095"/>
    <x v="4"/>
    <n v="1"/>
    <x v="11"/>
    <n v="0.2858955987717503"/>
  </r>
  <r>
    <d v="2025-01-09T00:00:00"/>
    <s v="EQ"/>
    <n v="1267"/>
    <n v="1269.75"/>
    <n v="1248.05"/>
    <n v="1265.5"/>
    <n v="1256.8"/>
    <n v="1254.75"/>
    <n v="1257.46"/>
    <n v="3217.6"/>
    <n v="1201.5"/>
    <n v="12794704"/>
    <n v="16088882554.200001"/>
    <n v="390501"/>
    <x v="7"/>
    <n v="-1.5"/>
    <x v="4"/>
    <n v="1"/>
    <x v="11"/>
    <n v="0.2858955987717503"/>
  </r>
  <r>
    <d v="2025-01-08T00:00:00"/>
    <s v="EQ"/>
    <n v="1249"/>
    <n v="1271.05"/>
    <n v="1245.3499999999999"/>
    <n v="1240.8499999999999"/>
    <n v="1261.3499999999999"/>
    <n v="1265.5"/>
    <n v="1263.24"/>
    <n v="3217.6"/>
    <n v="1201.5"/>
    <n v="19346579"/>
    <n v="24439345120.549999"/>
    <n v="531488"/>
    <x v="7"/>
    <n v="-8.1500000000000909"/>
    <x v="4"/>
    <n v="1"/>
    <x v="11"/>
    <n v="0.2858955987717503"/>
  </r>
  <r>
    <d v="2025-01-07T00:00:00"/>
    <s v="EQ"/>
    <n v="1222"/>
    <n v="1244.5"/>
    <n v="1221.25"/>
    <n v="1218"/>
    <n v="1239.95"/>
    <n v="1240.8499999999999"/>
    <n v="1237.6300000000001"/>
    <n v="3217.6"/>
    <n v="1201.5"/>
    <n v="10070505"/>
    <n v="12463597633.450001"/>
    <n v="216620"/>
    <x v="7"/>
    <n v="-4"/>
    <x v="4"/>
    <n v="1"/>
    <x v="11"/>
    <n v="0.2858955987717503"/>
  </r>
  <r>
    <d v="2025-01-06T00:00:00"/>
    <s v="EQ"/>
    <n v="1253.95"/>
    <n v="1262"/>
    <n v="1215"/>
    <n v="1251.1500000000001"/>
    <n v="1216.25"/>
    <n v="1218"/>
    <n v="1235.67"/>
    <n v="3217.6"/>
    <n v="1201.5"/>
    <n v="14816766"/>
    <n v="18308652263.950001"/>
    <n v="317843"/>
    <x v="7"/>
    <n v="-2.7999999999999545"/>
    <x v="4"/>
    <n v="1"/>
    <x v="11"/>
    <n v="0.2858955987717503"/>
  </r>
  <r>
    <d v="2025-01-03T00:00:00"/>
    <s v="EQ"/>
    <n v="1243.9000000000001"/>
    <n v="1262.05"/>
    <n v="1235.5"/>
    <n v="1241.8"/>
    <n v="1249.8499999999999"/>
    <n v="1251.1500000000001"/>
    <n v="1250.3399999999999"/>
    <n v="3217.6"/>
    <n v="1201.5"/>
    <n v="15521102"/>
    <n v="19406715598.75"/>
    <n v="277290"/>
    <x v="7"/>
    <n v="-2.1000000000001364"/>
    <x v="4"/>
    <n v="1"/>
    <x v="11"/>
    <n v="0.2858955987717503"/>
  </r>
  <r>
    <d v="2025-01-02T00:00:00"/>
    <s v="EQ"/>
    <n v="1221.25"/>
    <n v="1244.45"/>
    <n v="1220"/>
    <n v="1221.25"/>
    <n v="1240.55"/>
    <n v="1241.8"/>
    <n v="1234.32"/>
    <n v="3217.6"/>
    <n v="1201.5"/>
    <n v="15486276"/>
    <n v="19115027208.349998"/>
    <n v="271108"/>
    <x v="7"/>
    <n v="0"/>
    <x v="4"/>
    <n v="1"/>
    <x v="11"/>
    <n v="0.2858955987717503"/>
  </r>
  <r>
    <d v="2025-01-01T00:00:00"/>
    <s v="EQ"/>
    <n v="1214.8499999999999"/>
    <n v="1226.3"/>
    <n v="1211.5999999999999"/>
    <n v="1215.45"/>
    <n v="1222.75"/>
    <n v="1221.25"/>
    <n v="1221.01"/>
    <n v="3217.6"/>
    <n v="1201.5"/>
    <n v="5892590"/>
    <n v="7194899836.4499998"/>
    <n v="138528"/>
    <x v="7"/>
    <n v="0.60000000000013642"/>
    <x v="4"/>
    <n v="1"/>
    <x v="11"/>
    <n v="0.2858955987717503"/>
  </r>
  <r>
    <d v="2025-12-31T00:00:00"/>
    <s v="EQ"/>
    <n v="975.25"/>
    <n v="985.65"/>
    <n v="973.5"/>
    <n v="973.45"/>
    <n v="982.4"/>
    <n v="982.2"/>
    <n v="982"/>
    <n v="999"/>
    <n v="680"/>
    <n v="5807630"/>
    <n v="5703085644.8500004"/>
    <n v="109225"/>
    <x v="8"/>
    <n v="-1.7999999999999545"/>
    <x v="2"/>
    <n v="12"/>
    <x v="0"/>
    <n v="0.23827534039334342"/>
  </r>
  <r>
    <d v="2025-12-30T00:00:00"/>
    <s v="EQ"/>
    <n v="963"/>
    <n v="976.2"/>
    <n v="959.5"/>
    <n v="965.05"/>
    <n v="973.1"/>
    <n v="973.45"/>
    <n v="971.99"/>
    <n v="999"/>
    <n v="680"/>
    <n v="15030644"/>
    <n v="14609677358.799999"/>
    <n v="221265"/>
    <x v="8"/>
    <n v="2.0499999999999545"/>
    <x v="2"/>
    <n v="12"/>
    <x v="0"/>
    <n v="0.23827534039334342"/>
  </r>
  <r>
    <d v="2025-12-29T00:00:00"/>
    <s v="EQ"/>
    <n v="966.9"/>
    <n v="968.9"/>
    <n v="961.45"/>
    <n v="966.3"/>
    <n v="965.7"/>
    <n v="965.05"/>
    <n v="965.03"/>
    <n v="999"/>
    <n v="680"/>
    <n v="5267233"/>
    <n v="5083023420.6999998"/>
    <n v="143589"/>
    <x v="8"/>
    <n v="-0.60000000000002274"/>
    <x v="2"/>
    <n v="12"/>
    <x v="0"/>
    <n v="0.23827534039334342"/>
  </r>
  <r>
    <d v="2025-12-26T00:00:00"/>
    <s v="EQ"/>
    <n v="968.95"/>
    <n v="971"/>
    <n v="964.75"/>
    <n v="968.95"/>
    <n v="966.5"/>
    <n v="966.3"/>
    <n v="967.5"/>
    <n v="999"/>
    <n v="680"/>
    <n v="3286321"/>
    <n v="3179513466.1999998"/>
    <n v="101940"/>
    <x v="8"/>
    <n v="0"/>
    <x v="2"/>
    <n v="12"/>
    <x v="0"/>
    <n v="0.23827534039334342"/>
  </r>
  <r>
    <d v="2025-12-24T00:00:00"/>
    <s v="EQ"/>
    <n v="973.2"/>
    <n v="977.3"/>
    <n v="967.5"/>
    <n v="971.9"/>
    <n v="968.85"/>
    <n v="968.95"/>
    <n v="972.14"/>
    <n v="999"/>
    <n v="680"/>
    <n v="4105643"/>
    <n v="3991279807.9000001"/>
    <n v="127471"/>
    <x v="8"/>
    <n v="-1.3000000000000682"/>
    <x v="2"/>
    <n v="12"/>
    <x v="0"/>
    <n v="0.23827534039334342"/>
  </r>
  <r>
    <d v="2025-12-23T00:00:00"/>
    <s v="EQ"/>
    <n v="976.3"/>
    <n v="977.55"/>
    <n v="970.7"/>
    <n v="974.3"/>
    <n v="971.25"/>
    <n v="971.9"/>
    <n v="973.41"/>
    <n v="999"/>
    <n v="680"/>
    <n v="5123287"/>
    <n v="4987059431.5500002"/>
    <n v="142849"/>
    <x v="8"/>
    <n v="-2"/>
    <x v="2"/>
    <n v="12"/>
    <x v="0"/>
    <n v="0.23827534039334342"/>
  </r>
  <r>
    <d v="2025-12-22T00:00:00"/>
    <s v="EQ"/>
    <n v="981.1"/>
    <n v="983"/>
    <n v="972.55"/>
    <n v="980.3"/>
    <n v="974.5"/>
    <n v="974.3"/>
    <n v="975.83"/>
    <n v="999"/>
    <n v="680"/>
    <n v="5959037"/>
    <n v="5815017507.75"/>
    <n v="172900"/>
    <x v="8"/>
    <n v="-0.80000000000006821"/>
    <x v="2"/>
    <n v="12"/>
    <x v="0"/>
    <n v="0.23827534039334342"/>
  </r>
  <r>
    <d v="2025-12-19T00:00:00"/>
    <s v="EQ"/>
    <n v="979.95"/>
    <n v="982"/>
    <n v="977.05"/>
    <n v="977.55"/>
    <n v="980"/>
    <n v="980.3"/>
    <n v="979.9"/>
    <n v="999"/>
    <n v="680"/>
    <n v="5376584"/>
    <n v="5268518860"/>
    <n v="105980"/>
    <x v="8"/>
    <n v="-2.4000000000000909"/>
    <x v="2"/>
    <n v="12"/>
    <x v="0"/>
    <n v="0.23827534039334342"/>
  </r>
  <r>
    <d v="2025-12-18T00:00:00"/>
    <s v="EQ"/>
    <n v="977.9"/>
    <n v="981.45"/>
    <n v="973.5"/>
    <n v="975.85"/>
    <n v="976.5"/>
    <n v="977.55"/>
    <n v="977.85"/>
    <n v="999"/>
    <n v="680"/>
    <n v="4926879"/>
    <n v="4817742809.1499996"/>
    <n v="123255"/>
    <x v="8"/>
    <n v="-2.0499999999999545"/>
    <x v="2"/>
    <n v="12"/>
    <x v="0"/>
    <n v="0.23827534039334342"/>
  </r>
  <r>
    <d v="2025-12-17T00:00:00"/>
    <s v="EQ"/>
    <n v="965.55"/>
    <n v="978.5"/>
    <n v="964.3"/>
    <n v="961.15"/>
    <n v="976.35"/>
    <n v="975.85"/>
    <n v="974.78"/>
    <n v="999"/>
    <n v="680"/>
    <n v="8013382"/>
    <n v="7811301076.0500002"/>
    <n v="157698"/>
    <x v="8"/>
    <n v="-4.3999999999999773"/>
    <x v="2"/>
    <n v="12"/>
    <x v="0"/>
    <n v="0.23827534039334342"/>
  </r>
  <r>
    <d v="2025-12-16T00:00:00"/>
    <s v="EQ"/>
    <n v="966.05"/>
    <n v="969"/>
    <n v="958.05"/>
    <n v="967.25"/>
    <n v="960"/>
    <n v="961.15"/>
    <n v="963.41"/>
    <n v="999"/>
    <n v="680"/>
    <n v="4764786"/>
    <n v="4590446166.5"/>
    <n v="161741"/>
    <x v="8"/>
    <n v="1.2000000000000455"/>
    <x v="2"/>
    <n v="12"/>
    <x v="0"/>
    <n v="0.23827534039334342"/>
  </r>
  <r>
    <d v="2025-12-15T00:00:00"/>
    <s v="EQ"/>
    <n v="957.25"/>
    <n v="968.85"/>
    <n v="957.25"/>
    <n v="963.15"/>
    <n v="966.1"/>
    <n v="967.25"/>
    <n v="964.79"/>
    <n v="999"/>
    <n v="680"/>
    <n v="4416952"/>
    <n v="4261435766.5999999"/>
    <n v="136982"/>
    <x v="8"/>
    <n v="5.8999999999999773"/>
    <x v="2"/>
    <n v="12"/>
    <x v="0"/>
    <n v="0.23827534039334342"/>
  </r>
  <r>
    <d v="2025-12-12T00:00:00"/>
    <s v="EQ"/>
    <n v="966"/>
    <n v="967"/>
    <n v="958"/>
    <n v="963.25"/>
    <n v="962.6"/>
    <n v="963.15"/>
    <n v="961.54"/>
    <n v="999"/>
    <n v="680"/>
    <n v="5681930"/>
    <n v="5463420185.1000004"/>
    <n v="129140"/>
    <x v="8"/>
    <n v="-2.75"/>
    <x v="2"/>
    <n v="12"/>
    <x v="0"/>
    <n v="0.23827534039334342"/>
  </r>
  <r>
    <d v="2025-12-11T00:00:00"/>
    <s v="EQ"/>
    <n v="962.1"/>
    <n v="966.5"/>
    <n v="958.45"/>
    <n v="959.75"/>
    <n v="962.6"/>
    <n v="963.25"/>
    <n v="962.82"/>
    <n v="999"/>
    <n v="680"/>
    <n v="5979035"/>
    <n v="5756726765.5"/>
    <n v="154525"/>
    <x v="8"/>
    <n v="-2.3500000000000227"/>
    <x v="2"/>
    <n v="12"/>
    <x v="0"/>
    <n v="0.23827534039334342"/>
  </r>
  <r>
    <d v="2025-12-10T00:00:00"/>
    <s v="EQ"/>
    <n v="960.1"/>
    <n v="963.95"/>
    <n v="955.25"/>
    <n v="959.35"/>
    <n v="958"/>
    <n v="959.75"/>
    <n v="958.76"/>
    <n v="999"/>
    <n v="680"/>
    <n v="6989178"/>
    <n v="6700963054.3500004"/>
    <n v="130262"/>
    <x v="8"/>
    <n v="-0.75"/>
    <x v="2"/>
    <n v="12"/>
    <x v="0"/>
    <n v="0.23827534039334342"/>
  </r>
  <r>
    <d v="2025-12-09T00:00:00"/>
    <s v="EQ"/>
    <n v="954.8"/>
    <n v="964"/>
    <n v="950.45"/>
    <n v="956.4"/>
    <n v="960.5"/>
    <n v="959.35"/>
    <n v="959.08"/>
    <n v="999"/>
    <n v="680"/>
    <n v="9580294"/>
    <n v="9188300245.9500008"/>
    <n v="196017"/>
    <x v="8"/>
    <n v="1.6000000000000227"/>
    <x v="2"/>
    <n v="12"/>
    <x v="0"/>
    <n v="0.23827534039334342"/>
  </r>
  <r>
    <d v="2025-12-08T00:00:00"/>
    <s v="EQ"/>
    <n v="970.85"/>
    <n v="972.5"/>
    <n v="951.7"/>
    <n v="971.5"/>
    <n v="955.4"/>
    <n v="956.4"/>
    <n v="957.71"/>
    <n v="999"/>
    <n v="680"/>
    <n v="15386438"/>
    <n v="14735761731.15"/>
    <n v="201129"/>
    <x v="8"/>
    <n v="0.64999999999997726"/>
    <x v="2"/>
    <n v="12"/>
    <x v="0"/>
    <n v="0.23827534039334342"/>
  </r>
  <r>
    <d v="2025-12-05T00:00:00"/>
    <s v="EQ"/>
    <n v="948.85"/>
    <n v="973.3"/>
    <n v="946.7"/>
    <n v="948.1"/>
    <n v="971.7"/>
    <n v="971.5"/>
    <n v="961.57"/>
    <n v="999"/>
    <n v="680"/>
    <n v="17347847"/>
    <n v="16681238338.6"/>
    <n v="190193"/>
    <x v="8"/>
    <n v="-0.75"/>
    <x v="2"/>
    <n v="12"/>
    <x v="0"/>
    <n v="0.23827534039334342"/>
  </r>
  <r>
    <d v="2025-12-04T00:00:00"/>
    <s v="EQ"/>
    <n v="951.05"/>
    <n v="952.55"/>
    <n v="944.45"/>
    <n v="951.05"/>
    <n v="948.8"/>
    <n v="948.1"/>
    <n v="947.46"/>
    <n v="999"/>
    <n v="680"/>
    <n v="13622724"/>
    <n v="12907004315.15"/>
    <n v="272677"/>
    <x v="8"/>
    <n v="0"/>
    <x v="2"/>
    <n v="12"/>
    <x v="0"/>
    <n v="0.23827534039334342"/>
  </r>
  <r>
    <d v="2025-12-03T00:00:00"/>
    <s v="EQ"/>
    <n v="970.45"/>
    <n v="972.55"/>
    <n v="947.55"/>
    <n v="967.3"/>
    <n v="950.8"/>
    <n v="951.05"/>
    <n v="952.61"/>
    <n v="999"/>
    <n v="680"/>
    <n v="14051968"/>
    <n v="13385990295.85"/>
    <n v="233255"/>
    <x v="8"/>
    <n v="-3.1500000000000909"/>
    <x v="2"/>
    <n v="12"/>
    <x v="0"/>
    <n v="0.23827534039334342"/>
  </r>
  <r>
    <d v="2025-12-02T00:00:00"/>
    <s v="EQ"/>
    <n v="976"/>
    <n v="980.45"/>
    <n v="964.9"/>
    <n v="973.1"/>
    <n v="969.9"/>
    <n v="967.3"/>
    <n v="973.23"/>
    <n v="999"/>
    <n v="680"/>
    <n v="13444314"/>
    <n v="13084353756.450001"/>
    <n v="177697"/>
    <x v="8"/>
    <n v="-2.8999999999999773"/>
    <x v="2"/>
    <n v="12"/>
    <x v="0"/>
    <n v="0.23827534039334342"/>
  </r>
  <r>
    <d v="2025-12-01T00:00:00"/>
    <s v="EQ"/>
    <n v="985.45"/>
    <n v="991.2"/>
    <n v="969.85"/>
    <n v="979"/>
    <n v="972.6"/>
    <n v="973.1"/>
    <n v="979.16"/>
    <n v="999"/>
    <n v="680"/>
    <n v="8808306"/>
    <n v="8624752864.4500008"/>
    <n v="237856"/>
    <x v="8"/>
    <n v="-6.4500000000000455"/>
    <x v="2"/>
    <n v="12"/>
    <x v="0"/>
    <n v="0.23827534039334342"/>
  </r>
  <r>
    <d v="2025-11-28T00:00:00"/>
    <s v="EQ"/>
    <n v="976.8"/>
    <n v="983"/>
    <n v="973.05"/>
    <n v="972.85"/>
    <n v="976.35"/>
    <n v="979"/>
    <n v="978.89"/>
    <n v="999"/>
    <n v="680"/>
    <n v="8117842"/>
    <n v="7946440355"/>
    <n v="150394"/>
    <x v="8"/>
    <n v="-3.9499999999999318"/>
    <x v="2"/>
    <n v="11"/>
    <x v="1"/>
    <n v="0.23827534039334342"/>
  </r>
  <r>
    <d v="2025-11-27T00:00:00"/>
    <s v="EQ"/>
    <n v="986.7"/>
    <n v="988.55"/>
    <n v="968.9"/>
    <n v="983.9"/>
    <n v="973"/>
    <n v="972.85"/>
    <n v="975.62"/>
    <n v="999"/>
    <n v="680"/>
    <n v="11909168"/>
    <n v="11618805034.200001"/>
    <n v="174267"/>
    <x v="8"/>
    <n v="-2.8000000000000682"/>
    <x v="2"/>
    <n v="11"/>
    <x v="1"/>
    <n v="0.23827534039334342"/>
  </r>
  <r>
    <d v="2025-11-26T00:00:00"/>
    <s v="EQ"/>
    <n v="986.6"/>
    <n v="999"/>
    <n v="982.15"/>
    <n v="983.6"/>
    <n v="983.05"/>
    <n v="983.9"/>
    <n v="989.4"/>
    <n v="999"/>
    <n v="680"/>
    <n v="13943490"/>
    <n v="13795695016.85"/>
    <n v="178538"/>
    <x v="8"/>
    <n v="-3"/>
    <x v="2"/>
    <n v="11"/>
    <x v="1"/>
    <n v="0.23827534039334342"/>
  </r>
  <r>
    <d v="2025-11-25T00:00:00"/>
    <s v="EQ"/>
    <n v="975.55"/>
    <n v="988.95"/>
    <n v="971.35"/>
    <n v="970.6"/>
    <n v="983.5"/>
    <n v="983.6"/>
    <n v="983.32"/>
    <n v="988.95"/>
    <n v="680"/>
    <n v="9140201"/>
    <n v="8987762034.8999996"/>
    <n v="207975"/>
    <x v="8"/>
    <n v="-4.9499999999999318"/>
    <x v="2"/>
    <n v="11"/>
    <x v="1"/>
    <n v="0.23827534039334342"/>
  </r>
  <r>
    <d v="2025-11-24T00:00:00"/>
    <s v="EQ"/>
    <n v="975.55"/>
    <n v="977.7"/>
    <n v="968.05"/>
    <n v="972.6"/>
    <n v="969.7"/>
    <n v="970.6"/>
    <n v="972.3"/>
    <n v="986.6"/>
    <n v="680"/>
    <n v="9901946"/>
    <n v="9627696202.3999996"/>
    <n v="112062"/>
    <x v="8"/>
    <n v="-2.9499999999999318"/>
    <x v="2"/>
    <n v="11"/>
    <x v="1"/>
    <n v="0.23827534039334342"/>
  </r>
  <r>
    <d v="2025-11-21T00:00:00"/>
    <s v="EQ"/>
    <n v="979.7"/>
    <n v="980.6"/>
    <n v="971.05"/>
    <n v="981.55"/>
    <n v="972.45"/>
    <n v="972.6"/>
    <n v="975.11"/>
    <n v="986.6"/>
    <n v="680"/>
    <n v="5377241"/>
    <n v="5243409986.1499996"/>
    <n v="113553"/>
    <x v="8"/>
    <n v="1.8499999999999091"/>
    <x v="2"/>
    <n v="11"/>
    <x v="1"/>
    <n v="0.23827534039334342"/>
  </r>
  <r>
    <d v="2025-11-20T00:00:00"/>
    <s v="EQ"/>
    <n v="986"/>
    <n v="986.6"/>
    <n v="979.35"/>
    <n v="982.75"/>
    <n v="981.05"/>
    <n v="981.55"/>
    <n v="982.12"/>
    <n v="986.6"/>
    <n v="680"/>
    <n v="6440857"/>
    <n v="6325685464.1000004"/>
    <n v="139178"/>
    <x v="8"/>
    <n v="-3.25"/>
    <x v="2"/>
    <n v="11"/>
    <x v="1"/>
    <n v="0.23827534039334342"/>
  </r>
  <r>
    <d v="2025-11-19T00:00:00"/>
    <s v="EQ"/>
    <n v="972.45"/>
    <n v="984.45"/>
    <n v="968.8"/>
    <n v="972.45"/>
    <n v="980.5"/>
    <n v="982.75"/>
    <n v="979.31"/>
    <n v="984.45"/>
    <n v="680"/>
    <n v="8291226"/>
    <n v="8119687856.8000002"/>
    <n v="142097"/>
    <x v="8"/>
    <n v="0"/>
    <x v="2"/>
    <n v="11"/>
    <x v="1"/>
    <n v="0.23827534039334342"/>
  </r>
  <r>
    <d v="2025-11-18T00:00:00"/>
    <s v="EQ"/>
    <n v="975.6"/>
    <n v="976.7"/>
    <n v="968.85"/>
    <n v="973.35"/>
    <n v="971.3"/>
    <n v="972.45"/>
    <n v="972.74"/>
    <n v="976.7"/>
    <n v="680"/>
    <n v="6594686"/>
    <n v="6414942374.6499996"/>
    <n v="107945"/>
    <x v="8"/>
    <n v="-2.25"/>
    <x v="2"/>
    <n v="11"/>
    <x v="1"/>
    <n v="0.23827534039334342"/>
  </r>
  <r>
    <d v="2025-11-17T00:00:00"/>
    <s v="EQ"/>
    <n v="971"/>
    <n v="976"/>
    <n v="968.5"/>
    <n v="967.85"/>
    <n v="973"/>
    <n v="973.35"/>
    <n v="973.09"/>
    <n v="976"/>
    <n v="680"/>
    <n v="7415026"/>
    <n v="7215488915.0500002"/>
    <n v="117287"/>
    <x v="8"/>
    <n v="-3.1499999999999773"/>
    <x v="2"/>
    <n v="11"/>
    <x v="1"/>
    <n v="0.23827534039334342"/>
  </r>
  <r>
    <d v="2025-11-14T00:00:00"/>
    <s v="EQ"/>
    <n v="952.95"/>
    <n v="969.05"/>
    <n v="952"/>
    <n v="954"/>
    <n v="967.95"/>
    <n v="967.85"/>
    <n v="962.38"/>
    <n v="971.4"/>
    <n v="680"/>
    <n v="11032927"/>
    <n v="10617844264.950001"/>
    <n v="191862"/>
    <x v="8"/>
    <n v="1.0499999999999545"/>
    <x v="2"/>
    <n v="11"/>
    <x v="1"/>
    <n v="0.23827534039334342"/>
  </r>
  <r>
    <d v="2025-11-13T00:00:00"/>
    <s v="EQ"/>
    <n v="954.25"/>
    <n v="963.95"/>
    <n v="952.45"/>
    <n v="957.15"/>
    <n v="954.9"/>
    <n v="954"/>
    <n v="957.93"/>
    <n v="971.4"/>
    <n v="680"/>
    <n v="8894441"/>
    <n v="8520261380.6999998"/>
    <n v="164831"/>
    <x v="8"/>
    <n v="2.8999999999999773"/>
    <x v="2"/>
    <n v="11"/>
    <x v="1"/>
    <n v="0.23827534039334342"/>
  </r>
  <r>
    <d v="2025-11-12T00:00:00"/>
    <s v="EQ"/>
    <n v="957.7"/>
    <n v="961.55"/>
    <n v="951.4"/>
    <n v="953.3"/>
    <n v="953.7"/>
    <n v="957.15"/>
    <n v="958.12"/>
    <n v="971.4"/>
    <n v="680"/>
    <n v="7043323"/>
    <n v="6748339960.1000004"/>
    <n v="135063"/>
    <x v="8"/>
    <n v="-4.4000000000000909"/>
    <x v="2"/>
    <n v="11"/>
    <x v="1"/>
    <n v="0.23827534039334342"/>
  </r>
  <r>
    <d v="2025-11-11T00:00:00"/>
    <s v="EQ"/>
    <n v="953.6"/>
    <n v="954.95"/>
    <n v="945.05"/>
    <n v="951.15"/>
    <n v="954"/>
    <n v="953.3"/>
    <n v="951.16"/>
    <n v="971.4"/>
    <n v="680"/>
    <n v="8648917"/>
    <n v="8226498757.9499998"/>
    <n v="194994"/>
    <x v="8"/>
    <n v="-2.4500000000000455"/>
    <x v="2"/>
    <n v="11"/>
    <x v="1"/>
    <n v="0.23827534039334342"/>
  </r>
  <r>
    <d v="2025-11-10T00:00:00"/>
    <s v="EQ"/>
    <n v="956"/>
    <n v="963.2"/>
    <n v="949.1"/>
    <n v="955.85"/>
    <n v="950.55"/>
    <n v="951.15"/>
    <n v="952.71"/>
    <n v="971.4"/>
    <n v="680"/>
    <n v="7343249"/>
    <n v="6995981463.75"/>
    <n v="152876"/>
    <x v="8"/>
    <n v="-0.14999999999997726"/>
    <x v="2"/>
    <n v="11"/>
    <x v="1"/>
    <n v="0.23827534039334342"/>
  </r>
  <r>
    <d v="2025-11-07T00:00:00"/>
    <s v="EQ"/>
    <n v="958.75"/>
    <n v="964.85"/>
    <n v="944"/>
    <n v="960.75"/>
    <n v="954.8"/>
    <n v="955.85"/>
    <n v="955.55"/>
    <n v="971.4"/>
    <n v="680"/>
    <n v="13371323"/>
    <n v="12777009240.450001"/>
    <n v="213279"/>
    <x v="8"/>
    <n v="2"/>
    <x v="2"/>
    <n v="11"/>
    <x v="1"/>
    <n v="0.23827534039334342"/>
  </r>
  <r>
    <d v="2025-11-06T00:00:00"/>
    <s v="EQ"/>
    <n v="969.65"/>
    <n v="971.4"/>
    <n v="955.3"/>
    <n v="957.6"/>
    <n v="959.85"/>
    <n v="960.75"/>
    <n v="962.26"/>
    <n v="971.4"/>
    <n v="680"/>
    <n v="23088096"/>
    <n v="22216670805.599998"/>
    <n v="295608"/>
    <x v="8"/>
    <n v="-12.049999999999955"/>
    <x v="2"/>
    <n v="11"/>
    <x v="1"/>
    <n v="0.23827534039334342"/>
  </r>
  <r>
    <d v="2025-11-04T00:00:00"/>
    <s v="EQ"/>
    <n v="951"/>
    <n v="959.3"/>
    <n v="941.5"/>
    <n v="949.7"/>
    <n v="954.6"/>
    <n v="957.6"/>
    <n v="951.24"/>
    <n v="959.3"/>
    <n v="680"/>
    <n v="19154518"/>
    <n v="18220510218.849998"/>
    <n v="274272"/>
    <x v="8"/>
    <n v="-1.2999999999999545"/>
    <x v="2"/>
    <n v="11"/>
    <x v="1"/>
    <n v="0.23827534039334342"/>
  </r>
  <r>
    <d v="2025-11-03T00:00:00"/>
    <s v="EQ"/>
    <n v="938.75"/>
    <n v="953.4"/>
    <n v="937.5"/>
    <n v="937"/>
    <n v="948.6"/>
    <n v="949.7"/>
    <n v="948.05"/>
    <n v="953.4"/>
    <n v="680"/>
    <n v="11744735"/>
    <n v="11134610778.15"/>
    <n v="257905"/>
    <x v="8"/>
    <n v="-1.75"/>
    <x v="2"/>
    <n v="11"/>
    <x v="1"/>
    <n v="0.23827534039334342"/>
  </r>
  <r>
    <d v="2025-10-31T00:00:00"/>
    <s v="EQ"/>
    <n v="934.9"/>
    <n v="946.7"/>
    <n v="930.25"/>
    <n v="934.35"/>
    <n v="937.5"/>
    <n v="937"/>
    <n v="939.16"/>
    <n v="946.7"/>
    <n v="680"/>
    <n v="12078252"/>
    <n v="11343369670.65"/>
    <n v="261943"/>
    <x v="8"/>
    <n v="-0.54999999999995453"/>
    <x v="2"/>
    <n v="10"/>
    <x v="2"/>
    <n v="0.23827534039334342"/>
  </r>
  <r>
    <d v="2025-10-30T00:00:00"/>
    <s v="EQ"/>
    <n v="939.45"/>
    <n v="944.9"/>
    <n v="933.05"/>
    <n v="939.75"/>
    <n v="934.5"/>
    <n v="934.35"/>
    <n v="938.89"/>
    <n v="944.9"/>
    <n v="680"/>
    <n v="13044473"/>
    <n v="12247265996.75"/>
    <n v="248310"/>
    <x v="8"/>
    <n v="0.29999999999995453"/>
    <x v="2"/>
    <n v="10"/>
    <x v="2"/>
    <n v="0.23827534039334342"/>
  </r>
  <r>
    <d v="2025-10-29T00:00:00"/>
    <s v="EQ"/>
    <n v="933.9"/>
    <n v="942.05"/>
    <n v="930.25"/>
    <n v="930.25"/>
    <n v="939"/>
    <n v="939.75"/>
    <n v="937.9"/>
    <n v="942.05"/>
    <n v="680"/>
    <n v="12314222"/>
    <n v="11549498004.299999"/>
    <n v="238682"/>
    <x v="8"/>
    <n v="-3.6499999999999773"/>
    <x v="2"/>
    <n v="10"/>
    <x v="2"/>
    <n v="0.23827534039334342"/>
  </r>
  <r>
    <d v="2025-10-28T00:00:00"/>
    <s v="EQ"/>
    <n v="927.1"/>
    <n v="935.85"/>
    <n v="917.7"/>
    <n v="922.75"/>
    <n v="930.5"/>
    <n v="930.25"/>
    <n v="927.38"/>
    <n v="935.85"/>
    <n v="680"/>
    <n v="22066289"/>
    <n v="20463762333"/>
    <n v="333815"/>
    <x v="8"/>
    <n v="-4.3500000000000227"/>
    <x v="2"/>
    <n v="10"/>
    <x v="2"/>
    <n v="0.23827534039334342"/>
  </r>
  <r>
    <d v="2025-10-27T00:00:00"/>
    <s v="EQ"/>
    <n v="906.95"/>
    <n v="928"/>
    <n v="906"/>
    <n v="904.5"/>
    <n v="926.9"/>
    <n v="922.75"/>
    <n v="918.09"/>
    <n v="928"/>
    <n v="680"/>
    <n v="9150761"/>
    <n v="8401263077.1499996"/>
    <n v="179901"/>
    <x v="8"/>
    <n v="-2.4500000000000455"/>
    <x v="2"/>
    <n v="10"/>
    <x v="2"/>
    <n v="0.23827534039334342"/>
  </r>
  <r>
    <d v="2025-10-24T00:00:00"/>
    <s v="EQ"/>
    <n v="910.95"/>
    <n v="914.1"/>
    <n v="900.95"/>
    <n v="911.55"/>
    <n v="904"/>
    <n v="904.5"/>
    <n v="905.66"/>
    <n v="918"/>
    <n v="680"/>
    <n v="5313227"/>
    <n v="4811992307.8500004"/>
    <n v="173275"/>
    <x v="8"/>
    <n v="0.59999999999990905"/>
    <x v="2"/>
    <n v="10"/>
    <x v="2"/>
    <n v="0.23827534039334342"/>
  </r>
  <r>
    <d v="2025-10-23T00:00:00"/>
    <s v="EQ"/>
    <n v="912"/>
    <n v="918"/>
    <n v="904.8"/>
    <n v="907.85"/>
    <n v="909.1"/>
    <n v="911.55"/>
    <n v="913.11"/>
    <n v="918"/>
    <n v="680"/>
    <n v="13382769"/>
    <n v="12219945497.549999"/>
    <n v="338233"/>
    <x v="8"/>
    <n v="-4.1499999999999773"/>
    <x v="2"/>
    <n v="10"/>
    <x v="2"/>
    <n v="0.23827534039334342"/>
  </r>
  <r>
    <d v="2025-10-21T00:00:00"/>
    <s v="EQ"/>
    <n v="908"/>
    <n v="910"/>
    <n v="906.4"/>
    <n v="907.5"/>
    <n v="907.05"/>
    <n v="907.85"/>
    <n v="907.99"/>
    <n v="913.65"/>
    <n v="680"/>
    <n v="1783576"/>
    <n v="1619477226.4000001"/>
    <n v="51138"/>
    <x v="8"/>
    <n v="-0.5"/>
    <x v="2"/>
    <n v="10"/>
    <x v="2"/>
    <n v="0.23827534039334342"/>
  </r>
  <r>
    <d v="2025-10-20T00:00:00"/>
    <s v="EQ"/>
    <n v="894.6"/>
    <n v="913.65"/>
    <n v="891.05"/>
    <n v="889.15"/>
    <n v="907"/>
    <n v="907.5"/>
    <n v="905.33"/>
    <n v="913.65"/>
    <n v="680"/>
    <n v="13546463"/>
    <n v="12264027405.35"/>
    <n v="241758"/>
    <x v="8"/>
    <n v="-5.4500000000000455"/>
    <x v="2"/>
    <n v="10"/>
    <x v="2"/>
    <n v="0.23827534039334342"/>
  </r>
  <r>
    <d v="2025-10-17T00:00:00"/>
    <s v="EQ"/>
    <n v="887.5"/>
    <n v="894.75"/>
    <n v="883"/>
    <n v="886.95"/>
    <n v="888"/>
    <n v="889.15"/>
    <n v="888.75"/>
    <n v="894.75"/>
    <n v="680"/>
    <n v="8511854"/>
    <n v="7564950031.25"/>
    <n v="231474"/>
    <x v="8"/>
    <n v="-0.54999999999995453"/>
    <x v="2"/>
    <n v="10"/>
    <x v="2"/>
    <n v="0.23827534039334342"/>
  </r>
  <r>
    <d v="2025-10-16T00:00:00"/>
    <s v="EQ"/>
    <n v="888.3"/>
    <n v="891.85"/>
    <n v="882.45"/>
    <n v="886.1"/>
    <n v="886.2"/>
    <n v="886.95"/>
    <n v="887.32"/>
    <n v="891.85"/>
    <n v="680"/>
    <n v="8493686"/>
    <n v="7536587997.5"/>
    <n v="269552"/>
    <x v="8"/>
    <n v="-2.1999999999999318"/>
    <x v="2"/>
    <n v="10"/>
    <x v="2"/>
    <n v="0.23827534039334342"/>
  </r>
  <r>
    <d v="2025-10-15T00:00:00"/>
    <s v="EQ"/>
    <n v="878.1"/>
    <n v="887.5"/>
    <n v="877.05"/>
    <n v="876.95"/>
    <n v="886.9"/>
    <n v="886.1"/>
    <n v="884.42"/>
    <n v="888.1"/>
    <n v="680"/>
    <n v="8269225"/>
    <n v="7313505128.5500002"/>
    <n v="246174"/>
    <x v="8"/>
    <n v="-1.1499999999999773"/>
    <x v="2"/>
    <n v="10"/>
    <x v="2"/>
    <n v="0.23827534039334342"/>
  </r>
  <r>
    <d v="2025-10-14T00:00:00"/>
    <s v="EQ"/>
    <n v="883"/>
    <n v="884.15"/>
    <n v="872.1"/>
    <n v="882.95"/>
    <n v="876"/>
    <n v="876.95"/>
    <n v="876.97"/>
    <n v="888.1"/>
    <n v="680"/>
    <n v="7681973"/>
    <n v="6736896799.3000002"/>
    <n v="134593"/>
    <x v="8"/>
    <n v="-4.9999999999954525E-2"/>
    <x v="2"/>
    <n v="10"/>
    <x v="2"/>
    <n v="0.23827534039334342"/>
  </r>
  <r>
    <d v="2025-10-13T00:00:00"/>
    <s v="EQ"/>
    <n v="879"/>
    <n v="888.1"/>
    <n v="876"/>
    <n v="880.65"/>
    <n v="884"/>
    <n v="882.95"/>
    <n v="884.03"/>
    <n v="888.1"/>
    <n v="680"/>
    <n v="11923143"/>
    <n v="10540393655.950001"/>
    <n v="198375"/>
    <x v="8"/>
    <n v="1.6499999999999773"/>
    <x v="2"/>
    <n v="10"/>
    <x v="2"/>
    <n v="0.23827534039334342"/>
  </r>
  <r>
    <d v="2025-10-10T00:00:00"/>
    <s v="EQ"/>
    <n v="862.1"/>
    <n v="883.75"/>
    <n v="861.3"/>
    <n v="862.1"/>
    <n v="881.25"/>
    <n v="880.65"/>
    <n v="879.53"/>
    <n v="883.75"/>
    <n v="680"/>
    <n v="13713015"/>
    <n v="12061033018.65"/>
    <n v="191535"/>
    <x v="8"/>
    <n v="0"/>
    <x v="2"/>
    <n v="10"/>
    <x v="2"/>
    <n v="0.23827534039334342"/>
  </r>
  <r>
    <d v="2025-10-09T00:00:00"/>
    <s v="EQ"/>
    <n v="861.6"/>
    <n v="865.8"/>
    <n v="858.1"/>
    <n v="858.25"/>
    <n v="861.4"/>
    <n v="862.1"/>
    <n v="861.48"/>
    <n v="880.5"/>
    <n v="680"/>
    <n v="7020501"/>
    <n v="6048014878.8999996"/>
    <n v="121377"/>
    <x v="8"/>
    <n v="-3.3500000000000227"/>
    <x v="2"/>
    <n v="10"/>
    <x v="2"/>
    <n v="0.23827534039334342"/>
  </r>
  <r>
    <d v="2025-10-08T00:00:00"/>
    <s v="EQ"/>
    <n v="866.8"/>
    <n v="867.8"/>
    <n v="857.25"/>
    <n v="864.7"/>
    <n v="857.3"/>
    <n v="858.25"/>
    <n v="860.69"/>
    <n v="880.5"/>
    <n v="680"/>
    <n v="7156112"/>
    <n v="6159218647.3000002"/>
    <n v="129510"/>
    <x v="8"/>
    <n v="-2.0999999999999091"/>
    <x v="2"/>
    <n v="10"/>
    <x v="2"/>
    <n v="0.23827534039334342"/>
  </r>
  <r>
    <d v="2025-10-07T00:00:00"/>
    <s v="EQ"/>
    <n v="874.15"/>
    <n v="877"/>
    <n v="863"/>
    <n v="874.05"/>
    <n v="864.15"/>
    <n v="864.7"/>
    <n v="868.32"/>
    <n v="880.5"/>
    <n v="680"/>
    <n v="9242580"/>
    <n v="8025523526.1000004"/>
    <n v="167126"/>
    <x v="8"/>
    <n v="-0.10000000000002274"/>
    <x v="2"/>
    <n v="10"/>
    <x v="2"/>
    <n v="0.23827534039334342"/>
  </r>
  <r>
    <d v="2025-10-06T00:00:00"/>
    <s v="EQ"/>
    <n v="868"/>
    <n v="875.3"/>
    <n v="862.8"/>
    <n v="867.3"/>
    <n v="873.8"/>
    <n v="874.05"/>
    <n v="868.71"/>
    <n v="880.5"/>
    <n v="680"/>
    <n v="7820352"/>
    <n v="6793631063.5"/>
    <n v="164571"/>
    <x v="8"/>
    <n v="-0.70000000000004547"/>
    <x v="2"/>
    <n v="10"/>
    <x v="2"/>
    <n v="0.23827534039334342"/>
  </r>
  <r>
    <d v="2025-10-03T00:00:00"/>
    <s v="EQ"/>
    <n v="865.15"/>
    <n v="873"/>
    <n v="863.8"/>
    <n v="864.1"/>
    <n v="867.7"/>
    <n v="867.3"/>
    <n v="867.43"/>
    <n v="880.5"/>
    <n v="680"/>
    <n v="8019442"/>
    <n v="6956290461.6999998"/>
    <n v="154834"/>
    <x v="8"/>
    <n v="-1.0499999999999545"/>
    <x v="2"/>
    <n v="10"/>
    <x v="2"/>
    <n v="0.23827534039334342"/>
  </r>
  <r>
    <d v="2025-10-01T00:00:00"/>
    <s v="EQ"/>
    <n v="872.3"/>
    <n v="876.45"/>
    <n v="862.8"/>
    <n v="872.45"/>
    <n v="865.15"/>
    <n v="864.1"/>
    <n v="866.79"/>
    <n v="880.5"/>
    <n v="680"/>
    <n v="10832384"/>
    <n v="9389446664.6499996"/>
    <n v="218205"/>
    <x v="8"/>
    <n v="0.15000000000009095"/>
    <x v="2"/>
    <n v="10"/>
    <x v="2"/>
    <n v="0.23827534039334342"/>
  </r>
  <r>
    <d v="2025-09-30T00:00:00"/>
    <s v="EQ"/>
    <n v="869.95"/>
    <n v="877.6"/>
    <n v="867.6"/>
    <n v="870.75"/>
    <n v="873.7"/>
    <n v="872.45"/>
    <n v="873.54"/>
    <n v="880.5"/>
    <n v="680"/>
    <n v="12831593"/>
    <n v="11208895455.700001"/>
    <n v="205386"/>
    <x v="8"/>
    <n v="0.79999999999995453"/>
    <x v="2"/>
    <n v="9"/>
    <x v="3"/>
    <n v="0.23827534039334342"/>
  </r>
  <r>
    <d v="2025-09-29T00:00:00"/>
    <s v="EQ"/>
    <n v="858.05"/>
    <n v="873.5"/>
    <n v="856"/>
    <n v="856.95"/>
    <n v="870.25"/>
    <n v="870.75"/>
    <n v="868.13"/>
    <n v="880.5"/>
    <n v="680"/>
    <n v="22641712"/>
    <n v="19655996220.150002"/>
    <n v="192001"/>
    <x v="8"/>
    <n v="-1.0999999999999091"/>
    <x v="2"/>
    <n v="9"/>
    <x v="3"/>
    <n v="0.23827534039334342"/>
  </r>
  <r>
    <d v="2025-09-26T00:00:00"/>
    <s v="EQ"/>
    <n v="862"/>
    <n v="864.35"/>
    <n v="853"/>
    <n v="861.15"/>
    <n v="857"/>
    <n v="856.95"/>
    <n v="857.34"/>
    <n v="880.5"/>
    <n v="680"/>
    <n v="6959545"/>
    <n v="5966677885.8000002"/>
    <n v="158616"/>
    <x v="8"/>
    <n v="-0.85000000000002274"/>
    <x v="2"/>
    <n v="9"/>
    <x v="3"/>
    <n v="0.23827534039334342"/>
  </r>
  <r>
    <d v="2025-09-25T00:00:00"/>
    <s v="EQ"/>
    <n v="866.55"/>
    <n v="870.15"/>
    <n v="859.95"/>
    <n v="866.2"/>
    <n v="861.45"/>
    <n v="861.15"/>
    <n v="864.66"/>
    <n v="880.5"/>
    <n v="680"/>
    <n v="8678821"/>
    <n v="7504197402.9499998"/>
    <n v="190936"/>
    <x v="8"/>
    <n v="-0.34999999999990905"/>
    <x v="2"/>
    <n v="9"/>
    <x v="3"/>
    <n v="0.23827534039334342"/>
  </r>
  <r>
    <d v="2025-09-24T00:00:00"/>
    <s v="EQ"/>
    <n v="876"/>
    <n v="880.5"/>
    <n v="864.45"/>
    <n v="870.6"/>
    <n v="866.15"/>
    <n v="866.2"/>
    <n v="872.28"/>
    <n v="880.5"/>
    <n v="680"/>
    <n v="12840160"/>
    <n v="11200249246.85"/>
    <n v="219731"/>
    <x v="8"/>
    <n v="-5.3999999999999773"/>
    <x v="2"/>
    <n v="9"/>
    <x v="3"/>
    <n v="0.23827534039334342"/>
  </r>
  <r>
    <d v="2025-09-23T00:00:00"/>
    <s v="EQ"/>
    <n v="854.6"/>
    <n v="874.25"/>
    <n v="851.2"/>
    <n v="855.25"/>
    <n v="869.6"/>
    <n v="870.6"/>
    <n v="866.65"/>
    <n v="875.45"/>
    <n v="680"/>
    <n v="14357863"/>
    <n v="12443185268.450001"/>
    <n v="218373"/>
    <x v="8"/>
    <n v="0.64999999999997726"/>
    <x v="2"/>
    <n v="9"/>
    <x v="3"/>
    <n v="0.23827534039334342"/>
  </r>
  <r>
    <d v="2025-09-22T00:00:00"/>
    <s v="EQ"/>
    <n v="862"/>
    <n v="868.2"/>
    <n v="854"/>
    <n v="862.35"/>
    <n v="854.7"/>
    <n v="855.25"/>
    <n v="860.89"/>
    <n v="875.45"/>
    <n v="680"/>
    <n v="6594034"/>
    <n v="5676737180.1499996"/>
    <n v="158066"/>
    <x v="8"/>
    <n v="0.35000000000002274"/>
    <x v="2"/>
    <n v="9"/>
    <x v="3"/>
    <n v="0.23827534039334342"/>
  </r>
  <r>
    <d v="2025-09-19T00:00:00"/>
    <s v="EQ"/>
    <n v="852"/>
    <n v="864.45"/>
    <n v="849.3"/>
    <n v="854.35"/>
    <n v="862.55"/>
    <n v="862.35"/>
    <n v="861"/>
    <n v="875.45"/>
    <n v="680"/>
    <n v="15206426"/>
    <n v="13092718216.85"/>
    <n v="246465"/>
    <x v="8"/>
    <n v="2.3500000000000227"/>
    <x v="2"/>
    <n v="9"/>
    <x v="3"/>
    <n v="0.23827534039334342"/>
  </r>
  <r>
    <d v="2025-09-18T00:00:00"/>
    <s v="EQ"/>
    <n v="858.65"/>
    <n v="860.8"/>
    <n v="851.1"/>
    <n v="857.15"/>
    <n v="854.1"/>
    <n v="854.35"/>
    <n v="855.42"/>
    <n v="875.45"/>
    <n v="680"/>
    <n v="10400847"/>
    <n v="8897051776"/>
    <n v="261925"/>
    <x v="8"/>
    <n v="-1.5"/>
    <x v="2"/>
    <n v="9"/>
    <x v="3"/>
    <n v="0.23827534039334342"/>
  </r>
  <r>
    <d v="2025-09-17T00:00:00"/>
    <s v="EQ"/>
    <n v="834.3"/>
    <n v="858.15"/>
    <n v="831"/>
    <n v="831.55"/>
    <n v="856.9"/>
    <n v="857.15"/>
    <n v="847.27"/>
    <n v="875.45"/>
    <n v="680"/>
    <n v="17243938"/>
    <n v="14610349915.4"/>
    <n v="240034"/>
    <x v="8"/>
    <n v="-2.75"/>
    <x v="2"/>
    <n v="9"/>
    <x v="3"/>
    <n v="0.23827534039334342"/>
  </r>
  <r>
    <d v="2025-09-16T00:00:00"/>
    <s v="EQ"/>
    <n v="825.1"/>
    <n v="833"/>
    <n v="821.65"/>
    <n v="824.75"/>
    <n v="832.65"/>
    <n v="831.55"/>
    <n v="829.33"/>
    <n v="875.45"/>
    <n v="680"/>
    <n v="9467531"/>
    <n v="7851753614.4499998"/>
    <n v="176946"/>
    <x v="8"/>
    <n v="-0.35000000000002274"/>
    <x v="2"/>
    <n v="9"/>
    <x v="3"/>
    <n v="0.23827534039334342"/>
  </r>
  <r>
    <d v="2025-09-15T00:00:00"/>
    <s v="EQ"/>
    <n v="823.55"/>
    <n v="827.8"/>
    <n v="821.1"/>
    <n v="823.55"/>
    <n v="824"/>
    <n v="824.75"/>
    <n v="824.82"/>
    <n v="875.45"/>
    <n v="680"/>
    <n v="3852494"/>
    <n v="3177618594.5500002"/>
    <n v="112933"/>
    <x v="8"/>
    <n v="0"/>
    <x v="2"/>
    <n v="9"/>
    <x v="3"/>
    <n v="0.23827534039334342"/>
  </r>
  <r>
    <d v="2025-09-12T00:00:00"/>
    <s v="EQ"/>
    <n v="824.1"/>
    <n v="825.8"/>
    <n v="819.8"/>
    <n v="823.65"/>
    <n v="823.2"/>
    <n v="823.55"/>
    <n v="822.85"/>
    <n v="875.45"/>
    <n v="680"/>
    <n v="5078018"/>
    <n v="4178428627.0500002"/>
    <n v="97209"/>
    <x v="8"/>
    <n v="-0.45000000000004547"/>
    <x v="2"/>
    <n v="9"/>
    <x v="3"/>
    <n v="0.23827534039334342"/>
  </r>
  <r>
    <d v="2025-09-11T00:00:00"/>
    <s v="EQ"/>
    <n v="819.1"/>
    <n v="825.7"/>
    <n v="819"/>
    <n v="818.2"/>
    <n v="824.6"/>
    <n v="823.65"/>
    <n v="823.2"/>
    <n v="875.45"/>
    <n v="680"/>
    <n v="7425055"/>
    <n v="6112287855"/>
    <n v="127782"/>
    <x v="8"/>
    <n v="-0.89999999999997726"/>
    <x v="2"/>
    <n v="9"/>
    <x v="3"/>
    <n v="0.23827534039334342"/>
  </r>
  <r>
    <d v="2025-09-10T00:00:00"/>
    <s v="EQ"/>
    <n v="812"/>
    <n v="824.6"/>
    <n v="810.4"/>
    <n v="808.85"/>
    <n v="818.45"/>
    <n v="818.2"/>
    <n v="818.64"/>
    <n v="875.45"/>
    <n v="680"/>
    <n v="7285853"/>
    <n v="5964483743.8500004"/>
    <n v="106322"/>
    <x v="8"/>
    <n v="-3.1499999999999773"/>
    <x v="2"/>
    <n v="9"/>
    <x v="3"/>
    <n v="0.23827534039334342"/>
  </r>
  <r>
    <d v="2025-09-09T00:00:00"/>
    <s v="EQ"/>
    <n v="812"/>
    <n v="812.35"/>
    <n v="805.6"/>
    <n v="808.8"/>
    <n v="808"/>
    <n v="808.85"/>
    <n v="808.44"/>
    <n v="875.45"/>
    <n v="680"/>
    <n v="4567272"/>
    <n v="3692346687.0999999"/>
    <n v="104998"/>
    <x v="8"/>
    <n v="-3.2000000000000455"/>
    <x v="2"/>
    <n v="9"/>
    <x v="3"/>
    <n v="0.23827534039334342"/>
  </r>
  <r>
    <d v="2025-09-08T00:00:00"/>
    <s v="EQ"/>
    <n v="808"/>
    <n v="813.85"/>
    <n v="806.8"/>
    <n v="806.6"/>
    <n v="808"/>
    <n v="808.8"/>
    <n v="810.2"/>
    <n v="875.45"/>
    <n v="680"/>
    <n v="4614227"/>
    <n v="3738454020.9499998"/>
    <n v="121620"/>
    <x v="8"/>
    <n v="-1.3999999999999773"/>
    <x v="2"/>
    <n v="9"/>
    <x v="3"/>
    <n v="0.23827534039334342"/>
  </r>
  <r>
    <d v="2025-09-05T00:00:00"/>
    <s v="EQ"/>
    <n v="811.5"/>
    <n v="812.5"/>
    <n v="803.65"/>
    <n v="809.4"/>
    <n v="806.95"/>
    <n v="806.6"/>
    <n v="807.29"/>
    <n v="875.45"/>
    <n v="680"/>
    <n v="5194842"/>
    <n v="4193721391"/>
    <n v="102729"/>
    <x v="8"/>
    <n v="-2.1000000000000227"/>
    <x v="2"/>
    <n v="9"/>
    <x v="3"/>
    <n v="0.23827534039334342"/>
  </r>
  <r>
    <d v="2025-09-04T00:00:00"/>
    <s v="EQ"/>
    <n v="814.65"/>
    <n v="816.75"/>
    <n v="808"/>
    <n v="812.15"/>
    <n v="809.85"/>
    <n v="809.4"/>
    <n v="811.23"/>
    <n v="875.45"/>
    <n v="680"/>
    <n v="4471950"/>
    <n v="3627764983.4000001"/>
    <n v="96652"/>
    <x v="8"/>
    <n v="-2.5"/>
    <x v="2"/>
    <n v="9"/>
    <x v="3"/>
    <n v="0.23827534039334342"/>
  </r>
  <r>
    <d v="2025-09-03T00:00:00"/>
    <s v="EQ"/>
    <n v="804.3"/>
    <n v="813.3"/>
    <n v="803"/>
    <n v="803.9"/>
    <n v="813"/>
    <n v="812.15"/>
    <n v="810.4"/>
    <n v="875.45"/>
    <n v="680"/>
    <n v="4261589"/>
    <n v="3453582134.4000001"/>
    <n v="87672"/>
    <x v="8"/>
    <n v="-0.39999999999997726"/>
    <x v="2"/>
    <n v="9"/>
    <x v="3"/>
    <n v="0.23827534039334342"/>
  </r>
  <r>
    <d v="2025-09-02T00:00:00"/>
    <s v="EQ"/>
    <n v="806.3"/>
    <n v="810.5"/>
    <n v="802.65"/>
    <n v="806.05"/>
    <n v="803.75"/>
    <n v="803.9"/>
    <n v="806.45"/>
    <n v="875.45"/>
    <n v="680"/>
    <n v="5075460"/>
    <n v="4093129116.75"/>
    <n v="106989"/>
    <x v="8"/>
    <n v="-0.25"/>
    <x v="2"/>
    <n v="9"/>
    <x v="3"/>
    <n v="0.23827534039334342"/>
  </r>
  <r>
    <d v="2025-09-01T00:00:00"/>
    <s v="EQ"/>
    <n v="803.1"/>
    <n v="808.3"/>
    <n v="802.65"/>
    <n v="802.5"/>
    <n v="805.5"/>
    <n v="806.05"/>
    <n v="805.3"/>
    <n v="875.45"/>
    <n v="680"/>
    <n v="5619805"/>
    <n v="4525656654.4499998"/>
    <n v="128697"/>
    <x v="8"/>
    <n v="-0.60000000000002274"/>
    <x v="2"/>
    <n v="9"/>
    <x v="3"/>
    <n v="0.23827534039334342"/>
  </r>
  <r>
    <d v="2025-08-29T00:00:00"/>
    <s v="EQ"/>
    <n v="800.7"/>
    <n v="806.7"/>
    <n v="798.5"/>
    <n v="801.95"/>
    <n v="802.4"/>
    <n v="802.5"/>
    <n v="803"/>
    <n v="875.45"/>
    <n v="680"/>
    <n v="6861440"/>
    <n v="5509712391.6999998"/>
    <n v="127449"/>
    <x v="8"/>
    <n v="1.25"/>
    <x v="2"/>
    <n v="8"/>
    <x v="4"/>
    <n v="0.23827534039334342"/>
  </r>
  <r>
    <d v="2025-08-28T00:00:00"/>
    <s v="EQ"/>
    <n v="807.25"/>
    <n v="811"/>
    <n v="800.65"/>
    <n v="807.85"/>
    <n v="802.9"/>
    <n v="801.95"/>
    <n v="806.19"/>
    <n v="875.45"/>
    <n v="680"/>
    <n v="7898436"/>
    <n v="6367629468"/>
    <n v="163534"/>
    <x v="8"/>
    <n v="0.60000000000002274"/>
    <x v="2"/>
    <n v="8"/>
    <x v="4"/>
    <n v="0.23827534039334342"/>
  </r>
  <r>
    <d v="2025-08-26T00:00:00"/>
    <s v="EQ"/>
    <n v="814.85"/>
    <n v="815.85"/>
    <n v="806.75"/>
    <n v="816.45"/>
    <n v="808.4"/>
    <n v="807.85"/>
    <n v="810.3"/>
    <n v="875.45"/>
    <n v="680"/>
    <n v="6997817"/>
    <n v="5670332537.1000004"/>
    <n v="127200"/>
    <x v="8"/>
    <n v="1.6000000000000227"/>
    <x v="2"/>
    <n v="8"/>
    <x v="4"/>
    <n v="0.23827534039334342"/>
  </r>
  <r>
    <d v="2025-08-25T00:00:00"/>
    <s v="EQ"/>
    <n v="817.45"/>
    <n v="820.5"/>
    <n v="814.2"/>
    <n v="816.25"/>
    <n v="816.5"/>
    <n v="816.45"/>
    <n v="817.57"/>
    <n v="875.45"/>
    <n v="680"/>
    <n v="5672898"/>
    <n v="4637981705.0500002"/>
    <n v="176881"/>
    <x v="8"/>
    <n v="-1.2000000000000455"/>
    <x v="2"/>
    <n v="8"/>
    <x v="4"/>
    <n v="0.23827534039334342"/>
  </r>
  <r>
    <d v="2025-08-22T00:00:00"/>
    <s v="EQ"/>
    <n v="824"/>
    <n v="826"/>
    <n v="815.7"/>
    <n v="825.7"/>
    <n v="816.8"/>
    <n v="816.25"/>
    <n v="819.33"/>
    <n v="875.45"/>
    <n v="680"/>
    <n v="5097647"/>
    <n v="4176641494.8499999"/>
    <n v="141389"/>
    <x v="8"/>
    <n v="1.7000000000000455"/>
    <x v="2"/>
    <n v="8"/>
    <x v="4"/>
    <n v="0.23827534039334342"/>
  </r>
  <r>
    <d v="2025-08-21T00:00:00"/>
    <s v="EQ"/>
    <n v="828.95"/>
    <n v="833.25"/>
    <n v="824.05"/>
    <n v="828.95"/>
    <n v="824.05"/>
    <n v="825.7"/>
    <n v="828.67"/>
    <n v="875.45"/>
    <n v="680"/>
    <n v="4402511"/>
    <n v="3648216255.5"/>
    <n v="108762"/>
    <x v="8"/>
    <n v="0"/>
    <x v="2"/>
    <n v="8"/>
    <x v="4"/>
    <n v="0.23827534039334342"/>
  </r>
  <r>
    <d v="2025-08-20T00:00:00"/>
    <s v="EQ"/>
    <n v="828.7"/>
    <n v="831.9"/>
    <n v="827.4"/>
    <n v="830.4"/>
    <n v="828.9"/>
    <n v="828.95"/>
    <n v="829.56"/>
    <n v="875.45"/>
    <n v="680"/>
    <n v="4493888"/>
    <n v="3727970038.6500001"/>
    <n v="89785"/>
    <x v="8"/>
    <n v="1.6999999999999318"/>
    <x v="2"/>
    <n v="8"/>
    <x v="4"/>
    <n v="0.23827534039334342"/>
  </r>
  <r>
    <d v="2025-08-19T00:00:00"/>
    <s v="EQ"/>
    <n v="827.5"/>
    <n v="831"/>
    <n v="825.8"/>
    <n v="827.65"/>
    <n v="829.15"/>
    <n v="830.4"/>
    <n v="829.06"/>
    <n v="875.45"/>
    <n v="680"/>
    <n v="5076681"/>
    <n v="4208857802.0999999"/>
    <n v="110280"/>
    <x v="8"/>
    <n v="0.14999999999997726"/>
    <x v="2"/>
    <n v="8"/>
    <x v="4"/>
    <n v="0.23827534039334342"/>
  </r>
  <r>
    <d v="2025-08-18T00:00:00"/>
    <s v="EQ"/>
    <n v="836"/>
    <n v="838"/>
    <n v="825.15"/>
    <n v="826.55"/>
    <n v="826.2"/>
    <n v="827.65"/>
    <n v="829.82"/>
    <n v="875.45"/>
    <n v="680"/>
    <n v="6138124"/>
    <n v="5093538559.75"/>
    <n v="136179"/>
    <x v="8"/>
    <n v="-9.4500000000000455"/>
    <x v="2"/>
    <n v="8"/>
    <x v="4"/>
    <n v="0.23827534039334342"/>
  </r>
  <r>
    <d v="2025-08-14T00:00:00"/>
    <s v="EQ"/>
    <n v="822"/>
    <n v="828"/>
    <n v="819.1"/>
    <n v="821.85"/>
    <n v="825.5"/>
    <n v="826.55"/>
    <n v="826.02"/>
    <n v="875.45"/>
    <n v="680"/>
    <n v="7087573"/>
    <n v="5854478307.9499998"/>
    <n v="152716"/>
    <x v="8"/>
    <n v="-0.14999999999997726"/>
    <x v="2"/>
    <n v="8"/>
    <x v="4"/>
    <n v="0.23827534039334342"/>
  </r>
  <r>
    <d v="2025-08-13T00:00:00"/>
    <s v="EQ"/>
    <n v="822.65"/>
    <n v="824.95"/>
    <n v="820.65"/>
    <n v="820.6"/>
    <n v="821.55"/>
    <n v="821.85"/>
    <n v="822.38"/>
    <n v="875.45"/>
    <n v="680"/>
    <n v="4447508"/>
    <n v="3657529878.0500002"/>
    <n v="85625"/>
    <x v="8"/>
    <n v="-2.0499999999999545"/>
    <x v="2"/>
    <n v="8"/>
    <x v="4"/>
    <n v="0.23827534039334342"/>
  </r>
  <r>
    <d v="2025-08-12T00:00:00"/>
    <s v="EQ"/>
    <n v="824.95"/>
    <n v="825.5"/>
    <n v="820"/>
    <n v="823.45"/>
    <n v="821.1"/>
    <n v="820.6"/>
    <n v="823.09"/>
    <n v="875.45"/>
    <n v="680"/>
    <n v="7986728"/>
    <n v="6573758560.3999996"/>
    <n v="224361"/>
    <x v="8"/>
    <n v="-1.5"/>
    <x v="2"/>
    <n v="8"/>
    <x v="4"/>
    <n v="0.23827534039334342"/>
  </r>
  <r>
    <d v="2025-08-11T00:00:00"/>
    <s v="EQ"/>
    <n v="808"/>
    <n v="825"/>
    <n v="808"/>
    <n v="804.3"/>
    <n v="820.8"/>
    <n v="823.45"/>
    <n v="820.82"/>
    <n v="875.45"/>
    <n v="680"/>
    <n v="15236297"/>
    <n v="12506219350.049999"/>
    <n v="287439"/>
    <x v="8"/>
    <n v="-3.7000000000000455"/>
    <x v="2"/>
    <n v="8"/>
    <x v="4"/>
    <n v="0.23827534039334342"/>
  </r>
  <r>
    <d v="2025-08-08T00:00:00"/>
    <s v="EQ"/>
    <n v="805"/>
    <n v="807.8"/>
    <n v="790"/>
    <n v="805.15"/>
    <n v="802.5"/>
    <n v="804.3"/>
    <n v="801.59"/>
    <n v="875.45"/>
    <n v="680"/>
    <n v="15708181"/>
    <n v="12591558509.549999"/>
    <n v="277397"/>
    <x v="8"/>
    <n v="0.14999999999997726"/>
    <x v="2"/>
    <n v="8"/>
    <x v="4"/>
    <n v="0.23827534039334342"/>
  </r>
  <r>
    <d v="2025-08-07T00:00:00"/>
    <s v="EQ"/>
    <n v="801.1"/>
    <n v="806.65"/>
    <n v="793.4"/>
    <n v="805.15"/>
    <n v="805.6"/>
    <n v="805.15"/>
    <n v="799.81"/>
    <n v="875.45"/>
    <n v="680"/>
    <n v="7091392"/>
    <n v="5671767724.3500004"/>
    <n v="134092"/>
    <x v="8"/>
    <n v="4.0499999999999545"/>
    <x v="2"/>
    <n v="8"/>
    <x v="4"/>
    <n v="0.23827534039334342"/>
  </r>
  <r>
    <d v="2025-08-06T00:00:00"/>
    <s v="EQ"/>
    <n v="800.95"/>
    <n v="810.2"/>
    <n v="799"/>
    <n v="800.6"/>
    <n v="804.8"/>
    <n v="805.15"/>
    <n v="804.39"/>
    <n v="875.45"/>
    <n v="680"/>
    <n v="7409396"/>
    <n v="5960018370.3500004"/>
    <n v="120510"/>
    <x v="8"/>
    <n v="-0.35000000000002274"/>
    <x v="2"/>
    <n v="8"/>
    <x v="4"/>
    <n v="0.23827534039334342"/>
  </r>
  <r>
    <d v="2025-08-05T00:00:00"/>
    <s v="EQ"/>
    <n v="798"/>
    <n v="804.05"/>
    <n v="796.3"/>
    <n v="795.7"/>
    <n v="800.5"/>
    <n v="800.6"/>
    <n v="800.2"/>
    <n v="875.45"/>
    <n v="680"/>
    <n v="7381537"/>
    <n v="5906692588.8000002"/>
    <n v="174330"/>
    <x v="8"/>
    <n v="-2.2999999999999545"/>
    <x v="2"/>
    <n v="8"/>
    <x v="4"/>
    <n v="0.23827534039334342"/>
  </r>
  <r>
    <d v="2025-08-04T00:00:00"/>
    <s v="EQ"/>
    <n v="794.5"/>
    <n v="797.2"/>
    <n v="786.55"/>
    <n v="794"/>
    <n v="796.8"/>
    <n v="795.7"/>
    <n v="792.44"/>
    <n v="875.45"/>
    <n v="680"/>
    <n v="8820724"/>
    <n v="6989858237.1000004"/>
    <n v="169176"/>
    <x v="8"/>
    <n v="-0.5"/>
    <x v="2"/>
    <n v="8"/>
    <x v="4"/>
    <n v="0.23827534039334342"/>
  </r>
  <r>
    <d v="2025-08-01T00:00:00"/>
    <s v="EQ"/>
    <n v="795.7"/>
    <n v="801"/>
    <n v="792"/>
    <n v="796.55"/>
    <n v="792.95"/>
    <n v="794"/>
    <n v="795.49"/>
    <n v="889.1"/>
    <n v="680"/>
    <n v="15468391"/>
    <n v="12304983591.85"/>
    <n v="180563"/>
    <x v="8"/>
    <n v="0.84999999999990905"/>
    <x v="2"/>
    <n v="8"/>
    <x v="4"/>
    <n v="0.23827534039334342"/>
  </r>
  <r>
    <d v="2025-07-31T00:00:00"/>
    <s v="EQ"/>
    <n v="795.1"/>
    <n v="803.8"/>
    <n v="792.55"/>
    <n v="801.65"/>
    <n v="796"/>
    <n v="796.55"/>
    <n v="798.31"/>
    <n v="889.1"/>
    <n v="680"/>
    <n v="11359112"/>
    <n v="9068069397.0499992"/>
    <n v="185101"/>
    <x v="8"/>
    <n v="6.5499999999999545"/>
    <x v="2"/>
    <n v="7"/>
    <x v="5"/>
    <n v="0.23827534039334342"/>
  </r>
  <r>
    <d v="2025-07-30T00:00:00"/>
    <s v="EQ"/>
    <n v="798.95"/>
    <n v="803.4"/>
    <n v="796.2"/>
    <n v="799.2"/>
    <n v="800"/>
    <n v="801.65"/>
    <n v="800.75"/>
    <n v="889.1"/>
    <n v="680"/>
    <n v="8743723"/>
    <n v="7001526821.1999998"/>
    <n v="119582"/>
    <x v="8"/>
    <n v="0.25"/>
    <x v="2"/>
    <n v="7"/>
    <x v="5"/>
    <n v="0.23827534039334342"/>
  </r>
  <r>
    <d v="2025-07-29T00:00:00"/>
    <s v="EQ"/>
    <n v="796.2"/>
    <n v="800"/>
    <n v="793.1"/>
    <n v="797.15"/>
    <n v="798.85"/>
    <n v="799.2"/>
    <n v="797.21"/>
    <n v="889.1"/>
    <n v="680"/>
    <n v="7833759"/>
    <n v="6245123153.3999996"/>
    <n v="133563"/>
    <x v="8"/>
    <n v="0.94999999999993179"/>
    <x v="2"/>
    <n v="7"/>
    <x v="5"/>
    <n v="0.23827534039334342"/>
  </r>
  <r>
    <d v="2025-07-28T00:00:00"/>
    <s v="EQ"/>
    <n v="806.55"/>
    <n v="808.95"/>
    <n v="796"/>
    <n v="806.55"/>
    <n v="796.55"/>
    <n v="797.15"/>
    <n v="801.77"/>
    <n v="889.1"/>
    <n v="680"/>
    <n v="7734158"/>
    <n v="6201051607.25"/>
    <n v="243443"/>
    <x v="8"/>
    <n v="0"/>
    <x v="2"/>
    <n v="7"/>
    <x v="5"/>
    <n v="0.23827534039334342"/>
  </r>
  <r>
    <d v="2025-07-25T00:00:00"/>
    <s v="EQ"/>
    <n v="815"/>
    <n v="819.2"/>
    <n v="805.5"/>
    <n v="815.7"/>
    <n v="805.9"/>
    <n v="806.55"/>
    <n v="810.72"/>
    <n v="895"/>
    <n v="680"/>
    <n v="6734439"/>
    <n v="5459744200.8500004"/>
    <n v="155026"/>
    <x v="8"/>
    <n v="0.70000000000004547"/>
    <x v="2"/>
    <n v="7"/>
    <x v="5"/>
    <n v="0.23827534039334342"/>
  </r>
  <r>
    <d v="2025-07-24T00:00:00"/>
    <s v="EQ"/>
    <n v="820"/>
    <n v="821.95"/>
    <n v="810.65"/>
    <n v="820.65"/>
    <n v="816.5"/>
    <n v="815.7"/>
    <n v="815.53"/>
    <n v="895"/>
    <n v="680"/>
    <n v="10118309"/>
    <n v="8251755595.6999998"/>
    <n v="197128"/>
    <x v="8"/>
    <n v="0.64999999999997726"/>
    <x v="2"/>
    <n v="7"/>
    <x v="5"/>
    <n v="0.23827534039334342"/>
  </r>
  <r>
    <d v="2025-07-23T00:00:00"/>
    <s v="EQ"/>
    <n v="812.5"/>
    <n v="825.2"/>
    <n v="811.5"/>
    <n v="815"/>
    <n v="820.05"/>
    <n v="820.65"/>
    <n v="817.03"/>
    <n v="895"/>
    <n v="680"/>
    <n v="15470390"/>
    <n v="12639761432.950001"/>
    <n v="221637"/>
    <x v="8"/>
    <n v="2.5"/>
    <x v="2"/>
    <n v="7"/>
    <x v="5"/>
    <n v="0.23827534039334342"/>
  </r>
  <r>
    <d v="2025-07-22T00:00:00"/>
    <s v="EQ"/>
    <n v="827.5"/>
    <n v="828.05"/>
    <n v="814"/>
    <n v="824.2"/>
    <n v="814.65"/>
    <n v="815"/>
    <n v="819.53"/>
    <n v="895"/>
    <n v="680"/>
    <n v="7851163"/>
    <n v="6434296996.25"/>
    <n v="146969"/>
    <x v="8"/>
    <n v="-3.2999999999999545"/>
    <x v="2"/>
    <n v="7"/>
    <x v="5"/>
    <n v="0.23827534039334342"/>
  </r>
  <r>
    <d v="2025-07-21T00:00:00"/>
    <s v="EQ"/>
    <n v="823"/>
    <n v="827.35"/>
    <n v="817.95"/>
    <n v="823.35"/>
    <n v="824.6"/>
    <n v="824.2"/>
    <n v="823.65"/>
    <n v="895"/>
    <n v="680"/>
    <n v="8852594"/>
    <n v="7291470527.5"/>
    <n v="146624"/>
    <x v="8"/>
    <n v="0.35000000000002274"/>
    <x v="2"/>
    <n v="7"/>
    <x v="5"/>
    <n v="0.23827534039334342"/>
  </r>
  <r>
    <d v="2025-07-18T00:00:00"/>
    <s v="EQ"/>
    <n v="832"/>
    <n v="832.65"/>
    <n v="820.25"/>
    <n v="829"/>
    <n v="823"/>
    <n v="823.35"/>
    <n v="823.4"/>
    <n v="899"/>
    <n v="680"/>
    <n v="15387801"/>
    <n v="12670269957.1"/>
    <n v="177062"/>
    <x v="8"/>
    <n v="-3"/>
    <x v="2"/>
    <n v="7"/>
    <x v="5"/>
    <n v="0.23827534039334342"/>
  </r>
  <r>
    <d v="2025-07-17T00:00:00"/>
    <s v="EQ"/>
    <n v="838.4"/>
    <n v="842.5"/>
    <n v="826.35"/>
    <n v="831.7"/>
    <n v="828.75"/>
    <n v="829"/>
    <n v="834.43"/>
    <n v="899"/>
    <n v="680"/>
    <n v="23073718"/>
    <n v="19253323758.599998"/>
    <n v="267805"/>
    <x v="8"/>
    <n v="-6.6999999999999318"/>
    <x v="2"/>
    <n v="7"/>
    <x v="5"/>
    <n v="0.23827534039334342"/>
  </r>
  <r>
    <d v="2025-07-16T00:00:00"/>
    <s v="EQ"/>
    <n v="816"/>
    <n v="834.2"/>
    <n v="815.3"/>
    <n v="816.45"/>
    <n v="830.5"/>
    <n v="831.7"/>
    <n v="827.89"/>
    <n v="899"/>
    <n v="680"/>
    <n v="16458920"/>
    <n v="13626244060.15"/>
    <n v="287903"/>
    <x v="8"/>
    <n v="0.45000000000004547"/>
    <x v="2"/>
    <n v="7"/>
    <x v="5"/>
    <n v="0.23827534039334342"/>
  </r>
  <r>
    <d v="2025-07-15T00:00:00"/>
    <s v="EQ"/>
    <n v="811"/>
    <n v="821"/>
    <n v="810.5"/>
    <n v="808.85"/>
    <n v="816.4"/>
    <n v="816.45"/>
    <n v="816.69"/>
    <n v="899"/>
    <n v="680"/>
    <n v="9297645"/>
    <n v="7593279897.1000004"/>
    <n v="163000"/>
    <x v="8"/>
    <n v="-2.1499999999999773"/>
    <x v="2"/>
    <n v="7"/>
    <x v="5"/>
    <n v="0.23827534039334342"/>
  </r>
  <r>
    <d v="2025-07-14T00:00:00"/>
    <s v="EQ"/>
    <n v="809.8"/>
    <n v="815.5"/>
    <n v="808"/>
    <n v="808.65"/>
    <n v="809.1"/>
    <n v="808.85"/>
    <n v="810.6"/>
    <n v="899"/>
    <n v="680"/>
    <n v="6938635"/>
    <n v="5624460859"/>
    <n v="112079"/>
    <x v="8"/>
    <n v="-1.1499999999999773"/>
    <x v="2"/>
    <n v="7"/>
    <x v="5"/>
    <n v="0.23827534039334342"/>
  </r>
  <r>
    <d v="2025-07-11T00:00:00"/>
    <s v="EQ"/>
    <n v="807.55"/>
    <n v="812.55"/>
    <n v="804.55"/>
    <n v="808"/>
    <n v="808.6"/>
    <n v="808.65"/>
    <n v="808.72"/>
    <n v="899"/>
    <n v="680"/>
    <n v="6202372"/>
    <n v="5015955117.8999996"/>
    <n v="143253"/>
    <x v="8"/>
    <n v="0.45000000000004547"/>
    <x v="2"/>
    <n v="7"/>
    <x v="5"/>
    <n v="0.23827534039334342"/>
  </r>
  <r>
    <d v="2025-07-10T00:00:00"/>
    <s v="EQ"/>
    <n v="811.3"/>
    <n v="815.5"/>
    <n v="806.9"/>
    <n v="810.95"/>
    <n v="807.55"/>
    <n v="808"/>
    <n v="810.53"/>
    <n v="899"/>
    <n v="680"/>
    <n v="12178137"/>
    <n v="9870766879.9500008"/>
    <n v="171580"/>
    <x v="8"/>
    <n v="-0.34999999999990905"/>
    <x v="2"/>
    <n v="7"/>
    <x v="5"/>
    <n v="0.23827534039334342"/>
  </r>
  <r>
    <d v="2025-07-09T00:00:00"/>
    <s v="EQ"/>
    <n v="810"/>
    <n v="812.45"/>
    <n v="809"/>
    <n v="812.65"/>
    <n v="811"/>
    <n v="810.95"/>
    <n v="810.91"/>
    <n v="899"/>
    <n v="680"/>
    <n v="4099112"/>
    <n v="3323995623.5999999"/>
    <n v="171040"/>
    <x v="8"/>
    <n v="2.6499999999999773"/>
    <x v="2"/>
    <n v="7"/>
    <x v="5"/>
    <n v="0.23827534039334342"/>
  </r>
  <r>
    <d v="2025-07-08T00:00:00"/>
    <s v="EQ"/>
    <n v="807.9"/>
    <n v="813.55"/>
    <n v="805.35"/>
    <n v="806.85"/>
    <n v="812.25"/>
    <n v="812.65"/>
    <n v="809.46"/>
    <n v="899"/>
    <n v="680"/>
    <n v="5935770"/>
    <n v="4804795680.5500002"/>
    <n v="152435"/>
    <x v="8"/>
    <n v="-1.0499999999999545"/>
    <x v="2"/>
    <n v="7"/>
    <x v="5"/>
    <n v="0.23827534039334342"/>
  </r>
  <r>
    <d v="2025-07-07T00:00:00"/>
    <s v="EQ"/>
    <n v="811.2"/>
    <n v="812.65"/>
    <n v="805.15"/>
    <n v="811.85"/>
    <n v="807"/>
    <n v="806.85"/>
    <n v="807.71"/>
    <n v="899"/>
    <n v="680"/>
    <n v="4461783"/>
    <n v="3603840471.1500001"/>
    <n v="110862"/>
    <x v="8"/>
    <n v="0.64999999999997726"/>
    <x v="2"/>
    <n v="7"/>
    <x v="5"/>
    <n v="0.23827534039334342"/>
  </r>
  <r>
    <d v="2025-07-04T00:00:00"/>
    <s v="EQ"/>
    <n v="808.75"/>
    <n v="813.85"/>
    <n v="804.1"/>
    <n v="807.1"/>
    <n v="811.25"/>
    <n v="811.85"/>
    <n v="808.47"/>
    <n v="899"/>
    <n v="680"/>
    <n v="4319538"/>
    <n v="3492204634.3499999"/>
    <n v="96453"/>
    <x v="8"/>
    <n v="-1.6499999999999773"/>
    <x v="2"/>
    <n v="7"/>
    <x v="5"/>
    <n v="0.23827534039334342"/>
  </r>
  <r>
    <d v="2025-07-03T00:00:00"/>
    <s v="EQ"/>
    <n v="813.5"/>
    <n v="814.5"/>
    <n v="805.8"/>
    <n v="812.9"/>
    <n v="807"/>
    <n v="807.1"/>
    <n v="809.78"/>
    <n v="899"/>
    <n v="680"/>
    <n v="7020403"/>
    <n v="5684973436.0500002"/>
    <n v="137793"/>
    <x v="8"/>
    <n v="-0.60000000000002274"/>
    <x v="2"/>
    <n v="7"/>
    <x v="5"/>
    <n v="0.23827534039334342"/>
  </r>
  <r>
    <d v="2025-07-02T00:00:00"/>
    <s v="EQ"/>
    <n v="821"/>
    <n v="824.05"/>
    <n v="809"/>
    <n v="820.3"/>
    <n v="812.7"/>
    <n v="812.9"/>
    <n v="814.81"/>
    <n v="899"/>
    <n v="680"/>
    <n v="6661200"/>
    <n v="5427583829.5500002"/>
    <n v="121545"/>
    <x v="8"/>
    <n v="-0.70000000000004547"/>
    <x v="2"/>
    <n v="7"/>
    <x v="5"/>
    <n v="0.23827534039334342"/>
  </r>
  <r>
    <d v="2025-07-01T00:00:00"/>
    <s v="EQ"/>
    <n v="820"/>
    <n v="824.9"/>
    <n v="813.25"/>
    <n v="820.35"/>
    <n v="820.2"/>
    <n v="820.3"/>
    <n v="819.76"/>
    <n v="899"/>
    <n v="680"/>
    <n v="11456405"/>
    <n v="9391484331.0499992"/>
    <n v="157197"/>
    <x v="8"/>
    <n v="0.35000000000002274"/>
    <x v="2"/>
    <n v="7"/>
    <x v="5"/>
    <n v="0.23827534039334342"/>
  </r>
  <r>
    <d v="2025-06-30T00:00:00"/>
    <s v="EQ"/>
    <n v="809"/>
    <n v="821"/>
    <n v="807.05"/>
    <n v="805.4"/>
    <n v="819.85"/>
    <n v="820.35"/>
    <n v="816.64"/>
    <n v="899"/>
    <n v="680"/>
    <n v="19652607"/>
    <n v="16049137157.549999"/>
    <n v="249562"/>
    <x v="8"/>
    <n v="-3.6000000000000227"/>
    <x v="2"/>
    <n v="6"/>
    <x v="6"/>
    <n v="0.23827534039334342"/>
  </r>
  <r>
    <d v="2025-06-27T00:00:00"/>
    <s v="EQ"/>
    <n v="805"/>
    <n v="809.45"/>
    <n v="802.65"/>
    <n v="797.05"/>
    <n v="804.55"/>
    <n v="805.4"/>
    <n v="805.86"/>
    <n v="899"/>
    <n v="680"/>
    <n v="19375990"/>
    <n v="15614254535.75"/>
    <n v="262127"/>
    <x v="8"/>
    <n v="-7.9500000000000455"/>
    <x v="2"/>
    <n v="6"/>
    <x v="6"/>
    <n v="0.23827534039334342"/>
  </r>
  <r>
    <d v="2025-06-26T00:00:00"/>
    <s v="EQ"/>
    <n v="802"/>
    <n v="803.35"/>
    <n v="791.4"/>
    <n v="800.05"/>
    <n v="796.05"/>
    <n v="797.05"/>
    <n v="795.08"/>
    <n v="899"/>
    <n v="680"/>
    <n v="24704402"/>
    <n v="19641948457"/>
    <n v="208543"/>
    <x v="8"/>
    <n v="-1.9500000000000455"/>
    <x v="2"/>
    <n v="6"/>
    <x v="6"/>
    <n v="0.23827534039334342"/>
  </r>
  <r>
    <d v="2025-06-25T00:00:00"/>
    <s v="EQ"/>
    <n v="799.5"/>
    <n v="803.8"/>
    <n v="796.1"/>
    <n v="795.4"/>
    <n v="800"/>
    <n v="800.05"/>
    <n v="799.91"/>
    <n v="899"/>
    <n v="680"/>
    <n v="6528324"/>
    <n v="5222095310"/>
    <n v="131096"/>
    <x v="8"/>
    <n v="-4.1000000000000227"/>
    <x v="2"/>
    <n v="6"/>
    <x v="6"/>
    <n v="0.23827534039334342"/>
  </r>
  <r>
    <d v="2025-06-24T00:00:00"/>
    <s v="EQ"/>
    <n v="799"/>
    <n v="806.65"/>
    <n v="793.65"/>
    <n v="790.2"/>
    <n v="795.75"/>
    <n v="795.4"/>
    <n v="799.6"/>
    <n v="899"/>
    <n v="680"/>
    <n v="11402190"/>
    <n v="9117165780.8500004"/>
    <n v="184002"/>
    <x v="8"/>
    <n v="-8.7999999999999545"/>
    <x v="2"/>
    <n v="6"/>
    <x v="6"/>
    <n v="0.23827534039334342"/>
  </r>
  <r>
    <d v="2025-06-23T00:00:00"/>
    <s v="EQ"/>
    <n v="790"/>
    <n v="794.95"/>
    <n v="788.5"/>
    <n v="796.15"/>
    <n v="790"/>
    <n v="790.2"/>
    <n v="791.21"/>
    <n v="899"/>
    <n v="680"/>
    <n v="5549253"/>
    <n v="4390604870.6499996"/>
    <n v="131841"/>
    <x v="8"/>
    <n v="6.1499999999999773"/>
    <x v="2"/>
    <n v="6"/>
    <x v="6"/>
    <n v="0.23827534039334342"/>
  </r>
  <r>
    <d v="2025-06-20T00:00:00"/>
    <s v="EQ"/>
    <n v="787.5"/>
    <n v="799.45"/>
    <n v="786.1"/>
    <n v="785.1"/>
    <n v="795.25"/>
    <n v="796.15"/>
    <n v="794.39"/>
    <n v="899"/>
    <n v="680"/>
    <n v="11367669"/>
    <n v="9030330594.4500008"/>
    <n v="169215"/>
    <x v="8"/>
    <n v="-2.3999999999999773"/>
    <x v="2"/>
    <n v="6"/>
    <x v="6"/>
    <n v="0.23827534039334342"/>
  </r>
  <r>
    <d v="2025-06-19T00:00:00"/>
    <s v="EQ"/>
    <n v="792.35"/>
    <n v="793.25"/>
    <n v="781.7"/>
    <n v="791.9"/>
    <n v="782.6"/>
    <n v="785.1"/>
    <n v="786.26"/>
    <n v="899"/>
    <n v="680"/>
    <n v="11824333"/>
    <n v="9297045726.7000008"/>
    <n v="289212"/>
    <x v="8"/>
    <n v="-0.45000000000004547"/>
    <x v="2"/>
    <n v="6"/>
    <x v="6"/>
    <n v="0.23827534039334342"/>
  </r>
  <r>
    <d v="2025-06-18T00:00:00"/>
    <s v="EQ"/>
    <n v="792.5"/>
    <n v="795.5"/>
    <n v="788.35"/>
    <n v="792.3"/>
    <n v="790.4"/>
    <n v="791.9"/>
    <n v="791.48"/>
    <n v="899"/>
    <n v="680"/>
    <n v="5710169"/>
    <n v="4519500759.8999996"/>
    <n v="136624"/>
    <x v="8"/>
    <n v="-0.20000000000004547"/>
    <x v="2"/>
    <n v="6"/>
    <x v="6"/>
    <n v="0.23827534039334342"/>
  </r>
  <r>
    <d v="2025-06-17T00:00:00"/>
    <s v="EQ"/>
    <n v="794"/>
    <n v="798.85"/>
    <n v="790.55"/>
    <n v="792.5"/>
    <n v="792.05"/>
    <n v="792.3"/>
    <n v="794.06"/>
    <n v="899"/>
    <n v="680"/>
    <n v="7753156"/>
    <n v="6156466697.6000004"/>
    <n v="115931"/>
    <x v="8"/>
    <n v="-1.5"/>
    <x v="2"/>
    <n v="6"/>
    <x v="6"/>
    <n v="0.23827534039334342"/>
  </r>
  <r>
    <d v="2025-06-16T00:00:00"/>
    <s v="EQ"/>
    <n v="792.5"/>
    <n v="795.4"/>
    <n v="786.15"/>
    <n v="792.35"/>
    <n v="793"/>
    <n v="792.5"/>
    <n v="791.28"/>
    <n v="899"/>
    <n v="680"/>
    <n v="8085001"/>
    <n v="6397493172.1499996"/>
    <n v="157361"/>
    <x v="8"/>
    <n v="-0.14999999999997726"/>
    <x v="2"/>
    <n v="6"/>
    <x v="6"/>
    <n v="0.23827534039334342"/>
  </r>
  <r>
    <d v="2025-06-13T00:00:00"/>
    <s v="EQ"/>
    <n v="786.25"/>
    <n v="796.3"/>
    <n v="786.25"/>
    <n v="805.95"/>
    <n v="793.3"/>
    <n v="792.35"/>
    <n v="792.35"/>
    <n v="899"/>
    <n v="680"/>
    <n v="11377117"/>
    <n v="9014634064.2999992"/>
    <n v="196572"/>
    <x v="8"/>
    <n v="19.700000000000045"/>
    <x v="2"/>
    <n v="6"/>
    <x v="6"/>
    <n v="0.23827534039334342"/>
  </r>
  <r>
    <d v="2025-06-12T00:00:00"/>
    <s v="EQ"/>
    <n v="816"/>
    <n v="816.5"/>
    <n v="801.2"/>
    <n v="815.05"/>
    <n v="804"/>
    <n v="805.95"/>
    <n v="809.23"/>
    <n v="899"/>
    <n v="680"/>
    <n v="13448521"/>
    <n v="10882909973.85"/>
    <n v="154034"/>
    <x v="8"/>
    <n v="-0.95000000000004547"/>
    <x v="2"/>
    <n v="6"/>
    <x v="6"/>
    <n v="0.23827534039334342"/>
  </r>
  <r>
    <d v="2025-06-11T00:00:00"/>
    <s v="EQ"/>
    <n v="817"/>
    <n v="820.6"/>
    <n v="813.05"/>
    <n v="817.05"/>
    <n v="814.4"/>
    <n v="815.05"/>
    <n v="817.21"/>
    <n v="899"/>
    <n v="680"/>
    <n v="7197825"/>
    <n v="5882109303.8999996"/>
    <n v="109100"/>
    <x v="8"/>
    <n v="4.9999999999954525E-2"/>
    <x v="2"/>
    <n v="6"/>
    <x v="6"/>
    <n v="0.23827534039334342"/>
  </r>
  <r>
    <d v="2025-06-10T00:00:00"/>
    <s v="EQ"/>
    <n v="821"/>
    <n v="822.05"/>
    <n v="814.6"/>
    <n v="820.05"/>
    <n v="817"/>
    <n v="817.05"/>
    <n v="818.07"/>
    <n v="899"/>
    <n v="680"/>
    <n v="6560513"/>
    <n v="5366931400.75"/>
    <n v="173698"/>
    <x v="8"/>
    <n v="-0.95000000000004547"/>
    <x v="2"/>
    <n v="6"/>
    <x v="6"/>
    <n v="0.23827534039334342"/>
  </r>
  <r>
    <d v="2025-06-09T00:00:00"/>
    <s v="EQ"/>
    <n v="817.4"/>
    <n v="824.5"/>
    <n v="815.7"/>
    <n v="813.05"/>
    <n v="820"/>
    <n v="820.05"/>
    <n v="820.86"/>
    <n v="899"/>
    <n v="680"/>
    <n v="12793040"/>
    <n v="10501357386.299999"/>
    <n v="195288"/>
    <x v="8"/>
    <n v="-4.3500000000000227"/>
    <x v="2"/>
    <n v="6"/>
    <x v="6"/>
    <n v="0.23827534039334342"/>
  </r>
  <r>
    <d v="2025-06-06T00:00:00"/>
    <s v="EQ"/>
    <n v="806.65"/>
    <n v="816.45"/>
    <n v="803.1"/>
    <n v="806"/>
    <n v="812.65"/>
    <n v="813.05"/>
    <n v="811.87"/>
    <n v="912"/>
    <n v="680"/>
    <n v="17163935"/>
    <n v="13934918691.450001"/>
    <n v="202699"/>
    <x v="8"/>
    <n v="-0.64999999999997726"/>
    <x v="2"/>
    <n v="6"/>
    <x v="6"/>
    <n v="0.23827534039334342"/>
  </r>
  <r>
    <d v="2025-06-05T00:00:00"/>
    <s v="EQ"/>
    <n v="808.7"/>
    <n v="811.7"/>
    <n v="802.85"/>
    <n v="806.5"/>
    <n v="806.8"/>
    <n v="806"/>
    <n v="806.79"/>
    <n v="912"/>
    <n v="680"/>
    <n v="13595507"/>
    <n v="10968653855.65"/>
    <n v="176672"/>
    <x v="8"/>
    <n v="-2.2000000000000455"/>
    <x v="2"/>
    <n v="6"/>
    <x v="6"/>
    <n v="0.23827534039334342"/>
  </r>
  <r>
    <d v="2025-06-04T00:00:00"/>
    <s v="EQ"/>
    <n v="817"/>
    <n v="817"/>
    <n v="805.25"/>
    <n v="809.8"/>
    <n v="805.5"/>
    <n v="806.5"/>
    <n v="808.79"/>
    <n v="912"/>
    <n v="680"/>
    <n v="9607927"/>
    <n v="7770821872.8999996"/>
    <n v="136010"/>
    <x v="8"/>
    <n v="-7.2000000000000455"/>
    <x v="2"/>
    <n v="6"/>
    <x v="6"/>
    <n v="0.23827534039334342"/>
  </r>
  <r>
    <d v="2025-06-03T00:00:00"/>
    <s v="EQ"/>
    <n v="816.2"/>
    <n v="818.4"/>
    <n v="805.15"/>
    <n v="813.65"/>
    <n v="808.2"/>
    <n v="809.8"/>
    <n v="811.05"/>
    <n v="912"/>
    <n v="680"/>
    <n v="14247597"/>
    <n v="11555479376.75"/>
    <n v="175051"/>
    <x v="8"/>
    <n v="-2.5500000000000682"/>
    <x v="2"/>
    <n v="6"/>
    <x v="6"/>
    <n v="0.23827534039334342"/>
  </r>
  <r>
    <d v="2025-06-02T00:00:00"/>
    <s v="EQ"/>
    <n v="812.85"/>
    <n v="822.55"/>
    <n v="809.2"/>
    <n v="812.3"/>
    <n v="813.5"/>
    <n v="813.65"/>
    <n v="814.73"/>
    <n v="912"/>
    <n v="680"/>
    <n v="26891575"/>
    <n v="21909310086.450001"/>
    <n v="218771"/>
    <x v="8"/>
    <n v="-0.55000000000006821"/>
    <x v="2"/>
    <n v="6"/>
    <x v="6"/>
    <n v="0.23827534039334342"/>
  </r>
  <r>
    <d v="2025-05-30T00:00:00"/>
    <s v="EQ"/>
    <n v="798"/>
    <n v="814.5"/>
    <n v="792.6"/>
    <n v="797.35"/>
    <n v="814"/>
    <n v="812.3"/>
    <n v="807.33"/>
    <n v="912"/>
    <n v="680"/>
    <n v="22037314"/>
    <n v="17791279933.650002"/>
    <n v="217715"/>
    <x v="8"/>
    <n v="-0.64999999999997726"/>
    <x v="2"/>
    <n v="5"/>
    <x v="7"/>
    <n v="0.23827534039334342"/>
  </r>
  <r>
    <d v="2025-05-29T00:00:00"/>
    <s v="EQ"/>
    <n v="799"/>
    <n v="800.4"/>
    <n v="791.35"/>
    <n v="796.55"/>
    <n v="798.1"/>
    <n v="797.35"/>
    <n v="794.95"/>
    <n v="912"/>
    <n v="680"/>
    <n v="14034127"/>
    <n v="11156361147.65"/>
    <n v="281565"/>
    <x v="8"/>
    <n v="-2.4500000000000455"/>
    <x v="2"/>
    <n v="5"/>
    <x v="7"/>
    <n v="0.23827534039334342"/>
  </r>
  <r>
    <d v="2025-05-28T00:00:00"/>
    <s v="EQ"/>
    <n v="794.5"/>
    <n v="798.9"/>
    <n v="792.65"/>
    <n v="793.7"/>
    <n v="796"/>
    <n v="796.55"/>
    <n v="796.29"/>
    <n v="912"/>
    <n v="680"/>
    <n v="6873519"/>
    <n v="5473317160.3500004"/>
    <n v="113841"/>
    <x v="8"/>
    <n v="-0.79999999999995453"/>
    <x v="2"/>
    <n v="5"/>
    <x v="7"/>
    <n v="0.23827534039334342"/>
  </r>
  <r>
    <d v="2025-05-27T00:00:00"/>
    <s v="EQ"/>
    <n v="794.4"/>
    <n v="801.35"/>
    <n v="790.05"/>
    <n v="794.4"/>
    <n v="794.25"/>
    <n v="793.7"/>
    <n v="795.55"/>
    <n v="912"/>
    <n v="680"/>
    <n v="11995043"/>
    <n v="9542679873.1499996"/>
    <n v="178381"/>
    <x v="8"/>
    <n v="0"/>
    <x v="2"/>
    <n v="5"/>
    <x v="7"/>
    <n v="0.23827534039334342"/>
  </r>
  <r>
    <d v="2025-05-26T00:00:00"/>
    <s v="EQ"/>
    <n v="792"/>
    <n v="797.55"/>
    <n v="789.2"/>
    <n v="790.5"/>
    <n v="794.15"/>
    <n v="794.4"/>
    <n v="794.09"/>
    <n v="912"/>
    <n v="680"/>
    <n v="4965466"/>
    <n v="3943015064.1500001"/>
    <n v="98636"/>
    <x v="8"/>
    <n v="-1.5"/>
    <x v="2"/>
    <n v="5"/>
    <x v="7"/>
    <n v="0.23827534039334342"/>
  </r>
  <r>
    <d v="2025-05-23T00:00:00"/>
    <s v="EQ"/>
    <n v="787.9"/>
    <n v="794.95"/>
    <n v="786.2"/>
    <n v="785.25"/>
    <n v="790.25"/>
    <n v="790.5"/>
    <n v="790.74"/>
    <n v="912"/>
    <n v="680"/>
    <n v="5534158"/>
    <n v="4376097515.6000004"/>
    <n v="106313"/>
    <x v="8"/>
    <n v="-2.6499999999999773"/>
    <x v="2"/>
    <n v="5"/>
    <x v="7"/>
    <n v="0.23827534039334342"/>
  </r>
  <r>
    <d v="2025-05-22T00:00:00"/>
    <s v="EQ"/>
    <n v="788"/>
    <n v="788.2"/>
    <n v="780.3"/>
    <n v="787.1"/>
    <n v="785.8"/>
    <n v="785.25"/>
    <n v="784.47"/>
    <n v="912"/>
    <n v="680"/>
    <n v="7355826"/>
    <n v="5770452205"/>
    <n v="160443"/>
    <x v="8"/>
    <n v="-0.89999999999997726"/>
    <x v="2"/>
    <n v="5"/>
    <x v="7"/>
    <n v="0.23827534039334342"/>
  </r>
  <r>
    <d v="2025-05-21T00:00:00"/>
    <s v="EQ"/>
    <n v="787"/>
    <n v="791"/>
    <n v="779.1"/>
    <n v="785.65"/>
    <n v="787.2"/>
    <n v="787.1"/>
    <n v="786"/>
    <n v="912"/>
    <n v="680"/>
    <n v="8206040"/>
    <n v="6449939895.5500002"/>
    <n v="130051"/>
    <x v="8"/>
    <n v="-1.3500000000000227"/>
    <x v="2"/>
    <n v="5"/>
    <x v="7"/>
    <n v="0.23827534039334342"/>
  </r>
  <r>
    <d v="2025-05-20T00:00:00"/>
    <s v="EQ"/>
    <n v="798.15"/>
    <n v="799.4"/>
    <n v="783.8"/>
    <n v="795"/>
    <n v="786.7"/>
    <n v="785.65"/>
    <n v="788.84"/>
    <n v="912"/>
    <n v="680"/>
    <n v="11324667"/>
    <n v="8933354461.8500004"/>
    <n v="169563"/>
    <x v="8"/>
    <n v="-3.1499999999999773"/>
    <x v="2"/>
    <n v="5"/>
    <x v="7"/>
    <n v="0.23827534039334342"/>
  </r>
  <r>
    <d v="2025-05-19T00:00:00"/>
    <s v="EQ"/>
    <n v="792.1"/>
    <n v="801.4"/>
    <n v="792.1"/>
    <n v="792.1"/>
    <n v="794.45"/>
    <n v="795"/>
    <n v="796.74"/>
    <n v="912"/>
    <n v="680"/>
    <n v="10666184"/>
    <n v="8498149477.5"/>
    <n v="194011"/>
    <x v="8"/>
    <n v="0"/>
    <x v="2"/>
    <n v="5"/>
    <x v="7"/>
    <n v="0.23827534039334342"/>
  </r>
  <r>
    <d v="2025-05-16T00:00:00"/>
    <s v="EQ"/>
    <n v="804"/>
    <n v="804"/>
    <n v="791"/>
    <n v="807.75"/>
    <n v="792.5"/>
    <n v="792.1"/>
    <n v="794.09"/>
    <n v="912"/>
    <n v="680"/>
    <n v="14733924"/>
    <n v="11700004865.75"/>
    <n v="241785"/>
    <x v="8"/>
    <n v="3.75"/>
    <x v="2"/>
    <n v="5"/>
    <x v="7"/>
    <n v="0.23827534039334342"/>
  </r>
  <r>
    <d v="2025-05-15T00:00:00"/>
    <s v="EQ"/>
    <n v="804.45"/>
    <n v="809.45"/>
    <n v="794.5"/>
    <n v="800.7"/>
    <n v="808"/>
    <n v="807.75"/>
    <n v="802.04"/>
    <n v="912"/>
    <n v="680"/>
    <n v="17058854"/>
    <n v="13681951074.049999"/>
    <n v="200305"/>
    <x v="8"/>
    <n v="-3.75"/>
    <x v="2"/>
    <n v="5"/>
    <x v="7"/>
    <n v="0.23827534039334342"/>
  </r>
  <r>
    <d v="2025-05-14T00:00:00"/>
    <s v="EQ"/>
    <n v="805.75"/>
    <n v="807.5"/>
    <n v="796.3"/>
    <n v="801.75"/>
    <n v="802.4"/>
    <n v="800.7"/>
    <n v="801.49"/>
    <n v="912"/>
    <n v="680"/>
    <n v="9281719"/>
    <n v="7439187440.9499998"/>
    <n v="146698"/>
    <x v="8"/>
    <n v="-4"/>
    <x v="2"/>
    <n v="5"/>
    <x v="7"/>
    <n v="0.23827534039334342"/>
  </r>
  <r>
    <d v="2025-05-13T00:00:00"/>
    <s v="EQ"/>
    <n v="798.6"/>
    <n v="807.65"/>
    <n v="797.2"/>
    <n v="801.65"/>
    <n v="801.95"/>
    <n v="801.75"/>
    <n v="802.32"/>
    <n v="912"/>
    <n v="680"/>
    <n v="13909596"/>
    <n v="11159932476.1"/>
    <n v="201551"/>
    <x v="8"/>
    <n v="3.0499999999999545"/>
    <x v="2"/>
    <n v="5"/>
    <x v="7"/>
    <n v="0.23827534039334342"/>
  </r>
  <r>
    <d v="2025-05-12T00:00:00"/>
    <s v="EQ"/>
    <n v="799"/>
    <n v="803.9"/>
    <n v="793"/>
    <n v="779.25"/>
    <n v="800.95"/>
    <n v="801.65"/>
    <n v="799.87"/>
    <n v="912"/>
    <n v="680"/>
    <n v="15096824"/>
    <n v="12075421793.799999"/>
    <n v="173252"/>
    <x v="8"/>
    <n v="-19.75"/>
    <x v="2"/>
    <n v="5"/>
    <x v="7"/>
    <n v="0.23827534039334342"/>
  </r>
  <r>
    <d v="2025-05-09T00:00:00"/>
    <s v="EQ"/>
    <n v="756.5"/>
    <n v="781.7"/>
    <n v="755.5"/>
    <n v="769"/>
    <n v="780.5"/>
    <n v="779.25"/>
    <n v="772.28"/>
    <n v="912"/>
    <n v="680"/>
    <n v="13578216"/>
    <n v="10486227680.4"/>
    <n v="246098"/>
    <x v="8"/>
    <n v="12.5"/>
    <x v="2"/>
    <n v="5"/>
    <x v="7"/>
    <n v="0.23827534039334342"/>
  </r>
  <r>
    <d v="2025-05-08T00:00:00"/>
    <s v="EQ"/>
    <n v="779"/>
    <n v="786.5"/>
    <n v="764"/>
    <n v="776.1"/>
    <n v="765.45"/>
    <n v="769"/>
    <n v="775.8"/>
    <n v="912"/>
    <n v="680"/>
    <n v="14491673"/>
    <n v="11242592363.700001"/>
    <n v="202239"/>
    <x v="8"/>
    <n v="-2.8999999999999773"/>
    <x v="2"/>
    <n v="5"/>
    <x v="7"/>
    <n v="0.23827534039334342"/>
  </r>
  <r>
    <d v="2025-05-07T00:00:00"/>
    <s v="EQ"/>
    <n v="765.3"/>
    <n v="782.4"/>
    <n v="764.55"/>
    <n v="774.1"/>
    <n v="777.8"/>
    <n v="776.1"/>
    <n v="775.68"/>
    <n v="912"/>
    <n v="680"/>
    <n v="15586266"/>
    <n v="12089945664.9"/>
    <n v="254691"/>
    <x v="8"/>
    <n v="8.8000000000000682"/>
    <x v="2"/>
    <n v="5"/>
    <x v="7"/>
    <n v="0.23827534039334342"/>
  </r>
  <r>
    <d v="2025-05-06T00:00:00"/>
    <s v="EQ"/>
    <n v="793.95"/>
    <n v="799.15"/>
    <n v="771.1"/>
    <n v="790"/>
    <n v="772.8"/>
    <n v="774.1"/>
    <n v="777.79"/>
    <n v="912"/>
    <n v="680"/>
    <n v="18869468"/>
    <n v="14676463740.85"/>
    <n v="344651"/>
    <x v="8"/>
    <n v="-3.9500000000000455"/>
    <x v="2"/>
    <n v="5"/>
    <x v="7"/>
    <n v="0.23827534039334342"/>
  </r>
  <r>
    <d v="2025-05-05T00:00:00"/>
    <s v="EQ"/>
    <n v="782"/>
    <n v="799"/>
    <n v="782"/>
    <n v="800"/>
    <n v="790.6"/>
    <n v="790"/>
    <n v="789.65"/>
    <n v="912"/>
    <n v="680"/>
    <n v="23986447"/>
    <n v="18940919612"/>
    <n v="422162"/>
    <x v="8"/>
    <n v="18"/>
    <x v="2"/>
    <n v="5"/>
    <x v="7"/>
    <n v="0.23827534039334342"/>
  </r>
  <r>
    <d v="2025-05-02T00:00:00"/>
    <s v="EQ"/>
    <n v="790.35"/>
    <n v="803.4"/>
    <n v="789"/>
    <n v="788.65"/>
    <n v="799.8"/>
    <n v="800"/>
    <n v="795.71"/>
    <n v="912"/>
    <n v="680"/>
    <n v="17199386"/>
    <n v="13685736797.75"/>
    <n v="281692"/>
    <x v="8"/>
    <n v="-1.7000000000000455"/>
    <x v="2"/>
    <n v="5"/>
    <x v="7"/>
    <n v="0.23827534039334342"/>
  </r>
  <r>
    <d v="2025-04-30T00:00:00"/>
    <s v="EQ"/>
    <n v="811.5"/>
    <n v="811.5"/>
    <n v="784.5"/>
    <n v="812.55"/>
    <n v="787.6"/>
    <n v="788.65"/>
    <n v="791.14"/>
    <n v="912"/>
    <n v="680"/>
    <n v="25635764"/>
    <n v="20281571431.099998"/>
    <n v="476377"/>
    <x v="8"/>
    <n v="1.0499999999999545"/>
    <x v="2"/>
    <n v="4"/>
    <x v="8"/>
    <n v="0.23827534039334342"/>
  </r>
  <r>
    <d v="2025-04-29T00:00:00"/>
    <s v="EQ"/>
    <n v="820"/>
    <n v="829"/>
    <n v="809"/>
    <n v="817.35"/>
    <n v="810.75"/>
    <n v="812.55"/>
    <n v="819"/>
    <n v="912"/>
    <n v="680"/>
    <n v="11283059"/>
    <n v="9240843611.6000004"/>
    <n v="231689"/>
    <x v="8"/>
    <n v="-2.6499999999999773"/>
    <x v="2"/>
    <n v="4"/>
    <x v="8"/>
    <n v="0.23827534039334342"/>
  </r>
  <r>
    <d v="2025-04-28T00:00:00"/>
    <s v="EQ"/>
    <n v="798.65"/>
    <n v="822.8"/>
    <n v="797.4"/>
    <n v="798.65"/>
    <n v="816.55"/>
    <n v="817.35"/>
    <n v="814.04"/>
    <n v="912"/>
    <n v="680"/>
    <n v="11317611"/>
    <n v="9212982723.3999996"/>
    <n v="199250"/>
    <x v="8"/>
    <n v="0"/>
    <x v="2"/>
    <n v="4"/>
    <x v="8"/>
    <n v="0.23827534039334342"/>
  </r>
  <r>
    <d v="2025-04-25T00:00:00"/>
    <s v="EQ"/>
    <n v="815"/>
    <n v="819"/>
    <n v="787"/>
    <n v="813.4"/>
    <n v="797.4"/>
    <n v="798.65"/>
    <n v="799.45"/>
    <n v="912"/>
    <n v="680"/>
    <n v="13131038"/>
    <n v="10497610552.700001"/>
    <n v="223526"/>
    <x v="8"/>
    <n v="-1.6000000000000227"/>
    <x v="2"/>
    <n v="4"/>
    <x v="8"/>
    <n v="0.23827534039334342"/>
  </r>
  <r>
    <d v="2025-04-24T00:00:00"/>
    <s v="EQ"/>
    <n v="812.75"/>
    <n v="819"/>
    <n v="811.15"/>
    <n v="813.45"/>
    <n v="812"/>
    <n v="813.4"/>
    <n v="814.85"/>
    <n v="912"/>
    <n v="680"/>
    <n v="12713521"/>
    <n v="10359638546.25"/>
    <n v="141306"/>
    <x v="8"/>
    <n v="0.70000000000004547"/>
    <x v="2"/>
    <n v="4"/>
    <x v="8"/>
    <n v="0.23827534039334342"/>
  </r>
  <r>
    <d v="2025-04-23T00:00:00"/>
    <s v="EQ"/>
    <n v="826"/>
    <n v="831"/>
    <n v="810.1"/>
    <n v="822.4"/>
    <n v="813.5"/>
    <n v="813.45"/>
    <n v="817.36"/>
    <n v="912"/>
    <n v="680"/>
    <n v="12104382"/>
    <n v="9893605141.2999992"/>
    <n v="174170"/>
    <x v="8"/>
    <n v="-3.6000000000000227"/>
    <x v="2"/>
    <n v="4"/>
    <x v="8"/>
    <n v="0.23827534039334342"/>
  </r>
  <r>
    <d v="2025-04-22T00:00:00"/>
    <s v="EQ"/>
    <n v="821.15"/>
    <n v="835.5"/>
    <n v="814"/>
    <n v="816.7"/>
    <n v="821.3"/>
    <n v="822.4"/>
    <n v="827.32"/>
    <n v="912"/>
    <n v="680"/>
    <n v="25117557"/>
    <n v="20780349179.950001"/>
    <n v="323370"/>
    <x v="8"/>
    <n v="-4.4499999999999318"/>
    <x v="2"/>
    <n v="4"/>
    <x v="8"/>
    <n v="0.23827534039334342"/>
  </r>
  <r>
    <d v="2025-04-21T00:00:00"/>
    <s v="EQ"/>
    <n v="803"/>
    <n v="824.35"/>
    <n v="801.4"/>
    <n v="797.45"/>
    <n v="817.2"/>
    <n v="816.7"/>
    <n v="817.02"/>
    <n v="912"/>
    <n v="680"/>
    <n v="16398507"/>
    <n v="13397975541"/>
    <n v="359684"/>
    <x v="8"/>
    <n v="-5.5499999999999545"/>
    <x v="2"/>
    <n v="4"/>
    <x v="8"/>
    <n v="0.23827534039334342"/>
  </r>
  <r>
    <d v="2025-04-17T00:00:00"/>
    <s v="EQ"/>
    <n v="772"/>
    <n v="801"/>
    <n v="767.15"/>
    <n v="771.75"/>
    <n v="793.85"/>
    <n v="797.45"/>
    <n v="787.54"/>
    <n v="912"/>
    <n v="680"/>
    <n v="27034818"/>
    <n v="21290993764.099998"/>
    <n v="335841"/>
    <x v="8"/>
    <n v="-0.25"/>
    <x v="2"/>
    <n v="4"/>
    <x v="8"/>
    <n v="0.23827534039334342"/>
  </r>
  <r>
    <d v="2025-04-16T00:00:00"/>
    <s v="EQ"/>
    <n v="763.5"/>
    <n v="774.75"/>
    <n v="760.5"/>
    <n v="763.5"/>
    <n v="772.15"/>
    <n v="771.75"/>
    <n v="769.27"/>
    <n v="912"/>
    <n v="680"/>
    <n v="12536694"/>
    <n v="9644113410.4500008"/>
    <n v="204698"/>
    <x v="8"/>
    <n v="0"/>
    <x v="2"/>
    <n v="4"/>
    <x v="8"/>
    <n v="0.23827534039334342"/>
  </r>
  <r>
    <d v="2025-04-15T00:00:00"/>
    <s v="EQ"/>
    <n v="770"/>
    <n v="770.7"/>
    <n v="757.1"/>
    <n v="753.85"/>
    <n v="764.5"/>
    <n v="763.5"/>
    <n v="765.37"/>
    <n v="912"/>
    <n v="680"/>
    <n v="7859090"/>
    <n v="6015134839.8000002"/>
    <n v="167851"/>
    <x v="8"/>
    <n v="-16.149999999999977"/>
    <x v="2"/>
    <n v="4"/>
    <x v="8"/>
    <n v="0.23827534039334342"/>
  </r>
  <r>
    <d v="2025-04-11T00:00:00"/>
    <s v="EQ"/>
    <n v="759"/>
    <n v="759.7"/>
    <n v="746"/>
    <n v="742.2"/>
    <n v="753.85"/>
    <n v="753.85"/>
    <n v="752.58"/>
    <n v="912"/>
    <n v="680"/>
    <n v="9360327"/>
    <n v="7044429057.5500002"/>
    <n v="200062"/>
    <x v="8"/>
    <n v="-16.799999999999955"/>
    <x v="2"/>
    <n v="4"/>
    <x v="8"/>
    <n v="0.23827534039334342"/>
  </r>
  <r>
    <d v="2025-04-09T00:00:00"/>
    <s v="EQ"/>
    <n v="767"/>
    <n v="767.95"/>
    <n v="741"/>
    <n v="768.6"/>
    <n v="742.45"/>
    <n v="742.2"/>
    <n v="751.33"/>
    <n v="912"/>
    <n v="680"/>
    <n v="11319387"/>
    <n v="8504647288.25"/>
    <n v="208433"/>
    <x v="8"/>
    <n v="1.6000000000000227"/>
    <x v="2"/>
    <n v="4"/>
    <x v="8"/>
    <n v="0.23827534039334342"/>
  </r>
  <r>
    <d v="2025-04-08T00:00:00"/>
    <s v="EQ"/>
    <n v="760"/>
    <n v="774"/>
    <n v="758.15"/>
    <n v="746.9"/>
    <n v="770"/>
    <n v="768.6"/>
    <n v="767.45"/>
    <n v="912"/>
    <n v="680"/>
    <n v="12911288"/>
    <n v="9908728355.7999992"/>
    <n v="212013"/>
    <x v="8"/>
    <n v="-13.100000000000023"/>
    <x v="2"/>
    <n v="4"/>
    <x v="8"/>
    <n v="0.23827534039334342"/>
  </r>
  <r>
    <d v="2025-04-07T00:00:00"/>
    <s v="EQ"/>
    <n v="730"/>
    <n v="753.7"/>
    <n v="730"/>
    <n v="767.45"/>
    <n v="749"/>
    <n v="746.9"/>
    <n v="742.21"/>
    <n v="912"/>
    <n v="680"/>
    <n v="14923235"/>
    <n v="11076177328.65"/>
    <n v="291536"/>
    <x v="8"/>
    <n v="37.450000000000045"/>
    <x v="2"/>
    <n v="4"/>
    <x v="8"/>
    <n v="0.23827534039334342"/>
  </r>
  <r>
    <d v="2025-04-04T00:00:00"/>
    <s v="EQ"/>
    <n v="779.1"/>
    <n v="782.9"/>
    <n v="765"/>
    <n v="779.2"/>
    <n v="769"/>
    <n v="767.45"/>
    <n v="773.82"/>
    <n v="912"/>
    <n v="680"/>
    <n v="8231194"/>
    <n v="6369455086.4499998"/>
    <n v="147204"/>
    <x v="8"/>
    <n v="0.10000000000002274"/>
    <x v="2"/>
    <n v="4"/>
    <x v="8"/>
    <n v="0.23827534039334342"/>
  </r>
  <r>
    <d v="2025-04-03T00:00:00"/>
    <s v="EQ"/>
    <n v="770"/>
    <n v="784.7"/>
    <n v="769.95"/>
    <n v="775.95"/>
    <n v="779.9"/>
    <n v="779.2"/>
    <n v="778.44"/>
    <n v="912"/>
    <n v="680"/>
    <n v="7956680"/>
    <n v="6193805584.1499996"/>
    <n v="140239"/>
    <x v="8"/>
    <n v="5.9500000000000455"/>
    <x v="2"/>
    <n v="4"/>
    <x v="8"/>
    <n v="0.23827534039334342"/>
  </r>
  <r>
    <d v="2025-04-02T00:00:00"/>
    <s v="EQ"/>
    <n v="772.3"/>
    <n v="777"/>
    <n v="764.3"/>
    <n v="771.7"/>
    <n v="776.6"/>
    <n v="775.95"/>
    <n v="772.51"/>
    <n v="912"/>
    <n v="680"/>
    <n v="5458436"/>
    <n v="4216703463.5500002"/>
    <n v="119114"/>
    <x v="8"/>
    <n v="-0.59999999999990905"/>
    <x v="2"/>
    <n v="4"/>
    <x v="8"/>
    <n v="0.23827534039334342"/>
  </r>
  <r>
    <d v="2025-04-01T00:00:00"/>
    <s v="EQ"/>
    <n v="766.8"/>
    <n v="782.75"/>
    <n v="763.2"/>
    <n v="771.5"/>
    <n v="771.25"/>
    <n v="771.7"/>
    <n v="772.17"/>
    <n v="912"/>
    <n v="680"/>
    <n v="7011125"/>
    <n v="5413777287.4499998"/>
    <n v="214639"/>
    <x v="8"/>
    <n v="4.7000000000000455"/>
    <x v="2"/>
    <n v="4"/>
    <x v="8"/>
    <n v="0.23827534039334342"/>
  </r>
  <r>
    <d v="2025-03-28T00:00:00"/>
    <s v="EQ"/>
    <n v="772.1"/>
    <n v="778.6"/>
    <n v="767"/>
    <n v="772.3"/>
    <n v="771.2"/>
    <n v="771.5"/>
    <n v="773.3"/>
    <n v="912"/>
    <n v="680"/>
    <n v="7628185"/>
    <n v="5898886414.5500002"/>
    <n v="119920"/>
    <x v="8"/>
    <n v="0.19999999999993179"/>
    <x v="2"/>
    <n v="3"/>
    <x v="9"/>
    <n v="0.23827534039334342"/>
  </r>
  <r>
    <d v="2025-03-27T00:00:00"/>
    <s v="EQ"/>
    <n v="763.8"/>
    <n v="775.8"/>
    <n v="760.5"/>
    <n v="764"/>
    <n v="772.05"/>
    <n v="772.3"/>
    <n v="770.57"/>
    <n v="912"/>
    <n v="680"/>
    <n v="15648616"/>
    <n v="12058372899.4"/>
    <n v="175954"/>
    <x v="8"/>
    <n v="0.20000000000004547"/>
    <x v="2"/>
    <n v="3"/>
    <x v="9"/>
    <n v="0.23827534039334342"/>
  </r>
  <r>
    <d v="2025-03-26T00:00:00"/>
    <s v="EQ"/>
    <n v="772"/>
    <n v="776.05"/>
    <n v="761.45"/>
    <n v="772.85"/>
    <n v="762.7"/>
    <n v="764"/>
    <n v="767.9"/>
    <n v="912"/>
    <n v="680"/>
    <n v="7711852"/>
    <n v="5921902187.9499998"/>
    <n v="195361"/>
    <x v="8"/>
    <n v="0.85000000000002274"/>
    <x v="2"/>
    <n v="3"/>
    <x v="9"/>
    <n v="0.23827534039334342"/>
  </r>
  <r>
    <d v="2025-03-25T00:00:00"/>
    <s v="EQ"/>
    <n v="783.9"/>
    <n v="786"/>
    <n v="769.2"/>
    <n v="780.8"/>
    <n v="770.35"/>
    <n v="772.85"/>
    <n v="777.02"/>
    <n v="912"/>
    <n v="680"/>
    <n v="15190143"/>
    <n v="11803003386.5"/>
    <n v="227394"/>
    <x v="8"/>
    <n v="-3.1000000000000227"/>
    <x v="2"/>
    <n v="3"/>
    <x v="9"/>
    <n v="0.23827534039334342"/>
  </r>
  <r>
    <d v="2025-03-24T00:00:00"/>
    <s v="EQ"/>
    <n v="758"/>
    <n v="782.95"/>
    <n v="755.1"/>
    <n v="753.2"/>
    <n v="781"/>
    <n v="780.8"/>
    <n v="772.33"/>
    <n v="912"/>
    <n v="680"/>
    <n v="12095064"/>
    <n v="9341333502.0499992"/>
    <n v="215047"/>
    <x v="8"/>
    <n v="-4.7999999999999545"/>
    <x v="2"/>
    <n v="3"/>
    <x v="9"/>
    <n v="0.23827534039334342"/>
  </r>
  <r>
    <d v="2025-03-21T00:00:00"/>
    <s v="EQ"/>
    <n v="749.95"/>
    <n v="755.6"/>
    <n v="747"/>
    <n v="749.55"/>
    <n v="754.5"/>
    <n v="753.2"/>
    <n v="752.25"/>
    <n v="912"/>
    <n v="680"/>
    <n v="9577327"/>
    <n v="7204591918.5500002"/>
    <n v="151097"/>
    <x v="8"/>
    <n v="-0.40000000000009095"/>
    <x v="2"/>
    <n v="3"/>
    <x v="9"/>
    <n v="0.23827534039334342"/>
  </r>
  <r>
    <d v="2025-03-20T00:00:00"/>
    <s v="EQ"/>
    <n v="748"/>
    <n v="752.7"/>
    <n v="744.2"/>
    <n v="745.1"/>
    <n v="748.5"/>
    <n v="749.55"/>
    <n v="748.29"/>
    <n v="912"/>
    <n v="680"/>
    <n v="6963197"/>
    <n v="5210523085.6999998"/>
    <n v="230012"/>
    <x v="8"/>
    <n v="-2.8999999999999773"/>
    <x v="2"/>
    <n v="3"/>
    <x v="9"/>
    <n v="0.23827534039334342"/>
  </r>
  <r>
    <d v="2025-03-19T00:00:00"/>
    <s v="EQ"/>
    <n v="739.6"/>
    <n v="749.3"/>
    <n v="739.1"/>
    <n v="736.7"/>
    <n v="745.05"/>
    <n v="745.1"/>
    <n v="745.26"/>
    <n v="912"/>
    <n v="680"/>
    <n v="7604850"/>
    <n v="5667568731.1000004"/>
    <n v="143607"/>
    <x v="8"/>
    <n v="-2.8999999999999773"/>
    <x v="2"/>
    <n v="3"/>
    <x v="9"/>
    <n v="0.23827534039334342"/>
  </r>
  <r>
    <d v="2025-03-18T00:00:00"/>
    <s v="EQ"/>
    <n v="726.6"/>
    <n v="738.45"/>
    <n v="722.6"/>
    <n v="723.15"/>
    <n v="737.65"/>
    <n v="736.7"/>
    <n v="731.34"/>
    <n v="912"/>
    <n v="680"/>
    <n v="8087710"/>
    <n v="5914829898.8999996"/>
    <n v="164100"/>
    <x v="8"/>
    <n v="-3.4500000000000455"/>
    <x v="2"/>
    <n v="3"/>
    <x v="9"/>
    <n v="0.23827534039334342"/>
  </r>
  <r>
    <d v="2025-03-17T00:00:00"/>
    <s v="EQ"/>
    <n v="728.9"/>
    <n v="731.25"/>
    <n v="722.3"/>
    <n v="727.85"/>
    <n v="723.3"/>
    <n v="723.15"/>
    <n v="724.77"/>
    <n v="912"/>
    <n v="680"/>
    <n v="5149565"/>
    <n v="3732235269.5"/>
    <n v="100779"/>
    <x v="8"/>
    <n v="-1.0499999999999545"/>
    <x v="2"/>
    <n v="3"/>
    <x v="9"/>
    <n v="0.23827534039334342"/>
  </r>
  <r>
    <d v="2025-03-13T00:00:00"/>
    <s v="EQ"/>
    <n v="725.9"/>
    <n v="731.45"/>
    <n v="724.5"/>
    <n v="723.05"/>
    <n v="728"/>
    <n v="727.85"/>
    <n v="728.41"/>
    <n v="912"/>
    <n v="680"/>
    <n v="5908337"/>
    <n v="4303676476.6000004"/>
    <n v="154692"/>
    <x v="8"/>
    <n v="-2.8500000000000227"/>
    <x v="2"/>
    <n v="3"/>
    <x v="9"/>
    <n v="0.23827534039334342"/>
  </r>
  <r>
    <d v="2025-03-12T00:00:00"/>
    <s v="EQ"/>
    <n v="730.6"/>
    <n v="737"/>
    <n v="719.05"/>
    <n v="729.85"/>
    <n v="722.75"/>
    <n v="723.05"/>
    <n v="726.43"/>
    <n v="912"/>
    <n v="680"/>
    <n v="5547762"/>
    <n v="4030071050.5999999"/>
    <n v="109147"/>
    <x v="8"/>
    <n v="-0.75"/>
    <x v="2"/>
    <n v="3"/>
    <x v="9"/>
    <n v="0.23827534039334342"/>
  </r>
  <r>
    <d v="2025-03-11T00:00:00"/>
    <s v="EQ"/>
    <n v="724.9"/>
    <n v="734.05"/>
    <n v="722.7"/>
    <n v="728.9"/>
    <n v="729.9"/>
    <n v="729.85"/>
    <n v="729.33"/>
    <n v="912"/>
    <n v="680"/>
    <n v="5538789"/>
    <n v="4039629878.3499999"/>
    <n v="106128"/>
    <x v="8"/>
    <n v="4"/>
    <x v="2"/>
    <n v="3"/>
    <x v="9"/>
    <n v="0.23827534039334342"/>
  </r>
  <r>
    <d v="2025-03-10T00:00:00"/>
    <s v="EQ"/>
    <n v="732.75"/>
    <n v="738.5"/>
    <n v="726.6"/>
    <n v="732.75"/>
    <n v="727.7"/>
    <n v="728.9"/>
    <n v="732.3"/>
    <n v="912"/>
    <n v="680"/>
    <n v="7400109"/>
    <n v="5419125663.5"/>
    <n v="140264"/>
    <x v="8"/>
    <n v="0"/>
    <x v="2"/>
    <n v="3"/>
    <x v="9"/>
    <n v="0.23827534039334342"/>
  </r>
  <r>
    <d v="2025-03-07T00:00:00"/>
    <s v="EQ"/>
    <n v="732.05"/>
    <n v="734.85"/>
    <n v="728"/>
    <n v="732.05"/>
    <n v="731.95"/>
    <n v="732.75"/>
    <n v="731.74"/>
    <n v="912"/>
    <n v="680"/>
    <n v="7246729"/>
    <n v="5302755367.9499998"/>
    <n v="169004"/>
    <x v="8"/>
    <n v="0"/>
    <x v="2"/>
    <n v="3"/>
    <x v="9"/>
    <n v="0.23827534039334342"/>
  </r>
  <r>
    <d v="2025-03-06T00:00:00"/>
    <s v="EQ"/>
    <n v="736"/>
    <n v="736.75"/>
    <n v="727"/>
    <n v="730.35"/>
    <n v="730.25"/>
    <n v="732.05"/>
    <n v="731.45"/>
    <n v="912"/>
    <n v="680"/>
    <n v="10928847"/>
    <n v="7993892337.1000004"/>
    <n v="211006"/>
    <x v="8"/>
    <n v="-5.6499999999999773"/>
    <x v="2"/>
    <n v="3"/>
    <x v="9"/>
    <n v="0.23827534039334342"/>
  </r>
  <r>
    <d v="2025-03-05T00:00:00"/>
    <s v="EQ"/>
    <n v="717.55"/>
    <n v="731.3"/>
    <n v="717"/>
    <n v="716.05"/>
    <n v="730"/>
    <n v="730.35"/>
    <n v="725.61"/>
    <n v="912"/>
    <n v="680"/>
    <n v="10409805"/>
    <n v="7553494263.1000004"/>
    <n v="189027"/>
    <x v="8"/>
    <n v="-1.5"/>
    <x v="2"/>
    <n v="3"/>
    <x v="9"/>
    <n v="0.23827534039334342"/>
  </r>
  <r>
    <d v="2025-03-04T00:00:00"/>
    <s v="EQ"/>
    <n v="693"/>
    <n v="718.45"/>
    <n v="692.1"/>
    <n v="695.3"/>
    <n v="716.4"/>
    <n v="716.05"/>
    <n v="712.88"/>
    <n v="912"/>
    <n v="680"/>
    <n v="14386214"/>
    <n v="10255688811.35"/>
    <n v="220118"/>
    <x v="8"/>
    <n v="2.2999999999999545"/>
    <x v="2"/>
    <n v="3"/>
    <x v="9"/>
    <n v="0.23827534039334342"/>
  </r>
  <r>
    <d v="2025-03-03T00:00:00"/>
    <s v="EQ"/>
    <n v="690.15"/>
    <n v="697.4"/>
    <n v="680"/>
    <n v="688.8"/>
    <n v="696.15"/>
    <n v="695.3"/>
    <n v="689.59"/>
    <n v="912"/>
    <n v="680"/>
    <n v="10598479"/>
    <n v="7308557453.6000004"/>
    <n v="187766"/>
    <x v="8"/>
    <n v="-1.3500000000000227"/>
    <x v="2"/>
    <n v="3"/>
    <x v="9"/>
    <n v="0.23827534039334342"/>
  </r>
  <r>
    <d v="2025-02-28T00:00:00"/>
    <s v="EQ"/>
    <n v="700.9"/>
    <n v="701.35"/>
    <n v="682.6"/>
    <n v="703.9"/>
    <n v="689.8"/>
    <n v="688.8"/>
    <n v="690.06"/>
    <n v="912"/>
    <n v="682.6"/>
    <n v="15780609"/>
    <n v="10889517995.15"/>
    <n v="252397"/>
    <x v="8"/>
    <n v="3"/>
    <x v="2"/>
    <n v="2"/>
    <x v="10"/>
    <n v="0.23827534039334342"/>
  </r>
  <r>
    <d v="2025-02-27T00:00:00"/>
    <s v="EQ"/>
    <n v="716"/>
    <n v="717.7"/>
    <n v="701.1"/>
    <n v="710.9"/>
    <n v="702.3"/>
    <n v="703.9"/>
    <n v="707.28"/>
    <n v="912"/>
    <n v="701.1"/>
    <n v="12033139"/>
    <n v="8510789065.1499996"/>
    <n v="205060"/>
    <x v="8"/>
    <n v="-5.1000000000000227"/>
    <x v="2"/>
    <n v="2"/>
    <x v="10"/>
    <n v="0.23827534039334342"/>
  </r>
  <r>
    <d v="2025-02-25T00:00:00"/>
    <s v="EQ"/>
    <n v="718.95"/>
    <n v="718.95"/>
    <n v="710"/>
    <n v="716.4"/>
    <n v="710.05"/>
    <n v="710.9"/>
    <n v="713.58"/>
    <n v="912"/>
    <n v="710"/>
    <n v="8599635"/>
    <n v="6136527160.1499996"/>
    <n v="185705"/>
    <x v="8"/>
    <n v="-2.5500000000000682"/>
    <x v="2"/>
    <n v="2"/>
    <x v="10"/>
    <n v="0.23827534039334342"/>
  </r>
  <r>
    <d v="2025-02-24T00:00:00"/>
    <s v="EQ"/>
    <n v="710.5"/>
    <n v="719.75"/>
    <n v="710.5"/>
    <n v="722"/>
    <n v="716.2"/>
    <n v="716.4"/>
    <n v="715.85"/>
    <n v="912"/>
    <n v="710.5"/>
    <n v="6912148"/>
    <n v="4948071432.6999998"/>
    <n v="193311"/>
    <x v="8"/>
    <n v="11.5"/>
    <x v="2"/>
    <n v="2"/>
    <x v="10"/>
    <n v="0.23827534039334342"/>
  </r>
  <r>
    <d v="2025-02-21T00:00:00"/>
    <s v="EQ"/>
    <n v="727.3"/>
    <n v="731.7"/>
    <n v="720"/>
    <n v="729.7"/>
    <n v="720.35"/>
    <n v="722"/>
    <n v="724.72"/>
    <n v="912"/>
    <n v="711.55"/>
    <n v="6571602"/>
    <n v="4762573887.3500004"/>
    <n v="173223"/>
    <x v="8"/>
    <n v="2.4000000000000909"/>
    <x v="2"/>
    <n v="2"/>
    <x v="10"/>
    <n v="0.23827534039334342"/>
  </r>
  <r>
    <d v="2025-02-20T00:00:00"/>
    <s v="EQ"/>
    <n v="724.9"/>
    <n v="731.5"/>
    <n v="723.35"/>
    <n v="727.3"/>
    <n v="728.85"/>
    <n v="729.7"/>
    <n v="729.14"/>
    <n v="912"/>
    <n v="711.55"/>
    <n v="7423268"/>
    <n v="5412595518.0500002"/>
    <n v="149827"/>
    <x v="8"/>
    <n v="2.3999999999999773"/>
    <x v="2"/>
    <n v="2"/>
    <x v="10"/>
    <n v="0.23827534039334342"/>
  </r>
  <r>
    <d v="2025-02-19T00:00:00"/>
    <s v="EQ"/>
    <n v="722.05"/>
    <n v="734.85"/>
    <n v="722.05"/>
    <n v="725.8"/>
    <n v="726"/>
    <n v="727.3"/>
    <n v="728.86"/>
    <n v="912"/>
    <n v="711.55"/>
    <n v="6766606"/>
    <n v="4931883943.6000004"/>
    <n v="141913"/>
    <x v="8"/>
    <n v="3.75"/>
    <x v="2"/>
    <n v="2"/>
    <x v="10"/>
    <n v="0.23827534039334342"/>
  </r>
  <r>
    <d v="2025-02-18T00:00:00"/>
    <s v="EQ"/>
    <n v="727.7"/>
    <n v="728.25"/>
    <n v="717.35"/>
    <n v="727.7"/>
    <n v="725.5"/>
    <n v="725.8"/>
    <n v="723.76"/>
    <n v="912"/>
    <n v="711.55"/>
    <n v="8562003"/>
    <n v="6196817709.8500004"/>
    <n v="196786"/>
    <x v="8"/>
    <n v="0"/>
    <x v="2"/>
    <n v="2"/>
    <x v="10"/>
    <n v="0.23827534039334342"/>
  </r>
  <r>
    <d v="2025-02-17T00:00:00"/>
    <s v="EQ"/>
    <n v="719.05"/>
    <n v="728.75"/>
    <n v="711.55"/>
    <n v="722.15"/>
    <n v="727.9"/>
    <n v="727.7"/>
    <n v="721.67"/>
    <n v="912"/>
    <n v="711.55"/>
    <n v="9093600"/>
    <n v="6562543848.8999996"/>
    <n v="219084"/>
    <x v="8"/>
    <n v="3.1000000000000227"/>
    <x v="2"/>
    <n v="2"/>
    <x v="10"/>
    <n v="0.23827534039334342"/>
  </r>
  <r>
    <d v="2025-02-14T00:00:00"/>
    <s v="EQ"/>
    <n v="730.95"/>
    <n v="732.9"/>
    <n v="716.2"/>
    <n v="727.65"/>
    <n v="720.8"/>
    <n v="722.15"/>
    <n v="724.57"/>
    <n v="912"/>
    <n v="702.15"/>
    <n v="10417539"/>
    <n v="7548247748.3500004"/>
    <n v="221611"/>
    <x v="8"/>
    <n v="-3.3000000000000682"/>
    <x v="2"/>
    <n v="2"/>
    <x v="10"/>
    <n v="0.23827534039334342"/>
  </r>
  <r>
    <d v="2025-02-13T00:00:00"/>
    <s v="EQ"/>
    <n v="734.4"/>
    <n v="737.5"/>
    <n v="726.15"/>
    <n v="733.15"/>
    <n v="726.8"/>
    <n v="727.65"/>
    <n v="731.83"/>
    <n v="912"/>
    <n v="702.15"/>
    <n v="12370571"/>
    <n v="9053189302.1000004"/>
    <n v="213728"/>
    <x v="8"/>
    <n v="-1.25"/>
    <x v="2"/>
    <n v="2"/>
    <x v="10"/>
    <n v="0.23827534039334342"/>
  </r>
  <r>
    <d v="2025-02-12T00:00:00"/>
    <s v="EQ"/>
    <n v="733.15"/>
    <n v="738.7"/>
    <n v="717.15"/>
    <n v="731.1"/>
    <n v="732.95"/>
    <n v="733.15"/>
    <n v="729.15"/>
    <n v="912"/>
    <n v="702.15"/>
    <n v="12697743"/>
    <n v="9258558059.3500004"/>
    <n v="242862"/>
    <x v="8"/>
    <n v="-2.0499999999999545"/>
    <x v="2"/>
    <n v="2"/>
    <x v="10"/>
    <n v="0.23827534039334342"/>
  </r>
  <r>
    <d v="2025-02-11T00:00:00"/>
    <s v="EQ"/>
    <n v="737.45"/>
    <n v="740.15"/>
    <n v="726.55"/>
    <n v="736.8"/>
    <n v="731"/>
    <n v="731.1"/>
    <n v="731.28"/>
    <n v="912"/>
    <n v="702.15"/>
    <n v="13017060"/>
    <n v="9519145846.9500008"/>
    <n v="236472"/>
    <x v="8"/>
    <n v="-0.65000000000009095"/>
    <x v="2"/>
    <n v="2"/>
    <x v="10"/>
    <n v="0.23827534039334342"/>
  </r>
  <r>
    <d v="2025-02-10T00:00:00"/>
    <s v="EQ"/>
    <n v="740"/>
    <n v="743.9"/>
    <n v="733.4"/>
    <n v="737.2"/>
    <n v="736.5"/>
    <n v="736.8"/>
    <n v="737.43"/>
    <n v="912"/>
    <n v="702.15"/>
    <n v="12667049"/>
    <n v="9341009055.8500004"/>
    <n v="270972"/>
    <x v="8"/>
    <n v="-2.7999999999999545"/>
    <x v="2"/>
    <n v="2"/>
    <x v="10"/>
    <n v="0.23827534039334342"/>
  </r>
  <r>
    <d v="2025-02-07T00:00:00"/>
    <s v="EQ"/>
    <n v="759.8"/>
    <n v="759.9"/>
    <n v="731.75"/>
    <n v="752.25"/>
    <n v="736.4"/>
    <n v="737.2"/>
    <n v="740.52"/>
    <n v="912"/>
    <n v="637.70000000000005"/>
    <n v="37240692"/>
    <n v="27577411008.650002"/>
    <n v="578986"/>
    <x v="8"/>
    <n v="-7.5499999999999545"/>
    <x v="2"/>
    <n v="2"/>
    <x v="10"/>
    <n v="0.23827534039334342"/>
  </r>
  <r>
    <d v="2025-02-06T00:00:00"/>
    <s v="EQ"/>
    <n v="769"/>
    <n v="770.85"/>
    <n v="750.05"/>
    <n v="766.05"/>
    <n v="753.95"/>
    <n v="752.25"/>
    <n v="758.86"/>
    <n v="912"/>
    <n v="637.70000000000005"/>
    <n v="32745391"/>
    <n v="24849300016.650002"/>
    <n v="439301"/>
    <x v="8"/>
    <n v="-2.9500000000000455"/>
    <x v="2"/>
    <n v="2"/>
    <x v="10"/>
    <n v="0.23827534039334342"/>
  </r>
  <r>
    <d v="2025-02-05T00:00:00"/>
    <s v="EQ"/>
    <n v="780"/>
    <n v="782"/>
    <n v="765"/>
    <n v="779.2"/>
    <n v="765.5"/>
    <n v="766.05"/>
    <n v="771.76"/>
    <n v="912"/>
    <n v="637.70000000000005"/>
    <n v="13419162"/>
    <n v="10356328683.049999"/>
    <n v="283249"/>
    <x v="8"/>
    <n v="-0.79999999999995453"/>
    <x v="2"/>
    <n v="2"/>
    <x v="10"/>
    <n v="0.23827534039334342"/>
  </r>
  <r>
    <d v="2025-02-04T00:00:00"/>
    <s v="EQ"/>
    <n v="767"/>
    <n v="781.25"/>
    <n v="765.65"/>
    <n v="760.95"/>
    <n v="778.5"/>
    <n v="779.2"/>
    <n v="776.12"/>
    <n v="912"/>
    <n v="637.70000000000005"/>
    <n v="12020807"/>
    <n v="9329536078.75"/>
    <n v="237155"/>
    <x v="8"/>
    <n v="-6.0499999999999545"/>
    <x v="2"/>
    <n v="2"/>
    <x v="10"/>
    <n v="0.23827534039334342"/>
  </r>
  <r>
    <d v="2025-02-03T00:00:00"/>
    <s v="EQ"/>
    <n v="762.8"/>
    <n v="762.8"/>
    <n v="753.15"/>
    <n v="766"/>
    <n v="761.05"/>
    <n v="760.95"/>
    <n v="758.76"/>
    <n v="912"/>
    <n v="637.70000000000005"/>
    <n v="7862190"/>
    <n v="5965488760.5500002"/>
    <n v="182478"/>
    <x v="8"/>
    <n v="3.2000000000000455"/>
    <x v="2"/>
    <n v="2"/>
    <x v="10"/>
    <n v="0.23827534039334342"/>
  </r>
  <r>
    <d v="2025-02-01T00:00:00"/>
    <s v="EQ"/>
    <n v="774.8"/>
    <n v="778.75"/>
    <n v="752.15"/>
    <n v="772.9"/>
    <n v="766.4"/>
    <n v="766"/>
    <n v="765.95"/>
    <n v="912"/>
    <n v="615.6"/>
    <n v="9363077"/>
    <n v="7171656657.1499996"/>
    <n v="146411"/>
    <x v="8"/>
    <n v="-1.8999999999999773"/>
    <x v="2"/>
    <n v="2"/>
    <x v="10"/>
    <n v="0.23827534039334342"/>
  </r>
  <r>
    <d v="2025-01-31T00:00:00"/>
    <s v="EQ"/>
    <n v="764.9"/>
    <n v="777.55"/>
    <n v="759.5"/>
    <n v="762.6"/>
    <n v="773.1"/>
    <n v="772.9"/>
    <n v="770.25"/>
    <n v="912"/>
    <n v="615.6"/>
    <n v="10083763"/>
    <n v="7766979527.6000004"/>
    <n v="213867"/>
    <x v="8"/>
    <n v="-2.2999999999999545"/>
    <x v="2"/>
    <n v="1"/>
    <x v="11"/>
    <n v="0.23827534039334342"/>
  </r>
  <r>
    <d v="2025-01-30T00:00:00"/>
    <s v="EQ"/>
    <n v="758.55"/>
    <n v="765"/>
    <n v="754.75"/>
    <n v="758.45"/>
    <n v="764.5"/>
    <n v="762.6"/>
    <n v="760.64"/>
    <n v="912"/>
    <n v="615.6"/>
    <n v="11085824"/>
    <n v="8432370364.6499996"/>
    <n v="236993"/>
    <x v="8"/>
    <n v="-9.9999999999909051E-2"/>
    <x v="2"/>
    <n v="1"/>
    <x v="11"/>
    <n v="0.23827534039334342"/>
  </r>
  <r>
    <d v="2025-01-29T00:00:00"/>
    <s v="EQ"/>
    <n v="753"/>
    <n v="760.8"/>
    <n v="749.8"/>
    <n v="752.4"/>
    <n v="758.5"/>
    <n v="758.45"/>
    <n v="757.35"/>
    <n v="912"/>
    <n v="615.6"/>
    <n v="9251973"/>
    <n v="7006956312.6000004"/>
    <n v="267695"/>
    <x v="8"/>
    <n v="-0.60000000000002274"/>
    <x v="2"/>
    <n v="1"/>
    <x v="11"/>
    <n v="0.23827534039334342"/>
  </r>
  <r>
    <d v="2025-01-28T00:00:00"/>
    <s v="EQ"/>
    <n v="757"/>
    <n v="759.75"/>
    <n v="745.4"/>
    <n v="749.2"/>
    <n v="752.15"/>
    <n v="752.4"/>
    <n v="752.61"/>
    <n v="912"/>
    <n v="615.6"/>
    <n v="14140860"/>
    <n v="10642622577.4"/>
    <n v="282284"/>
    <x v="8"/>
    <n v="-7.7999999999999545"/>
    <x v="2"/>
    <n v="1"/>
    <x v="11"/>
    <n v="0.23827534039334342"/>
  </r>
  <r>
    <d v="2025-01-27T00:00:00"/>
    <s v="EQ"/>
    <n v="740"/>
    <n v="755.35"/>
    <n v="735.9"/>
    <n v="744.15"/>
    <n v="747.5"/>
    <n v="749.2"/>
    <n v="748.97"/>
    <n v="912"/>
    <n v="615.6"/>
    <n v="11433353"/>
    <n v="8563257255.5"/>
    <n v="227844"/>
    <x v="8"/>
    <n v="4.1499999999999773"/>
    <x v="2"/>
    <n v="1"/>
    <x v="11"/>
    <n v="0.23827534039334342"/>
  </r>
  <r>
    <d v="2025-01-24T00:00:00"/>
    <s v="EQ"/>
    <n v="749.9"/>
    <n v="753.7"/>
    <n v="739"/>
    <n v="745.9"/>
    <n v="744.5"/>
    <n v="744.15"/>
    <n v="746.32"/>
    <n v="912"/>
    <n v="600.65"/>
    <n v="10579213"/>
    <n v="7895435197"/>
    <n v="174627"/>
    <x v="8"/>
    <n v="-4"/>
    <x v="2"/>
    <n v="1"/>
    <x v="11"/>
    <n v="0.23827534039334342"/>
  </r>
  <r>
    <d v="2025-01-23T00:00:00"/>
    <s v="EQ"/>
    <n v="750"/>
    <n v="755.65"/>
    <n v="743.1"/>
    <n v="753.45"/>
    <n v="746.25"/>
    <n v="745.9"/>
    <n v="748.15"/>
    <n v="912"/>
    <n v="600.65"/>
    <n v="10986405"/>
    <n v="8219465974"/>
    <n v="220737"/>
    <x v="8"/>
    <n v="3.4500000000000455"/>
    <x v="2"/>
    <n v="1"/>
    <x v="11"/>
    <n v="0.23827534039334342"/>
  </r>
  <r>
    <d v="2025-01-22T00:00:00"/>
    <s v="EQ"/>
    <n v="762"/>
    <n v="763"/>
    <n v="738"/>
    <n v="759.05"/>
    <n v="753.45"/>
    <n v="753.45"/>
    <n v="749.23"/>
    <n v="912"/>
    <n v="600.65"/>
    <n v="9908339"/>
    <n v="7423585184"/>
    <n v="233659"/>
    <x v="8"/>
    <n v="-2.9500000000000455"/>
    <x v="2"/>
    <n v="1"/>
    <x v="11"/>
    <n v="0.23827534039334342"/>
  </r>
  <r>
    <d v="2025-01-21T00:00:00"/>
    <s v="EQ"/>
    <n v="784.8"/>
    <n v="784.9"/>
    <n v="756.05"/>
    <n v="779.25"/>
    <n v="759.8"/>
    <n v="759.05"/>
    <n v="765.52"/>
    <n v="912"/>
    <n v="600.65"/>
    <n v="13751780"/>
    <n v="10527321816.950001"/>
    <n v="278817"/>
    <x v="8"/>
    <n v="-5.5499999999999545"/>
    <x v="2"/>
    <n v="1"/>
    <x v="11"/>
    <n v="0.23827534039334342"/>
  </r>
  <r>
    <d v="2025-01-20T00:00:00"/>
    <s v="EQ"/>
    <n v="769"/>
    <n v="785"/>
    <n v="767.85"/>
    <n v="764.1"/>
    <n v="778.5"/>
    <n v="779.25"/>
    <n v="778.03"/>
    <n v="912"/>
    <n v="600.65"/>
    <n v="9198929"/>
    <n v="7157000810.0500002"/>
    <n v="211086"/>
    <x v="8"/>
    <n v="-4.8999999999999773"/>
    <x v="2"/>
    <n v="1"/>
    <x v="11"/>
    <n v="0.23827534039334342"/>
  </r>
  <r>
    <d v="2025-01-17T00:00:00"/>
    <s v="EQ"/>
    <n v="766.3"/>
    <n v="767.95"/>
    <n v="759.4"/>
    <n v="766.3"/>
    <n v="763.8"/>
    <n v="764.1"/>
    <n v="763.55"/>
    <n v="912"/>
    <n v="600.65"/>
    <n v="5766573"/>
    <n v="4403052207.1499996"/>
    <n v="147029"/>
    <x v="8"/>
    <n v="0"/>
    <x v="2"/>
    <n v="1"/>
    <x v="11"/>
    <n v="0.23827534039334342"/>
  </r>
  <r>
    <d v="2025-01-16T00:00:00"/>
    <s v="EQ"/>
    <n v="760.4"/>
    <n v="776.7"/>
    <n v="760.4"/>
    <n v="753.7"/>
    <n v="767"/>
    <n v="766.3"/>
    <n v="768.15"/>
    <n v="912"/>
    <n v="600.65"/>
    <n v="11816079"/>
    <n v="9076538069.2000008"/>
    <n v="204032"/>
    <x v="8"/>
    <n v="-6.6999999999999318"/>
    <x v="2"/>
    <n v="1"/>
    <x v="11"/>
    <n v="0.23827534039334342"/>
  </r>
  <r>
    <d v="2025-01-15T00:00:00"/>
    <s v="EQ"/>
    <n v="753.15"/>
    <n v="758.9"/>
    <n v="750"/>
    <n v="748.15"/>
    <n v="754.95"/>
    <n v="753.7"/>
    <n v="754.48"/>
    <n v="912"/>
    <n v="600.65"/>
    <n v="7792299"/>
    <n v="5879131387.4499998"/>
    <n v="225171"/>
    <x v="8"/>
    <n v="-5"/>
    <x v="2"/>
    <n v="1"/>
    <x v="11"/>
    <n v="0.23827534039334342"/>
  </r>
  <r>
    <d v="2025-01-14T00:00:00"/>
    <s v="EQ"/>
    <n v="732.95"/>
    <n v="757"/>
    <n v="732.95"/>
    <n v="729.5"/>
    <n v="750.5"/>
    <n v="748.15"/>
    <n v="748.73"/>
    <n v="912"/>
    <n v="600.65"/>
    <n v="11960975"/>
    <n v="8955585470.2999992"/>
    <n v="242233"/>
    <x v="8"/>
    <n v="-3.4500000000000455"/>
    <x v="2"/>
    <n v="1"/>
    <x v="11"/>
    <n v="0.23827534039334342"/>
  </r>
  <r>
    <d v="2025-01-13T00:00:00"/>
    <s v="EQ"/>
    <n v="741.5"/>
    <n v="743.95"/>
    <n v="722.5"/>
    <n v="743.25"/>
    <n v="728.95"/>
    <n v="729.5"/>
    <n v="733.81"/>
    <n v="912"/>
    <n v="600.65"/>
    <n v="10414733"/>
    <n v="7642474249.6499996"/>
    <n v="254856"/>
    <x v="8"/>
    <n v="1.75"/>
    <x v="2"/>
    <n v="1"/>
    <x v="11"/>
    <n v="0.23827534039334342"/>
  </r>
  <r>
    <d v="2025-01-10T00:00:00"/>
    <s v="EQ"/>
    <n v="760.35"/>
    <n v="763.4"/>
    <n v="742.05"/>
    <n v="760.45"/>
    <n v="744.8"/>
    <n v="743.25"/>
    <n v="748.01"/>
    <n v="912"/>
    <n v="600.65"/>
    <n v="11779296"/>
    <n v="8811043804.5"/>
    <n v="275478"/>
    <x v="8"/>
    <n v="0.10000000000002274"/>
    <x v="2"/>
    <n v="1"/>
    <x v="11"/>
    <n v="0.23827534039334342"/>
  </r>
  <r>
    <d v="2025-01-09T00:00:00"/>
    <s v="EQ"/>
    <n v="771.15"/>
    <n v="771.35"/>
    <n v="726.25"/>
    <n v="771.15"/>
    <n v="762"/>
    <n v="760.45"/>
    <n v="760.13"/>
    <n v="912"/>
    <n v="600.65"/>
    <n v="15351029"/>
    <n v="11668746480.15"/>
    <n v="258299"/>
    <x v="8"/>
    <n v="0"/>
    <x v="2"/>
    <n v="1"/>
    <x v="11"/>
    <n v="0.23827534039334342"/>
  </r>
  <r>
    <d v="2025-01-08T00:00:00"/>
    <s v="EQ"/>
    <n v="780.9"/>
    <n v="783.95"/>
    <n v="760.1"/>
    <n v="778.75"/>
    <n v="771.35"/>
    <n v="771.15"/>
    <n v="767.67"/>
    <n v="912"/>
    <n v="600.65"/>
    <n v="15641490"/>
    <n v="12007486384.75"/>
    <n v="277739"/>
    <x v="8"/>
    <n v="-2.1499999999999773"/>
    <x v="2"/>
    <n v="1"/>
    <x v="11"/>
    <n v="0.23827534039334342"/>
  </r>
  <r>
    <d v="2025-01-07T00:00:00"/>
    <s v="EQ"/>
    <n v="779.85"/>
    <n v="783.85"/>
    <n v="774.85"/>
    <n v="776.4"/>
    <n v="778.4"/>
    <n v="778.75"/>
    <n v="778.73"/>
    <n v="912"/>
    <n v="600.65"/>
    <n v="9669152"/>
    <n v="7529620598.6999998"/>
    <n v="188005"/>
    <x v="8"/>
    <n v="-3.4500000000000455"/>
    <x v="2"/>
    <n v="1"/>
    <x v="11"/>
    <n v="0.23827534039334342"/>
  </r>
  <r>
    <d v="2025-01-06T00:00:00"/>
    <s v="EQ"/>
    <n v="797.4"/>
    <n v="797.6"/>
    <n v="773.15"/>
    <n v="793.4"/>
    <n v="778.4"/>
    <n v="776.4"/>
    <n v="781.47"/>
    <n v="912"/>
    <n v="600.65"/>
    <n v="11419367"/>
    <n v="8923876463.4500008"/>
    <n v="289818"/>
    <x v="8"/>
    <n v="-4"/>
    <x v="2"/>
    <n v="1"/>
    <x v="11"/>
    <n v="0.23827534039334342"/>
  </r>
  <r>
    <d v="2025-01-03T00:00:00"/>
    <s v="EQ"/>
    <n v="801.2"/>
    <n v="809.5"/>
    <n v="792.15"/>
    <n v="801.2"/>
    <n v="793.3"/>
    <n v="793.4"/>
    <n v="798.97"/>
    <n v="912"/>
    <n v="600.65"/>
    <n v="13336514"/>
    <n v="10655490014.65"/>
    <n v="208457"/>
    <x v="8"/>
    <n v="0"/>
    <x v="2"/>
    <n v="1"/>
    <x v="11"/>
    <n v="0.23827534039334342"/>
  </r>
  <r>
    <d v="2025-01-02T00:00:00"/>
    <s v="EQ"/>
    <n v="795"/>
    <n v="802.4"/>
    <n v="787"/>
    <n v="793.2"/>
    <n v="802.25"/>
    <n v="801.2"/>
    <n v="795.88"/>
    <n v="912"/>
    <n v="600.65"/>
    <n v="11398319"/>
    <n v="9071709128.0499992"/>
    <n v="206144"/>
    <x v="8"/>
    <n v="-1.7999999999999545"/>
    <x v="2"/>
    <n v="1"/>
    <x v="11"/>
    <n v="0.23827534039334342"/>
  </r>
  <r>
    <d v="2025-01-01T00:00:00"/>
    <s v="EQ"/>
    <n v="795.55"/>
    <n v="798.65"/>
    <n v="789.5"/>
    <n v="794.95"/>
    <n v="794.3"/>
    <n v="793.2"/>
    <n v="793.85"/>
    <n v="912"/>
    <n v="600.65"/>
    <n v="7273098"/>
    <n v="5773733671.3500004"/>
    <n v="125843"/>
    <x v="8"/>
    <n v="-0.59999999999990905"/>
    <x v="2"/>
    <n v="1"/>
    <x v="11"/>
    <n v="0.23827534039334342"/>
  </r>
  <r>
    <d v="2025-12-31T00:00:00"/>
    <s v="EQ"/>
    <n v="3240"/>
    <n v="3246"/>
    <n v="3198.5"/>
    <n v="3246.8"/>
    <n v="3210"/>
    <n v="3206.2"/>
    <n v="3216.08"/>
    <n v="4322.95"/>
    <n v="2866.6"/>
    <n v="3362634"/>
    <n v="10814502991.9"/>
    <n v="145683"/>
    <x v="9"/>
    <n v="6.8000000000001819"/>
    <x v="1"/>
    <n v="12"/>
    <x v="0"/>
    <n v="-0.22036742088049704"/>
  </r>
  <r>
    <d v="2025-12-30T00:00:00"/>
    <s v="EQ"/>
    <n v="3250"/>
    <n v="3267.5"/>
    <n v="3239.5"/>
    <n v="3251.5"/>
    <n v="3255"/>
    <n v="3246.8"/>
    <n v="3250.64"/>
    <n v="4322.95"/>
    <n v="2866.6"/>
    <n v="2807593"/>
    <n v="9126473823.5"/>
    <n v="184541"/>
    <x v="9"/>
    <n v="1.5"/>
    <x v="1"/>
    <n v="12"/>
    <x v="0"/>
    <n v="-0.22036742088049704"/>
  </r>
  <r>
    <d v="2025-12-29T00:00:00"/>
    <s v="EQ"/>
    <n v="3280"/>
    <n v="3288"/>
    <n v="3242.9"/>
    <n v="3280"/>
    <n v="3256"/>
    <n v="3251.5"/>
    <n v="3254.98"/>
    <n v="4322.95"/>
    <n v="2866.6"/>
    <n v="2079473"/>
    <n v="6768650796.3999996"/>
    <n v="117390"/>
    <x v="9"/>
    <n v="0"/>
    <x v="1"/>
    <n v="12"/>
    <x v="0"/>
    <n v="-0.22036742088049704"/>
  </r>
  <r>
    <d v="2025-12-26T00:00:00"/>
    <s v="EQ"/>
    <n v="3313.1"/>
    <n v="3320"/>
    <n v="3271.8"/>
    <n v="3319"/>
    <n v="3276.8"/>
    <n v="3280"/>
    <n v="3287.91"/>
    <n v="4322.95"/>
    <n v="2866.6"/>
    <n v="1176664"/>
    <n v="3868759940.5999999"/>
    <n v="89363"/>
    <x v="9"/>
    <n v="5.9000000000000909"/>
    <x v="1"/>
    <n v="12"/>
    <x v="0"/>
    <n v="-0.22036742088049704"/>
  </r>
  <r>
    <d v="2025-12-24T00:00:00"/>
    <s v="EQ"/>
    <n v="3304.1"/>
    <n v="3327.1"/>
    <n v="3296.1"/>
    <n v="3310"/>
    <n v="3313.1"/>
    <n v="3319"/>
    <n v="3312.41"/>
    <n v="4322.95"/>
    <n v="2866.6"/>
    <n v="1367708"/>
    <n v="4530413590.8999996"/>
    <n v="84873"/>
    <x v="9"/>
    <n v="5.9000000000000909"/>
    <x v="1"/>
    <n v="12"/>
    <x v="0"/>
    <n v="-0.22036742088049704"/>
  </r>
  <r>
    <d v="2025-12-23T00:00:00"/>
    <s v="EQ"/>
    <n v="3319.9"/>
    <n v="3319.9"/>
    <n v="3293.5"/>
    <n v="3324.9"/>
    <n v="3305.1"/>
    <n v="3310"/>
    <n v="3304.76"/>
    <n v="4322.95"/>
    <n v="2866.6"/>
    <n v="2365420"/>
    <n v="7817155849.8999996"/>
    <n v="139216"/>
    <x v="9"/>
    <n v="5"/>
    <x v="1"/>
    <n v="12"/>
    <x v="0"/>
    <n v="-0.22036742088049704"/>
  </r>
  <r>
    <d v="2025-12-22T00:00:00"/>
    <s v="EQ"/>
    <n v="3310"/>
    <n v="3328.6"/>
    <n v="3291"/>
    <n v="3282"/>
    <n v="3324.9"/>
    <n v="3324.9"/>
    <n v="3314.14"/>
    <n v="4322.95"/>
    <n v="2866.6"/>
    <n v="2632816"/>
    <n v="8725523457.1000004"/>
    <n v="101733"/>
    <x v="9"/>
    <n v="-28"/>
    <x v="1"/>
    <n v="12"/>
    <x v="0"/>
    <n v="-0.22036742088049704"/>
  </r>
  <r>
    <d v="2025-12-19T00:00:00"/>
    <s v="EQ"/>
    <n v="3299"/>
    <n v="3317.9"/>
    <n v="3278.8"/>
    <n v="3280.8"/>
    <n v="3285"/>
    <n v="3282"/>
    <n v="3295"/>
    <n v="4475"/>
    <n v="2866.6"/>
    <n v="3902511"/>
    <n v="12858780664.299999"/>
    <n v="122711"/>
    <x v="9"/>
    <n v="-18.199999999999818"/>
    <x v="1"/>
    <n v="12"/>
    <x v="0"/>
    <n v="-0.22036742088049704"/>
  </r>
  <r>
    <d v="2025-12-18T00:00:00"/>
    <s v="EQ"/>
    <n v="3228"/>
    <n v="3287.8"/>
    <n v="3221"/>
    <n v="3217.8"/>
    <n v="3281.2"/>
    <n v="3280.8"/>
    <n v="3260.45"/>
    <n v="4475"/>
    <n v="2866.6"/>
    <n v="2307422"/>
    <n v="7523225819.8000002"/>
    <n v="166551"/>
    <x v="9"/>
    <n v="-10.199999999999818"/>
    <x v="1"/>
    <n v="12"/>
    <x v="0"/>
    <n v="-0.22036742088049704"/>
  </r>
  <r>
    <d v="2025-12-17T00:00:00"/>
    <s v="EQ"/>
    <n v="3200.5"/>
    <n v="3236.9"/>
    <n v="3200.5"/>
    <n v="3205.1"/>
    <n v="3217.8"/>
    <n v="3217.8"/>
    <n v="3218.6"/>
    <n v="4475"/>
    <n v="2866.6"/>
    <n v="1376350"/>
    <n v="4429915958.6999998"/>
    <n v="88357"/>
    <x v="9"/>
    <n v="4.5999999999999091"/>
    <x v="1"/>
    <n v="12"/>
    <x v="0"/>
    <n v="-0.22036742088049704"/>
  </r>
  <r>
    <d v="2025-12-16T00:00:00"/>
    <s v="EQ"/>
    <n v="3220"/>
    <n v="3220"/>
    <n v="3191.1"/>
    <n v="3230.2"/>
    <n v="3206.6"/>
    <n v="3205.1"/>
    <n v="3204.68"/>
    <n v="4475"/>
    <n v="2866.6"/>
    <n v="1734623"/>
    <n v="5558913487.8000002"/>
    <n v="97265"/>
    <x v="9"/>
    <n v="10.199999999999818"/>
    <x v="1"/>
    <n v="12"/>
    <x v="0"/>
    <n v="-0.22036742088049704"/>
  </r>
  <r>
    <d v="2025-12-15T00:00:00"/>
    <s v="EQ"/>
    <n v="3211.1"/>
    <n v="3238.2"/>
    <n v="3197.3"/>
    <n v="3220.5"/>
    <n v="3227"/>
    <n v="3230.2"/>
    <n v="3220.97"/>
    <n v="4475"/>
    <n v="2866.6"/>
    <n v="1562190"/>
    <n v="5031766680.6999998"/>
    <n v="107289"/>
    <x v="9"/>
    <n v="9.4000000000000909"/>
    <x v="1"/>
    <n v="12"/>
    <x v="0"/>
    <n v="-0.22036742088049704"/>
  </r>
  <r>
    <d v="2025-12-12T00:00:00"/>
    <s v="EQ"/>
    <n v="3197.7"/>
    <n v="3223"/>
    <n v="3185.7"/>
    <n v="3191.9"/>
    <n v="3220.1"/>
    <n v="3220.5"/>
    <n v="3209.12"/>
    <n v="4494.8999999999996"/>
    <n v="2866.6"/>
    <n v="1146554"/>
    <n v="3679424706.9000001"/>
    <n v="83968"/>
    <x v="9"/>
    <n v="-5.7999999999997272"/>
    <x v="1"/>
    <n v="12"/>
    <x v="0"/>
    <n v="-0.22036742088049704"/>
  </r>
  <r>
    <d v="2025-12-11T00:00:00"/>
    <s v="EQ"/>
    <n v="3205"/>
    <n v="3208.4"/>
    <n v="3153.1"/>
    <n v="3189.2"/>
    <n v="3193.9"/>
    <n v="3191.9"/>
    <n v="3184.35"/>
    <n v="4494.8999999999996"/>
    <n v="2866.6"/>
    <n v="1914362"/>
    <n v="6095995407.3000002"/>
    <n v="100793"/>
    <x v="9"/>
    <n v="-15.800000000000182"/>
    <x v="1"/>
    <n v="12"/>
    <x v="0"/>
    <n v="-0.22036742088049704"/>
  </r>
  <r>
    <d v="2025-12-10T00:00:00"/>
    <s v="EQ"/>
    <n v="3225"/>
    <n v="3225"/>
    <n v="3178.1"/>
    <n v="3208.3"/>
    <n v="3185"/>
    <n v="3189.2"/>
    <n v="3191.56"/>
    <n v="4494.8999999999996"/>
    <n v="2866.6"/>
    <n v="1386849"/>
    <n v="4426207513.5"/>
    <n v="82261"/>
    <x v="9"/>
    <n v="-16.699999999999818"/>
    <x v="1"/>
    <n v="12"/>
    <x v="0"/>
    <n v="-0.22036742088049704"/>
  </r>
  <r>
    <d v="2025-12-09T00:00:00"/>
    <s v="EQ"/>
    <n v="3230"/>
    <n v="3233.7"/>
    <n v="3181.2"/>
    <n v="3236.5"/>
    <n v="3208"/>
    <n v="3208.3"/>
    <n v="3201.08"/>
    <n v="4494.8999999999996"/>
    <n v="2866.6"/>
    <n v="2734893"/>
    <n v="8754608897.6000004"/>
    <n v="138787"/>
    <x v="9"/>
    <n v="6.5"/>
    <x v="1"/>
    <n v="12"/>
    <x v="0"/>
    <n v="-0.22036742088049704"/>
  </r>
  <r>
    <d v="2025-12-08T00:00:00"/>
    <s v="EQ"/>
    <n v="3243"/>
    <n v="3259.9"/>
    <n v="3208.6"/>
    <n v="3238.2"/>
    <n v="3237.9"/>
    <n v="3236.5"/>
    <n v="3236.92"/>
    <n v="4494.8999999999996"/>
    <n v="2866.6"/>
    <n v="2544725"/>
    <n v="8237058645.8999996"/>
    <n v="121186"/>
    <x v="9"/>
    <n v="-4.8000000000001819"/>
    <x v="1"/>
    <n v="12"/>
    <x v="0"/>
    <n v="-0.22036742088049704"/>
  </r>
  <r>
    <d v="2025-12-05T00:00:00"/>
    <s v="EQ"/>
    <n v="3230"/>
    <n v="3271.6"/>
    <n v="3222.4"/>
    <n v="3229.2"/>
    <n v="3241"/>
    <n v="3238.2"/>
    <n v="3246.03"/>
    <n v="4494.8999999999996"/>
    <n v="2866.6"/>
    <n v="5244013"/>
    <n v="17022214888.299999"/>
    <n v="178219"/>
    <x v="9"/>
    <n v="-0.8000000000001819"/>
    <x v="1"/>
    <n v="12"/>
    <x v="0"/>
    <n v="-0.22036742088049704"/>
  </r>
  <r>
    <d v="2025-12-04T00:00:00"/>
    <s v="EQ"/>
    <n v="3194"/>
    <n v="3250"/>
    <n v="3187.4"/>
    <n v="3180"/>
    <n v="3227"/>
    <n v="3229.2"/>
    <n v="3231.21"/>
    <n v="4494.8999999999996"/>
    <n v="2866.6"/>
    <n v="5025905"/>
    <n v="16239749623.200001"/>
    <n v="185585"/>
    <x v="9"/>
    <n v="-14"/>
    <x v="1"/>
    <n v="12"/>
    <x v="0"/>
    <n v="-0.22036742088049704"/>
  </r>
  <r>
    <d v="2025-12-03T00:00:00"/>
    <s v="EQ"/>
    <n v="3140"/>
    <n v="3211.9"/>
    <n v="3139"/>
    <n v="3135.7"/>
    <n v="3180"/>
    <n v="3180"/>
    <n v="3185.48"/>
    <n v="4494.8999999999996"/>
    <n v="2866.6"/>
    <n v="3952112"/>
    <n v="12589378283.4"/>
    <n v="192454"/>
    <x v="9"/>
    <n v="-4.3000000000001819"/>
    <x v="1"/>
    <n v="12"/>
    <x v="0"/>
    <n v="-0.22036742088049704"/>
  </r>
  <r>
    <d v="2025-12-02T00:00:00"/>
    <s v="EQ"/>
    <n v="3131"/>
    <n v="3144"/>
    <n v="3120.4"/>
    <n v="3133.4"/>
    <n v="3137.5"/>
    <n v="3135.7"/>
    <n v="3133.36"/>
    <n v="4494.8999999999996"/>
    <n v="2866.6"/>
    <n v="2512003"/>
    <n v="7871011640.6000004"/>
    <n v="127701"/>
    <x v="9"/>
    <n v="2.4000000000000909"/>
    <x v="1"/>
    <n v="12"/>
    <x v="0"/>
    <n v="-0.22036742088049704"/>
  </r>
  <r>
    <d v="2025-12-01T00:00:00"/>
    <s v="EQ"/>
    <n v="3137.9"/>
    <n v="3154"/>
    <n v="3122.2"/>
    <n v="3137.5"/>
    <n v="3138"/>
    <n v="3133.4"/>
    <n v="3133.29"/>
    <n v="4494.8999999999996"/>
    <n v="2866.6"/>
    <n v="1747647"/>
    <n v="5475878282.1999998"/>
    <n v="130698"/>
    <x v="9"/>
    <n v="-0.40000000000009095"/>
    <x v="1"/>
    <n v="12"/>
    <x v="0"/>
    <n v="-0.22036742088049704"/>
  </r>
  <r>
    <d v="2025-11-28T00:00:00"/>
    <s v="EQ"/>
    <n v="3140"/>
    <n v="3147.3"/>
    <n v="3125"/>
    <n v="3136.6"/>
    <n v="3135.9"/>
    <n v="3137.5"/>
    <n v="3137.82"/>
    <n v="4494.8999999999996"/>
    <n v="2866.6"/>
    <n v="1616690"/>
    <n v="5072888841.3000002"/>
    <n v="79463"/>
    <x v="9"/>
    <n v="-3.4000000000000909"/>
    <x v="1"/>
    <n v="11"/>
    <x v="1"/>
    <n v="-0.22036742088049704"/>
  </r>
  <r>
    <d v="2025-11-27T00:00:00"/>
    <s v="EQ"/>
    <n v="3180"/>
    <n v="3180"/>
    <n v="3125"/>
    <n v="3162.9"/>
    <n v="3134"/>
    <n v="3136.6"/>
    <n v="3142.97"/>
    <n v="4494.8999999999996"/>
    <n v="2866.6"/>
    <n v="2836233"/>
    <n v="8914192099.1000004"/>
    <n v="171374"/>
    <x v="9"/>
    <n v="-17.099999999999909"/>
    <x v="1"/>
    <n v="11"/>
    <x v="1"/>
    <n v="-0.22036742088049704"/>
  </r>
  <r>
    <d v="2025-11-26T00:00:00"/>
    <s v="EQ"/>
    <n v="3118.8"/>
    <n v="3178"/>
    <n v="3117"/>
    <n v="3119.2"/>
    <n v="3162.9"/>
    <n v="3162.9"/>
    <n v="3157.95"/>
    <n v="4494.8999999999996"/>
    <n v="2866.6"/>
    <n v="2508527"/>
    <n v="7921809747"/>
    <n v="112405"/>
    <x v="9"/>
    <n v="0.3999999999996362"/>
    <x v="1"/>
    <n v="11"/>
    <x v="1"/>
    <n v="-0.22036742088049704"/>
  </r>
  <r>
    <d v="2025-11-25T00:00:00"/>
    <s v="EQ"/>
    <n v="3145.3"/>
    <n v="3149.8"/>
    <n v="3115"/>
    <n v="3141.2"/>
    <n v="3115.7"/>
    <n v="3119.2"/>
    <n v="3127.55"/>
    <n v="4494.8999999999996"/>
    <n v="2866.6"/>
    <n v="2737920"/>
    <n v="8562968101.6999998"/>
    <n v="144573"/>
    <x v="9"/>
    <n v="-4.1000000000003638"/>
    <x v="1"/>
    <n v="11"/>
    <x v="1"/>
    <n v="-0.22036742088049704"/>
  </r>
  <r>
    <d v="2025-11-24T00:00:00"/>
    <s v="EQ"/>
    <n v="3158"/>
    <n v="3178.9"/>
    <n v="3131"/>
    <n v="3150.6"/>
    <n v="3134"/>
    <n v="3141.2"/>
    <n v="3151.71"/>
    <n v="4494.8999999999996"/>
    <n v="2866.6"/>
    <n v="6703764"/>
    <n v="21128317183.5"/>
    <n v="176937"/>
    <x v="9"/>
    <n v="-7.4000000000000909"/>
    <x v="1"/>
    <n v="11"/>
    <x v="1"/>
    <n v="-0.22036742088049704"/>
  </r>
  <r>
    <d v="2025-11-21T00:00:00"/>
    <s v="EQ"/>
    <n v="3144.8"/>
    <n v="3170"/>
    <n v="3135.2"/>
    <n v="3144.8"/>
    <n v="3150"/>
    <n v="3150.6"/>
    <n v="3153.22"/>
    <n v="4494.8999999999996"/>
    <n v="2866.6"/>
    <n v="4177037"/>
    <n v="13171133172.799999"/>
    <n v="136571"/>
    <x v="9"/>
    <n v="0"/>
    <x v="1"/>
    <n v="11"/>
    <x v="1"/>
    <n v="-0.22036742088049704"/>
  </r>
  <r>
    <d v="2025-11-20T00:00:00"/>
    <s v="EQ"/>
    <n v="3148"/>
    <n v="3164.5"/>
    <n v="3138.1"/>
    <n v="3147.7"/>
    <n v="3149.8"/>
    <n v="3144.8"/>
    <n v="3152.05"/>
    <n v="4494.8999999999996"/>
    <n v="2866.6"/>
    <n v="2700767"/>
    <n v="8512940687.6999998"/>
    <n v="113822"/>
    <x v="9"/>
    <n v="-0.3000000000001819"/>
    <x v="1"/>
    <n v="11"/>
    <x v="1"/>
    <n v="-0.22036742088049704"/>
  </r>
  <r>
    <d v="2025-11-19T00:00:00"/>
    <s v="EQ"/>
    <n v="3097"/>
    <n v="3155"/>
    <n v="3083.5"/>
    <n v="3087.1"/>
    <n v="3147"/>
    <n v="3147.7"/>
    <n v="3136.67"/>
    <n v="4494.8999999999996"/>
    <n v="2866.6"/>
    <n v="3151053"/>
    <n v="9883820509.7999992"/>
    <n v="160625"/>
    <x v="9"/>
    <n v="-9.9000000000000909"/>
    <x v="1"/>
    <n v="11"/>
    <x v="1"/>
    <n v="-0.22036742088049704"/>
  </r>
  <r>
    <d v="2025-11-18T00:00:00"/>
    <s v="EQ"/>
    <n v="3102"/>
    <n v="3105"/>
    <n v="3078"/>
    <n v="3102.2"/>
    <n v="3080.1"/>
    <n v="3087.1"/>
    <n v="3090.92"/>
    <n v="4494.8999999999996"/>
    <n v="2866.6"/>
    <n v="2548350"/>
    <n v="7876755648.8999996"/>
    <n v="110903"/>
    <x v="9"/>
    <n v="0.1999999999998181"/>
    <x v="1"/>
    <n v="11"/>
    <x v="1"/>
    <n v="-0.22036742088049704"/>
  </r>
  <r>
    <d v="2025-11-17T00:00:00"/>
    <s v="EQ"/>
    <n v="3106"/>
    <n v="3123.5"/>
    <n v="3086.6"/>
    <n v="3106"/>
    <n v="3100"/>
    <n v="3102.2"/>
    <n v="3099.87"/>
    <n v="4494.8999999999996"/>
    <n v="2866.6"/>
    <n v="2232853"/>
    <n v="6921546326.8999996"/>
    <n v="96155"/>
    <x v="9"/>
    <n v="0"/>
    <x v="1"/>
    <n v="11"/>
    <x v="1"/>
    <n v="-0.22036742088049704"/>
  </r>
  <r>
    <d v="2025-11-14T00:00:00"/>
    <s v="EQ"/>
    <n v="3090"/>
    <n v="3113.1"/>
    <n v="3077.3"/>
    <n v="3105.7"/>
    <n v="3112"/>
    <n v="3106"/>
    <n v="3095.35"/>
    <n v="4494.8999999999996"/>
    <n v="2866.6"/>
    <n v="2210794"/>
    <n v="6843177119.8999996"/>
    <n v="105008"/>
    <x v="9"/>
    <n v="15.699999999999818"/>
    <x v="1"/>
    <n v="11"/>
    <x v="1"/>
    <n v="-0.22036742088049704"/>
  </r>
  <r>
    <d v="2025-11-13T00:00:00"/>
    <s v="EQ"/>
    <n v="3131.8"/>
    <n v="3131.9"/>
    <n v="3102"/>
    <n v="3131.8"/>
    <n v="3104.8"/>
    <n v="3105.7"/>
    <n v="3113.07"/>
    <n v="4494.8999999999996"/>
    <n v="2866.6"/>
    <n v="1740435"/>
    <n v="5418091012.5"/>
    <n v="120845"/>
    <x v="9"/>
    <n v="0"/>
    <x v="1"/>
    <n v="11"/>
    <x v="1"/>
    <n v="-0.22036742088049704"/>
  </r>
  <r>
    <d v="2025-11-12T00:00:00"/>
    <s v="EQ"/>
    <n v="3060"/>
    <n v="3136.4"/>
    <n v="3057.1"/>
    <n v="3047"/>
    <n v="3125.1"/>
    <n v="3131.8"/>
    <n v="3114.78"/>
    <n v="4494.8999999999996"/>
    <n v="2866.6"/>
    <n v="4460315"/>
    <n v="13892902410.200001"/>
    <n v="175446"/>
    <x v="9"/>
    <n v="-13"/>
    <x v="1"/>
    <n v="11"/>
    <x v="1"/>
    <n v="-0.22036742088049704"/>
  </r>
  <r>
    <d v="2025-11-11T00:00:00"/>
    <s v="EQ"/>
    <n v="3045"/>
    <n v="3055.7"/>
    <n v="3018"/>
    <n v="3025.2"/>
    <n v="3049"/>
    <n v="3047"/>
    <n v="3037.03"/>
    <n v="4494.8999999999996"/>
    <n v="2866.6"/>
    <n v="2806868"/>
    <n v="8524541738.5"/>
    <n v="112361"/>
    <x v="9"/>
    <n v="-19.800000000000182"/>
    <x v="1"/>
    <n v="11"/>
    <x v="1"/>
    <n v="-0.22036742088049704"/>
  </r>
  <r>
    <d v="2025-11-10T00:00:00"/>
    <s v="EQ"/>
    <n v="2993"/>
    <n v="3047.9"/>
    <n v="2992"/>
    <n v="2991.8"/>
    <n v="3025"/>
    <n v="3025.2"/>
    <n v="3022.51"/>
    <n v="4494.8999999999996"/>
    <n v="2866.6"/>
    <n v="1556656"/>
    <n v="4705008219.6999998"/>
    <n v="78119"/>
    <x v="9"/>
    <n v="-1.1999999999998181"/>
    <x v="1"/>
    <n v="11"/>
    <x v="1"/>
    <n v="-0.22036742088049704"/>
  </r>
  <r>
    <d v="2025-11-07T00:00:00"/>
    <s v="EQ"/>
    <n v="3001"/>
    <n v="3004"/>
    <n v="2960.5"/>
    <n v="3010.9"/>
    <n v="2993.5"/>
    <n v="2991.8"/>
    <n v="2979.65"/>
    <n v="4494.8999999999996"/>
    <n v="2866.6"/>
    <n v="1830520"/>
    <n v="5454308584.3000002"/>
    <n v="106949"/>
    <x v="9"/>
    <n v="9.9000000000000909"/>
    <x v="1"/>
    <n v="11"/>
    <x v="1"/>
    <n v="-0.22036742088049704"/>
  </r>
  <r>
    <d v="2025-11-06T00:00:00"/>
    <s v="EQ"/>
    <n v="2990.1"/>
    <n v="3024"/>
    <n v="2990"/>
    <n v="2990.2"/>
    <n v="3010"/>
    <n v="3010.9"/>
    <n v="3010.5"/>
    <n v="4494.8999999999996"/>
    <n v="2866.6"/>
    <n v="2542721"/>
    <n v="7654860638.8000002"/>
    <n v="200775"/>
    <x v="9"/>
    <n v="9.9999999999909051E-2"/>
    <x v="1"/>
    <n v="11"/>
    <x v="1"/>
    <n v="-0.22036742088049704"/>
  </r>
  <r>
    <d v="2025-11-04T00:00:00"/>
    <s v="EQ"/>
    <n v="3019.6"/>
    <n v="3029.3"/>
    <n v="2976"/>
    <n v="3016.8"/>
    <n v="2987.7"/>
    <n v="2990.2"/>
    <n v="2992.11"/>
    <n v="4494.8999999999996"/>
    <n v="2866.6"/>
    <n v="2670720"/>
    <n v="7991078689.6000004"/>
    <n v="168525"/>
    <x v="9"/>
    <n v="-2.7999999999997272"/>
    <x v="1"/>
    <n v="11"/>
    <x v="1"/>
    <n v="-0.22036742088049704"/>
  </r>
  <r>
    <d v="2025-11-03T00:00:00"/>
    <s v="EQ"/>
    <n v="3046.9"/>
    <n v="3058"/>
    <n v="3010"/>
    <n v="3058"/>
    <n v="3019.5"/>
    <n v="3016.8"/>
    <n v="3024.83"/>
    <n v="4494.8999999999996"/>
    <n v="2866.6"/>
    <n v="2194877"/>
    <n v="6639124030.6999998"/>
    <n v="101452"/>
    <x v="9"/>
    <n v="11.099999999999909"/>
    <x v="1"/>
    <n v="11"/>
    <x v="1"/>
    <n v="-0.22036742088049704"/>
  </r>
  <r>
    <d v="2025-10-31T00:00:00"/>
    <s v="EQ"/>
    <n v="3035"/>
    <n v="3067.4"/>
    <n v="3025.1"/>
    <n v="3035.3"/>
    <n v="3060"/>
    <n v="3058"/>
    <n v="3055.61"/>
    <n v="4494.8999999999996"/>
    <n v="2866.6"/>
    <n v="1868085"/>
    <n v="5708136334.3000002"/>
    <n v="81376"/>
    <x v="9"/>
    <n v="0.3000000000001819"/>
    <x v="1"/>
    <n v="10"/>
    <x v="2"/>
    <n v="-0.22036742088049704"/>
  </r>
  <r>
    <d v="2025-10-30T00:00:00"/>
    <s v="EQ"/>
    <n v="3049.1"/>
    <n v="3063.8"/>
    <n v="3032.8"/>
    <n v="3057.6"/>
    <n v="3035.5"/>
    <n v="3035.3"/>
    <n v="3039.99"/>
    <n v="4494.8999999999996"/>
    <n v="2866.6"/>
    <n v="2241536"/>
    <n v="6814245032"/>
    <n v="115244"/>
    <x v="9"/>
    <n v="8.5"/>
    <x v="1"/>
    <n v="10"/>
    <x v="2"/>
    <n v="-0.22036742088049704"/>
  </r>
  <r>
    <d v="2025-10-29T00:00:00"/>
    <s v="EQ"/>
    <n v="3057.9"/>
    <n v="3076"/>
    <n v="3046.1"/>
    <n v="3057.9"/>
    <n v="3060"/>
    <n v="3057.6"/>
    <n v="3061.14"/>
    <n v="4494.8999999999996"/>
    <n v="2866.6"/>
    <n v="2895420"/>
    <n v="8863286092.5"/>
    <n v="116138"/>
    <x v="9"/>
    <n v="0"/>
    <x v="1"/>
    <n v="10"/>
    <x v="2"/>
    <n v="-0.22036742088049704"/>
  </r>
  <r>
    <d v="2025-10-28T00:00:00"/>
    <s v="EQ"/>
    <n v="3076"/>
    <n v="3090.2"/>
    <n v="3040.2"/>
    <n v="3084.9"/>
    <n v="3059.8"/>
    <n v="3057.9"/>
    <n v="3059.27"/>
    <n v="4494.8999999999996"/>
    <n v="2866.6"/>
    <n v="3470737"/>
    <n v="10617938168.299999"/>
    <n v="140326"/>
    <x v="9"/>
    <n v="8.9000000000000909"/>
    <x v="1"/>
    <n v="10"/>
    <x v="2"/>
    <n v="-0.22036742088049704"/>
  </r>
  <r>
    <d v="2025-10-27T00:00:00"/>
    <s v="EQ"/>
    <n v="3066.5"/>
    <n v="3094.2"/>
    <n v="3060.2"/>
    <n v="3063.2"/>
    <n v="3083"/>
    <n v="3084.9"/>
    <n v="3083.94"/>
    <n v="4494.8999999999996"/>
    <n v="2866.6"/>
    <n v="1946312"/>
    <n v="6002314206.6000004"/>
    <n v="85517"/>
    <x v="9"/>
    <n v="-3.3000000000001819"/>
    <x v="1"/>
    <n v="10"/>
    <x v="2"/>
    <n v="-0.22036742088049704"/>
  </r>
  <r>
    <d v="2025-10-24T00:00:00"/>
    <s v="EQ"/>
    <n v="3080"/>
    <n v="3090"/>
    <n v="3058.3"/>
    <n v="3073.2"/>
    <n v="3060.6"/>
    <n v="3063.2"/>
    <n v="3073.62"/>
    <n v="4494.8999999999996"/>
    <n v="2866.6"/>
    <n v="2684318"/>
    <n v="8250573087.8000002"/>
    <n v="187127"/>
    <x v="9"/>
    <n v="-6.8000000000001819"/>
    <x v="1"/>
    <n v="10"/>
    <x v="2"/>
    <n v="-0.22036742088049704"/>
  </r>
  <r>
    <d v="2025-10-23T00:00:00"/>
    <s v="EQ"/>
    <n v="3055"/>
    <n v="3098"/>
    <n v="3036.1"/>
    <n v="3006.7"/>
    <n v="3070"/>
    <n v="3073.2"/>
    <n v="3075.63"/>
    <n v="4494.8999999999996"/>
    <n v="2866.6"/>
    <n v="5564758"/>
    <n v="17115135296"/>
    <n v="290229"/>
    <x v="9"/>
    <n v="-48.300000000000182"/>
    <x v="1"/>
    <n v="10"/>
    <x v="2"/>
    <n v="-0.22036742088049704"/>
  </r>
  <r>
    <d v="2025-10-21T00:00:00"/>
    <s v="EQ"/>
    <n v="3031.1"/>
    <n v="3031.8"/>
    <n v="2996"/>
    <n v="3015.2"/>
    <n v="3000"/>
    <n v="3006.7"/>
    <n v="3013.14"/>
    <n v="4494.8999999999996"/>
    <n v="2866.6"/>
    <n v="310644"/>
    <n v="936015414.70000005"/>
    <n v="29319"/>
    <x v="9"/>
    <n v="-15.900000000000091"/>
    <x v="1"/>
    <n v="10"/>
    <x v="2"/>
    <n v="-0.22036742088049704"/>
  </r>
  <r>
    <d v="2025-10-20T00:00:00"/>
    <s v="EQ"/>
    <n v="2985.5"/>
    <n v="3023"/>
    <n v="2978.5"/>
    <n v="2962.2"/>
    <n v="3016.3"/>
    <n v="3015.2"/>
    <n v="3007.54"/>
    <n v="4494.8999999999996"/>
    <n v="2866.6"/>
    <n v="3133039"/>
    <n v="9422754243.2999992"/>
    <n v="163532"/>
    <x v="9"/>
    <n v="-23.300000000000182"/>
    <x v="1"/>
    <n v="10"/>
    <x v="2"/>
    <n v="-0.22036742088049704"/>
  </r>
  <r>
    <d v="2025-10-17T00:00:00"/>
    <s v="EQ"/>
    <n v="2970"/>
    <n v="2988.8"/>
    <n v="2955.4"/>
    <n v="2970.7"/>
    <n v="2963"/>
    <n v="2962.2"/>
    <n v="2967.59"/>
    <n v="4494.8999999999996"/>
    <n v="2866.6"/>
    <n v="4374683"/>
    <n v="12982248748.299999"/>
    <n v="165312"/>
    <x v="9"/>
    <n v="0.6999999999998181"/>
    <x v="1"/>
    <n v="10"/>
    <x v="2"/>
    <n v="-0.22036742088049704"/>
  </r>
  <r>
    <d v="2025-10-16T00:00:00"/>
    <s v="EQ"/>
    <n v="2969.9"/>
    <n v="2975"/>
    <n v="2943.1"/>
    <n v="2969.8"/>
    <n v="2971.8"/>
    <n v="2970.7"/>
    <n v="2961.98"/>
    <n v="4494.8999999999996"/>
    <n v="2866.6"/>
    <n v="3251495"/>
    <n v="9630875594.5"/>
    <n v="197293"/>
    <x v="9"/>
    <n v="-9.9999999999909051E-2"/>
    <x v="1"/>
    <n v="10"/>
    <x v="2"/>
    <n v="-0.22036742088049704"/>
  </r>
  <r>
    <d v="2025-10-15T00:00:00"/>
    <s v="EQ"/>
    <n v="2971"/>
    <n v="2979.7"/>
    <n v="2951"/>
    <n v="2960.3"/>
    <n v="2970"/>
    <n v="2969.8"/>
    <n v="2967.01"/>
    <n v="4494.8999999999996"/>
    <n v="2866.6"/>
    <n v="4282226"/>
    <n v="12705386117.200001"/>
    <n v="146773"/>
    <x v="9"/>
    <n v="-10.699999999999818"/>
    <x v="1"/>
    <n v="10"/>
    <x v="2"/>
    <n v="-0.22036742088049704"/>
  </r>
  <r>
    <d v="2025-10-14T00:00:00"/>
    <s v="EQ"/>
    <n v="3021"/>
    <n v="3027.2"/>
    <n v="2955.5"/>
    <n v="3007.2"/>
    <n v="2960"/>
    <n v="2960.3"/>
    <n v="2976.34"/>
    <n v="4494.8999999999996"/>
    <n v="2866.6"/>
    <n v="3611416"/>
    <n v="10748794587.5"/>
    <n v="183673"/>
    <x v="9"/>
    <n v="-13.800000000000182"/>
    <x v="1"/>
    <n v="10"/>
    <x v="2"/>
    <n v="-0.22036742088049704"/>
  </r>
  <r>
    <d v="2025-10-13T00:00:00"/>
    <s v="EQ"/>
    <n v="3027"/>
    <n v="3035.5"/>
    <n v="2998.2"/>
    <n v="3028.3"/>
    <n v="3006"/>
    <n v="3007.2"/>
    <n v="3011.37"/>
    <n v="4494.8999999999996"/>
    <n v="2866.6"/>
    <n v="2866865"/>
    <n v="8633180149.1000004"/>
    <n v="169572"/>
    <x v="9"/>
    <n v="1.3000000000001819"/>
    <x v="1"/>
    <n v="10"/>
    <x v="2"/>
    <n v="-0.22036742088049704"/>
  </r>
  <r>
    <d v="2025-10-10T00:00:00"/>
    <s v="EQ"/>
    <n v="3050"/>
    <n v="3070"/>
    <n v="3006.9"/>
    <n v="3061.7"/>
    <n v="3028"/>
    <n v="3028.3"/>
    <n v="3032.16"/>
    <n v="4494.8999999999996"/>
    <n v="2866.6"/>
    <n v="8817365"/>
    <n v="26735629672.599998"/>
    <n v="244153"/>
    <x v="9"/>
    <n v="11.699999999999818"/>
    <x v="1"/>
    <n v="10"/>
    <x v="2"/>
    <n v="-0.22036742088049704"/>
  </r>
  <r>
    <d v="2025-10-09T00:00:00"/>
    <s v="EQ"/>
    <n v="3034"/>
    <n v="3066"/>
    <n v="3020"/>
    <n v="3027.2"/>
    <n v="3060.2"/>
    <n v="3061.7"/>
    <n v="3046.36"/>
    <n v="4494.8999999999996"/>
    <n v="2866.6"/>
    <n v="3211304"/>
    <n v="9782798225.6000004"/>
    <n v="133703"/>
    <x v="9"/>
    <n v="-6.8000000000001819"/>
    <x v="1"/>
    <n v="10"/>
    <x v="2"/>
    <n v="-0.22036742088049704"/>
  </r>
  <r>
    <d v="2025-10-08T00:00:00"/>
    <s v="EQ"/>
    <n v="2975"/>
    <n v="3043"/>
    <n v="2968"/>
    <n v="2973.7"/>
    <n v="3031.5"/>
    <n v="3027.2"/>
    <n v="3024.78"/>
    <n v="4494.8999999999996"/>
    <n v="2866.6"/>
    <n v="4121889"/>
    <n v="12467811108.5"/>
    <n v="154336"/>
    <x v="9"/>
    <n v="-1.3000000000001819"/>
    <x v="1"/>
    <n v="10"/>
    <x v="2"/>
    <n v="-0.22036742088049704"/>
  </r>
  <r>
    <d v="2025-10-07T00:00:00"/>
    <s v="EQ"/>
    <n v="2995"/>
    <n v="3004.5"/>
    <n v="2955.5"/>
    <n v="2988.4"/>
    <n v="2975"/>
    <n v="2973.7"/>
    <n v="2971.7"/>
    <n v="4494.8999999999996"/>
    <n v="2866.6"/>
    <n v="3062943"/>
    <n v="9102139525.6000004"/>
    <n v="141987"/>
    <x v="9"/>
    <n v="-6.5999999999999091"/>
    <x v="1"/>
    <n v="10"/>
    <x v="2"/>
    <n v="-0.22036742088049704"/>
  </r>
  <r>
    <d v="2025-10-06T00:00:00"/>
    <s v="EQ"/>
    <n v="2902"/>
    <n v="2993.6"/>
    <n v="2895.6"/>
    <n v="2901.9"/>
    <n v="2988"/>
    <n v="2988.4"/>
    <n v="2959.88"/>
    <n v="4494.8999999999996"/>
    <n v="2866.6"/>
    <n v="2112774"/>
    <n v="6253556716.3000002"/>
    <n v="100920"/>
    <x v="9"/>
    <n v="-9.9999999999909051E-2"/>
    <x v="1"/>
    <n v="10"/>
    <x v="2"/>
    <n v="-0.22036742088049704"/>
  </r>
  <r>
    <d v="2025-10-03T00:00:00"/>
    <s v="EQ"/>
    <n v="2924"/>
    <n v="2924"/>
    <n v="2891.1"/>
    <n v="2914.2"/>
    <n v="2903"/>
    <n v="2901.9"/>
    <n v="2902.27"/>
    <n v="4494.8999999999996"/>
    <n v="2866.6"/>
    <n v="2899519"/>
    <n v="8415175156.1999998"/>
    <n v="156466"/>
    <x v="9"/>
    <n v="-9.8000000000001819"/>
    <x v="1"/>
    <n v="10"/>
    <x v="2"/>
    <n v="-0.22036742088049704"/>
  </r>
  <r>
    <d v="2025-10-01T00:00:00"/>
    <s v="EQ"/>
    <n v="2891"/>
    <n v="2924.8"/>
    <n v="2866.6"/>
    <n v="2888.4"/>
    <n v="2915.1"/>
    <n v="2914.2"/>
    <n v="2897.26"/>
    <n v="4494.8999999999996"/>
    <n v="2866.6"/>
    <n v="1952902"/>
    <n v="5658070903"/>
    <n v="124217"/>
    <x v="9"/>
    <n v="-2.5999999999999091"/>
    <x v="1"/>
    <n v="10"/>
    <x v="2"/>
    <n v="-0.22036742088049704"/>
  </r>
  <r>
    <d v="2025-09-30T00:00:00"/>
    <s v="EQ"/>
    <n v="2911"/>
    <n v="2915.3"/>
    <n v="2885.1"/>
    <n v="2896.1"/>
    <n v="2891"/>
    <n v="2888.4"/>
    <n v="2895.89"/>
    <n v="4494.8999999999996"/>
    <n v="2885.1"/>
    <n v="2253458"/>
    <n v="6525755380.3999996"/>
    <n v="201510"/>
    <x v="9"/>
    <n v="-14.900000000000091"/>
    <x v="1"/>
    <n v="9"/>
    <x v="3"/>
    <n v="-0.22036742088049704"/>
  </r>
  <r>
    <d v="2025-09-29T00:00:00"/>
    <s v="EQ"/>
    <n v="2916"/>
    <n v="2929.3"/>
    <n v="2894"/>
    <n v="2899.1"/>
    <n v="2904.3"/>
    <n v="2896.1"/>
    <n v="2904.37"/>
    <n v="4494.8999999999996"/>
    <n v="2891.3"/>
    <n v="3110035"/>
    <n v="9032690025.7000008"/>
    <n v="179197"/>
    <x v="9"/>
    <n v="-16.900000000000091"/>
    <x v="1"/>
    <n v="9"/>
    <x v="3"/>
    <n v="-0.22036742088049704"/>
  </r>
  <r>
    <d v="2025-09-26T00:00:00"/>
    <s v="EQ"/>
    <n v="2941"/>
    <n v="2954.8"/>
    <n v="2891.3"/>
    <n v="2957.4"/>
    <n v="2905.4"/>
    <n v="2899.1"/>
    <n v="2915.19"/>
    <n v="4494.8999999999996"/>
    <n v="2891.3"/>
    <n v="3934636"/>
    <n v="11470204570"/>
    <n v="390339"/>
    <x v="9"/>
    <n v="16.400000000000091"/>
    <x v="1"/>
    <n v="9"/>
    <x v="3"/>
    <n v="-0.22036742088049704"/>
  </r>
  <r>
    <d v="2025-09-25T00:00:00"/>
    <s v="EQ"/>
    <n v="3022"/>
    <n v="3029.6"/>
    <n v="2951"/>
    <n v="3035.4"/>
    <n v="2958"/>
    <n v="2957.4"/>
    <n v="2977.56"/>
    <n v="4494.8999999999996"/>
    <n v="2951"/>
    <n v="4974361"/>
    <n v="14811452426.9"/>
    <n v="418858"/>
    <x v="9"/>
    <n v="13.400000000000091"/>
    <x v="1"/>
    <n v="9"/>
    <x v="3"/>
    <n v="-0.22036742088049704"/>
  </r>
  <r>
    <d v="2025-09-24T00:00:00"/>
    <s v="EQ"/>
    <n v="3050"/>
    <n v="3057"/>
    <n v="3033"/>
    <n v="3062.4"/>
    <n v="3036.8"/>
    <n v="3035.4"/>
    <n v="3044.04"/>
    <n v="4494.8999999999996"/>
    <n v="2991.6"/>
    <n v="1625714"/>
    <n v="4948746206.6000004"/>
    <n v="101133"/>
    <x v="9"/>
    <n v="12.400000000000091"/>
    <x v="1"/>
    <n v="9"/>
    <x v="3"/>
    <n v="-0.22036742088049704"/>
  </r>
  <r>
    <d v="2025-09-23T00:00:00"/>
    <s v="EQ"/>
    <n v="3070"/>
    <n v="3080.7"/>
    <n v="3052"/>
    <n v="3073.8"/>
    <n v="3065"/>
    <n v="3062.4"/>
    <n v="3063.85"/>
    <n v="4494.8999999999996"/>
    <n v="2991.6"/>
    <n v="3177741"/>
    <n v="9736121756.2000008"/>
    <n v="141198"/>
    <x v="9"/>
    <n v="3.8000000000001819"/>
    <x v="1"/>
    <n v="9"/>
    <x v="3"/>
    <n v="-0.22036742088049704"/>
  </r>
  <r>
    <d v="2025-09-22T00:00:00"/>
    <s v="EQ"/>
    <n v="3095"/>
    <n v="3106.9"/>
    <n v="3065"/>
    <n v="3169.2"/>
    <n v="3075.5"/>
    <n v="3073.8"/>
    <n v="3082.86"/>
    <n v="4494.8999999999996"/>
    <n v="2991.6"/>
    <n v="3634901"/>
    <n v="11205889441.1"/>
    <n v="321272"/>
    <x v="9"/>
    <n v="74.199999999999818"/>
    <x v="1"/>
    <n v="9"/>
    <x v="3"/>
    <n v="-0.22036742088049704"/>
  </r>
  <r>
    <d v="2025-09-19T00:00:00"/>
    <s v="EQ"/>
    <n v="3170"/>
    <n v="3180.5"/>
    <n v="3144"/>
    <n v="3176.7"/>
    <n v="3171"/>
    <n v="3169.2"/>
    <n v="3163.36"/>
    <n v="4546.05"/>
    <n v="2991.6"/>
    <n v="4901694"/>
    <n v="15505826514.1"/>
    <n v="109280"/>
    <x v="9"/>
    <n v="6.6999999999998181"/>
    <x v="1"/>
    <n v="9"/>
    <x v="3"/>
    <n v="-0.22036742088049704"/>
  </r>
  <r>
    <d v="2025-09-18T00:00:00"/>
    <s v="EQ"/>
    <n v="3185"/>
    <n v="3203"/>
    <n v="3161.4"/>
    <n v="3172.8"/>
    <n v="3177"/>
    <n v="3176.7"/>
    <n v="3179"/>
    <n v="4546.05"/>
    <n v="2991.6"/>
    <n v="2633138"/>
    <n v="8370738058.3999996"/>
    <n v="147801"/>
    <x v="9"/>
    <n v="-12.199999999999818"/>
    <x v="1"/>
    <n v="9"/>
    <x v="3"/>
    <n v="-0.22036742088049704"/>
  </r>
  <r>
    <d v="2025-09-17T00:00:00"/>
    <s v="EQ"/>
    <n v="3152"/>
    <n v="3182.4"/>
    <n v="3142.4"/>
    <n v="3145.7"/>
    <n v="3175"/>
    <n v="3172.8"/>
    <n v="3170.19"/>
    <n v="4546.05"/>
    <n v="2991.6"/>
    <n v="2418271"/>
    <n v="7666388043.1999998"/>
    <n v="100973"/>
    <x v="9"/>
    <n v="-6.3000000000001819"/>
    <x v="1"/>
    <n v="9"/>
    <x v="3"/>
    <n v="-0.22036742088049704"/>
  </r>
  <r>
    <d v="2025-09-16T00:00:00"/>
    <s v="EQ"/>
    <n v="3128"/>
    <n v="3150"/>
    <n v="3109.1"/>
    <n v="3111.9"/>
    <n v="3147.9"/>
    <n v="3145.7"/>
    <n v="3132.7"/>
    <n v="4546.05"/>
    <n v="2991.6"/>
    <n v="2573429"/>
    <n v="8061782019.3000002"/>
    <n v="96675"/>
    <x v="9"/>
    <n v="-16.099999999999909"/>
    <x v="1"/>
    <n v="9"/>
    <x v="3"/>
    <n v="-0.22036742088049704"/>
  </r>
  <r>
    <d v="2025-09-15T00:00:00"/>
    <s v="EQ"/>
    <n v="3134"/>
    <n v="3134"/>
    <n v="3096"/>
    <n v="3133.4"/>
    <n v="3112.5"/>
    <n v="3111.9"/>
    <n v="3108.2"/>
    <n v="4546.05"/>
    <n v="2991.6"/>
    <n v="1732539"/>
    <n v="5385083002.3000002"/>
    <n v="145801"/>
    <x v="9"/>
    <n v="-0.59999999999990905"/>
    <x v="1"/>
    <n v="9"/>
    <x v="3"/>
    <n v="-0.22036742088049704"/>
  </r>
  <r>
    <d v="2025-09-12T00:00:00"/>
    <s v="EQ"/>
    <n v="3144"/>
    <n v="3148.7"/>
    <n v="3121"/>
    <n v="3124.2"/>
    <n v="3133"/>
    <n v="3133.4"/>
    <n v="3134.12"/>
    <n v="4549.3500000000004"/>
    <n v="2991.6"/>
    <n v="1447167"/>
    <n v="4535589799.8000002"/>
    <n v="103589"/>
    <x v="9"/>
    <n v="-19.800000000000182"/>
    <x v="1"/>
    <n v="9"/>
    <x v="3"/>
    <n v="-0.22036742088049704"/>
  </r>
  <r>
    <d v="2025-09-11T00:00:00"/>
    <s v="EQ"/>
    <n v="3139"/>
    <n v="3139"/>
    <n v="3110.1"/>
    <n v="3110"/>
    <n v="3125.2"/>
    <n v="3124.2"/>
    <n v="3121.51"/>
    <n v="4549.3500000000004"/>
    <n v="2991.6"/>
    <n v="2263446"/>
    <n v="7065362076.8999996"/>
    <n v="126730"/>
    <x v="9"/>
    <n v="-29"/>
    <x v="1"/>
    <n v="9"/>
    <x v="3"/>
    <n v="-0.22036742088049704"/>
  </r>
  <r>
    <d v="2025-09-10T00:00:00"/>
    <s v="EQ"/>
    <n v="3056.4"/>
    <n v="3122.7"/>
    <n v="3053.4"/>
    <n v="3049.4"/>
    <n v="3110"/>
    <n v="3110"/>
    <n v="3104.63"/>
    <n v="4549.3500000000004"/>
    <n v="2991.6"/>
    <n v="2079428"/>
    <n v="6455861143.6999998"/>
    <n v="127545"/>
    <x v="9"/>
    <n v="-7"/>
    <x v="1"/>
    <n v="9"/>
    <x v="3"/>
    <n v="-0.22036742088049704"/>
  </r>
  <r>
    <d v="2025-09-09T00:00:00"/>
    <s v="EQ"/>
    <n v="3032.1"/>
    <n v="3060"/>
    <n v="3030.8"/>
    <n v="3019"/>
    <n v="3052"/>
    <n v="3049.4"/>
    <n v="3048.62"/>
    <n v="4549.3500000000004"/>
    <n v="2991.6"/>
    <n v="2489301"/>
    <n v="7588929067.8999996"/>
    <n v="164479"/>
    <x v="9"/>
    <n v="-13.099999999999909"/>
    <x v="1"/>
    <n v="9"/>
    <x v="3"/>
    <n v="-0.22036742088049704"/>
  </r>
  <r>
    <d v="2025-09-08T00:00:00"/>
    <s v="EQ"/>
    <n v="3050"/>
    <n v="3064.9"/>
    <n v="3016"/>
    <n v="3048.3"/>
    <n v="3023.2"/>
    <n v="3019"/>
    <n v="3028.84"/>
    <n v="4549.3500000000004"/>
    <n v="2991.6"/>
    <n v="2626187"/>
    <n v="7954291229"/>
    <n v="112429"/>
    <x v="9"/>
    <n v="-1.6999999999998181"/>
    <x v="1"/>
    <n v="9"/>
    <x v="3"/>
    <n v="-0.22036742088049704"/>
  </r>
  <r>
    <d v="2025-09-05T00:00:00"/>
    <s v="EQ"/>
    <n v="3097.1"/>
    <n v="3103.4"/>
    <n v="3028.6"/>
    <n v="3095.7"/>
    <n v="3048"/>
    <n v="3048.3"/>
    <n v="3052.1"/>
    <n v="4588"/>
    <n v="2991.6"/>
    <n v="2802055"/>
    <n v="8552162278.6000004"/>
    <n v="203461"/>
    <x v="9"/>
    <n v="-1.4000000000000909"/>
    <x v="1"/>
    <n v="9"/>
    <x v="3"/>
    <n v="-0.22036742088049704"/>
  </r>
  <r>
    <d v="2025-09-04T00:00:00"/>
    <s v="EQ"/>
    <n v="3116"/>
    <n v="3118"/>
    <n v="3090.8"/>
    <n v="3097.5"/>
    <n v="3095.8"/>
    <n v="3095.7"/>
    <n v="3101.37"/>
    <n v="4588"/>
    <n v="2991.6"/>
    <n v="1481391"/>
    <n v="4594343759.6000004"/>
    <n v="104731"/>
    <x v="9"/>
    <n v="-18.5"/>
    <x v="1"/>
    <n v="9"/>
    <x v="3"/>
    <n v="-0.22036742088049704"/>
  </r>
  <r>
    <d v="2025-09-03T00:00:00"/>
    <s v="EQ"/>
    <n v="3129.9"/>
    <n v="3141.9"/>
    <n v="3088"/>
    <n v="3111.5"/>
    <n v="3100"/>
    <n v="3097.5"/>
    <n v="3102.69"/>
    <n v="4588"/>
    <n v="2991.6"/>
    <n v="1799774"/>
    <n v="5584147665.6000004"/>
    <n v="106698"/>
    <x v="9"/>
    <n v="-18.400000000000091"/>
    <x v="1"/>
    <n v="9"/>
    <x v="3"/>
    <n v="-0.22036742088049704"/>
  </r>
  <r>
    <d v="2025-09-02T00:00:00"/>
    <s v="EQ"/>
    <n v="3121.1"/>
    <n v="3155"/>
    <n v="3103.1"/>
    <n v="3112.6"/>
    <n v="3112"/>
    <n v="3111.5"/>
    <n v="3125.54"/>
    <n v="4588"/>
    <n v="2991.6"/>
    <n v="2185229"/>
    <n v="6830018367.8999996"/>
    <n v="154171"/>
    <x v="9"/>
    <n v="-8.5"/>
    <x v="1"/>
    <n v="9"/>
    <x v="3"/>
    <n v="-0.22036742088049704"/>
  </r>
  <r>
    <d v="2025-09-01T00:00:00"/>
    <s v="EQ"/>
    <n v="3090"/>
    <n v="3131.1"/>
    <n v="3090"/>
    <n v="3084.7"/>
    <n v="3111"/>
    <n v="3112.6"/>
    <n v="3118.12"/>
    <n v="4588"/>
    <n v="2991.6"/>
    <n v="1246862"/>
    <n v="3887860373.5"/>
    <n v="85857"/>
    <x v="9"/>
    <n v="-5.3000000000001819"/>
    <x v="1"/>
    <n v="9"/>
    <x v="3"/>
    <n v="-0.22036742088049704"/>
  </r>
  <r>
    <d v="2025-08-29T00:00:00"/>
    <s v="EQ"/>
    <n v="3093"/>
    <n v="3115"/>
    <n v="3077.2"/>
    <n v="3093.7"/>
    <n v="3083.8"/>
    <n v="3084.7"/>
    <n v="3093.86"/>
    <n v="4592.25"/>
    <n v="2991.6"/>
    <n v="2271789"/>
    <n v="7028604709.3000002"/>
    <n v="109782"/>
    <x v="9"/>
    <n v="0.6999999999998181"/>
    <x v="1"/>
    <n v="8"/>
    <x v="4"/>
    <n v="-0.22036742088049704"/>
  </r>
  <r>
    <d v="2025-08-28T00:00:00"/>
    <s v="EQ"/>
    <n v="3145"/>
    <n v="3146.5"/>
    <n v="3086.5"/>
    <n v="3157.2"/>
    <n v="3098"/>
    <n v="3093.7"/>
    <n v="3110.39"/>
    <n v="4592.25"/>
    <n v="2991.6"/>
    <n v="3116051"/>
    <n v="9692121881.2999992"/>
    <n v="204600"/>
    <x v="9"/>
    <n v="12.199999999999818"/>
    <x v="1"/>
    <n v="8"/>
    <x v="4"/>
    <n v="-0.22036742088049704"/>
  </r>
  <r>
    <d v="2025-08-26T00:00:00"/>
    <s v="EQ"/>
    <n v="3129"/>
    <n v="3162"/>
    <n v="3120"/>
    <n v="3140.6"/>
    <n v="3157"/>
    <n v="3157.2"/>
    <n v="3152.41"/>
    <n v="4592.25"/>
    <n v="2991.6"/>
    <n v="5522097"/>
    <n v="17407935331"/>
    <n v="173962"/>
    <x v="9"/>
    <n v="11.599999999999909"/>
    <x v="1"/>
    <n v="8"/>
    <x v="4"/>
    <n v="-0.22036742088049704"/>
  </r>
  <r>
    <d v="2025-08-25T00:00:00"/>
    <s v="EQ"/>
    <n v="3087.3"/>
    <n v="3152"/>
    <n v="3077.1"/>
    <n v="3054"/>
    <n v="3142.1"/>
    <n v="3140.6"/>
    <n v="3133.79"/>
    <n v="4592.25"/>
    <n v="2991.6"/>
    <n v="3448370"/>
    <n v="10806464376.700001"/>
    <n v="200973"/>
    <x v="9"/>
    <n v="-33.300000000000182"/>
    <x v="1"/>
    <n v="8"/>
    <x v="4"/>
    <n v="-0.22036742088049704"/>
  </r>
  <r>
    <d v="2025-08-22T00:00:00"/>
    <s v="EQ"/>
    <n v="3086"/>
    <n v="3095.7"/>
    <n v="3050"/>
    <n v="3102.6"/>
    <n v="3054.7"/>
    <n v="3054"/>
    <n v="3068.45"/>
    <n v="4592.25"/>
    <n v="2991.6"/>
    <n v="1593791"/>
    <n v="4890462450.3000002"/>
    <n v="82740"/>
    <x v="9"/>
    <n v="16.599999999999909"/>
    <x v="1"/>
    <n v="8"/>
    <x v="4"/>
    <n v="-0.22036742088049704"/>
  </r>
  <r>
    <d v="2025-08-21T00:00:00"/>
    <s v="EQ"/>
    <n v="3130"/>
    <n v="3130"/>
    <n v="3083.1"/>
    <n v="3098.6"/>
    <n v="3100"/>
    <n v="3102.6"/>
    <n v="3107.84"/>
    <n v="4592.25"/>
    <n v="2991.6"/>
    <n v="3230726"/>
    <n v="10040586025.700001"/>
    <n v="119697"/>
    <x v="9"/>
    <n v="-31.400000000000091"/>
    <x v="1"/>
    <n v="8"/>
    <x v="4"/>
    <n v="-0.22036742088049704"/>
  </r>
  <r>
    <d v="2025-08-20T00:00:00"/>
    <s v="EQ"/>
    <n v="3010.9"/>
    <n v="3103.4"/>
    <n v="3010.9"/>
    <n v="3016.2"/>
    <n v="3094.8"/>
    <n v="3098.6"/>
    <n v="3078.21"/>
    <n v="4592.25"/>
    <n v="2991.6"/>
    <n v="4952358"/>
    <n v="15244401986.4"/>
    <n v="190110"/>
    <x v="9"/>
    <n v="5.2999999999997272"/>
    <x v="1"/>
    <n v="8"/>
    <x v="4"/>
    <n v="-0.22036742088049704"/>
  </r>
  <r>
    <d v="2025-08-19T00:00:00"/>
    <s v="EQ"/>
    <n v="3011.2"/>
    <n v="3025"/>
    <n v="3011.1"/>
    <n v="3011.2"/>
    <n v="3018"/>
    <n v="3016.2"/>
    <n v="3016.58"/>
    <n v="4592.25"/>
    <n v="2991.6"/>
    <n v="2650784"/>
    <n v="7996291836.8999996"/>
    <n v="119303"/>
    <x v="9"/>
    <n v="0"/>
    <x v="1"/>
    <n v="8"/>
    <x v="4"/>
    <n v="-0.22036742088049704"/>
  </r>
  <r>
    <d v="2025-08-18T00:00:00"/>
    <s v="EQ"/>
    <n v="3046.5"/>
    <n v="3049"/>
    <n v="3003.4"/>
    <n v="3022.3"/>
    <n v="3013"/>
    <n v="3011.2"/>
    <n v="3015.34"/>
    <n v="4592.25"/>
    <n v="2991.6"/>
    <n v="2945609"/>
    <n v="8882005616.6000004"/>
    <n v="137367"/>
    <x v="9"/>
    <n v="-24.199999999999818"/>
    <x v="1"/>
    <n v="8"/>
    <x v="4"/>
    <n v="-0.22036742088049704"/>
  </r>
  <r>
    <d v="2025-08-14T00:00:00"/>
    <s v="EQ"/>
    <n v="3034"/>
    <n v="3055.9"/>
    <n v="3019.1"/>
    <n v="3036.2"/>
    <n v="3022.5"/>
    <n v="3022.3"/>
    <n v="3032.52"/>
    <n v="4592.25"/>
    <n v="2991.6"/>
    <n v="3342174"/>
    <n v="10135212616.4"/>
    <n v="194661"/>
    <x v="9"/>
    <n v="2.1999999999998181"/>
    <x v="1"/>
    <n v="8"/>
    <x v="4"/>
    <n v="-0.22036742088049704"/>
  </r>
  <r>
    <d v="2025-08-13T00:00:00"/>
    <s v="EQ"/>
    <n v="3036.1"/>
    <n v="3044.4"/>
    <n v="3028.6"/>
    <n v="3035.4"/>
    <n v="3035"/>
    <n v="3036.2"/>
    <n v="3037.72"/>
    <n v="4592.25"/>
    <n v="2991.6"/>
    <n v="2148166"/>
    <n v="6525533464.3000002"/>
    <n v="117340"/>
    <x v="9"/>
    <n v="-0.6999999999998181"/>
    <x v="1"/>
    <n v="8"/>
    <x v="4"/>
    <n v="-0.22036742088049704"/>
  </r>
  <r>
    <d v="2025-08-12T00:00:00"/>
    <s v="EQ"/>
    <n v="3041"/>
    <n v="3096.4"/>
    <n v="3026.9"/>
    <n v="3040.8"/>
    <n v="3039.8"/>
    <n v="3035.4"/>
    <n v="3057.38"/>
    <n v="4592.25"/>
    <n v="2991.6"/>
    <n v="3358232"/>
    <n v="10267395734.799999"/>
    <n v="165565"/>
    <x v="9"/>
    <n v="-0.1999999999998181"/>
    <x v="1"/>
    <n v="8"/>
    <x v="4"/>
    <n v="-0.22036742088049704"/>
  </r>
  <r>
    <d v="2025-08-11T00:00:00"/>
    <s v="EQ"/>
    <n v="3036.4"/>
    <n v="3049.9"/>
    <n v="3021.3"/>
    <n v="3036.4"/>
    <n v="3042"/>
    <n v="3040.8"/>
    <n v="3040.5"/>
    <n v="4592.25"/>
    <n v="2991.6"/>
    <n v="1884215"/>
    <n v="5728958255.6000004"/>
    <n v="132617"/>
    <x v="9"/>
    <n v="0"/>
    <x v="1"/>
    <n v="8"/>
    <x v="4"/>
    <n v="-0.22036742088049704"/>
  </r>
  <r>
    <d v="2025-08-08T00:00:00"/>
    <s v="EQ"/>
    <n v="3048.1"/>
    <n v="3059.8"/>
    <n v="3025"/>
    <n v="3047"/>
    <n v="3031.9"/>
    <n v="3036.4"/>
    <n v="3043.58"/>
    <n v="4592.25"/>
    <n v="2991.6"/>
    <n v="2762140"/>
    <n v="8406805181"/>
    <n v="119961"/>
    <x v="9"/>
    <n v="-1.0999999999999091"/>
    <x v="1"/>
    <n v="8"/>
    <x v="4"/>
    <n v="-0.22036742088049704"/>
  </r>
  <r>
    <d v="2025-08-07T00:00:00"/>
    <s v="EQ"/>
    <n v="3016"/>
    <n v="3051.6"/>
    <n v="3010.9"/>
    <n v="3032.3"/>
    <n v="3049.1"/>
    <n v="3047"/>
    <n v="3032.09"/>
    <n v="4592.25"/>
    <n v="2991.6"/>
    <n v="2543076"/>
    <n v="7710829083.3000002"/>
    <n v="138156"/>
    <x v="9"/>
    <n v="16.300000000000182"/>
    <x v="1"/>
    <n v="8"/>
    <x v="4"/>
    <n v="-0.22036742088049704"/>
  </r>
  <r>
    <d v="2025-08-06T00:00:00"/>
    <s v="EQ"/>
    <n v="3063"/>
    <n v="3066.8"/>
    <n v="3026"/>
    <n v="3063.9"/>
    <n v="3031.6"/>
    <n v="3032.3"/>
    <n v="3037.1"/>
    <n v="4592.25"/>
    <n v="2991.6"/>
    <n v="1487081"/>
    <n v="4516412670.5"/>
    <n v="109992"/>
    <x v="9"/>
    <n v="0.90000000000009095"/>
    <x v="1"/>
    <n v="8"/>
    <x v="4"/>
    <n v="-0.22036742088049704"/>
  </r>
  <r>
    <d v="2025-08-05T00:00:00"/>
    <s v="EQ"/>
    <n v="3074.4"/>
    <n v="3077.5"/>
    <n v="3042"/>
    <n v="3074.4"/>
    <n v="3060"/>
    <n v="3063.9"/>
    <n v="3057.96"/>
    <n v="4592.25"/>
    <n v="2991.6"/>
    <n v="1927996"/>
    <n v="5895739286.3000002"/>
    <n v="118848"/>
    <x v="9"/>
    <n v="0"/>
    <x v="1"/>
    <n v="8"/>
    <x v="4"/>
    <n v="-0.22036742088049704"/>
  </r>
  <r>
    <d v="2025-08-04T00:00:00"/>
    <s v="EQ"/>
    <n v="3009.1"/>
    <n v="3079.4"/>
    <n v="2991.6"/>
    <n v="3003"/>
    <n v="3078.7"/>
    <n v="3074.4"/>
    <n v="3046.24"/>
    <n v="4592.25"/>
    <n v="2991.6"/>
    <n v="2519252"/>
    <n v="7674244863.5"/>
    <n v="154005"/>
    <x v="9"/>
    <n v="-6.0999999999999091"/>
    <x v="1"/>
    <n v="8"/>
    <x v="4"/>
    <n v="-0.22036742088049704"/>
  </r>
  <r>
    <d v="2025-08-01T00:00:00"/>
    <s v="EQ"/>
    <n v="3029.9"/>
    <n v="3036.8"/>
    <n v="3000"/>
    <n v="3036.8"/>
    <n v="3001.1"/>
    <n v="3003"/>
    <n v="3013.79"/>
    <n v="4592.25"/>
    <n v="3000"/>
    <n v="2053847"/>
    <n v="6189863144.5"/>
    <n v="154119"/>
    <x v="9"/>
    <n v="6.9000000000000909"/>
    <x v="1"/>
    <n v="8"/>
    <x v="4"/>
    <n v="-0.22036742088049704"/>
  </r>
  <r>
    <d v="2025-07-31T00:00:00"/>
    <s v="EQ"/>
    <n v="3041.7"/>
    <n v="3059.8"/>
    <n v="3015"/>
    <n v="3053.6"/>
    <n v="3033.2"/>
    <n v="3036.8"/>
    <n v="3034.36"/>
    <n v="4592.25"/>
    <n v="3015"/>
    <n v="2968371"/>
    <n v="9007105954.2999992"/>
    <n v="199367"/>
    <x v="9"/>
    <n v="11.900000000000091"/>
    <x v="1"/>
    <n v="7"/>
    <x v="5"/>
    <n v="-0.22036742088049704"/>
  </r>
  <r>
    <d v="2025-07-30T00:00:00"/>
    <s v="EQ"/>
    <n v="3060"/>
    <n v="3069"/>
    <n v="3047.2"/>
    <n v="3056"/>
    <n v="3052.1"/>
    <n v="3053.6"/>
    <n v="3058.58"/>
    <n v="4592.25"/>
    <n v="3041.2"/>
    <n v="2880121"/>
    <n v="8809078906.7999992"/>
    <n v="127490"/>
    <x v="9"/>
    <n v="-4"/>
    <x v="1"/>
    <n v="7"/>
    <x v="5"/>
    <n v="-0.22036742088049704"/>
  </r>
  <r>
    <d v="2025-07-29T00:00:00"/>
    <s v="EQ"/>
    <n v="3060"/>
    <n v="3074"/>
    <n v="3041.2"/>
    <n v="3079.3"/>
    <n v="3057"/>
    <n v="3056"/>
    <n v="3056.04"/>
    <n v="4592.25"/>
    <n v="3041.2"/>
    <n v="4785312"/>
    <n v="14624090930.700001"/>
    <n v="247039"/>
    <x v="9"/>
    <n v="19.300000000000182"/>
    <x v="1"/>
    <n v="7"/>
    <x v="5"/>
    <n v="-0.22036742088049704"/>
  </r>
  <r>
    <d v="2025-07-28T00:00:00"/>
    <s v="EQ"/>
    <n v="3110"/>
    <n v="3118"/>
    <n v="3069.9"/>
    <n v="3135.8"/>
    <n v="3085.8"/>
    <n v="3079.3"/>
    <n v="3092.56"/>
    <n v="4592.25"/>
    <n v="3056.05"/>
    <n v="3374473"/>
    <n v="10435752450"/>
    <n v="273133"/>
    <x v="9"/>
    <n v="25.800000000000182"/>
    <x v="1"/>
    <n v="7"/>
    <x v="5"/>
    <n v="-0.22036742088049704"/>
  </r>
  <r>
    <d v="2025-07-25T00:00:00"/>
    <s v="EQ"/>
    <n v="3140"/>
    <n v="3156.9"/>
    <n v="3125.6"/>
    <n v="3148"/>
    <n v="3140"/>
    <n v="3135.8"/>
    <n v="3140.77"/>
    <n v="4592.25"/>
    <n v="3056.05"/>
    <n v="2568917"/>
    <n v="8068375805.8999996"/>
    <n v="105704"/>
    <x v="9"/>
    <n v="8"/>
    <x v="1"/>
    <n v="7"/>
    <x v="5"/>
    <n v="-0.22036742088049704"/>
  </r>
  <r>
    <d v="2025-07-24T00:00:00"/>
    <s v="EQ"/>
    <n v="3165.1"/>
    <n v="3173.7"/>
    <n v="3140"/>
    <n v="3179.1"/>
    <n v="3144.9"/>
    <n v="3148"/>
    <n v="3155.37"/>
    <n v="4592.25"/>
    <n v="3056.05"/>
    <n v="2934778"/>
    <n v="9260312011.2999992"/>
    <n v="102612"/>
    <x v="9"/>
    <n v="14"/>
    <x v="1"/>
    <n v="7"/>
    <x v="5"/>
    <n v="-0.22036742088049704"/>
  </r>
  <r>
    <d v="2025-07-23T00:00:00"/>
    <s v="EQ"/>
    <n v="3159.6"/>
    <n v="3182"/>
    <n v="3157.6"/>
    <n v="3159.6"/>
    <n v="3175"/>
    <n v="3179.1"/>
    <n v="3169.59"/>
    <n v="4592.25"/>
    <n v="3056.05"/>
    <n v="1922875"/>
    <n v="6094730938.8000002"/>
    <n v="96628"/>
    <x v="9"/>
    <n v="0"/>
    <x v="1"/>
    <n v="7"/>
    <x v="5"/>
    <n v="-0.22036742088049704"/>
  </r>
  <r>
    <d v="2025-07-22T00:00:00"/>
    <s v="EQ"/>
    <n v="3159.6"/>
    <n v="3180.1"/>
    <n v="3154.6"/>
    <n v="3158.2"/>
    <n v="3164.7"/>
    <n v="3159.6"/>
    <n v="3163.54"/>
    <n v="4592.25"/>
    <n v="3056.05"/>
    <n v="3198036"/>
    <n v="10117107299.1"/>
    <n v="138279"/>
    <x v="9"/>
    <n v="-1.4000000000000909"/>
    <x v="1"/>
    <n v="7"/>
    <x v="5"/>
    <n v="-0.22036742088049704"/>
  </r>
  <r>
    <d v="2025-07-21T00:00:00"/>
    <s v="EQ"/>
    <n v="3190"/>
    <n v="3197.6"/>
    <n v="3152"/>
    <n v="3189.9"/>
    <n v="3158.9"/>
    <n v="3158.2"/>
    <n v="3162.44"/>
    <n v="4592.25"/>
    <n v="3056.05"/>
    <n v="3844346"/>
    <n v="12157519336.9"/>
    <n v="195683"/>
    <x v="9"/>
    <n v="-9.9999999999909051E-2"/>
    <x v="1"/>
    <n v="7"/>
    <x v="5"/>
    <n v="-0.22036742088049704"/>
  </r>
  <r>
    <d v="2025-07-18T00:00:00"/>
    <s v="EQ"/>
    <n v="3225"/>
    <n v="3228.8"/>
    <n v="3187"/>
    <n v="3209.2"/>
    <n v="3189.6"/>
    <n v="3189.9"/>
    <n v="3201.13"/>
    <n v="4592.25"/>
    <n v="3056.05"/>
    <n v="3432645"/>
    <n v="10988348160.4"/>
    <n v="195464"/>
    <x v="9"/>
    <n v="-15.800000000000182"/>
    <x v="1"/>
    <n v="7"/>
    <x v="5"/>
    <n v="-0.22036742088049704"/>
  </r>
  <r>
    <d v="2025-07-17T00:00:00"/>
    <s v="EQ"/>
    <n v="3224.1"/>
    <n v="3242"/>
    <n v="3204.1"/>
    <n v="3233.1"/>
    <n v="3207.7"/>
    <n v="3209.2"/>
    <n v="3220.48"/>
    <n v="4592.25"/>
    <n v="3056.05"/>
    <n v="2947640"/>
    <n v="9492807475.5"/>
    <n v="157207"/>
    <x v="9"/>
    <n v="9"/>
    <x v="1"/>
    <n v="7"/>
    <x v="5"/>
    <n v="-0.22036742088049704"/>
  </r>
  <r>
    <d v="2025-07-16T00:00:00"/>
    <s v="EQ"/>
    <n v="3227"/>
    <n v="3244.9"/>
    <n v="3220.6"/>
    <n v="3252.3"/>
    <n v="3230.9"/>
    <n v="3233.1"/>
    <n v="3235.91"/>
    <n v="4592.25"/>
    <n v="3056.05"/>
    <n v="2540733"/>
    <n v="8221586412.6000004"/>
    <n v="172998"/>
    <x v="9"/>
    <n v="25.300000000000182"/>
    <x v="1"/>
    <n v="7"/>
    <x v="5"/>
    <n v="-0.22036742088049704"/>
  </r>
  <r>
    <d v="2025-07-15T00:00:00"/>
    <s v="EQ"/>
    <n v="3206"/>
    <n v="3259.4"/>
    <n v="3206"/>
    <n v="3222.7"/>
    <n v="3252"/>
    <n v="3252.3"/>
    <n v="3243.32"/>
    <n v="4592.25"/>
    <n v="3056.05"/>
    <n v="2590889"/>
    <n v="8403081368.1000004"/>
    <n v="171257"/>
    <x v="9"/>
    <n v="16.699999999999818"/>
    <x v="1"/>
    <n v="7"/>
    <x v="5"/>
    <n v="-0.22036742088049704"/>
  </r>
  <r>
    <d v="2025-07-14T00:00:00"/>
    <s v="EQ"/>
    <n v="3266"/>
    <n v="3272"/>
    <n v="3200"/>
    <n v="3266"/>
    <n v="3227.5"/>
    <n v="3222.7"/>
    <n v="3224.72"/>
    <n v="4592.25"/>
    <n v="3056.05"/>
    <n v="3924009"/>
    <n v="12653811861.799999"/>
    <n v="396894"/>
    <x v="9"/>
    <n v="0"/>
    <x v="1"/>
    <n v="7"/>
    <x v="5"/>
    <n v="-0.22036742088049704"/>
  </r>
  <r>
    <d v="2025-07-11T00:00:00"/>
    <s v="EQ"/>
    <n v="3299.9"/>
    <n v="3335"/>
    <n v="3261.1"/>
    <n v="3382"/>
    <n v="3264.5"/>
    <n v="3266"/>
    <n v="3295.45"/>
    <n v="4592.25"/>
    <n v="3056.05"/>
    <n v="7635550"/>
    <n v="25162551686.400002"/>
    <n v="552284"/>
    <x v="9"/>
    <n v="82.099999999999909"/>
    <x v="1"/>
    <n v="7"/>
    <x v="5"/>
    <n v="-0.22036742088049704"/>
  </r>
  <r>
    <d v="2025-07-10T00:00:00"/>
    <s v="EQ"/>
    <n v="3380"/>
    <n v="3399"/>
    <n v="3356"/>
    <n v="3383.8"/>
    <n v="3395"/>
    <n v="3382"/>
    <n v="3379.02"/>
    <n v="4592.25"/>
    <n v="3056.05"/>
    <n v="3035012"/>
    <n v="10255361029.9"/>
    <n v="176792"/>
    <x v="9"/>
    <n v="3.8000000000001819"/>
    <x v="1"/>
    <n v="7"/>
    <x v="5"/>
    <n v="-0.22036742088049704"/>
  </r>
  <r>
    <d v="2025-07-09T00:00:00"/>
    <s v="EQ"/>
    <n v="3410"/>
    <n v="3414"/>
    <n v="3367"/>
    <n v="3406.2"/>
    <n v="3386"/>
    <n v="3383.8"/>
    <n v="3387.16"/>
    <n v="4592.25"/>
    <n v="3056.05"/>
    <n v="2034938"/>
    <n v="6892661354.3000002"/>
    <n v="191376"/>
    <x v="9"/>
    <n v="-3.8000000000001819"/>
    <x v="1"/>
    <n v="7"/>
    <x v="5"/>
    <n v="-0.22036742088049704"/>
  </r>
  <r>
    <d v="2025-07-08T00:00:00"/>
    <s v="EQ"/>
    <n v="3405"/>
    <n v="3425"/>
    <n v="3393.4"/>
    <n v="3411.7"/>
    <n v="3406"/>
    <n v="3406.2"/>
    <n v="3407.01"/>
    <n v="4592.25"/>
    <n v="3056.05"/>
    <n v="2325242"/>
    <n v="7922116743.6999998"/>
    <n v="178045"/>
    <x v="9"/>
    <n v="6.6999999999998181"/>
    <x v="1"/>
    <n v="7"/>
    <x v="5"/>
    <n v="-0.22036742088049704"/>
  </r>
  <r>
    <d v="2025-07-07T00:00:00"/>
    <s v="EQ"/>
    <n v="3418.3"/>
    <n v="3426.1"/>
    <n v="3408.4"/>
    <n v="3419.8"/>
    <n v="3410.6"/>
    <n v="3411.7"/>
    <n v="3417.7"/>
    <n v="4592.25"/>
    <n v="3056.05"/>
    <n v="1639174"/>
    <n v="5602206127.8000002"/>
    <n v="73810"/>
    <x v="9"/>
    <n v="1.5"/>
    <x v="1"/>
    <n v="7"/>
    <x v="5"/>
    <n v="-0.22036742088049704"/>
  </r>
  <r>
    <d v="2025-07-04T00:00:00"/>
    <s v="EQ"/>
    <n v="3408"/>
    <n v="3427"/>
    <n v="3390.1"/>
    <n v="3400.8"/>
    <n v="3420"/>
    <n v="3419.8"/>
    <n v="3413.91"/>
    <n v="4592.25"/>
    <n v="3056.05"/>
    <n v="1109320"/>
    <n v="3787117009.9000001"/>
    <n v="87593"/>
    <x v="9"/>
    <n v="-7.1999999999998181"/>
    <x v="1"/>
    <n v="7"/>
    <x v="5"/>
    <n v="-0.22036742088049704"/>
  </r>
  <r>
    <d v="2025-07-03T00:00:00"/>
    <s v="EQ"/>
    <n v="3430"/>
    <n v="3435.3"/>
    <n v="3397.6"/>
    <n v="3423.3"/>
    <n v="3400"/>
    <n v="3400.8"/>
    <n v="3414.55"/>
    <n v="4592.25"/>
    <n v="3056.05"/>
    <n v="2531870"/>
    <n v="8645207975.3999996"/>
    <n v="131370"/>
    <x v="9"/>
    <n v="-6.6999999999998181"/>
    <x v="1"/>
    <n v="7"/>
    <x v="5"/>
    <n v="-0.22036742088049704"/>
  </r>
  <r>
    <d v="2025-07-02T00:00:00"/>
    <s v="EQ"/>
    <n v="3487.2"/>
    <n v="3489.9"/>
    <n v="3420"/>
    <n v="3429.7"/>
    <n v="3423.5"/>
    <n v="3423.3"/>
    <n v="3445.44"/>
    <n v="4592.25"/>
    <n v="3056.05"/>
    <n v="3090585"/>
    <n v="10648436048.1"/>
    <n v="111947"/>
    <x v="9"/>
    <n v="-57.5"/>
    <x v="1"/>
    <n v="7"/>
    <x v="5"/>
    <n v="-0.22036742088049704"/>
  </r>
  <r>
    <d v="2025-07-01T00:00:00"/>
    <s v="EQ"/>
    <n v="3455"/>
    <n v="3485"/>
    <n v="3413.5"/>
    <n v="3462"/>
    <n v="3430"/>
    <n v="3429.7"/>
    <n v="3439.04"/>
    <n v="4592.25"/>
    <n v="3056.05"/>
    <n v="2375183"/>
    <n v="8168354151"/>
    <n v="125874"/>
    <x v="9"/>
    <n v="7"/>
    <x v="1"/>
    <n v="7"/>
    <x v="5"/>
    <n v="-0.22036742088049704"/>
  </r>
  <r>
    <d v="2025-06-30T00:00:00"/>
    <s v="EQ"/>
    <n v="3439.9"/>
    <n v="3464.9"/>
    <n v="3430"/>
    <n v="3441.1"/>
    <n v="3460"/>
    <n v="3462"/>
    <n v="3452.05"/>
    <n v="4592.25"/>
    <n v="3056.05"/>
    <n v="1468351"/>
    <n v="5068827379.1999998"/>
    <n v="130938"/>
    <x v="9"/>
    <n v="1.1999999999998181"/>
    <x v="1"/>
    <n v="6"/>
    <x v="6"/>
    <n v="-0.22036742088049704"/>
  </r>
  <r>
    <d v="2025-06-27T00:00:00"/>
    <s v="EQ"/>
    <n v="3455"/>
    <n v="3466.4"/>
    <n v="3431"/>
    <n v="3441.8"/>
    <n v="3445"/>
    <n v="3441.1"/>
    <n v="3445.16"/>
    <n v="4592.25"/>
    <n v="3056.05"/>
    <n v="1778433"/>
    <n v="6126978962.5"/>
    <n v="122369"/>
    <x v="9"/>
    <n v="-13.199999999999818"/>
    <x v="1"/>
    <n v="6"/>
    <x v="6"/>
    <n v="-0.22036742088049704"/>
  </r>
  <r>
    <d v="2025-06-26T00:00:00"/>
    <s v="EQ"/>
    <n v="3444.8"/>
    <n v="3451.4"/>
    <n v="3415.3"/>
    <n v="3444.8"/>
    <n v="3443"/>
    <n v="3441.8"/>
    <n v="3437.7"/>
    <n v="4592.25"/>
    <n v="3056.05"/>
    <n v="2879106"/>
    <n v="9897501153.8999996"/>
    <n v="143687"/>
    <x v="9"/>
    <n v="0"/>
    <x v="1"/>
    <n v="6"/>
    <x v="6"/>
    <n v="-0.22036742088049704"/>
  </r>
  <r>
    <d v="2025-06-25T00:00:00"/>
    <s v="EQ"/>
    <n v="3407.3"/>
    <n v="3450"/>
    <n v="3400"/>
    <n v="3390.4"/>
    <n v="3443"/>
    <n v="3444.8"/>
    <n v="3422.33"/>
    <n v="4592.25"/>
    <n v="3056.05"/>
    <n v="1757699"/>
    <n v="6015421913"/>
    <n v="101280"/>
    <x v="9"/>
    <n v="-16.900000000000091"/>
    <x v="1"/>
    <n v="6"/>
    <x v="6"/>
    <n v="-0.22036742088049704"/>
  </r>
  <r>
    <d v="2025-06-24T00:00:00"/>
    <s v="EQ"/>
    <n v="3434.6"/>
    <n v="3442.1"/>
    <n v="3382"/>
    <n v="3393.6"/>
    <n v="3392"/>
    <n v="3390.4"/>
    <n v="3408.47"/>
    <n v="4592.25"/>
    <n v="3056.05"/>
    <n v="3403048"/>
    <n v="11599175864.4"/>
    <n v="178183"/>
    <x v="9"/>
    <n v="-41"/>
    <x v="1"/>
    <n v="6"/>
    <x v="6"/>
    <n v="-0.22036742088049704"/>
  </r>
  <r>
    <d v="2025-06-23T00:00:00"/>
    <s v="EQ"/>
    <n v="3415"/>
    <n v="3425"/>
    <n v="3370"/>
    <n v="3435.7"/>
    <n v="3392"/>
    <n v="3393.6"/>
    <n v="3392.2"/>
    <n v="4592.25"/>
    <n v="3056.05"/>
    <n v="3123421"/>
    <n v="10595271627.799999"/>
    <n v="153401"/>
    <x v="9"/>
    <n v="20.699999999999818"/>
    <x v="1"/>
    <n v="6"/>
    <x v="6"/>
    <n v="-0.22036742088049704"/>
  </r>
  <r>
    <d v="2025-06-20T00:00:00"/>
    <s v="EQ"/>
    <n v="3425"/>
    <n v="3446.3"/>
    <n v="3410.9"/>
    <n v="3424"/>
    <n v="3429.1"/>
    <n v="3435.7"/>
    <n v="3432.16"/>
    <n v="4592.25"/>
    <n v="3056.05"/>
    <n v="2351248"/>
    <n v="8069855528.6999998"/>
    <n v="100374"/>
    <x v="9"/>
    <n v="-1"/>
    <x v="1"/>
    <n v="6"/>
    <x v="6"/>
    <n v="-0.22036742088049704"/>
  </r>
  <r>
    <d v="2025-06-19T00:00:00"/>
    <s v="EQ"/>
    <n v="3450"/>
    <n v="3451"/>
    <n v="3413"/>
    <n v="3451.4"/>
    <n v="3420"/>
    <n v="3424"/>
    <n v="3426.54"/>
    <n v="4592.25"/>
    <n v="3056.05"/>
    <n v="2672768"/>
    <n v="9158351862.5"/>
    <n v="125292"/>
    <x v="9"/>
    <n v="1.4000000000000909"/>
    <x v="1"/>
    <n v="6"/>
    <x v="6"/>
    <n v="-0.22036742088049704"/>
  </r>
  <r>
    <d v="2025-06-18T00:00:00"/>
    <s v="EQ"/>
    <n v="3519.1"/>
    <n v="3538"/>
    <n v="3443.1"/>
    <n v="3515.3"/>
    <n v="3455"/>
    <n v="3451.4"/>
    <n v="3483.78"/>
    <n v="4592.25"/>
    <n v="3056.05"/>
    <n v="2696327"/>
    <n v="9393397237.6000004"/>
    <n v="103359"/>
    <x v="9"/>
    <n v="-3.7999999999997272"/>
    <x v="1"/>
    <n v="6"/>
    <x v="6"/>
    <n v="-0.22036742088049704"/>
  </r>
  <r>
    <d v="2025-06-17T00:00:00"/>
    <s v="EQ"/>
    <n v="3510"/>
    <n v="3520"/>
    <n v="3488.1"/>
    <n v="3496.3"/>
    <n v="3512"/>
    <n v="3515.3"/>
    <n v="3511.25"/>
    <n v="4592.25"/>
    <n v="3056.05"/>
    <n v="2111940"/>
    <n v="7415551942.1999998"/>
    <n v="145498"/>
    <x v="9"/>
    <n v="-13.699999999999818"/>
    <x v="1"/>
    <n v="6"/>
    <x v="6"/>
    <n v="-0.22036742088049704"/>
  </r>
  <r>
    <d v="2025-06-16T00:00:00"/>
    <s v="EQ"/>
    <n v="3440"/>
    <n v="3509"/>
    <n v="3426.2"/>
    <n v="3445.7"/>
    <n v="3496.2"/>
    <n v="3496.3"/>
    <n v="3493.01"/>
    <n v="4592.25"/>
    <n v="3056.05"/>
    <n v="1934088"/>
    <n v="6755788711.1999998"/>
    <n v="109847"/>
    <x v="9"/>
    <n v="5.6999999999998181"/>
    <x v="1"/>
    <n v="6"/>
    <x v="6"/>
    <n v="-0.22036742088049704"/>
  </r>
  <r>
    <d v="2025-06-13T00:00:00"/>
    <s v="EQ"/>
    <n v="3393.2"/>
    <n v="3450.5"/>
    <n v="3393.2"/>
    <n v="3434.2"/>
    <n v="3447.4"/>
    <n v="3445.7"/>
    <n v="3436.18"/>
    <n v="4592.25"/>
    <n v="3056.05"/>
    <n v="2178493"/>
    <n v="7485689915.8999996"/>
    <n v="140820"/>
    <x v="9"/>
    <n v="41"/>
    <x v="1"/>
    <n v="6"/>
    <x v="6"/>
    <n v="-0.22036742088049704"/>
  </r>
  <r>
    <d v="2025-06-12T00:00:00"/>
    <s v="EQ"/>
    <n v="3471.9"/>
    <n v="3474.7"/>
    <n v="3423.2"/>
    <n v="3471.9"/>
    <n v="3432"/>
    <n v="3434.2"/>
    <n v="3447.13"/>
    <n v="4592.25"/>
    <n v="3056.05"/>
    <n v="4060134"/>
    <n v="13995794452.1"/>
    <n v="164333"/>
    <x v="9"/>
    <n v="0"/>
    <x v="1"/>
    <n v="6"/>
    <x v="6"/>
    <n v="-0.22036742088049704"/>
  </r>
  <r>
    <d v="2025-06-11T00:00:00"/>
    <s v="EQ"/>
    <n v="3470"/>
    <n v="3489"/>
    <n v="3449.1"/>
    <n v="3462.9"/>
    <n v="3470.8"/>
    <n v="3471.9"/>
    <n v="3471.9"/>
    <n v="4592.25"/>
    <n v="3056.05"/>
    <n v="2847013"/>
    <n v="9884549517.8999996"/>
    <n v="163525"/>
    <x v="9"/>
    <n v="-7.0999999999999091"/>
    <x v="1"/>
    <n v="6"/>
    <x v="6"/>
    <n v="-0.22036742088049704"/>
  </r>
  <r>
    <d v="2025-06-10T00:00:00"/>
    <s v="EQ"/>
    <n v="3440"/>
    <n v="3485.8"/>
    <n v="3423.2"/>
    <n v="3421.9"/>
    <n v="3461.9"/>
    <n v="3462.9"/>
    <n v="3462.61"/>
    <n v="4592.25"/>
    <n v="3056.05"/>
    <n v="2419874"/>
    <n v="8379090971.3000002"/>
    <n v="109195"/>
    <x v="9"/>
    <n v="-18.099999999999909"/>
    <x v="1"/>
    <n v="6"/>
    <x v="6"/>
    <n v="-0.22036742088049704"/>
  </r>
  <r>
    <d v="2025-06-09T00:00:00"/>
    <s v="EQ"/>
    <n v="3400"/>
    <n v="3434"/>
    <n v="3390.9"/>
    <n v="3384.2"/>
    <n v="3423"/>
    <n v="3421.9"/>
    <n v="3420.68"/>
    <n v="4592.25"/>
    <n v="3056.05"/>
    <n v="1718678"/>
    <n v="5879053289.3999996"/>
    <n v="73412"/>
    <x v="9"/>
    <n v="-15.800000000000182"/>
    <x v="1"/>
    <n v="6"/>
    <x v="6"/>
    <n v="-0.22036742088049704"/>
  </r>
  <r>
    <d v="2025-06-06T00:00:00"/>
    <s v="EQ"/>
    <n v="3371.1"/>
    <n v="3390.9"/>
    <n v="3358.7"/>
    <n v="3371.1"/>
    <n v="3388"/>
    <n v="3384.2"/>
    <n v="3376.59"/>
    <n v="4592.25"/>
    <n v="3056.05"/>
    <n v="2070390"/>
    <n v="6990855288.3999996"/>
    <n v="94941"/>
    <x v="9"/>
    <n v="0"/>
    <x v="1"/>
    <n v="6"/>
    <x v="6"/>
    <n v="-0.22036742088049704"/>
  </r>
  <r>
    <d v="2025-06-05T00:00:00"/>
    <s v="EQ"/>
    <n v="3409"/>
    <n v="3409"/>
    <n v="3363.7"/>
    <n v="3380.9"/>
    <n v="3374"/>
    <n v="3371.1"/>
    <n v="3380.39"/>
    <n v="4592.25"/>
    <n v="3056.05"/>
    <n v="3584683"/>
    <n v="12117623680"/>
    <n v="129913"/>
    <x v="9"/>
    <n v="-28.099999999999909"/>
    <x v="1"/>
    <n v="6"/>
    <x v="6"/>
    <n v="-0.22036742088049704"/>
  </r>
  <r>
    <d v="2025-06-04T00:00:00"/>
    <s v="EQ"/>
    <n v="3389"/>
    <n v="3394.8"/>
    <n v="3370"/>
    <n v="3405.2"/>
    <n v="3381"/>
    <n v="3380.9"/>
    <n v="3382.86"/>
    <n v="4592.25"/>
    <n v="3056.05"/>
    <n v="2544807"/>
    <n v="8608717239.6000004"/>
    <n v="185107"/>
    <x v="9"/>
    <n v="16.199999999999818"/>
    <x v="1"/>
    <n v="6"/>
    <x v="6"/>
    <n v="-0.22036742088049704"/>
  </r>
  <r>
    <d v="2025-06-03T00:00:00"/>
    <s v="EQ"/>
    <n v="3446"/>
    <n v="3473.5"/>
    <n v="3400.5"/>
    <n v="3449.8"/>
    <n v="3411.4"/>
    <n v="3405.2"/>
    <n v="3418.44"/>
    <n v="4592.25"/>
    <n v="3056.05"/>
    <n v="2848125"/>
    <n v="9736154029.7999992"/>
    <n v="195278"/>
    <x v="9"/>
    <n v="3.8000000000001819"/>
    <x v="1"/>
    <n v="6"/>
    <x v="6"/>
    <n v="-0.22036742088049704"/>
  </r>
  <r>
    <d v="2025-06-02T00:00:00"/>
    <s v="EQ"/>
    <n v="3450"/>
    <n v="3460"/>
    <n v="3418.6"/>
    <n v="3463.4"/>
    <n v="3445.8"/>
    <n v="3449.8"/>
    <n v="3441.46"/>
    <n v="4592.25"/>
    <n v="3056.05"/>
    <n v="1877585"/>
    <n v="6461635240.3000002"/>
    <n v="105414"/>
    <x v="9"/>
    <n v="13.400000000000091"/>
    <x v="1"/>
    <n v="6"/>
    <x v="6"/>
    <n v="-0.22036742088049704"/>
  </r>
  <r>
    <d v="2025-05-30T00:00:00"/>
    <s v="EQ"/>
    <n v="3490"/>
    <n v="3506.7"/>
    <n v="3453.1"/>
    <n v="3498.1"/>
    <n v="3460"/>
    <n v="3463.4"/>
    <n v="3473.8"/>
    <n v="4592.25"/>
    <n v="3056.05"/>
    <n v="3404365"/>
    <n v="11826074213.6"/>
    <n v="104081"/>
    <x v="9"/>
    <n v="8.0999999999999091"/>
    <x v="1"/>
    <n v="5"/>
    <x v="7"/>
    <n v="-0.22036742088049704"/>
  </r>
  <r>
    <d v="2025-05-29T00:00:00"/>
    <s v="EQ"/>
    <n v="3504.7"/>
    <n v="3532.5"/>
    <n v="3486.5"/>
    <n v="3497.7"/>
    <n v="3494"/>
    <n v="3498.1"/>
    <n v="3500.24"/>
    <n v="4592.25"/>
    <n v="3056.05"/>
    <n v="3188072"/>
    <n v="11159021439.9"/>
    <n v="146463"/>
    <x v="9"/>
    <n v="-7"/>
    <x v="1"/>
    <n v="5"/>
    <x v="7"/>
    <n v="-0.22036742088049704"/>
  </r>
  <r>
    <d v="2025-05-28T00:00:00"/>
    <s v="EQ"/>
    <n v="3520"/>
    <n v="3529"/>
    <n v="3493"/>
    <n v="3498.7"/>
    <n v="3500.1"/>
    <n v="3497.7"/>
    <n v="3501.32"/>
    <n v="4592.25"/>
    <n v="3056.05"/>
    <n v="1222933"/>
    <n v="4281880586.5999999"/>
    <n v="80594"/>
    <x v="9"/>
    <n v="-21.300000000000182"/>
    <x v="1"/>
    <n v="5"/>
    <x v="7"/>
    <n v="-0.22036742088049704"/>
  </r>
  <r>
    <d v="2025-05-27T00:00:00"/>
    <s v="EQ"/>
    <n v="3532"/>
    <n v="3540"/>
    <n v="3483.1"/>
    <n v="3537.3"/>
    <n v="3501"/>
    <n v="3498.7"/>
    <n v="3500.34"/>
    <n v="4592.25"/>
    <n v="3056.05"/>
    <n v="2467680"/>
    <n v="8637718829.7000008"/>
    <n v="165908"/>
    <x v="9"/>
    <n v="5.3000000000001819"/>
    <x v="1"/>
    <n v="5"/>
    <x v="7"/>
    <n v="-0.22036742088049704"/>
  </r>
  <r>
    <d v="2025-05-26T00:00:00"/>
    <s v="EQ"/>
    <n v="3521"/>
    <n v="3545"/>
    <n v="3510.1"/>
    <n v="3514.6"/>
    <n v="3538"/>
    <n v="3537.3"/>
    <n v="3536.37"/>
    <n v="4592.25"/>
    <n v="3056.05"/>
    <n v="967470"/>
    <n v="3421330419.5"/>
    <n v="67043"/>
    <x v="9"/>
    <n v="-6.4000000000000909"/>
    <x v="1"/>
    <n v="5"/>
    <x v="7"/>
    <n v="-0.22036742088049704"/>
  </r>
  <r>
    <d v="2025-05-23T00:00:00"/>
    <s v="EQ"/>
    <n v="3477"/>
    <n v="3535"/>
    <n v="3465.6"/>
    <n v="3477"/>
    <n v="3508"/>
    <n v="3514.6"/>
    <n v="3511.99"/>
    <n v="4592.25"/>
    <n v="3056.05"/>
    <n v="1274331"/>
    <n v="4475440377.3999996"/>
    <n v="71383"/>
    <x v="9"/>
    <n v="0"/>
    <x v="1"/>
    <n v="5"/>
    <x v="7"/>
    <n v="-0.22036742088049704"/>
  </r>
  <r>
    <d v="2025-05-22T00:00:00"/>
    <s v="EQ"/>
    <n v="3495"/>
    <n v="3497.8"/>
    <n v="3451.3"/>
    <n v="3525.8"/>
    <n v="3483.4"/>
    <n v="3477"/>
    <n v="3473.54"/>
    <n v="4592.25"/>
    <n v="3056.05"/>
    <n v="2034383"/>
    <n v="7066503817.8000002"/>
    <n v="138574"/>
    <x v="9"/>
    <n v="30.800000000000182"/>
    <x v="1"/>
    <n v="5"/>
    <x v="7"/>
    <n v="-0.22036742088049704"/>
  </r>
  <r>
    <d v="2025-05-21T00:00:00"/>
    <s v="EQ"/>
    <n v="3508"/>
    <n v="3537"/>
    <n v="3498.3"/>
    <n v="3498.3"/>
    <n v="3521.1"/>
    <n v="3525.8"/>
    <n v="3523.98"/>
    <n v="4592.25"/>
    <n v="3056.05"/>
    <n v="1440153"/>
    <n v="5075075089.3000002"/>
    <n v="72782"/>
    <x v="9"/>
    <n v="-9.6999999999998181"/>
    <x v="1"/>
    <n v="5"/>
    <x v="7"/>
    <n v="-0.22036742088049704"/>
  </r>
  <r>
    <d v="2025-05-20T00:00:00"/>
    <s v="EQ"/>
    <n v="3531.8"/>
    <n v="3558"/>
    <n v="3494"/>
    <n v="3518.8"/>
    <n v="3503"/>
    <n v="3498.3"/>
    <n v="3515.81"/>
    <n v="4592.25"/>
    <n v="3056.05"/>
    <n v="2038374"/>
    <n v="7166541410.8999996"/>
    <n v="138343"/>
    <x v="9"/>
    <n v="-13"/>
    <x v="1"/>
    <n v="5"/>
    <x v="7"/>
    <n v="-0.22036742088049704"/>
  </r>
  <r>
    <d v="2025-05-19T00:00:00"/>
    <s v="EQ"/>
    <n v="3550"/>
    <n v="3550"/>
    <n v="3503.7"/>
    <n v="3561.3"/>
    <n v="3518"/>
    <n v="3518.8"/>
    <n v="3522.37"/>
    <n v="4592.25"/>
    <n v="3056.05"/>
    <n v="2537377"/>
    <n v="8937585448.7999992"/>
    <n v="129050"/>
    <x v="9"/>
    <n v="11.300000000000182"/>
    <x v="1"/>
    <n v="5"/>
    <x v="7"/>
    <n v="-0.22036742088049704"/>
  </r>
  <r>
    <d v="2025-05-16T00:00:00"/>
    <s v="EQ"/>
    <n v="3593.9"/>
    <n v="3593.9"/>
    <n v="3546.1"/>
    <n v="3579.9"/>
    <n v="3561.3"/>
    <n v="3561.3"/>
    <n v="3559.81"/>
    <n v="4592.25"/>
    <n v="3056.05"/>
    <n v="1666727"/>
    <n v="5933224873.8000002"/>
    <n v="117749"/>
    <x v="9"/>
    <n v="-14"/>
    <x v="1"/>
    <n v="5"/>
    <x v="7"/>
    <n v="-0.22036742088049704"/>
  </r>
  <r>
    <d v="2025-05-15T00:00:00"/>
    <s v="EQ"/>
    <n v="3564"/>
    <n v="3600"/>
    <n v="3514.1"/>
    <n v="3548.7"/>
    <n v="3576.5"/>
    <n v="3579.9"/>
    <n v="3565.55"/>
    <n v="4592.25"/>
    <n v="3056.05"/>
    <n v="3548330"/>
    <n v="12651735793"/>
    <n v="172937"/>
    <x v="9"/>
    <n v="-15.300000000000182"/>
    <x v="1"/>
    <n v="5"/>
    <x v="7"/>
    <n v="-0.22036742088049704"/>
  </r>
  <r>
    <d v="2025-05-14T00:00:00"/>
    <s v="EQ"/>
    <n v="3521"/>
    <n v="3561"/>
    <n v="3508.6"/>
    <n v="3515"/>
    <n v="3547"/>
    <n v="3548.7"/>
    <n v="3543.04"/>
    <n v="4592.25"/>
    <n v="3056.05"/>
    <n v="2119499"/>
    <n v="7509459955.3000002"/>
    <n v="136543"/>
    <x v="9"/>
    <n v="-6"/>
    <x v="1"/>
    <n v="5"/>
    <x v="7"/>
    <n v="-0.22036742088049704"/>
  </r>
  <r>
    <d v="2025-05-13T00:00:00"/>
    <s v="EQ"/>
    <n v="3620.4"/>
    <n v="3623"/>
    <n v="3510.5"/>
    <n v="3620.4"/>
    <n v="3518"/>
    <n v="3515"/>
    <n v="3541.51"/>
    <n v="4592.25"/>
    <n v="3056.05"/>
    <n v="3062887"/>
    <n v="10847250162.200001"/>
    <n v="221289"/>
    <x v="9"/>
    <n v="0"/>
    <x v="1"/>
    <n v="5"/>
    <x v="7"/>
    <n v="-0.22036742088049704"/>
  </r>
  <r>
    <d v="2025-05-12T00:00:00"/>
    <s v="EQ"/>
    <n v="3505"/>
    <n v="3630.5"/>
    <n v="3502.2"/>
    <n v="3440.3"/>
    <n v="3626.5"/>
    <n v="3620.4"/>
    <n v="3577.93"/>
    <n v="4592.25"/>
    <n v="3056.05"/>
    <n v="2228678"/>
    <n v="7974051782.1000004"/>
    <n v="146104"/>
    <x v="9"/>
    <n v="-64.699999999999818"/>
    <x v="1"/>
    <n v="5"/>
    <x v="7"/>
    <n v="-0.22036742088049704"/>
  </r>
  <r>
    <d v="2025-05-09T00:00:00"/>
    <s v="EQ"/>
    <n v="3399"/>
    <n v="3446.2"/>
    <n v="3398.1"/>
    <n v="3448.9"/>
    <n v="3439.9"/>
    <n v="3440.3"/>
    <n v="3428.44"/>
    <n v="4592.25"/>
    <n v="3056.05"/>
    <n v="2531757"/>
    <n v="8679986664.6000004"/>
    <n v="151453"/>
    <x v="9"/>
    <n v="49.900000000000091"/>
    <x v="1"/>
    <n v="5"/>
    <x v="7"/>
    <n v="-0.22036742088049704"/>
  </r>
  <r>
    <d v="2025-05-08T00:00:00"/>
    <s v="EQ"/>
    <n v="3448"/>
    <n v="3477"/>
    <n v="3428.7"/>
    <n v="3445.1"/>
    <n v="3434.2"/>
    <n v="3448.9"/>
    <n v="3451.58"/>
    <n v="4592.25"/>
    <n v="3056.05"/>
    <n v="2543591"/>
    <n v="8779405820.3999996"/>
    <n v="116139"/>
    <x v="9"/>
    <n v="-2.9000000000000909"/>
    <x v="1"/>
    <n v="5"/>
    <x v="7"/>
    <n v="-0.22036742088049704"/>
  </r>
  <r>
    <d v="2025-05-07T00:00:00"/>
    <s v="EQ"/>
    <n v="3420.6"/>
    <n v="3459.5"/>
    <n v="3420.6"/>
    <n v="3460"/>
    <n v="3448"/>
    <n v="3445.1"/>
    <n v="3442.07"/>
    <n v="4592.25"/>
    <n v="3056.05"/>
    <n v="1477128"/>
    <n v="5084383270.5"/>
    <n v="89334"/>
    <x v="9"/>
    <n v="39.400000000000091"/>
    <x v="1"/>
    <n v="5"/>
    <x v="7"/>
    <n v="-0.22036742088049704"/>
  </r>
  <r>
    <d v="2025-05-06T00:00:00"/>
    <s v="EQ"/>
    <n v="3460"/>
    <n v="3473"/>
    <n v="3437"/>
    <n v="3454.3"/>
    <n v="3451.6"/>
    <n v="3460"/>
    <n v="3458.05"/>
    <n v="4592.25"/>
    <n v="3056.05"/>
    <n v="1324763"/>
    <n v="4581101196.3000002"/>
    <n v="65526"/>
    <x v="9"/>
    <n v="-5.6999999999998181"/>
    <x v="1"/>
    <n v="5"/>
    <x v="7"/>
    <n v="-0.22036742088049704"/>
  </r>
  <r>
    <d v="2025-05-05T00:00:00"/>
    <s v="EQ"/>
    <n v="3450"/>
    <n v="3504.5"/>
    <n v="3446.4"/>
    <n v="3444.7"/>
    <n v="3454.6"/>
    <n v="3454.3"/>
    <n v="3466.59"/>
    <n v="4592.25"/>
    <n v="3056.05"/>
    <n v="1284443"/>
    <n v="4452637028.6999998"/>
    <n v="96657"/>
    <x v="9"/>
    <n v="-5.3000000000001819"/>
    <x v="1"/>
    <n v="5"/>
    <x v="7"/>
    <n v="-0.22036742088049704"/>
  </r>
  <r>
    <d v="2025-05-02T00:00:00"/>
    <s v="EQ"/>
    <n v="3472"/>
    <n v="3491.5"/>
    <n v="3420"/>
    <n v="3453.7"/>
    <n v="3438"/>
    <n v="3444.7"/>
    <n v="3450.76"/>
    <n v="4592.25"/>
    <n v="3056.05"/>
    <n v="2115624"/>
    <n v="7300505304.3000002"/>
    <n v="124212"/>
    <x v="9"/>
    <n v="-18.300000000000182"/>
    <x v="1"/>
    <n v="5"/>
    <x v="7"/>
    <n v="-0.22036742088049704"/>
  </r>
  <r>
    <d v="2025-04-30T00:00:00"/>
    <s v="EQ"/>
    <n v="3472"/>
    <n v="3509.9"/>
    <n v="3366"/>
    <n v="3472.5"/>
    <n v="3431.8"/>
    <n v="3453.7"/>
    <n v="3464.02"/>
    <n v="4592.25"/>
    <n v="3056.05"/>
    <n v="2809332"/>
    <n v="9731586389.2999992"/>
    <n v="129048"/>
    <x v="9"/>
    <n v="0.5"/>
    <x v="1"/>
    <n v="4"/>
    <x v="8"/>
    <n v="-0.22036742088049704"/>
  </r>
  <r>
    <d v="2025-04-29T00:00:00"/>
    <s v="EQ"/>
    <n v="3455"/>
    <n v="3495"/>
    <n v="3430.4"/>
    <n v="3443.5"/>
    <n v="3473"/>
    <n v="3472.5"/>
    <n v="3470.18"/>
    <n v="4592.25"/>
    <n v="3056.05"/>
    <n v="1578332"/>
    <n v="5477091995.8000002"/>
    <n v="95060"/>
    <x v="9"/>
    <n v="-11.5"/>
    <x v="1"/>
    <n v="4"/>
    <x v="8"/>
    <n v="-0.22036742088049704"/>
  </r>
  <r>
    <d v="2025-04-28T00:00:00"/>
    <s v="EQ"/>
    <n v="3435"/>
    <n v="3457.8"/>
    <n v="3405"/>
    <n v="3448"/>
    <n v="3441"/>
    <n v="3443.5"/>
    <n v="3438.58"/>
    <n v="4592.25"/>
    <n v="3056.05"/>
    <n v="1593296"/>
    <n v="5478682188.5"/>
    <n v="94204"/>
    <x v="9"/>
    <n v="13"/>
    <x v="1"/>
    <n v="4"/>
    <x v="8"/>
    <n v="-0.22036742088049704"/>
  </r>
  <r>
    <d v="2025-04-25T00:00:00"/>
    <s v="EQ"/>
    <n v="3420"/>
    <n v="3477.8"/>
    <n v="3405"/>
    <n v="3401.6"/>
    <n v="3434"/>
    <n v="3448"/>
    <n v="3442.01"/>
    <n v="4592.25"/>
    <n v="3056.05"/>
    <n v="2742991"/>
    <n v="9441414787.6000004"/>
    <n v="151400"/>
    <x v="9"/>
    <n v="-18.400000000000091"/>
    <x v="1"/>
    <n v="4"/>
    <x v="8"/>
    <n v="-0.22036742088049704"/>
  </r>
  <r>
    <d v="2025-04-24T00:00:00"/>
    <s v="EQ"/>
    <n v="3401.1"/>
    <n v="3412.5"/>
    <n v="3387.7"/>
    <n v="3413"/>
    <n v="3406"/>
    <n v="3401.6"/>
    <n v="3398.95"/>
    <n v="4592.25"/>
    <n v="3056.05"/>
    <n v="2252175"/>
    <n v="7655036870.6999998"/>
    <n v="158061"/>
    <x v="9"/>
    <n v="11.900000000000091"/>
    <x v="1"/>
    <n v="4"/>
    <x v="8"/>
    <n v="-0.22036742088049704"/>
  </r>
  <r>
    <d v="2025-04-23T00:00:00"/>
    <s v="EQ"/>
    <n v="3365"/>
    <n v="3420.9"/>
    <n v="3337.3"/>
    <n v="3314.4"/>
    <n v="3405"/>
    <n v="3413"/>
    <n v="3398.75"/>
    <n v="4592.25"/>
    <n v="3056.05"/>
    <n v="3543923"/>
    <n v="12044899557.299999"/>
    <n v="164989"/>
    <x v="9"/>
    <n v="-50.599999999999909"/>
    <x v="1"/>
    <n v="4"/>
    <x v="8"/>
    <n v="-0.22036742088049704"/>
  </r>
  <r>
    <d v="2025-04-22T00:00:00"/>
    <s v="EQ"/>
    <n v="3322.6"/>
    <n v="3333.9"/>
    <n v="3295"/>
    <n v="3321.6"/>
    <n v="3312.5"/>
    <n v="3314.4"/>
    <n v="3315.22"/>
    <n v="4592.25"/>
    <n v="3056.05"/>
    <n v="2710498"/>
    <n v="8985899446.7000008"/>
    <n v="151282"/>
    <x v="9"/>
    <n v="-1"/>
    <x v="1"/>
    <n v="4"/>
    <x v="8"/>
    <n v="-0.22036742088049704"/>
  </r>
  <r>
    <d v="2025-04-21T00:00:00"/>
    <s v="EQ"/>
    <n v="3290.1"/>
    <n v="3354"/>
    <n v="3284.1"/>
    <n v="3298.9"/>
    <n v="3319"/>
    <n v="3321.6"/>
    <n v="3325.96"/>
    <n v="4592.25"/>
    <n v="3056.05"/>
    <n v="2432946"/>
    <n v="8091878392.8000002"/>
    <n v="127748"/>
    <x v="9"/>
    <n v="8.8000000000001819"/>
    <x v="1"/>
    <n v="4"/>
    <x v="8"/>
    <n v="-0.22036742088049704"/>
  </r>
  <r>
    <d v="2025-04-17T00:00:00"/>
    <s v="EQ"/>
    <n v="3245.5"/>
    <n v="3303.6"/>
    <n v="3218"/>
    <n v="3273.8"/>
    <n v="3297.4"/>
    <n v="3298.9"/>
    <n v="3262.86"/>
    <n v="4592.25"/>
    <n v="3056.05"/>
    <n v="2932346"/>
    <n v="9567836127.7000008"/>
    <n v="183984"/>
    <x v="9"/>
    <n v="28.300000000000182"/>
    <x v="1"/>
    <n v="4"/>
    <x v="8"/>
    <n v="-0.22036742088049704"/>
  </r>
  <r>
    <d v="2025-04-16T00:00:00"/>
    <s v="EQ"/>
    <n v="3248.2"/>
    <n v="3278.1"/>
    <n v="3229"/>
    <n v="3248.2"/>
    <n v="3274"/>
    <n v="3273.8"/>
    <n v="3260.92"/>
    <n v="4592.25"/>
    <n v="3056.05"/>
    <n v="2384391"/>
    <n v="7775304840.8999996"/>
    <n v="131199"/>
    <x v="9"/>
    <n v="0"/>
    <x v="1"/>
    <n v="4"/>
    <x v="8"/>
    <n v="-0.22036742088049704"/>
  </r>
  <r>
    <d v="2025-04-15T00:00:00"/>
    <s v="EQ"/>
    <n v="3314.4"/>
    <n v="3314.4"/>
    <n v="3238.6"/>
    <n v="3231.5"/>
    <n v="3255"/>
    <n v="3248.2"/>
    <n v="3257.87"/>
    <n v="4592.25"/>
    <n v="3056.05"/>
    <n v="3512160"/>
    <n v="11442174035.700001"/>
    <n v="166106"/>
    <x v="9"/>
    <n v="-82.900000000000091"/>
    <x v="1"/>
    <n v="4"/>
    <x v="8"/>
    <n v="-0.22036742088049704"/>
  </r>
  <r>
    <d v="2025-04-11T00:00:00"/>
    <s v="EQ"/>
    <n v="3289.55"/>
    <n v="3298.95"/>
    <n v="3206"/>
    <n v="3246.6"/>
    <n v="3238"/>
    <n v="3231.5"/>
    <n v="3243.04"/>
    <n v="4592.25"/>
    <n v="3056.05"/>
    <n v="7108961"/>
    <n v="23054618625.450001"/>
    <n v="354463"/>
    <x v="9"/>
    <n v="-42.950000000000273"/>
    <x v="1"/>
    <n v="4"/>
    <x v="8"/>
    <n v="-0.22036742088049704"/>
  </r>
  <r>
    <d v="2025-04-09T00:00:00"/>
    <s v="EQ"/>
    <n v="3260.55"/>
    <n v="3270"/>
    <n v="3212.05"/>
    <n v="3292.95"/>
    <n v="3239"/>
    <n v="3246.6"/>
    <n v="3248.58"/>
    <n v="4592.25"/>
    <n v="3056.05"/>
    <n v="2990265"/>
    <n v="9714105049.5"/>
    <n v="184251"/>
    <x v="9"/>
    <n v="32.399999999999636"/>
    <x v="1"/>
    <n v="4"/>
    <x v="8"/>
    <n v="-0.22036742088049704"/>
  </r>
  <r>
    <d v="2025-04-08T00:00:00"/>
    <s v="EQ"/>
    <n v="3302.05"/>
    <n v="3349"/>
    <n v="3255.3"/>
    <n v="3274.05"/>
    <n v="3292.8"/>
    <n v="3292.95"/>
    <n v="3296.22"/>
    <n v="4592.25"/>
    <n v="3056.05"/>
    <n v="5557558"/>
    <n v="18318927917.450001"/>
    <n v="236248"/>
    <x v="9"/>
    <n v="-28"/>
    <x v="1"/>
    <n v="4"/>
    <x v="8"/>
    <n v="-0.22036742088049704"/>
  </r>
  <r>
    <d v="2025-04-07T00:00:00"/>
    <s v="EQ"/>
    <n v="3100"/>
    <n v="3291.4"/>
    <n v="3056.05"/>
    <n v="3299.4"/>
    <n v="3285"/>
    <n v="3274.05"/>
    <n v="3167.51"/>
    <n v="4592.25"/>
    <n v="3056.05"/>
    <n v="6623955"/>
    <n v="20981463559.099998"/>
    <n v="386019"/>
    <x v="9"/>
    <n v="199.40000000000009"/>
    <x v="1"/>
    <n v="4"/>
    <x v="8"/>
    <n v="-0.22036742088049704"/>
  </r>
  <r>
    <d v="2025-04-04T00:00:00"/>
    <s v="EQ"/>
    <n v="3362.6"/>
    <n v="3399.65"/>
    <n v="3295.5"/>
    <n v="3403.15"/>
    <n v="3304.85"/>
    <n v="3299.4"/>
    <n v="3318.1"/>
    <n v="4592.25"/>
    <n v="3295.5"/>
    <n v="5317367"/>
    <n v="17643541008.049999"/>
    <n v="216133"/>
    <x v="9"/>
    <n v="40.550000000000182"/>
    <x v="1"/>
    <n v="4"/>
    <x v="8"/>
    <n v="-0.22036742088049704"/>
  </r>
  <r>
    <d v="2025-04-03T00:00:00"/>
    <s v="EQ"/>
    <n v="3491"/>
    <n v="3502"/>
    <n v="3396.15"/>
    <n v="3543.95"/>
    <n v="3403.3"/>
    <n v="3403.15"/>
    <n v="3422.75"/>
    <n v="4592.25"/>
    <n v="3396.15"/>
    <n v="4537821"/>
    <n v="15531809156.15"/>
    <n v="248807"/>
    <x v="9"/>
    <n v="52.949999999999818"/>
    <x v="1"/>
    <n v="4"/>
    <x v="8"/>
    <n v="-0.22036742088049704"/>
  </r>
  <r>
    <d v="2025-04-02T00:00:00"/>
    <s v="EQ"/>
    <n v="3544"/>
    <n v="3564.1"/>
    <n v="3530.05"/>
    <n v="3550.8"/>
    <n v="3545"/>
    <n v="3543.95"/>
    <n v="3547.15"/>
    <n v="4592.25"/>
    <n v="3457"/>
    <n v="1764313"/>
    <n v="6258290323.8000002"/>
    <n v="80651"/>
    <x v="9"/>
    <n v="6.8000000000001819"/>
    <x v="1"/>
    <n v="4"/>
    <x v="8"/>
    <n v="-0.22036742088049704"/>
  </r>
  <r>
    <d v="2025-04-01T00:00:00"/>
    <s v="EQ"/>
    <n v="3572.7"/>
    <n v="3584"/>
    <n v="3525"/>
    <n v="3606.15"/>
    <n v="3556.45"/>
    <n v="3550.8"/>
    <n v="3548.01"/>
    <n v="4592.25"/>
    <n v="3457"/>
    <n v="2618493"/>
    <n v="9290445221.3999996"/>
    <n v="167344"/>
    <x v="9"/>
    <n v="33.450000000000273"/>
    <x v="1"/>
    <n v="4"/>
    <x v="8"/>
    <n v="-0.22036742088049704"/>
  </r>
  <r>
    <d v="2025-03-28T00:00:00"/>
    <s v="EQ"/>
    <n v="3651"/>
    <n v="3660.95"/>
    <n v="3591.9"/>
    <n v="3651.2"/>
    <n v="3604"/>
    <n v="3606.15"/>
    <n v="3613.75"/>
    <n v="4592.25"/>
    <n v="3457"/>
    <n v="2051919"/>
    <n v="7415124946.3999996"/>
    <n v="129740"/>
    <x v="9"/>
    <n v="0.1999999999998181"/>
    <x v="1"/>
    <n v="3"/>
    <x v="9"/>
    <n v="-0.22036742088049704"/>
  </r>
  <r>
    <d v="2025-03-27T00:00:00"/>
    <s v="EQ"/>
    <n v="3614.85"/>
    <n v="3663"/>
    <n v="3610.5"/>
    <n v="3635.8"/>
    <n v="3645"/>
    <n v="3651.2"/>
    <n v="3649.02"/>
    <n v="4592.25"/>
    <n v="3457"/>
    <n v="2528474"/>
    <n v="9226448354.4500008"/>
    <n v="125080"/>
    <x v="9"/>
    <n v="20.950000000000273"/>
    <x v="1"/>
    <n v="3"/>
    <x v="9"/>
    <n v="-0.22036742088049704"/>
  </r>
  <r>
    <d v="2025-03-26T00:00:00"/>
    <s v="EQ"/>
    <n v="3647.75"/>
    <n v="3680.5"/>
    <n v="3625.85"/>
    <n v="3657.75"/>
    <n v="3630.55"/>
    <n v="3635.8"/>
    <n v="3656.16"/>
    <n v="4592.25"/>
    <n v="3457"/>
    <n v="1734499"/>
    <n v="6341597992.3999996"/>
    <n v="141204"/>
    <x v="9"/>
    <n v="10"/>
    <x v="1"/>
    <n v="3"/>
    <x v="9"/>
    <n v="-0.22036742088049704"/>
  </r>
  <r>
    <d v="2025-03-25T00:00:00"/>
    <s v="EQ"/>
    <n v="3645"/>
    <n v="3710"/>
    <n v="3638"/>
    <n v="3628.95"/>
    <n v="3641"/>
    <n v="3657.75"/>
    <n v="3673.54"/>
    <n v="4592.25"/>
    <n v="3457"/>
    <n v="3135390"/>
    <n v="11517985340.799999"/>
    <n v="181313"/>
    <x v="9"/>
    <n v="-16.050000000000182"/>
    <x v="1"/>
    <n v="3"/>
    <x v="9"/>
    <n v="-0.22036742088049704"/>
  </r>
  <r>
    <d v="2025-03-24T00:00:00"/>
    <s v="EQ"/>
    <n v="3600"/>
    <n v="3649.75"/>
    <n v="3566.6"/>
    <n v="3578.1"/>
    <n v="3633"/>
    <n v="3628.95"/>
    <n v="3615.19"/>
    <n v="4592.25"/>
    <n v="3457"/>
    <n v="1834751"/>
    <n v="6632970557.6999998"/>
    <n v="107825"/>
    <x v="9"/>
    <n v="-21.900000000000091"/>
    <x v="1"/>
    <n v="3"/>
    <x v="9"/>
    <n v="-0.22036742088049704"/>
  </r>
  <r>
    <d v="2025-03-21T00:00:00"/>
    <s v="EQ"/>
    <n v="3475"/>
    <n v="3616.25"/>
    <n v="3465"/>
    <n v="3563.15"/>
    <n v="3578"/>
    <n v="3578.1"/>
    <n v="3561.68"/>
    <n v="4592.25"/>
    <n v="3457"/>
    <n v="4161925"/>
    <n v="14823464307.85"/>
    <n v="188951"/>
    <x v="9"/>
    <n v="88.150000000000091"/>
    <x v="1"/>
    <n v="3"/>
    <x v="9"/>
    <n v="-0.22036742088049704"/>
  </r>
  <r>
    <d v="2025-03-20T00:00:00"/>
    <s v="EQ"/>
    <n v="3512"/>
    <n v="3578.95"/>
    <n v="3512"/>
    <n v="3497.1"/>
    <n v="3556.5"/>
    <n v="3563.15"/>
    <n v="3559.81"/>
    <n v="4592.25"/>
    <n v="3457"/>
    <n v="2845192"/>
    <n v="10128343015.65"/>
    <n v="156792"/>
    <x v="9"/>
    <n v="-14.900000000000091"/>
    <x v="1"/>
    <n v="3"/>
    <x v="9"/>
    <n v="-0.22036742088049704"/>
  </r>
  <r>
    <d v="2025-03-19T00:00:00"/>
    <s v="EQ"/>
    <n v="3547"/>
    <n v="3547"/>
    <n v="3462.75"/>
    <n v="3552.45"/>
    <n v="3505"/>
    <n v="3497.1"/>
    <n v="3484.81"/>
    <n v="4592.25"/>
    <n v="3457"/>
    <n v="3051244"/>
    <n v="10632994898.700001"/>
    <n v="181144"/>
    <x v="9"/>
    <n v="5.4499999999998181"/>
    <x v="1"/>
    <n v="3"/>
    <x v="9"/>
    <n v="-0.22036742088049704"/>
  </r>
  <r>
    <d v="2025-03-18T00:00:00"/>
    <s v="EQ"/>
    <n v="3502.35"/>
    <n v="3556.95"/>
    <n v="3478.45"/>
    <n v="3497.7"/>
    <n v="3545.65"/>
    <n v="3552.45"/>
    <n v="3530.44"/>
    <n v="4592.25"/>
    <n v="3457"/>
    <n v="3069109"/>
    <n v="10835299304.9"/>
    <n v="139204"/>
    <x v="9"/>
    <n v="-4.6500000000000909"/>
    <x v="1"/>
    <n v="3"/>
    <x v="9"/>
    <n v="-0.22036742088049704"/>
  </r>
  <r>
    <d v="2025-03-17T00:00:00"/>
    <s v="EQ"/>
    <n v="3489"/>
    <n v="3530.45"/>
    <n v="3477.35"/>
    <n v="3511.05"/>
    <n v="3499.9"/>
    <n v="3497.7"/>
    <n v="3496.62"/>
    <n v="4592.25"/>
    <n v="3457"/>
    <n v="2690906"/>
    <n v="9409068295.75"/>
    <n v="171510"/>
    <x v="9"/>
    <n v="22.050000000000182"/>
    <x v="1"/>
    <n v="3"/>
    <x v="9"/>
    <n v="-0.22036742088049704"/>
  </r>
  <r>
    <d v="2025-03-13T00:00:00"/>
    <s v="EQ"/>
    <n v="3502.3"/>
    <n v="3524.3"/>
    <n v="3484.1"/>
    <n v="3506.2"/>
    <n v="3509.05"/>
    <n v="3511.05"/>
    <n v="3504.71"/>
    <n v="4592.25"/>
    <n v="3457"/>
    <n v="1693004"/>
    <n v="5933491139.4499998"/>
    <n v="98963"/>
    <x v="9"/>
    <n v="3.8999999999996362"/>
    <x v="1"/>
    <n v="3"/>
    <x v="9"/>
    <n v="-0.22036742088049704"/>
  </r>
  <r>
    <d v="2025-03-12T00:00:00"/>
    <s v="EQ"/>
    <n v="3565"/>
    <n v="3569.25"/>
    <n v="3486.85"/>
    <n v="3575.3"/>
    <n v="3507.8"/>
    <n v="3506.2"/>
    <n v="3504.81"/>
    <n v="4592.25"/>
    <n v="3457"/>
    <n v="3174167"/>
    <n v="11124852701.549999"/>
    <n v="175588"/>
    <x v="9"/>
    <n v="10.300000000000182"/>
    <x v="1"/>
    <n v="3"/>
    <x v="9"/>
    <n v="-0.22036742088049704"/>
  </r>
  <r>
    <d v="2025-03-11T00:00:00"/>
    <s v="EQ"/>
    <n v="3558"/>
    <n v="3588.75"/>
    <n v="3537.65"/>
    <n v="3589.65"/>
    <n v="3585"/>
    <n v="3575.3"/>
    <n v="3567.93"/>
    <n v="4592.25"/>
    <n v="3457"/>
    <n v="1995450"/>
    <n v="7119617263.5500002"/>
    <n v="142820"/>
    <x v="9"/>
    <n v="31.650000000000091"/>
    <x v="1"/>
    <n v="3"/>
    <x v="9"/>
    <n v="-0.22036742088049704"/>
  </r>
  <r>
    <d v="2025-03-10T00:00:00"/>
    <s v="EQ"/>
    <n v="3606.5"/>
    <n v="3622.1"/>
    <n v="3582.6"/>
    <n v="3611.2"/>
    <n v="3589"/>
    <n v="3589.65"/>
    <n v="3602.11"/>
    <n v="4592.25"/>
    <n v="3457"/>
    <n v="1004626"/>
    <n v="3618776661.3000002"/>
    <n v="75981"/>
    <x v="9"/>
    <n v="4.6999999999998181"/>
    <x v="1"/>
    <n v="3"/>
    <x v="9"/>
    <n v="-0.22036742088049704"/>
  </r>
  <r>
    <d v="2025-03-07T00:00:00"/>
    <s v="EQ"/>
    <n v="3600"/>
    <n v="3625"/>
    <n v="3574.4"/>
    <n v="3601.6"/>
    <n v="3602"/>
    <n v="3611.2"/>
    <n v="3605.34"/>
    <n v="4592.25"/>
    <n v="3457"/>
    <n v="2051315"/>
    <n v="7395690221.3500004"/>
    <n v="131372"/>
    <x v="9"/>
    <n v="1.5999999999999091"/>
    <x v="1"/>
    <n v="3"/>
    <x v="9"/>
    <n v="-0.22036742088049704"/>
  </r>
  <r>
    <d v="2025-03-06T00:00:00"/>
    <s v="EQ"/>
    <n v="3557"/>
    <n v="3609.45"/>
    <n v="3536.1"/>
    <n v="3547.05"/>
    <n v="3592.1"/>
    <n v="3601.6"/>
    <n v="3571.61"/>
    <n v="4592.25"/>
    <n v="3457"/>
    <n v="2786513"/>
    <n v="9952339476.2000008"/>
    <n v="201910"/>
    <x v="9"/>
    <n v="-9.9499999999998181"/>
    <x v="1"/>
    <n v="3"/>
    <x v="9"/>
    <n v="-0.22036742088049704"/>
  </r>
  <r>
    <d v="2025-03-05T00:00:00"/>
    <s v="EQ"/>
    <n v="3520.85"/>
    <n v="3600.35"/>
    <n v="3520.85"/>
    <n v="3532.05"/>
    <n v="3557"/>
    <n v="3547.05"/>
    <n v="3561.68"/>
    <n v="4592.25"/>
    <n v="3457"/>
    <n v="2501894"/>
    <n v="8910937236.5499992"/>
    <n v="145336"/>
    <x v="9"/>
    <n v="11.200000000000273"/>
    <x v="1"/>
    <n v="3"/>
    <x v="9"/>
    <n v="-0.22036742088049704"/>
  </r>
  <r>
    <d v="2025-03-04T00:00:00"/>
    <s v="EQ"/>
    <n v="3474"/>
    <n v="3551"/>
    <n v="3464.3"/>
    <n v="3493.05"/>
    <n v="3533"/>
    <n v="3532.05"/>
    <n v="3518.16"/>
    <n v="4592.25"/>
    <n v="3457"/>
    <n v="2797737"/>
    <n v="9842880030.2999992"/>
    <n v="157084"/>
    <x v="9"/>
    <n v="19.050000000000182"/>
    <x v="1"/>
    <n v="3"/>
    <x v="9"/>
    <n v="-0.22036742088049704"/>
  </r>
  <r>
    <d v="2025-03-03T00:00:00"/>
    <s v="EQ"/>
    <n v="3485"/>
    <n v="3523.25"/>
    <n v="3476.15"/>
    <n v="3483.25"/>
    <n v="3506"/>
    <n v="3493.05"/>
    <n v="3497.97"/>
    <n v="4592.25"/>
    <n v="3457"/>
    <n v="4990439"/>
    <n v="17456399246.200001"/>
    <n v="248034"/>
    <x v="9"/>
    <n v="-1.75"/>
    <x v="1"/>
    <n v="3"/>
    <x v="9"/>
    <n v="-0.22036742088049704"/>
  </r>
  <r>
    <d v="2025-02-28T00:00:00"/>
    <s v="EQ"/>
    <n v="3584.95"/>
    <n v="3600"/>
    <n v="3457"/>
    <n v="3612.55"/>
    <n v="3478"/>
    <n v="3483.25"/>
    <n v="3491.8"/>
    <n v="4592.25"/>
    <n v="3457"/>
    <n v="7085018"/>
    <n v="24739464379.849998"/>
    <n v="340110"/>
    <x v="9"/>
    <n v="27.600000000000364"/>
    <x v="1"/>
    <n v="2"/>
    <x v="10"/>
    <n v="-0.22036742088049704"/>
  </r>
  <r>
    <d v="2025-02-27T00:00:00"/>
    <s v="EQ"/>
    <n v="3611.7"/>
    <n v="3638"/>
    <n v="3600.7"/>
    <n v="3629.55"/>
    <n v="3608.05"/>
    <n v="3612.55"/>
    <n v="3613.5"/>
    <n v="4592.25"/>
    <n v="3591.5"/>
    <n v="3823856"/>
    <n v="13817496735.799999"/>
    <n v="212465"/>
    <x v="9"/>
    <n v="17.850000000000364"/>
    <x v="1"/>
    <n v="2"/>
    <x v="10"/>
    <n v="-0.22036742088049704"/>
  </r>
  <r>
    <d v="2025-02-25T00:00:00"/>
    <s v="EQ"/>
    <n v="3625"/>
    <n v="3658"/>
    <n v="3621.25"/>
    <n v="3675.6"/>
    <n v="3627"/>
    <n v="3629.55"/>
    <n v="3638.67"/>
    <n v="4592.25"/>
    <n v="3591.5"/>
    <n v="4101954"/>
    <n v="14925647967.549999"/>
    <n v="198489"/>
    <x v="9"/>
    <n v="50.599999999999909"/>
    <x v="1"/>
    <n v="2"/>
    <x v="10"/>
    <n v="-0.22036742088049704"/>
  </r>
  <r>
    <d v="2025-02-24T00:00:00"/>
    <s v="EQ"/>
    <n v="3743.15"/>
    <n v="3763.2"/>
    <n v="3670"/>
    <n v="3786"/>
    <n v="3671"/>
    <n v="3675.6"/>
    <n v="3701.2"/>
    <n v="4592.25"/>
    <n v="3591.5"/>
    <n v="2508516"/>
    <n v="9284523845.2000008"/>
    <n v="172279"/>
    <x v="9"/>
    <n v="42.849999999999909"/>
    <x v="1"/>
    <n v="2"/>
    <x v="10"/>
    <n v="-0.22036742088049704"/>
  </r>
  <r>
    <d v="2025-02-21T00:00:00"/>
    <s v="EQ"/>
    <n v="3776.1"/>
    <n v="3817"/>
    <n v="3775"/>
    <n v="3779.4"/>
    <n v="3789.9"/>
    <n v="3786"/>
    <n v="3792.04"/>
    <n v="4592.25"/>
    <n v="3591.5"/>
    <n v="1833931"/>
    <n v="6954338537.8000002"/>
    <n v="125392"/>
    <x v="9"/>
    <n v="3.3000000000001819"/>
    <x v="1"/>
    <n v="2"/>
    <x v="10"/>
    <n v="-0.22036742088049704"/>
  </r>
  <r>
    <d v="2025-02-20T00:00:00"/>
    <s v="EQ"/>
    <n v="3761.5"/>
    <n v="3788"/>
    <n v="3751.3"/>
    <n v="3784.1"/>
    <n v="3788"/>
    <n v="3779.4"/>
    <n v="3772.99"/>
    <n v="4592.25"/>
    <n v="3591.5"/>
    <n v="2888572"/>
    <n v="10898564437.85"/>
    <n v="184053"/>
    <x v="9"/>
    <n v="22.599999999999909"/>
    <x v="1"/>
    <n v="2"/>
    <x v="10"/>
    <n v="-0.22036742088049704"/>
  </r>
  <r>
    <d v="2025-02-19T00:00:00"/>
    <s v="EQ"/>
    <n v="3872.2"/>
    <n v="3874.95"/>
    <n v="3768.15"/>
    <n v="3873.2"/>
    <n v="3785"/>
    <n v="3784.1"/>
    <n v="3796.48"/>
    <n v="4592.25"/>
    <n v="3591.5"/>
    <n v="4366672"/>
    <n v="16578004180.700001"/>
    <n v="229923"/>
    <x v="9"/>
    <n v="1"/>
    <x v="1"/>
    <n v="2"/>
    <x v="10"/>
    <n v="-0.22036742088049704"/>
  </r>
  <r>
    <d v="2025-02-18T00:00:00"/>
    <s v="EQ"/>
    <n v="3898.4"/>
    <n v="3924.4"/>
    <n v="3864.5"/>
    <n v="3904.5"/>
    <n v="3873"/>
    <n v="3873.2"/>
    <n v="3891.66"/>
    <n v="4592.25"/>
    <n v="3591.5"/>
    <n v="2149879"/>
    <n v="8366596747.5500002"/>
    <n v="135773"/>
    <x v="9"/>
    <n v="6.0999999999999091"/>
    <x v="1"/>
    <n v="2"/>
    <x v="10"/>
    <n v="-0.22036742088049704"/>
  </r>
  <r>
    <d v="2025-02-17T00:00:00"/>
    <s v="EQ"/>
    <n v="3856.5"/>
    <n v="3934"/>
    <n v="3856.2"/>
    <n v="3934.85"/>
    <n v="3908"/>
    <n v="3904.5"/>
    <n v="3911.78"/>
    <n v="4592.25"/>
    <n v="3591.5"/>
    <n v="1799806"/>
    <n v="7040439519.8000002"/>
    <n v="168626"/>
    <x v="9"/>
    <n v="78.349999999999909"/>
    <x v="1"/>
    <n v="2"/>
    <x v="10"/>
    <n v="-0.22036742088049704"/>
  </r>
  <r>
    <d v="2025-02-14T00:00:00"/>
    <s v="EQ"/>
    <n v="3925"/>
    <n v="3948"/>
    <n v="3900"/>
    <n v="3910.15"/>
    <n v="3928"/>
    <n v="3934.85"/>
    <n v="3921.57"/>
    <n v="4592.25"/>
    <n v="3591.5"/>
    <n v="1681975"/>
    <n v="6595986554.0500002"/>
    <n v="163805"/>
    <x v="9"/>
    <n v="-14.849999999999909"/>
    <x v="1"/>
    <n v="2"/>
    <x v="10"/>
    <n v="-0.22036742088049704"/>
  </r>
  <r>
    <d v="2025-02-13T00:00:00"/>
    <s v="EQ"/>
    <n v="3968"/>
    <n v="3984.45"/>
    <n v="3902.25"/>
    <n v="3950.15"/>
    <n v="3920"/>
    <n v="3910.15"/>
    <n v="3930.8"/>
    <n v="4592.25"/>
    <n v="3591.5"/>
    <n v="2277310"/>
    <n v="8951639767.6000004"/>
    <n v="163030"/>
    <x v="9"/>
    <n v="-17.849999999999909"/>
    <x v="1"/>
    <n v="2"/>
    <x v="10"/>
    <n v="-0.22036742088049704"/>
  </r>
  <r>
    <d v="2025-02-12T00:00:00"/>
    <s v="EQ"/>
    <n v="3971.1"/>
    <n v="4021.75"/>
    <n v="3940.15"/>
    <n v="3963.55"/>
    <n v="3956.25"/>
    <n v="3950.15"/>
    <n v="3978.32"/>
    <n v="4592.25"/>
    <n v="3591.5"/>
    <n v="1678002"/>
    <n v="6675628781.9499998"/>
    <n v="128576"/>
    <x v="9"/>
    <n v="-7.5499999999997272"/>
    <x v="1"/>
    <n v="2"/>
    <x v="10"/>
    <n v="-0.22036742088049704"/>
  </r>
  <r>
    <d v="2025-02-11T00:00:00"/>
    <s v="EQ"/>
    <n v="4018.4"/>
    <n v="4040"/>
    <n v="3955"/>
    <n v="4036.95"/>
    <n v="3967"/>
    <n v="3963.55"/>
    <n v="3989.58"/>
    <n v="4592.25"/>
    <n v="3591.5"/>
    <n v="1810908"/>
    <n v="7224758107.0500002"/>
    <n v="121478"/>
    <x v="9"/>
    <n v="18.549999999999727"/>
    <x v="1"/>
    <n v="2"/>
    <x v="10"/>
    <n v="-0.22036742088049704"/>
  </r>
  <r>
    <d v="2025-02-10T00:00:00"/>
    <s v="EQ"/>
    <n v="4040"/>
    <n v="4052"/>
    <n v="4014.35"/>
    <n v="4029.4"/>
    <n v="4034"/>
    <n v="4036.95"/>
    <n v="4035.26"/>
    <n v="4592.25"/>
    <n v="3591.5"/>
    <n v="1339511"/>
    <n v="5405279190.4499998"/>
    <n v="133697"/>
    <x v="9"/>
    <n v="-10.599999999999909"/>
    <x v="1"/>
    <n v="2"/>
    <x v="10"/>
    <n v="-0.22036742088049704"/>
  </r>
  <r>
    <d v="2025-02-07T00:00:00"/>
    <s v="EQ"/>
    <n v="4090"/>
    <n v="4090"/>
    <n v="4008"/>
    <n v="4082.75"/>
    <n v="4032"/>
    <n v="4029.4"/>
    <n v="4033.06"/>
    <n v="4592.25"/>
    <n v="3591.5"/>
    <n v="1548940"/>
    <n v="6246965406.3999996"/>
    <n v="177110"/>
    <x v="9"/>
    <n v="-7.25"/>
    <x v="1"/>
    <n v="2"/>
    <x v="10"/>
    <n v="-0.22036742088049704"/>
  </r>
  <r>
    <d v="2025-02-06T00:00:00"/>
    <s v="EQ"/>
    <n v="4105.3999999999996"/>
    <n v="4139.5"/>
    <n v="4051.55"/>
    <n v="4091.1"/>
    <n v="4087"/>
    <n v="4082.75"/>
    <n v="4080.65"/>
    <n v="4592.25"/>
    <n v="3591.5"/>
    <n v="2284536"/>
    <n v="9322389842.5"/>
    <n v="183903"/>
    <x v="9"/>
    <n v="-14.299999999999727"/>
    <x v="1"/>
    <n v="2"/>
    <x v="10"/>
    <n v="-0.22036742088049704"/>
  </r>
  <r>
    <d v="2025-02-05T00:00:00"/>
    <s v="EQ"/>
    <n v="4150"/>
    <n v="4150"/>
    <n v="4076"/>
    <n v="4107.05"/>
    <n v="4086"/>
    <n v="4091.1"/>
    <n v="4096.29"/>
    <n v="4592.25"/>
    <n v="3591.5"/>
    <n v="1693912"/>
    <n v="6938752665.75"/>
    <n v="130235"/>
    <x v="9"/>
    <n v="-42.949999999999818"/>
    <x v="1"/>
    <n v="2"/>
    <x v="10"/>
    <n v="-0.22036742088049704"/>
  </r>
  <r>
    <d v="2025-02-04T00:00:00"/>
    <s v="EQ"/>
    <n v="4083.7"/>
    <n v="4118.8500000000004"/>
    <n v="4066.05"/>
    <n v="4068.65"/>
    <n v="4105.1499999999996"/>
    <n v="4107.05"/>
    <n v="4098"/>
    <n v="4592.25"/>
    <n v="3591.5"/>
    <n v="2547132"/>
    <n v="10438141551.799999"/>
    <n v="141942"/>
    <x v="9"/>
    <n v="-15.049999999999727"/>
    <x v="1"/>
    <n v="2"/>
    <x v="10"/>
    <n v="-0.22036742088049704"/>
  </r>
  <r>
    <d v="2025-02-03T00:00:00"/>
    <s v="EQ"/>
    <n v="4030.9"/>
    <n v="4077"/>
    <n v="3998.7"/>
    <n v="4073.15"/>
    <n v="4064"/>
    <n v="4068.65"/>
    <n v="4045.97"/>
    <n v="4592.25"/>
    <n v="3591.5"/>
    <n v="1265713"/>
    <n v="5121041211"/>
    <n v="155134"/>
    <x v="9"/>
    <n v="42.25"/>
    <x v="1"/>
    <n v="2"/>
    <x v="10"/>
    <n v="-0.22036742088049704"/>
  </r>
  <r>
    <d v="2025-02-01T00:00:00"/>
    <s v="EQ"/>
    <n v="4113"/>
    <n v="4135.8999999999996"/>
    <n v="4056"/>
    <n v="4112.3999999999996"/>
    <n v="4073"/>
    <n v="4073.15"/>
    <n v="4082.48"/>
    <n v="4592.25"/>
    <n v="3591.5"/>
    <n v="437172"/>
    <n v="1784747121.0999999"/>
    <n v="49186"/>
    <x v="9"/>
    <n v="-0.6000000000003638"/>
    <x v="1"/>
    <n v="2"/>
    <x v="10"/>
    <n v="-0.22036742088049704"/>
  </r>
  <r>
    <d v="2025-01-31T00:00:00"/>
    <s v="EQ"/>
    <n v="4110"/>
    <n v="4128.45"/>
    <n v="4085.25"/>
    <n v="4100.05"/>
    <n v="4114.1499999999996"/>
    <n v="4112.3999999999996"/>
    <n v="4106.05"/>
    <n v="4592.25"/>
    <n v="3591.5"/>
    <n v="1492943"/>
    <n v="6130103902.1999998"/>
    <n v="121858"/>
    <x v="9"/>
    <n v="-9.9499999999998181"/>
    <x v="1"/>
    <n v="1"/>
    <x v="11"/>
    <n v="-0.22036742088049704"/>
  </r>
  <r>
    <d v="2025-01-30T00:00:00"/>
    <s v="EQ"/>
    <n v="4099.8999999999996"/>
    <n v="4129.8999999999996"/>
    <n v="4058.5"/>
    <n v="4099.8"/>
    <n v="4100"/>
    <n v="4100.05"/>
    <n v="4098.87"/>
    <n v="4592.25"/>
    <n v="3591.5"/>
    <n v="1531251"/>
    <n v="6276404777.8999996"/>
    <n v="97767"/>
    <x v="9"/>
    <n v="-9.9999999999454303E-2"/>
    <x v="1"/>
    <n v="1"/>
    <x v="11"/>
    <n v="-0.22036742088049704"/>
  </r>
  <r>
    <d v="2025-01-29T00:00:00"/>
    <s v="EQ"/>
    <n v="4054"/>
    <n v="4107.8500000000004"/>
    <n v="4054"/>
    <n v="4040.3"/>
    <n v="4105"/>
    <n v="4099.8"/>
    <n v="4091.12"/>
    <n v="4592.25"/>
    <n v="3591.5"/>
    <n v="1217089"/>
    <n v="4979253773"/>
    <n v="108284"/>
    <x v="9"/>
    <n v="-13.699999999999818"/>
    <x v="1"/>
    <n v="1"/>
    <x v="11"/>
    <n v="-0.22036742088049704"/>
  </r>
  <r>
    <d v="2025-01-28T00:00:00"/>
    <s v="EQ"/>
    <n v="4070.8"/>
    <n v="4102"/>
    <n v="4028.3"/>
    <n v="4065.15"/>
    <n v="4040"/>
    <n v="4040.3"/>
    <n v="4057.3"/>
    <n v="4592.25"/>
    <n v="3591.5"/>
    <n v="2468272"/>
    <n v="10014514674.15"/>
    <n v="150121"/>
    <x v="9"/>
    <n v="-5.6500000000000909"/>
    <x v="1"/>
    <n v="1"/>
    <x v="11"/>
    <n v="-0.22036742088049704"/>
  </r>
  <r>
    <d v="2025-01-27T00:00:00"/>
    <s v="EQ"/>
    <n v="4102"/>
    <n v="4156.3500000000004"/>
    <n v="4041.05"/>
    <n v="4152.3500000000004"/>
    <n v="4067"/>
    <n v="4065.15"/>
    <n v="4088.62"/>
    <n v="4592.25"/>
    <n v="3591.5"/>
    <n v="1551782"/>
    <n v="6344644149.25"/>
    <n v="143859"/>
    <x v="9"/>
    <n v="50.350000000000364"/>
    <x v="1"/>
    <n v="1"/>
    <x v="11"/>
    <n v="-0.22036742088049704"/>
  </r>
  <r>
    <d v="2025-01-24T00:00:00"/>
    <s v="EQ"/>
    <n v="4104"/>
    <n v="4178"/>
    <n v="4104"/>
    <n v="4145.45"/>
    <n v="4153.1000000000004"/>
    <n v="4152.3500000000004"/>
    <n v="4155.62"/>
    <n v="4592.25"/>
    <n v="3591.5"/>
    <n v="1910099"/>
    <n v="7937640859.1999998"/>
    <n v="99760"/>
    <x v="9"/>
    <n v="41.449999999999818"/>
    <x v="1"/>
    <n v="1"/>
    <x v="11"/>
    <n v="-0.22036742088049704"/>
  </r>
  <r>
    <d v="2025-01-23T00:00:00"/>
    <s v="EQ"/>
    <n v="4168"/>
    <n v="4191.3500000000004"/>
    <n v="4140.05"/>
    <n v="4156.6000000000004"/>
    <n v="4148"/>
    <n v="4145.45"/>
    <n v="4161.12"/>
    <n v="4592.25"/>
    <n v="3591.5"/>
    <n v="1822998"/>
    <n v="7585718475.3999996"/>
    <n v="139860"/>
    <x v="9"/>
    <n v="-11.399999999999636"/>
    <x v="1"/>
    <n v="1"/>
    <x v="11"/>
    <n v="-0.22036742088049704"/>
  </r>
  <r>
    <d v="2025-01-22T00:00:00"/>
    <s v="EQ"/>
    <n v="4050"/>
    <n v="4163.1499999999996"/>
    <n v="4044.2"/>
    <n v="4035.85"/>
    <n v="4152"/>
    <n v="4156.6000000000004"/>
    <n v="4132.4799999999996"/>
    <n v="4592.25"/>
    <n v="3591.5"/>
    <n v="2409223"/>
    <n v="9956065096.7000008"/>
    <n v="153702"/>
    <x v="9"/>
    <n v="-14.150000000000091"/>
    <x v="1"/>
    <n v="1"/>
    <x v="11"/>
    <n v="-0.22036742088049704"/>
  </r>
  <r>
    <d v="2025-01-21T00:00:00"/>
    <s v="EQ"/>
    <n v="4095.3"/>
    <n v="4111"/>
    <n v="4030"/>
    <n v="4077.8"/>
    <n v="4038"/>
    <n v="4035.85"/>
    <n v="4065.27"/>
    <n v="4592.25"/>
    <n v="3591.5"/>
    <n v="1971591"/>
    <n v="8015045148"/>
    <n v="148666"/>
    <x v="9"/>
    <n v="-17.5"/>
    <x v="1"/>
    <n v="1"/>
    <x v="11"/>
    <n v="-0.22036742088049704"/>
  </r>
  <r>
    <d v="2025-01-20T00:00:00"/>
    <s v="EQ"/>
    <n v="4145.8"/>
    <n v="4145.8"/>
    <n v="4068.1"/>
    <n v="4124.3"/>
    <n v="4080"/>
    <n v="4077.8"/>
    <n v="4085.51"/>
    <n v="4592.25"/>
    <n v="3591.5"/>
    <n v="1287799"/>
    <n v="5261320398.8000002"/>
    <n v="148489"/>
    <x v="9"/>
    <n v="-21.5"/>
    <x v="1"/>
    <n v="1"/>
    <x v="11"/>
    <n v="-0.22036742088049704"/>
  </r>
  <r>
    <d v="2025-01-17T00:00:00"/>
    <s v="EQ"/>
    <n v="4159.8999999999996"/>
    <n v="4160.6000000000004"/>
    <n v="4100.05"/>
    <n v="4206.3"/>
    <n v="4130"/>
    <n v="4124.3"/>
    <n v="4132.6000000000004"/>
    <n v="4592.25"/>
    <n v="3591.5"/>
    <n v="1761466"/>
    <n v="7279436408.25"/>
    <n v="157671"/>
    <x v="9"/>
    <n v="46.400000000000546"/>
    <x v="1"/>
    <n v="1"/>
    <x v="11"/>
    <n v="-0.22036742088049704"/>
  </r>
  <r>
    <d v="2025-01-16T00:00:00"/>
    <s v="EQ"/>
    <n v="4260"/>
    <n v="4294"/>
    <n v="4191.8500000000004"/>
    <n v="4249.6000000000004"/>
    <n v="4215"/>
    <n v="4206.3"/>
    <n v="4212.91"/>
    <n v="4592.25"/>
    <n v="3591.5"/>
    <n v="2637705"/>
    <n v="11112418871.4"/>
    <n v="176306"/>
    <x v="9"/>
    <n v="-10.399999999999636"/>
    <x v="1"/>
    <n v="1"/>
    <x v="11"/>
    <n v="-0.22036742088049704"/>
  </r>
  <r>
    <d v="2025-01-15T00:00:00"/>
    <s v="EQ"/>
    <n v="4218"/>
    <n v="4256.45"/>
    <n v="4207.45"/>
    <n v="4233.05"/>
    <n v="4255.3999999999996"/>
    <n v="4249.6000000000004"/>
    <n v="4229.68"/>
    <n v="4592.25"/>
    <n v="3591.5"/>
    <n v="1653474"/>
    <n v="6993667215.6000004"/>
    <n v="130857"/>
    <x v="9"/>
    <n v="15.050000000000182"/>
    <x v="1"/>
    <n v="1"/>
    <x v="11"/>
    <n v="-0.22036742088049704"/>
  </r>
  <r>
    <d v="2025-01-14T00:00:00"/>
    <s v="EQ"/>
    <n v="4302"/>
    <n v="4313.8999999999996"/>
    <n v="4219.05"/>
    <n v="4291.1000000000004"/>
    <n v="4241.1499999999996"/>
    <n v="4233.05"/>
    <n v="4252.0600000000004"/>
    <n v="4592.25"/>
    <n v="3591.5"/>
    <n v="3441709"/>
    <n v="14634369218.5"/>
    <n v="180842"/>
    <x v="9"/>
    <n v="-10.899999999999636"/>
    <x v="1"/>
    <n v="1"/>
    <x v="11"/>
    <n v="-0.22036742088049704"/>
  </r>
  <r>
    <d v="2025-01-13T00:00:00"/>
    <s v="EQ"/>
    <n v="4245"/>
    <n v="4322.95"/>
    <n v="4227.3999999999996"/>
    <n v="4265.6499999999996"/>
    <n v="4299"/>
    <n v="4291.1000000000004"/>
    <n v="4294.04"/>
    <n v="4592.25"/>
    <n v="3591.5"/>
    <n v="4003771"/>
    <n v="17192353666.25"/>
    <n v="270932"/>
    <x v="9"/>
    <n v="20.649999999999636"/>
    <x v="1"/>
    <n v="1"/>
    <x v="11"/>
    <n v="-0.22036742088049704"/>
  </r>
  <r>
    <d v="2025-01-10T00:00:00"/>
    <s v="EQ"/>
    <n v="4200"/>
    <n v="4297"/>
    <n v="4170"/>
    <n v="4038.85"/>
    <n v="4265"/>
    <n v="4265.6499999999996"/>
    <n v="4240.63"/>
    <n v="4592.25"/>
    <n v="3591.5"/>
    <n v="7894300"/>
    <n v="33476809439.650002"/>
    <n v="436975"/>
    <x v="9"/>
    <n v="-161.15000000000009"/>
    <x v="1"/>
    <n v="1"/>
    <x v="11"/>
    <n v="-0.22036742088049704"/>
  </r>
  <r>
    <d v="2025-01-09T00:00:00"/>
    <s v="EQ"/>
    <n v="4101"/>
    <n v="4137.75"/>
    <n v="4025.3"/>
    <n v="4108.3999999999996"/>
    <n v="4044"/>
    <n v="4038.85"/>
    <n v="4073.67"/>
    <n v="4592.25"/>
    <n v="3591.5"/>
    <n v="2392472"/>
    <n v="9746149398.3500004"/>
    <n v="183446"/>
    <x v="9"/>
    <n v="7.3999999999996362"/>
    <x v="1"/>
    <n v="1"/>
    <x v="11"/>
    <n v="-0.22036742088049704"/>
  </r>
  <r>
    <d v="2025-01-08T00:00:00"/>
    <s v="EQ"/>
    <n v="4034.9"/>
    <n v="4126"/>
    <n v="4017.75"/>
    <n v="4028.3"/>
    <n v="4095.05"/>
    <n v="4108.3999999999996"/>
    <n v="4056.18"/>
    <n v="4592.25"/>
    <n v="3591.5"/>
    <n v="2181277"/>
    <n v="8847652251.5"/>
    <n v="180073"/>
    <x v="9"/>
    <n v="-6.5999999999999091"/>
    <x v="1"/>
    <n v="1"/>
    <x v="11"/>
    <n v="-0.22036742088049704"/>
  </r>
  <r>
    <d v="2025-01-07T00:00:00"/>
    <s v="EQ"/>
    <n v="4114.95"/>
    <n v="4140.3500000000004"/>
    <n v="4011.55"/>
    <n v="4095"/>
    <n v="4031"/>
    <n v="4028.3"/>
    <n v="4045.86"/>
    <n v="4592.25"/>
    <n v="3591.5"/>
    <n v="2669054"/>
    <n v="10798629271.200001"/>
    <n v="177825"/>
    <x v="9"/>
    <n v="-19.949999999999818"/>
    <x v="1"/>
    <n v="1"/>
    <x v="11"/>
    <n v="-0.22036742088049704"/>
  </r>
  <r>
    <d v="2025-01-06T00:00:00"/>
    <s v="EQ"/>
    <n v="4105.5"/>
    <n v="4149.6499999999996"/>
    <n v="4066.4"/>
    <n v="4099.8999999999996"/>
    <n v="4090"/>
    <n v="4095"/>
    <n v="4107.1400000000003"/>
    <n v="4592.25"/>
    <n v="3591.5"/>
    <n v="2085593"/>
    <n v="8565822653.6999998"/>
    <n v="158660"/>
    <x v="9"/>
    <n v="-5.6000000000003638"/>
    <x v="1"/>
    <n v="1"/>
    <x v="11"/>
    <n v="-0.22036742088049704"/>
  </r>
  <r>
    <d v="2025-01-03T00:00:00"/>
    <s v="EQ"/>
    <n v="4179.95"/>
    <n v="4179.95"/>
    <n v="4092.3"/>
    <n v="4175.75"/>
    <n v="4097"/>
    <n v="4099.8999999999996"/>
    <n v="4114.17"/>
    <n v="4592.25"/>
    <n v="3591.5"/>
    <n v="1791953"/>
    <n v="7372404407.8500004"/>
    <n v="125354"/>
    <x v="9"/>
    <n v="-4.1999999999998181"/>
    <x v="1"/>
    <n v="1"/>
    <x v="11"/>
    <n v="-0.22036742088049704"/>
  </r>
  <r>
    <d v="2025-01-02T00:00:00"/>
    <s v="EQ"/>
    <n v="4120"/>
    <n v="4183"/>
    <n v="4096.95"/>
    <n v="4112.45"/>
    <n v="4166"/>
    <n v="4175.75"/>
    <n v="4159.7700000000004"/>
    <n v="4592.25"/>
    <n v="3591.5"/>
    <n v="1720835"/>
    <n v="7158273705.25"/>
    <n v="124549"/>
    <x v="9"/>
    <n v="-7.5500000000001819"/>
    <x v="1"/>
    <n v="1"/>
    <x v="11"/>
    <n v="-0.22036742088049704"/>
  </r>
  <r>
    <d v="2025-01-01T00:00:00"/>
    <s v="EQ"/>
    <n v="4094.4"/>
    <n v="4134"/>
    <n v="4085.45"/>
    <n v="4094.8"/>
    <n v="4112"/>
    <n v="4112.45"/>
    <n v="4112.75"/>
    <n v="4592.25"/>
    <n v="3591.5"/>
    <n v="763161"/>
    <n v="3138692117.1500001"/>
    <n v="99498"/>
    <x v="9"/>
    <n v="0.40000000000009095"/>
    <x v="1"/>
    <n v="1"/>
    <x v="11"/>
    <n v="-0.220367420880497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572544-E4E6-49E0-8096-D807D8AAB95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Stock_Name">
  <location ref="A3:B13" firstHeaderRow="1" firstDataRow="1" firstDataCol="1"/>
  <pivotFields count="4">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 showAll="0"/>
    <pivotField dataField="1" numFmtId="9" showAll="0"/>
  </pivotFields>
  <rowFields count="1">
    <field x="0"/>
  </rowFields>
  <rowItems count="10">
    <i>
      <x/>
    </i>
    <i>
      <x v="7"/>
    </i>
    <i>
      <x v="8"/>
    </i>
    <i>
      <x v="4"/>
    </i>
    <i>
      <x v="3"/>
    </i>
    <i>
      <x v="5"/>
    </i>
    <i>
      <x v="1"/>
    </i>
    <i>
      <x v="6"/>
    </i>
    <i>
      <x v="9"/>
    </i>
    <i>
      <x v="2"/>
    </i>
  </rowItems>
  <colItems count="1">
    <i/>
  </colItems>
  <dataFields count="1">
    <dataField name="Annual_return%" fld="3" baseField="0" baseItem="0" numFmtId="9"/>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6409FA-385F-4282-AB98-0E71D0D7F6FA}"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2:AB3" firstHeaderRow="0" firstDataRow="1" firstDataCol="0"/>
  <pivotFields count="20">
    <pivotField numFmtId="14" showAll="0"/>
    <pivotField showAll="0"/>
    <pivotField showAll="0"/>
    <pivotField showAll="0"/>
    <pivotField showAll="0"/>
    <pivotField showAll="0"/>
    <pivotField showAll="0"/>
    <pivotField showAll="0"/>
    <pivotField showAll="0"/>
    <pivotField dataField="1" showAll="0"/>
    <pivotField dataField="1" showAll="0"/>
    <pivotField dataField="1" showAll="0"/>
    <pivotField numFmtId="2" showAll="0"/>
    <pivotField showAll="0"/>
    <pivotField showAll="0">
      <items count="11">
        <item x="0"/>
        <item x="1"/>
        <item x="2"/>
        <item x="3"/>
        <item x="4"/>
        <item x="5"/>
        <item x="6"/>
        <item x="7"/>
        <item x="8"/>
        <item x="9"/>
        <item t="default"/>
      </items>
    </pivotField>
    <pivotField numFmtId="44" showAll="0"/>
    <pivotField showAll="0">
      <items count="6">
        <item x="2"/>
        <item x="3"/>
        <item x="1"/>
        <item x="4"/>
        <item x="0"/>
        <item t="default"/>
      </items>
    </pivotField>
    <pivotField showAll="0"/>
    <pivotField showAll="0"/>
    <pivotField numFmtId="9" showAll="0"/>
  </pivotFields>
  <rowItems count="1">
    <i/>
  </rowItems>
  <colFields count="1">
    <field x="-2"/>
  </colFields>
  <colItems count="3">
    <i>
      <x/>
    </i>
    <i i="1">
      <x v="1"/>
    </i>
    <i i="2">
      <x v="2"/>
    </i>
  </colItems>
  <dataFields count="3">
    <dataField name="Max of 52W_H" fld="9" subtotal="max" baseField="0" baseItem="1" numFmtId="44"/>
    <dataField name="Min of 52W_L" fld="10" subtotal="min" baseField="0" baseItem="1" numFmtId="44"/>
    <dataField name="Sum of VOLUME" fld="11" baseField="0" baseItem="1" numFmtId="43"/>
  </dataFields>
  <formats count="7">
    <format dxfId="100">
      <pivotArea outline="0" collapsedLevelsAreSubtotals="1" fieldPosition="0">
        <references count="1">
          <reference field="4294967294" count="1" selected="0">
            <x v="2"/>
          </reference>
        </references>
      </pivotArea>
    </format>
    <format dxfId="99">
      <pivotArea outline="0" collapsedLevelsAreSubtotals="1" fieldPosition="0">
        <references count="1">
          <reference field="4294967294" count="1" selected="0">
            <x v="2"/>
          </reference>
        </references>
      </pivotArea>
    </format>
    <format dxfId="98">
      <pivotArea outline="0" collapsedLevelsAreSubtotals="1" fieldPosition="0">
        <references count="1">
          <reference field="4294967294" count="1" selected="0">
            <x v="0"/>
          </reference>
        </references>
      </pivotArea>
    </format>
    <format dxfId="97">
      <pivotArea outline="0" collapsedLevelsAreSubtotals="1" fieldPosition="0">
        <references count="1">
          <reference field="4294967294" count="1" selected="0">
            <x v="1"/>
          </reference>
        </references>
      </pivotArea>
    </format>
    <format dxfId="77">
      <pivotArea dataOnly="0" labelOnly="1" outline="0" fieldPosition="0">
        <references count="1">
          <reference field="4294967294" count="1">
            <x v="2"/>
          </reference>
        </references>
      </pivotArea>
    </format>
    <format dxfId="51">
      <pivotArea outline="0" collapsedLevelsAreSubtotals="1" fieldPosition="0">
        <references count="1">
          <reference field="4294967294" count="2" selected="0">
            <x v="0"/>
            <x v="1"/>
          </reference>
        </references>
      </pivotArea>
    </format>
    <format dxfId="4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A57C86-F573-4A17-A17F-CA835329DD69}" name="PivotTable4"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D3:E18" firstHeaderRow="1" firstDataRow="1" firstDataCol="1"/>
  <pivotFields count="20">
    <pivotField numFmtId="14"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axis="axisRow" showAll="0">
      <items count="11">
        <item x="0"/>
        <item x="1"/>
        <item x="2"/>
        <item x="3"/>
        <item x="4"/>
        <item x="5"/>
        <item x="6"/>
        <item x="7"/>
        <item x="8"/>
        <item x="9"/>
        <item t="default"/>
      </items>
    </pivotField>
    <pivotField numFmtId="44" showAll="0"/>
    <pivotField axis="axisRow" showAll="0">
      <items count="6">
        <item x="2"/>
        <item x="3"/>
        <item x="1"/>
        <item x="4"/>
        <item x="0"/>
        <item t="default"/>
      </items>
    </pivotField>
    <pivotField showAll="0"/>
    <pivotField showAll="0"/>
    <pivotField dataField="1" numFmtId="9" showAll="0"/>
  </pivotFields>
  <rowFields count="2">
    <field x="16"/>
    <field x="14"/>
  </rowFields>
  <rowItems count="15">
    <i>
      <x/>
    </i>
    <i r="1">
      <x v="2"/>
    </i>
    <i r="1">
      <x v="4"/>
    </i>
    <i r="1">
      <x v="8"/>
    </i>
    <i>
      <x v="1"/>
    </i>
    <i r="1">
      <x v="3"/>
    </i>
    <i r="1">
      <x v="6"/>
    </i>
    <i>
      <x v="2"/>
    </i>
    <i r="1">
      <x v="1"/>
    </i>
    <i r="1">
      <x v="5"/>
    </i>
    <i r="1">
      <x v="9"/>
    </i>
    <i>
      <x v="3"/>
    </i>
    <i r="1">
      <x v="7"/>
    </i>
    <i>
      <x v="4"/>
    </i>
    <i r="1">
      <x/>
    </i>
  </rowItems>
  <colItems count="1">
    <i/>
  </colItems>
  <dataFields count="1">
    <dataField name="Average of annual_return_static" fld="19" subtotal="average" baseField="16" baseItem="0" numFmtId="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94EF77-1AF9-48F9-A1AF-355F23DEFAF2}" name="PivotTable5"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15" firstHeaderRow="1" firstDataRow="1" firstDataCol="1"/>
  <pivotFields count="20">
    <pivotField numFmtId="14" showAll="0"/>
    <pivotField showAll="0"/>
    <pivotField showAll="0"/>
    <pivotField showAll="0"/>
    <pivotField showAll="0"/>
    <pivotField showAll="0"/>
    <pivotField showAll="0"/>
    <pivotField dataField="1" showAll="0"/>
    <pivotField showAll="0"/>
    <pivotField showAll="0"/>
    <pivotField showAll="0"/>
    <pivotField showAll="0"/>
    <pivotField numFmtId="2" showAll="0"/>
    <pivotField showAll="0"/>
    <pivotField showAll="0">
      <items count="11">
        <item x="0"/>
        <item x="1"/>
        <item x="2"/>
        <item x="3"/>
        <item x="4"/>
        <item x="5"/>
        <item x="6"/>
        <item x="7"/>
        <item x="8"/>
        <item x="9"/>
        <item t="default"/>
      </items>
    </pivotField>
    <pivotField numFmtId="44" showAll="0"/>
    <pivotField showAll="0">
      <items count="6">
        <item x="2"/>
        <item x="3"/>
        <item x="1"/>
        <item x="4"/>
        <item x="0"/>
        <item t="default"/>
      </items>
    </pivotField>
    <pivotField showAll="0"/>
    <pivotField axis="axisRow" showAll="0">
      <items count="13">
        <item x="11"/>
        <item x="10"/>
        <item x="9"/>
        <item x="8"/>
        <item x="7"/>
        <item x="6"/>
        <item x="5"/>
        <item x="4"/>
        <item x="3"/>
        <item x="2"/>
        <item x="1"/>
        <item x="0"/>
        <item t="default"/>
      </items>
    </pivotField>
    <pivotField numFmtId="9" showAll="0"/>
  </pivotFields>
  <rowFields count="1">
    <field x="18"/>
  </rowFields>
  <rowItems count="12">
    <i>
      <x/>
    </i>
    <i>
      <x v="1"/>
    </i>
    <i>
      <x v="2"/>
    </i>
    <i>
      <x v="3"/>
    </i>
    <i>
      <x v="4"/>
    </i>
    <i>
      <x v="5"/>
    </i>
    <i>
      <x v="6"/>
    </i>
    <i>
      <x v="7"/>
    </i>
    <i>
      <x v="8"/>
    </i>
    <i>
      <x v="9"/>
    </i>
    <i>
      <x v="10"/>
    </i>
    <i>
      <x v="11"/>
    </i>
  </rowItems>
  <colItems count="1">
    <i/>
  </colItems>
  <dataFields count="1">
    <dataField name="Closing_value" fld="7" subtotal="average" baseField="18"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name" xr10:uid="{548D6B93-39C3-44C7-A480-5E03FA80C32D}" sourceName="Stock_name">
  <pivotTables>
    <pivotTable tabId="10" name="PivotTable4"/>
    <pivotTable tabId="11" name="PivotTable5"/>
    <pivotTable tabId="10" name="PivotTable6"/>
  </pivotTables>
  <data>
    <tabular pivotCacheId="86726481">
      <items count="10">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_wise" xr10:uid="{C7DE1C28-D308-4C1E-B454-170880519EBA}" sourceName="sector_wise">
  <pivotTables>
    <pivotTable tabId="10" name="PivotTable4"/>
    <pivotTable tabId="11" name="PivotTable5"/>
    <pivotTable tabId="10" name="PivotTable6"/>
  </pivotTables>
  <data>
    <tabular pivotCacheId="86726481">
      <items count="5">
        <i x="2" s="1"/>
        <i x="3"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ck_name" xr10:uid="{0413C1BF-771A-458B-93C5-872340356462}" cache="Slicer_Stock_name" caption="Stock_name" rowHeight="247650"/>
  <slicer name="sector_wise" xr10:uid="{3218922A-CD9C-4401-B724-F16FB6CFDA98}" cache="Slicer_sector_wise" caption="sector_wis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17DC7-EB80-42AE-91F8-DE32DD148783}">
  <dimension ref="A1:O2491"/>
  <sheetViews>
    <sheetView topLeftCell="A732" workbookViewId="0">
      <selection sqref="A1:A1048576"/>
    </sheetView>
  </sheetViews>
  <sheetFormatPr defaultRowHeight="14.4" x14ac:dyDescent="0.3"/>
  <cols>
    <col min="1" max="1" width="10.33203125" style="1" bestFit="1" customWidth="1"/>
    <col min="3" max="5" width="10.109375" style="3" bestFit="1" customWidth="1"/>
    <col min="6" max="6" width="12.44140625" style="3" bestFit="1" customWidth="1"/>
    <col min="7" max="11" width="10.109375" style="3" bestFit="1" customWidth="1"/>
    <col min="12" max="12" width="12.5546875" style="2" bestFit="1" customWidth="1"/>
    <col min="13" max="13" width="15.6640625" style="2" bestFit="1" customWidth="1"/>
    <col min="14" max="14" width="14.109375" style="2" bestFit="1" customWidth="1"/>
    <col min="15" max="15" width="12.44140625" bestFit="1" customWidth="1"/>
  </cols>
  <sheetData>
    <row r="1" spans="1:15" x14ac:dyDescent="0.3">
      <c r="A1" s="1" t="s">
        <v>0</v>
      </c>
      <c r="B1" t="s">
        <v>1</v>
      </c>
      <c r="C1" s="3" t="s">
        <v>2</v>
      </c>
      <c r="D1" s="3" t="s">
        <v>3</v>
      </c>
      <c r="E1" s="3" t="s">
        <v>4</v>
      </c>
      <c r="F1" s="3" t="s">
        <v>11</v>
      </c>
      <c r="G1" s="3" t="s">
        <v>5</v>
      </c>
      <c r="H1" s="3" t="s">
        <v>6</v>
      </c>
      <c r="I1" s="3" t="s">
        <v>7</v>
      </c>
      <c r="J1" s="3" t="s">
        <v>12</v>
      </c>
      <c r="K1" s="3" t="s">
        <v>13</v>
      </c>
      <c r="L1" s="2" t="s">
        <v>8</v>
      </c>
      <c r="M1" s="2" t="s">
        <v>9</v>
      </c>
      <c r="N1" s="2" t="s">
        <v>14</v>
      </c>
      <c r="O1" t="s">
        <v>10</v>
      </c>
    </row>
    <row r="2" spans="1:15" x14ac:dyDescent="0.3">
      <c r="A2" s="1">
        <v>46022</v>
      </c>
      <c r="B2" t="s">
        <v>15</v>
      </c>
      <c r="C2" s="3">
        <v>2096</v>
      </c>
      <c r="D2" s="3">
        <v>2121</v>
      </c>
      <c r="E2" s="3">
        <v>2090.1</v>
      </c>
      <c r="F2" s="3">
        <v>2099.8000000000002</v>
      </c>
      <c r="G2" s="3">
        <v>2107</v>
      </c>
      <c r="H2" s="3">
        <v>2105.6</v>
      </c>
      <c r="I2" s="3">
        <v>2105.46</v>
      </c>
      <c r="J2" s="3">
        <v>2174.5</v>
      </c>
      <c r="K2" s="3">
        <v>1559.5</v>
      </c>
      <c r="L2" s="2">
        <v>2991434</v>
      </c>
      <c r="M2" s="2">
        <v>6298336696.3000002</v>
      </c>
      <c r="N2" s="2">
        <v>129671</v>
      </c>
      <c r="O2" t="s">
        <v>16</v>
      </c>
    </row>
    <row r="3" spans="1:15" x14ac:dyDescent="0.3">
      <c r="A3" s="1">
        <v>46021</v>
      </c>
      <c r="B3" t="s">
        <v>15</v>
      </c>
      <c r="C3" s="3">
        <v>2077</v>
      </c>
      <c r="D3" s="3">
        <v>2102.8000000000002</v>
      </c>
      <c r="E3" s="3">
        <v>2071.6</v>
      </c>
      <c r="F3" s="3">
        <v>2081.6</v>
      </c>
      <c r="G3" s="3">
        <v>2099.4</v>
      </c>
      <c r="H3" s="3">
        <v>2099.8000000000002</v>
      </c>
      <c r="I3" s="3">
        <v>2098.35</v>
      </c>
      <c r="J3" s="3">
        <v>2174.5</v>
      </c>
      <c r="K3" s="3">
        <v>1559.5</v>
      </c>
      <c r="L3" s="2">
        <v>6983390</v>
      </c>
      <c r="M3" s="2">
        <v>14653574322.6</v>
      </c>
      <c r="N3" s="2">
        <v>173712</v>
      </c>
      <c r="O3" t="s">
        <v>16</v>
      </c>
    </row>
    <row r="4" spans="1:15" x14ac:dyDescent="0.3">
      <c r="A4" s="1">
        <v>46020</v>
      </c>
      <c r="B4" t="s">
        <v>15</v>
      </c>
      <c r="C4" s="3">
        <v>2105.4</v>
      </c>
      <c r="D4" s="3">
        <v>2112.6999999999998</v>
      </c>
      <c r="E4" s="3">
        <v>2079.4</v>
      </c>
      <c r="F4" s="3">
        <v>2105.4</v>
      </c>
      <c r="G4" s="3">
        <v>2081.4</v>
      </c>
      <c r="H4" s="3">
        <v>2081.6</v>
      </c>
      <c r="I4" s="3">
        <v>2089.02</v>
      </c>
      <c r="J4" s="3">
        <v>2174.5</v>
      </c>
      <c r="K4" s="3">
        <v>1559.5</v>
      </c>
      <c r="L4" s="2">
        <v>2371034</v>
      </c>
      <c r="M4" s="2">
        <v>4953136389.3999996</v>
      </c>
      <c r="N4" s="2">
        <v>129894</v>
      </c>
      <c r="O4" t="s">
        <v>16</v>
      </c>
    </row>
    <row r="5" spans="1:15" x14ac:dyDescent="0.3">
      <c r="A5" s="1">
        <v>46017</v>
      </c>
      <c r="B5" t="s">
        <v>15</v>
      </c>
      <c r="C5" s="3">
        <v>2123</v>
      </c>
      <c r="D5" s="3">
        <v>2123</v>
      </c>
      <c r="E5" s="3">
        <v>2101.8000000000002</v>
      </c>
      <c r="F5" s="3">
        <v>2123.6999999999998</v>
      </c>
      <c r="G5" s="3">
        <v>2106</v>
      </c>
      <c r="H5" s="3">
        <v>2105.4</v>
      </c>
      <c r="I5" s="3">
        <v>2108.17</v>
      </c>
      <c r="J5" s="3">
        <v>2174.5</v>
      </c>
      <c r="K5" s="3">
        <v>1559.5</v>
      </c>
      <c r="L5" s="2">
        <v>1297870</v>
      </c>
      <c r="M5" s="2">
        <v>2736129285.1999998</v>
      </c>
      <c r="N5" s="2">
        <v>82211</v>
      </c>
      <c r="O5" t="s">
        <v>16</v>
      </c>
    </row>
    <row r="6" spans="1:15" x14ac:dyDescent="0.3">
      <c r="A6" s="1">
        <v>46015</v>
      </c>
      <c r="B6" t="s">
        <v>15</v>
      </c>
      <c r="C6" s="3">
        <v>2111</v>
      </c>
      <c r="D6" s="3">
        <v>2137.1999999999998</v>
      </c>
      <c r="E6" s="3">
        <v>2111</v>
      </c>
      <c r="F6" s="3">
        <v>2122.9</v>
      </c>
      <c r="G6" s="3">
        <v>2123.5</v>
      </c>
      <c r="H6" s="3">
        <v>2123.6999999999998</v>
      </c>
      <c r="I6" s="3">
        <v>2127.5</v>
      </c>
      <c r="J6" s="3">
        <v>2174.5</v>
      </c>
      <c r="K6" s="3">
        <v>1559.5</v>
      </c>
      <c r="L6" s="2">
        <v>3145464</v>
      </c>
      <c r="M6" s="2">
        <v>6691975445.3999996</v>
      </c>
      <c r="N6" s="2">
        <v>98425</v>
      </c>
      <c r="O6" t="s">
        <v>16</v>
      </c>
    </row>
    <row r="7" spans="1:15" x14ac:dyDescent="0.3">
      <c r="A7" s="1">
        <v>46014</v>
      </c>
      <c r="B7" t="s">
        <v>15</v>
      </c>
      <c r="C7" s="3">
        <v>2157</v>
      </c>
      <c r="D7" s="3">
        <v>2164</v>
      </c>
      <c r="E7" s="3">
        <v>2119.1999999999998</v>
      </c>
      <c r="F7" s="3">
        <v>2147.6</v>
      </c>
      <c r="G7" s="3">
        <v>2123</v>
      </c>
      <c r="H7" s="3">
        <v>2122.9</v>
      </c>
      <c r="I7" s="3">
        <v>2128.23</v>
      </c>
      <c r="J7" s="3">
        <v>2174.5</v>
      </c>
      <c r="K7" s="3">
        <v>1559.5</v>
      </c>
      <c r="L7" s="2">
        <v>4110853</v>
      </c>
      <c r="M7" s="2">
        <v>8748834353.7999992</v>
      </c>
      <c r="N7" s="2">
        <v>154127</v>
      </c>
      <c r="O7" t="s">
        <v>16</v>
      </c>
    </row>
    <row r="8" spans="1:15" x14ac:dyDescent="0.3">
      <c r="A8" s="1">
        <v>46013</v>
      </c>
      <c r="B8" t="s">
        <v>15</v>
      </c>
      <c r="C8" s="3">
        <v>2118</v>
      </c>
      <c r="D8" s="3">
        <v>2151.6999999999998</v>
      </c>
      <c r="E8" s="3">
        <v>2101.6999999999998</v>
      </c>
      <c r="F8" s="3">
        <v>2097.6999999999998</v>
      </c>
      <c r="G8" s="3">
        <v>2141.5</v>
      </c>
      <c r="H8" s="3">
        <v>2147.6</v>
      </c>
      <c r="I8" s="3">
        <v>2137.59</v>
      </c>
      <c r="J8" s="3">
        <v>2174.5</v>
      </c>
      <c r="K8" s="3">
        <v>1559.5</v>
      </c>
      <c r="L8" s="2">
        <v>7670853</v>
      </c>
      <c r="M8" s="2">
        <v>16397170359.700001</v>
      </c>
      <c r="N8" s="2">
        <v>236708</v>
      </c>
      <c r="O8" t="s">
        <v>16</v>
      </c>
    </row>
    <row r="9" spans="1:15" x14ac:dyDescent="0.3">
      <c r="A9" s="1">
        <v>46010</v>
      </c>
      <c r="B9" t="s">
        <v>15</v>
      </c>
      <c r="C9" s="3">
        <v>2113.9</v>
      </c>
      <c r="D9" s="3">
        <v>2115</v>
      </c>
      <c r="E9" s="3">
        <v>2082</v>
      </c>
      <c r="F9" s="3">
        <v>2092</v>
      </c>
      <c r="G9" s="3">
        <v>2090.9</v>
      </c>
      <c r="H9" s="3">
        <v>2097.6999999999998</v>
      </c>
      <c r="I9" s="3">
        <v>2095.2800000000002</v>
      </c>
      <c r="J9" s="3">
        <v>2174.5</v>
      </c>
      <c r="K9" s="3">
        <v>1559.5</v>
      </c>
      <c r="L9" s="2">
        <v>10127415</v>
      </c>
      <c r="M9" s="2">
        <v>21219798389.700001</v>
      </c>
      <c r="N9" s="2">
        <v>644521</v>
      </c>
      <c r="O9" t="s">
        <v>16</v>
      </c>
    </row>
    <row r="10" spans="1:15" x14ac:dyDescent="0.3">
      <c r="A10" s="1">
        <v>46009</v>
      </c>
      <c r="B10" t="s">
        <v>15</v>
      </c>
      <c r="C10" s="3">
        <v>2099</v>
      </c>
      <c r="D10" s="3">
        <v>2116.6</v>
      </c>
      <c r="E10" s="3">
        <v>2088.1</v>
      </c>
      <c r="F10" s="3">
        <v>2108</v>
      </c>
      <c r="G10" s="3">
        <v>2098.3000000000002</v>
      </c>
      <c r="H10" s="3">
        <v>2092</v>
      </c>
      <c r="I10" s="3">
        <v>2100.4899999999998</v>
      </c>
      <c r="J10" s="3">
        <v>2174.5</v>
      </c>
      <c r="K10" s="3">
        <v>1559.5</v>
      </c>
      <c r="L10" s="2">
        <v>3760341</v>
      </c>
      <c r="M10" s="2">
        <v>7898569012.8999996</v>
      </c>
      <c r="N10" s="2">
        <v>177440</v>
      </c>
      <c r="O10" t="s">
        <v>16</v>
      </c>
    </row>
    <row r="11" spans="1:15" x14ac:dyDescent="0.3">
      <c r="A11" s="1">
        <v>46008</v>
      </c>
      <c r="B11" t="s">
        <v>15</v>
      </c>
      <c r="C11" s="3">
        <v>2117.6</v>
      </c>
      <c r="D11" s="3">
        <v>2128</v>
      </c>
      <c r="E11" s="3">
        <v>2096.4</v>
      </c>
      <c r="F11" s="3">
        <v>2102</v>
      </c>
      <c r="G11" s="3">
        <v>2109</v>
      </c>
      <c r="H11" s="3">
        <v>2108</v>
      </c>
      <c r="I11" s="3">
        <v>2106.48</v>
      </c>
      <c r="J11" s="3">
        <v>2174.5</v>
      </c>
      <c r="K11" s="3">
        <v>1559.5</v>
      </c>
      <c r="L11" s="2">
        <v>6412516</v>
      </c>
      <c r="M11" s="2">
        <v>13507842168</v>
      </c>
      <c r="N11" s="2">
        <v>176177</v>
      </c>
      <c r="O11" t="s">
        <v>16</v>
      </c>
    </row>
    <row r="12" spans="1:15" x14ac:dyDescent="0.3">
      <c r="A12" s="1">
        <v>46007</v>
      </c>
      <c r="B12" t="s">
        <v>15</v>
      </c>
      <c r="C12" s="3">
        <v>2070.1</v>
      </c>
      <c r="D12" s="3">
        <v>2106.6</v>
      </c>
      <c r="E12" s="3">
        <v>2070.1</v>
      </c>
      <c r="F12" s="3">
        <v>2069.6999999999998</v>
      </c>
      <c r="G12" s="3">
        <v>2104.9</v>
      </c>
      <c r="H12" s="3">
        <v>2102</v>
      </c>
      <c r="I12" s="3">
        <v>2097.67</v>
      </c>
      <c r="J12" s="3">
        <v>2174.5</v>
      </c>
      <c r="K12" s="3">
        <v>1559.5</v>
      </c>
      <c r="L12" s="2">
        <v>5756692</v>
      </c>
      <c r="M12" s="2">
        <v>12075653201.700001</v>
      </c>
      <c r="N12" s="2">
        <v>214465</v>
      </c>
      <c r="O12" t="s">
        <v>16</v>
      </c>
    </row>
    <row r="13" spans="1:15" x14ac:dyDescent="0.3">
      <c r="A13" s="1">
        <v>46006</v>
      </c>
      <c r="B13" t="s">
        <v>15</v>
      </c>
      <c r="C13" s="3">
        <v>2070.1</v>
      </c>
      <c r="D13" s="3">
        <v>2078.9</v>
      </c>
      <c r="E13" s="3">
        <v>2061.5</v>
      </c>
      <c r="F13" s="3">
        <v>2083.4</v>
      </c>
      <c r="G13" s="3">
        <v>2072</v>
      </c>
      <c r="H13" s="3">
        <v>2069.6999999999998</v>
      </c>
      <c r="I13" s="3">
        <v>2071.2199999999998</v>
      </c>
      <c r="J13" s="3">
        <v>2174.5</v>
      </c>
      <c r="K13" s="3">
        <v>1559.5</v>
      </c>
      <c r="L13" s="2">
        <v>3233614</v>
      </c>
      <c r="M13" s="2">
        <v>6697521715.6000004</v>
      </c>
      <c r="N13" s="2">
        <v>176973</v>
      </c>
      <c r="O13" t="s">
        <v>16</v>
      </c>
    </row>
    <row r="14" spans="1:15" x14ac:dyDescent="0.3">
      <c r="A14" s="1">
        <v>46003</v>
      </c>
      <c r="B14" t="s">
        <v>15</v>
      </c>
      <c r="C14" s="3">
        <v>2053.1</v>
      </c>
      <c r="D14" s="3">
        <v>2087.1</v>
      </c>
      <c r="E14" s="3">
        <v>2050.6</v>
      </c>
      <c r="F14" s="3">
        <v>2053.1999999999998</v>
      </c>
      <c r="G14" s="3">
        <v>2082.1</v>
      </c>
      <c r="H14" s="3">
        <v>2083.4</v>
      </c>
      <c r="I14" s="3">
        <v>2074.23</v>
      </c>
      <c r="J14" s="3">
        <v>2174.5</v>
      </c>
      <c r="K14" s="3">
        <v>1559.5</v>
      </c>
      <c r="L14" s="2">
        <v>2706420</v>
      </c>
      <c r="M14" s="2">
        <v>5613747141.8999996</v>
      </c>
      <c r="N14" s="2">
        <v>100209</v>
      </c>
      <c r="O14" t="s">
        <v>16</v>
      </c>
    </row>
    <row r="15" spans="1:15" x14ac:dyDescent="0.3">
      <c r="A15" s="1">
        <v>46002</v>
      </c>
      <c r="B15" t="s">
        <v>15</v>
      </c>
      <c r="C15" s="3">
        <v>2066</v>
      </c>
      <c r="D15" s="3">
        <v>2069.1999999999998</v>
      </c>
      <c r="E15" s="3">
        <v>2038</v>
      </c>
      <c r="F15" s="3">
        <v>2067</v>
      </c>
      <c r="G15" s="3">
        <v>2054</v>
      </c>
      <c r="H15" s="3">
        <v>2053.1999999999998</v>
      </c>
      <c r="I15" s="3">
        <v>2051.1</v>
      </c>
      <c r="J15" s="3">
        <v>2174.5</v>
      </c>
      <c r="K15" s="3">
        <v>1559.5</v>
      </c>
      <c r="L15" s="2">
        <v>3254850</v>
      </c>
      <c r="M15" s="2">
        <v>6676036622.1999998</v>
      </c>
      <c r="N15" s="2">
        <v>127700</v>
      </c>
      <c r="O15" t="s">
        <v>16</v>
      </c>
    </row>
    <row r="16" spans="1:15" x14ac:dyDescent="0.3">
      <c r="A16" s="1">
        <v>46001</v>
      </c>
      <c r="B16" t="s">
        <v>15</v>
      </c>
      <c r="C16" s="3">
        <v>2072</v>
      </c>
      <c r="D16" s="3">
        <v>2096.9</v>
      </c>
      <c r="E16" s="3">
        <v>2062.1999999999998</v>
      </c>
      <c r="F16" s="3">
        <v>2089.6999999999998</v>
      </c>
      <c r="G16" s="3">
        <v>2063</v>
      </c>
      <c r="H16" s="3">
        <v>2067</v>
      </c>
      <c r="I16" s="3">
        <v>2076.41</v>
      </c>
      <c r="J16" s="3">
        <v>2174.5</v>
      </c>
      <c r="K16" s="3">
        <v>1559.5</v>
      </c>
      <c r="L16" s="2">
        <v>3987451</v>
      </c>
      <c r="M16" s="2">
        <v>8279599352.8999996</v>
      </c>
      <c r="N16" s="2">
        <v>123385</v>
      </c>
      <c r="O16" t="s">
        <v>16</v>
      </c>
    </row>
    <row r="17" spans="1:15" x14ac:dyDescent="0.3">
      <c r="A17" s="1">
        <v>46000</v>
      </c>
      <c r="B17" t="s">
        <v>15</v>
      </c>
      <c r="C17" s="3">
        <v>2086.8000000000002</v>
      </c>
      <c r="D17" s="3">
        <v>2100.4</v>
      </c>
      <c r="E17" s="3">
        <v>2080.4</v>
      </c>
      <c r="F17" s="3">
        <v>2086.1999999999998</v>
      </c>
      <c r="G17" s="3">
        <v>2087.1</v>
      </c>
      <c r="H17" s="3">
        <v>2089.6999999999998</v>
      </c>
      <c r="I17" s="3">
        <v>2088.41</v>
      </c>
      <c r="J17" s="3">
        <v>2174.5</v>
      </c>
      <c r="K17" s="3">
        <v>1559.5</v>
      </c>
      <c r="L17" s="2">
        <v>5139229</v>
      </c>
      <c r="M17" s="2">
        <v>10732805998.5</v>
      </c>
      <c r="N17" s="2">
        <v>160953</v>
      </c>
      <c r="O17" t="s">
        <v>16</v>
      </c>
    </row>
    <row r="18" spans="1:15" x14ac:dyDescent="0.3">
      <c r="A18" s="1">
        <v>45999</v>
      </c>
      <c r="B18" t="s">
        <v>15</v>
      </c>
      <c r="C18" s="3">
        <v>2114.4</v>
      </c>
      <c r="D18" s="3">
        <v>2114.4</v>
      </c>
      <c r="E18" s="3">
        <v>2078.9</v>
      </c>
      <c r="F18" s="3">
        <v>2108.8000000000002</v>
      </c>
      <c r="G18" s="3">
        <v>2087</v>
      </c>
      <c r="H18" s="3">
        <v>2086.1999999999998</v>
      </c>
      <c r="I18" s="3">
        <v>2090.5100000000002</v>
      </c>
      <c r="J18" s="3">
        <v>2174.5</v>
      </c>
      <c r="K18" s="3">
        <v>1559.5</v>
      </c>
      <c r="L18" s="2">
        <v>4327091</v>
      </c>
      <c r="M18" s="2">
        <v>9045832820.7000008</v>
      </c>
      <c r="N18" s="2">
        <v>172189</v>
      </c>
      <c r="O18" t="s">
        <v>16</v>
      </c>
    </row>
    <row r="19" spans="1:15" x14ac:dyDescent="0.3">
      <c r="A19" s="1">
        <v>45996</v>
      </c>
      <c r="B19" t="s">
        <v>15</v>
      </c>
      <c r="C19" s="3">
        <v>2092.6</v>
      </c>
      <c r="D19" s="3">
        <v>2111.9</v>
      </c>
      <c r="E19" s="3">
        <v>2090</v>
      </c>
      <c r="F19" s="3">
        <v>2103.8000000000002</v>
      </c>
      <c r="G19" s="3">
        <v>2109.8000000000002</v>
      </c>
      <c r="H19" s="3">
        <v>2108.8000000000002</v>
      </c>
      <c r="I19" s="3">
        <v>2101.34</v>
      </c>
      <c r="J19" s="3">
        <v>2174.5</v>
      </c>
      <c r="K19" s="3">
        <v>1559.5</v>
      </c>
      <c r="L19" s="2">
        <v>2938290</v>
      </c>
      <c r="M19" s="2">
        <v>6174337765</v>
      </c>
      <c r="N19" s="2">
        <v>109731</v>
      </c>
      <c r="O19" t="s">
        <v>16</v>
      </c>
    </row>
    <row r="20" spans="1:15" x14ac:dyDescent="0.3">
      <c r="A20" s="1">
        <v>45995</v>
      </c>
      <c r="B20" t="s">
        <v>15</v>
      </c>
      <c r="C20" s="3">
        <v>2094.8000000000002</v>
      </c>
      <c r="D20" s="3">
        <v>2108.5</v>
      </c>
      <c r="E20" s="3">
        <v>2074.1</v>
      </c>
      <c r="F20" s="3">
        <v>2086</v>
      </c>
      <c r="G20" s="3">
        <v>2103</v>
      </c>
      <c r="H20" s="3">
        <v>2103.8000000000002</v>
      </c>
      <c r="I20" s="3">
        <v>2090.4699999999998</v>
      </c>
      <c r="J20" s="3">
        <v>2174.5</v>
      </c>
      <c r="K20" s="3">
        <v>1559.5</v>
      </c>
      <c r="L20" s="2">
        <v>4611819</v>
      </c>
      <c r="M20" s="2">
        <v>9640866601.1000004</v>
      </c>
      <c r="N20" s="2">
        <v>168962</v>
      </c>
      <c r="O20" t="s">
        <v>16</v>
      </c>
    </row>
    <row r="21" spans="1:15" x14ac:dyDescent="0.3">
      <c r="A21" s="1">
        <v>45994</v>
      </c>
      <c r="B21" t="s">
        <v>15</v>
      </c>
      <c r="C21" s="3">
        <v>2100.1</v>
      </c>
      <c r="D21" s="3">
        <v>2109.9</v>
      </c>
      <c r="E21" s="3">
        <v>2081.6</v>
      </c>
      <c r="F21" s="3">
        <v>2104</v>
      </c>
      <c r="G21" s="3">
        <v>2087</v>
      </c>
      <c r="H21" s="3">
        <v>2086</v>
      </c>
      <c r="I21" s="3">
        <v>2088.46</v>
      </c>
      <c r="J21" s="3">
        <v>2174.5</v>
      </c>
      <c r="K21" s="3">
        <v>1559.5</v>
      </c>
      <c r="L21" s="2">
        <v>4357641</v>
      </c>
      <c r="M21" s="2">
        <v>9100769632.7999992</v>
      </c>
      <c r="N21" s="2">
        <v>206107</v>
      </c>
      <c r="O21" t="s">
        <v>16</v>
      </c>
    </row>
    <row r="22" spans="1:15" x14ac:dyDescent="0.3">
      <c r="A22" s="1">
        <v>45993</v>
      </c>
      <c r="B22" t="s">
        <v>15</v>
      </c>
      <c r="C22" s="3">
        <v>2089.8000000000002</v>
      </c>
      <c r="D22" s="3">
        <v>2114.8000000000002</v>
      </c>
      <c r="E22" s="3">
        <v>2087.1</v>
      </c>
      <c r="F22" s="3">
        <v>2089.6999999999998</v>
      </c>
      <c r="G22" s="3">
        <v>2107.8000000000002</v>
      </c>
      <c r="H22" s="3">
        <v>2104</v>
      </c>
      <c r="I22" s="3">
        <v>2102.8200000000002</v>
      </c>
      <c r="J22" s="3">
        <v>2174.5</v>
      </c>
      <c r="K22" s="3">
        <v>1559.5</v>
      </c>
      <c r="L22" s="2">
        <v>6591396</v>
      </c>
      <c r="M22" s="2">
        <v>13860529208.799999</v>
      </c>
      <c r="N22" s="2">
        <v>266344</v>
      </c>
      <c r="O22" t="s">
        <v>16</v>
      </c>
    </row>
    <row r="23" spans="1:15" x14ac:dyDescent="0.3">
      <c r="A23" s="1">
        <v>45992</v>
      </c>
      <c r="B23" t="s">
        <v>15</v>
      </c>
      <c r="C23" s="3">
        <v>2114.6999999999998</v>
      </c>
      <c r="D23" s="3">
        <v>2119</v>
      </c>
      <c r="E23" s="3">
        <v>2083.1</v>
      </c>
      <c r="F23" s="3">
        <v>2101.6</v>
      </c>
      <c r="G23" s="3">
        <v>2090.5</v>
      </c>
      <c r="H23" s="3">
        <v>2089.6999999999998</v>
      </c>
      <c r="I23" s="3">
        <v>2095.86</v>
      </c>
      <c r="J23" s="3">
        <v>2174.5</v>
      </c>
      <c r="K23" s="3">
        <v>1559.5</v>
      </c>
      <c r="L23" s="2">
        <v>5058900</v>
      </c>
      <c r="M23" s="2">
        <v>10602749697.700001</v>
      </c>
      <c r="N23" s="2">
        <v>232889</v>
      </c>
      <c r="O23" t="s">
        <v>16</v>
      </c>
    </row>
    <row r="24" spans="1:15" x14ac:dyDescent="0.3">
      <c r="A24" s="1">
        <v>45989</v>
      </c>
      <c r="B24" t="s">
        <v>15</v>
      </c>
      <c r="C24" s="3">
        <v>2118</v>
      </c>
      <c r="D24" s="3">
        <v>2129.5</v>
      </c>
      <c r="E24" s="3">
        <v>2096.4</v>
      </c>
      <c r="F24" s="3">
        <v>2115.6</v>
      </c>
      <c r="G24" s="3">
        <v>2100</v>
      </c>
      <c r="H24" s="3">
        <v>2101.6</v>
      </c>
      <c r="I24" s="3">
        <v>2105.61</v>
      </c>
      <c r="J24" s="3">
        <v>2174.5</v>
      </c>
      <c r="K24" s="3">
        <v>1551.15</v>
      </c>
      <c r="L24" s="2">
        <v>6263457</v>
      </c>
      <c r="M24" s="2">
        <v>13188376119</v>
      </c>
      <c r="N24" s="2">
        <v>150812</v>
      </c>
      <c r="O24" t="s">
        <v>16</v>
      </c>
    </row>
    <row r="25" spans="1:15" x14ac:dyDescent="0.3">
      <c r="A25" s="1">
        <v>45988</v>
      </c>
      <c r="B25" t="s">
        <v>15</v>
      </c>
      <c r="C25" s="3">
        <v>2132</v>
      </c>
      <c r="D25" s="3">
        <v>2136.9</v>
      </c>
      <c r="E25" s="3">
        <v>2103.8000000000002</v>
      </c>
      <c r="F25" s="3">
        <v>2126.8000000000002</v>
      </c>
      <c r="G25" s="3">
        <v>2118</v>
      </c>
      <c r="H25" s="3">
        <v>2115.6</v>
      </c>
      <c r="I25" s="3">
        <v>2116.63</v>
      </c>
      <c r="J25" s="3">
        <v>2174.5</v>
      </c>
      <c r="K25" s="3">
        <v>1551.15</v>
      </c>
      <c r="L25" s="2">
        <v>4444877</v>
      </c>
      <c r="M25" s="2">
        <v>9408157935.7000008</v>
      </c>
      <c r="N25" s="2">
        <v>154239</v>
      </c>
      <c r="O25" t="s">
        <v>16</v>
      </c>
    </row>
    <row r="26" spans="1:15" x14ac:dyDescent="0.3">
      <c r="A26" s="1">
        <v>45987</v>
      </c>
      <c r="B26" t="s">
        <v>15</v>
      </c>
      <c r="C26" s="3">
        <v>2104</v>
      </c>
      <c r="D26" s="3">
        <v>2134.9</v>
      </c>
      <c r="E26" s="3">
        <v>2097.5</v>
      </c>
      <c r="F26" s="3">
        <v>2161.6</v>
      </c>
      <c r="G26" s="3">
        <v>2127</v>
      </c>
      <c r="H26" s="3">
        <v>2126.8000000000002</v>
      </c>
      <c r="I26" s="3">
        <v>2102.4299999999998</v>
      </c>
      <c r="J26" s="3">
        <v>2174.5</v>
      </c>
      <c r="K26" s="3">
        <v>1551.15</v>
      </c>
      <c r="L26" s="2">
        <v>43174047</v>
      </c>
      <c r="M26" s="2">
        <v>90770524452.100006</v>
      </c>
      <c r="N26" s="2">
        <v>217044</v>
      </c>
      <c r="O26" t="s">
        <v>16</v>
      </c>
    </row>
    <row r="27" spans="1:15" x14ac:dyDescent="0.3">
      <c r="A27" s="1">
        <v>45986</v>
      </c>
      <c r="B27" t="s">
        <v>15</v>
      </c>
      <c r="C27" s="3">
        <v>2159</v>
      </c>
      <c r="D27" s="3">
        <v>2170.6999999999998</v>
      </c>
      <c r="E27" s="3">
        <v>2138.6999999999998</v>
      </c>
      <c r="F27" s="3">
        <v>2152.1</v>
      </c>
      <c r="G27" s="3">
        <v>2156.6</v>
      </c>
      <c r="H27" s="3">
        <v>2161.6</v>
      </c>
      <c r="I27" s="3">
        <v>2159.81</v>
      </c>
      <c r="J27" s="3">
        <v>2174.5</v>
      </c>
      <c r="K27" s="3">
        <v>1551.15</v>
      </c>
      <c r="L27" s="2">
        <v>7102592</v>
      </c>
      <c r="M27" s="2">
        <v>15340216596.700001</v>
      </c>
      <c r="N27" s="2">
        <v>172471</v>
      </c>
      <c r="O27" t="s">
        <v>16</v>
      </c>
    </row>
    <row r="28" spans="1:15" x14ac:dyDescent="0.3">
      <c r="A28" s="1">
        <v>45985</v>
      </c>
      <c r="B28" t="s">
        <v>15</v>
      </c>
      <c r="C28" s="3">
        <v>2162.1</v>
      </c>
      <c r="D28" s="3">
        <v>2165.8000000000002</v>
      </c>
      <c r="E28" s="3">
        <v>2140.4</v>
      </c>
      <c r="F28" s="3">
        <v>2162.6999999999998</v>
      </c>
      <c r="G28" s="3">
        <v>2145</v>
      </c>
      <c r="H28" s="3">
        <v>2152.1</v>
      </c>
      <c r="I28" s="3">
        <v>2154.46</v>
      </c>
      <c r="J28" s="3">
        <v>2174.5</v>
      </c>
      <c r="K28" s="3">
        <v>1551.15</v>
      </c>
      <c r="L28" s="2">
        <v>9686848</v>
      </c>
      <c r="M28" s="2">
        <v>20869887058.200001</v>
      </c>
      <c r="N28" s="2">
        <v>140722</v>
      </c>
      <c r="O28" t="s">
        <v>16</v>
      </c>
    </row>
    <row r="29" spans="1:15" x14ac:dyDescent="0.3">
      <c r="A29" s="1">
        <v>45982</v>
      </c>
      <c r="B29" t="s">
        <v>15</v>
      </c>
      <c r="C29" s="3">
        <v>2150.1</v>
      </c>
      <c r="D29" s="3">
        <v>2174.5</v>
      </c>
      <c r="E29" s="3">
        <v>2148.6</v>
      </c>
      <c r="F29" s="3">
        <v>2158.3000000000002</v>
      </c>
      <c r="G29" s="3">
        <v>2165</v>
      </c>
      <c r="H29" s="3">
        <v>2162.6999999999998</v>
      </c>
      <c r="I29" s="3">
        <v>2162.63</v>
      </c>
      <c r="J29" s="3">
        <v>2174.5</v>
      </c>
      <c r="K29" s="3">
        <v>1511</v>
      </c>
      <c r="L29" s="2">
        <v>6720938</v>
      </c>
      <c r="M29" s="2">
        <v>14534905632.6</v>
      </c>
      <c r="N29" s="2">
        <v>141397</v>
      </c>
      <c r="O29" t="s">
        <v>16</v>
      </c>
    </row>
    <row r="30" spans="1:15" x14ac:dyDescent="0.3">
      <c r="A30" s="1">
        <v>45981</v>
      </c>
      <c r="B30" t="s">
        <v>15</v>
      </c>
      <c r="C30" s="3">
        <v>2153.1</v>
      </c>
      <c r="D30" s="3">
        <v>2169.3000000000002</v>
      </c>
      <c r="E30" s="3">
        <v>2149.9</v>
      </c>
      <c r="F30" s="3">
        <v>2159.8000000000002</v>
      </c>
      <c r="G30" s="3">
        <v>2160</v>
      </c>
      <c r="H30" s="3">
        <v>2158.3000000000002</v>
      </c>
      <c r="I30" s="3">
        <v>2158.31</v>
      </c>
      <c r="J30" s="3">
        <v>2169.3000000000002</v>
      </c>
      <c r="K30" s="3">
        <v>1511</v>
      </c>
      <c r="L30" s="2">
        <v>7452899</v>
      </c>
      <c r="M30" s="2">
        <v>16085671565.6</v>
      </c>
      <c r="N30" s="2">
        <v>151163</v>
      </c>
      <c r="O30" t="s">
        <v>16</v>
      </c>
    </row>
    <row r="31" spans="1:15" x14ac:dyDescent="0.3">
      <c r="A31" s="1">
        <v>45980</v>
      </c>
      <c r="B31" t="s">
        <v>15</v>
      </c>
      <c r="C31" s="3">
        <v>2155</v>
      </c>
      <c r="D31" s="3">
        <v>2166.1999999999998</v>
      </c>
      <c r="E31" s="3">
        <v>2146.6999999999998</v>
      </c>
      <c r="F31" s="3">
        <v>2149.1999999999998</v>
      </c>
      <c r="G31" s="3">
        <v>2160</v>
      </c>
      <c r="H31" s="3">
        <v>2159.8000000000002</v>
      </c>
      <c r="I31" s="3">
        <v>2152.67</v>
      </c>
      <c r="J31" s="3">
        <v>2166.1999999999998</v>
      </c>
      <c r="K31" s="3">
        <v>1511</v>
      </c>
      <c r="L31" s="2">
        <v>7419461</v>
      </c>
      <c r="M31" s="2">
        <v>15971622748.6</v>
      </c>
      <c r="N31" s="2">
        <v>151296</v>
      </c>
      <c r="O31" t="s">
        <v>16</v>
      </c>
    </row>
    <row r="32" spans="1:15" x14ac:dyDescent="0.3">
      <c r="A32" s="1">
        <v>45979</v>
      </c>
      <c r="B32" t="s">
        <v>15</v>
      </c>
      <c r="C32" s="3">
        <v>2122</v>
      </c>
      <c r="D32" s="3">
        <v>2159</v>
      </c>
      <c r="E32" s="3">
        <v>2110.3000000000002</v>
      </c>
      <c r="F32" s="3">
        <v>2112.1999999999998</v>
      </c>
      <c r="G32" s="3">
        <v>2146.1</v>
      </c>
      <c r="H32" s="3">
        <v>2149.1999999999998</v>
      </c>
      <c r="I32" s="3">
        <v>2144.35</v>
      </c>
      <c r="J32" s="3">
        <v>2159</v>
      </c>
      <c r="K32" s="3">
        <v>1511</v>
      </c>
      <c r="L32" s="2">
        <v>10972556</v>
      </c>
      <c r="M32" s="2">
        <v>23528990860.400002</v>
      </c>
      <c r="N32" s="2">
        <v>213187</v>
      </c>
      <c r="O32" t="s">
        <v>16</v>
      </c>
    </row>
    <row r="33" spans="1:15" x14ac:dyDescent="0.3">
      <c r="A33" s="1">
        <v>45978</v>
      </c>
      <c r="B33" t="s">
        <v>15</v>
      </c>
      <c r="C33" s="3">
        <v>2112</v>
      </c>
      <c r="D33" s="3">
        <v>2122</v>
      </c>
      <c r="E33" s="3">
        <v>2100.9</v>
      </c>
      <c r="F33" s="3">
        <v>2100.6999999999998</v>
      </c>
      <c r="G33" s="3">
        <v>2111.3000000000002</v>
      </c>
      <c r="H33" s="3">
        <v>2112.1999999999998</v>
      </c>
      <c r="I33" s="3">
        <v>2113.15</v>
      </c>
      <c r="J33" s="3">
        <v>2135.6</v>
      </c>
      <c r="K33" s="3">
        <v>1511</v>
      </c>
      <c r="L33" s="2">
        <v>5998770</v>
      </c>
      <c r="M33" s="2">
        <v>12676321842.4</v>
      </c>
      <c r="N33" s="2">
        <v>138351</v>
      </c>
      <c r="O33" t="s">
        <v>16</v>
      </c>
    </row>
    <row r="34" spans="1:15" x14ac:dyDescent="0.3">
      <c r="A34" s="1">
        <v>45975</v>
      </c>
      <c r="B34" t="s">
        <v>15</v>
      </c>
      <c r="C34" s="3">
        <v>2090</v>
      </c>
      <c r="D34" s="3">
        <v>2107.9</v>
      </c>
      <c r="E34" s="3">
        <v>2081.9</v>
      </c>
      <c r="F34" s="3">
        <v>2091.8000000000002</v>
      </c>
      <c r="G34" s="3">
        <v>2096.8000000000002</v>
      </c>
      <c r="H34" s="3">
        <v>2100.6999999999998</v>
      </c>
      <c r="I34" s="3">
        <v>2090.0700000000002</v>
      </c>
      <c r="J34" s="3">
        <v>2135.6</v>
      </c>
      <c r="K34" s="3">
        <v>1511</v>
      </c>
      <c r="L34" s="2">
        <v>6312655</v>
      </c>
      <c r="M34" s="2">
        <v>13193910899.9</v>
      </c>
      <c r="N34" s="2">
        <v>209996</v>
      </c>
      <c r="O34" t="s">
        <v>16</v>
      </c>
    </row>
    <row r="35" spans="1:15" x14ac:dyDescent="0.3">
      <c r="A35" s="1">
        <v>45974</v>
      </c>
      <c r="B35" t="s">
        <v>15</v>
      </c>
      <c r="C35" s="3">
        <v>2099.9</v>
      </c>
      <c r="D35" s="3">
        <v>2107</v>
      </c>
      <c r="E35" s="3">
        <v>2079</v>
      </c>
      <c r="F35" s="3">
        <v>2073.8000000000002</v>
      </c>
      <c r="G35" s="3">
        <v>2093</v>
      </c>
      <c r="H35" s="3">
        <v>2091.8000000000002</v>
      </c>
      <c r="I35" s="3">
        <v>2093.54</v>
      </c>
      <c r="J35" s="3">
        <v>2135.6</v>
      </c>
      <c r="K35" s="3">
        <v>1511</v>
      </c>
      <c r="L35" s="2">
        <v>5958875</v>
      </c>
      <c r="M35" s="2">
        <v>12475113933.4</v>
      </c>
      <c r="N35" s="2">
        <v>167057</v>
      </c>
      <c r="O35" t="s">
        <v>16</v>
      </c>
    </row>
    <row r="36" spans="1:15" x14ac:dyDescent="0.3">
      <c r="A36" s="1">
        <v>45973</v>
      </c>
      <c r="B36" t="s">
        <v>15</v>
      </c>
      <c r="C36" s="3">
        <v>2060</v>
      </c>
      <c r="D36" s="3">
        <v>2079.8000000000002</v>
      </c>
      <c r="E36" s="3">
        <v>2054.9</v>
      </c>
      <c r="F36" s="3">
        <v>2042.3</v>
      </c>
      <c r="G36" s="3">
        <v>2077.9</v>
      </c>
      <c r="H36" s="3">
        <v>2073.8000000000002</v>
      </c>
      <c r="I36" s="3">
        <v>2070.4</v>
      </c>
      <c r="J36" s="3">
        <v>2135.6</v>
      </c>
      <c r="K36" s="3">
        <v>1511</v>
      </c>
      <c r="L36" s="2">
        <v>8210277</v>
      </c>
      <c r="M36" s="2">
        <v>16998543806.700001</v>
      </c>
      <c r="N36" s="2">
        <v>196315</v>
      </c>
      <c r="O36" t="s">
        <v>16</v>
      </c>
    </row>
    <row r="37" spans="1:15" x14ac:dyDescent="0.3">
      <c r="A37" s="1">
        <v>45972</v>
      </c>
      <c r="B37" t="s">
        <v>15</v>
      </c>
      <c r="C37" s="3">
        <v>2020.1</v>
      </c>
      <c r="D37" s="3">
        <v>2056.9</v>
      </c>
      <c r="E37" s="3">
        <v>2017.4</v>
      </c>
      <c r="F37" s="3">
        <v>2019.8</v>
      </c>
      <c r="G37" s="3">
        <v>2044.5</v>
      </c>
      <c r="H37" s="3">
        <v>2042.3</v>
      </c>
      <c r="I37" s="3">
        <v>2043.06</v>
      </c>
      <c r="J37" s="3">
        <v>2135.6</v>
      </c>
      <c r="K37" s="3">
        <v>1511</v>
      </c>
      <c r="L37" s="2">
        <v>14825625</v>
      </c>
      <c r="M37" s="2">
        <v>30289652182.700001</v>
      </c>
      <c r="N37" s="2">
        <v>314436</v>
      </c>
      <c r="O37" t="s">
        <v>16</v>
      </c>
    </row>
    <row r="38" spans="1:15" x14ac:dyDescent="0.3">
      <c r="A38" s="1">
        <v>45971</v>
      </c>
      <c r="B38" t="s">
        <v>15</v>
      </c>
      <c r="C38" s="3">
        <v>1995</v>
      </c>
      <c r="D38" s="3">
        <v>2028.8</v>
      </c>
      <c r="E38" s="3">
        <v>1992.2</v>
      </c>
      <c r="F38" s="3">
        <v>2001.2</v>
      </c>
      <c r="G38" s="3">
        <v>2020.5</v>
      </c>
      <c r="H38" s="3">
        <v>2019.8</v>
      </c>
      <c r="I38" s="3">
        <v>2017.05</v>
      </c>
      <c r="J38" s="3">
        <v>2135.6</v>
      </c>
      <c r="K38" s="3">
        <v>1511</v>
      </c>
      <c r="L38" s="2">
        <v>7457061</v>
      </c>
      <c r="M38" s="2">
        <v>15041281563.9</v>
      </c>
      <c r="N38" s="2">
        <v>158704</v>
      </c>
      <c r="O38" t="s">
        <v>16</v>
      </c>
    </row>
    <row r="39" spans="1:15" x14ac:dyDescent="0.3">
      <c r="A39" s="1">
        <v>45968</v>
      </c>
      <c r="B39" t="s">
        <v>15</v>
      </c>
      <c r="C39" s="3">
        <v>2048</v>
      </c>
      <c r="D39" s="3">
        <v>2048</v>
      </c>
      <c r="E39" s="3">
        <v>1995.6</v>
      </c>
      <c r="F39" s="3">
        <v>2094.9</v>
      </c>
      <c r="G39" s="3">
        <v>2001.5</v>
      </c>
      <c r="H39" s="3">
        <v>2001.2</v>
      </c>
      <c r="I39" s="3">
        <v>2025.7</v>
      </c>
      <c r="J39" s="3">
        <v>2135.6</v>
      </c>
      <c r="K39" s="3">
        <v>1511</v>
      </c>
      <c r="L39" s="2">
        <v>70392750</v>
      </c>
      <c r="M39" s="2">
        <v>142594915349.89999</v>
      </c>
      <c r="N39" s="2">
        <v>260133</v>
      </c>
      <c r="O39" t="s">
        <v>16</v>
      </c>
    </row>
    <row r="40" spans="1:15" x14ac:dyDescent="0.3">
      <c r="A40" s="1">
        <v>45967</v>
      </c>
      <c r="B40" t="s">
        <v>15</v>
      </c>
      <c r="C40" s="3">
        <v>2115</v>
      </c>
      <c r="D40" s="3">
        <v>2123.3000000000002</v>
      </c>
      <c r="E40" s="3">
        <v>2080.5</v>
      </c>
      <c r="F40" s="3">
        <v>2113.3000000000002</v>
      </c>
      <c r="G40" s="3">
        <v>2095</v>
      </c>
      <c r="H40" s="3">
        <v>2094.9</v>
      </c>
      <c r="I40" s="3">
        <v>2103.02</v>
      </c>
      <c r="J40" s="3">
        <v>2135.6</v>
      </c>
      <c r="K40" s="3">
        <v>1511</v>
      </c>
      <c r="L40" s="2">
        <v>9546299</v>
      </c>
      <c r="M40" s="2">
        <v>20076041845.400002</v>
      </c>
      <c r="N40" s="2">
        <v>327497</v>
      </c>
      <c r="O40" t="s">
        <v>16</v>
      </c>
    </row>
    <row r="41" spans="1:15" x14ac:dyDescent="0.3">
      <c r="A41" s="1">
        <v>45965</v>
      </c>
      <c r="B41" t="s">
        <v>15</v>
      </c>
      <c r="C41" s="3">
        <v>2107</v>
      </c>
      <c r="D41" s="3">
        <v>2135.6</v>
      </c>
      <c r="E41" s="3">
        <v>2103.5</v>
      </c>
      <c r="F41" s="3">
        <v>2074</v>
      </c>
      <c r="G41" s="3">
        <v>2110</v>
      </c>
      <c r="H41" s="3">
        <v>2113.3000000000002</v>
      </c>
      <c r="I41" s="3">
        <v>2118.36</v>
      </c>
      <c r="J41" s="3">
        <v>2135.6</v>
      </c>
      <c r="K41" s="3">
        <v>1511</v>
      </c>
      <c r="L41" s="2">
        <v>12263078</v>
      </c>
      <c r="M41" s="2">
        <v>25977570895.900002</v>
      </c>
      <c r="N41" s="2">
        <v>316732</v>
      </c>
      <c r="O41" t="s">
        <v>16</v>
      </c>
    </row>
    <row r="42" spans="1:15" x14ac:dyDescent="0.3">
      <c r="A42" s="1">
        <v>45964</v>
      </c>
      <c r="B42" t="s">
        <v>15</v>
      </c>
      <c r="C42" s="3">
        <v>2055</v>
      </c>
      <c r="D42" s="3">
        <v>2081</v>
      </c>
      <c r="E42" s="3">
        <v>2047.2</v>
      </c>
      <c r="F42" s="3">
        <v>2054.5</v>
      </c>
      <c r="G42" s="3">
        <v>2077</v>
      </c>
      <c r="H42" s="3">
        <v>2074</v>
      </c>
      <c r="I42" s="3">
        <v>2063.7399999999998</v>
      </c>
      <c r="J42" s="3">
        <v>2110.4</v>
      </c>
      <c r="K42" s="3">
        <v>1511</v>
      </c>
      <c r="L42" s="2">
        <v>2979629</v>
      </c>
      <c r="M42" s="2">
        <v>6149184487.3000002</v>
      </c>
      <c r="N42" s="2">
        <v>137662</v>
      </c>
      <c r="O42" t="s">
        <v>16</v>
      </c>
    </row>
    <row r="43" spans="1:15" x14ac:dyDescent="0.3">
      <c r="A43" s="1">
        <v>45961</v>
      </c>
      <c r="B43" t="s">
        <v>15</v>
      </c>
      <c r="C43" s="3">
        <v>2056</v>
      </c>
      <c r="D43" s="3">
        <v>2073.8000000000002</v>
      </c>
      <c r="E43" s="3">
        <v>2051.6999999999998</v>
      </c>
      <c r="F43" s="3">
        <v>2066.3000000000002</v>
      </c>
      <c r="G43" s="3">
        <v>2061.3000000000002</v>
      </c>
      <c r="H43" s="3">
        <v>2054.5</v>
      </c>
      <c r="I43" s="3">
        <v>2059.64</v>
      </c>
      <c r="J43" s="3">
        <v>2110.4</v>
      </c>
      <c r="K43" s="3">
        <v>1511</v>
      </c>
      <c r="L43" s="2">
        <v>4659723</v>
      </c>
      <c r="M43" s="2">
        <v>9597365272.2999992</v>
      </c>
      <c r="N43" s="2">
        <v>168898</v>
      </c>
      <c r="O43" t="s">
        <v>16</v>
      </c>
    </row>
    <row r="44" spans="1:15" x14ac:dyDescent="0.3">
      <c r="A44" s="1">
        <v>45960</v>
      </c>
      <c r="B44" t="s">
        <v>15</v>
      </c>
      <c r="C44" s="3">
        <v>2070</v>
      </c>
      <c r="D44" s="3">
        <v>2088</v>
      </c>
      <c r="E44" s="3">
        <v>2058.6</v>
      </c>
      <c r="F44" s="3">
        <v>2100.6</v>
      </c>
      <c r="G44" s="3">
        <v>2069</v>
      </c>
      <c r="H44" s="3">
        <v>2066.3000000000002</v>
      </c>
      <c r="I44" s="3">
        <v>2066.87</v>
      </c>
      <c r="J44" s="3">
        <v>2110.4</v>
      </c>
      <c r="K44" s="3">
        <v>1511</v>
      </c>
      <c r="L44" s="2">
        <v>4222189</v>
      </c>
      <c r="M44" s="2">
        <v>8726723356.2000008</v>
      </c>
      <c r="N44" s="2">
        <v>228047</v>
      </c>
      <c r="O44" t="s">
        <v>16</v>
      </c>
    </row>
    <row r="45" spans="1:15" x14ac:dyDescent="0.3">
      <c r="A45" s="1">
        <v>45959</v>
      </c>
      <c r="B45" t="s">
        <v>15</v>
      </c>
      <c r="C45" s="3">
        <v>2083</v>
      </c>
      <c r="D45" s="3">
        <v>2110.4</v>
      </c>
      <c r="E45" s="3">
        <v>2081.6</v>
      </c>
      <c r="F45" s="3">
        <v>2090.1999999999998</v>
      </c>
      <c r="G45" s="3">
        <v>2100</v>
      </c>
      <c r="H45" s="3">
        <v>2100.6</v>
      </c>
      <c r="I45" s="3">
        <v>2098.48</v>
      </c>
      <c r="J45" s="3">
        <v>2110.4</v>
      </c>
      <c r="K45" s="3">
        <v>1511</v>
      </c>
      <c r="L45" s="2">
        <v>2742750</v>
      </c>
      <c r="M45" s="2">
        <v>5755608868</v>
      </c>
      <c r="N45" s="2">
        <v>137123</v>
      </c>
      <c r="O45" t="s">
        <v>16</v>
      </c>
    </row>
    <row r="46" spans="1:15" x14ac:dyDescent="0.3">
      <c r="A46" s="1">
        <v>45958</v>
      </c>
      <c r="B46" t="s">
        <v>15</v>
      </c>
      <c r="C46" s="3">
        <v>2092</v>
      </c>
      <c r="D46" s="3">
        <v>2102.6</v>
      </c>
      <c r="E46" s="3">
        <v>2071.6999999999998</v>
      </c>
      <c r="F46" s="3">
        <v>2080.1</v>
      </c>
      <c r="G46" s="3">
        <v>2088</v>
      </c>
      <c r="H46" s="3">
        <v>2090.1999999999998</v>
      </c>
      <c r="I46" s="3">
        <v>2089.7199999999998</v>
      </c>
      <c r="J46" s="3">
        <v>2102.6</v>
      </c>
      <c r="K46" s="3">
        <v>1511</v>
      </c>
      <c r="L46" s="2">
        <v>9891522</v>
      </c>
      <c r="M46" s="2">
        <v>20670514955.200001</v>
      </c>
      <c r="N46" s="2">
        <v>262444</v>
      </c>
      <c r="O46" t="s">
        <v>16</v>
      </c>
    </row>
    <row r="47" spans="1:15" x14ac:dyDescent="0.3">
      <c r="A47" s="1">
        <v>45957</v>
      </c>
      <c r="B47" t="s">
        <v>15</v>
      </c>
      <c r="C47" s="3">
        <v>2030</v>
      </c>
      <c r="D47" s="3">
        <v>2094</v>
      </c>
      <c r="E47" s="3">
        <v>2030</v>
      </c>
      <c r="F47" s="3">
        <v>2029.3</v>
      </c>
      <c r="G47" s="3">
        <v>2083</v>
      </c>
      <c r="H47" s="3">
        <v>2080.1</v>
      </c>
      <c r="I47" s="3">
        <v>2078.5300000000002</v>
      </c>
      <c r="J47" s="3">
        <v>2094</v>
      </c>
      <c r="K47" s="3">
        <v>1511</v>
      </c>
      <c r="L47" s="2">
        <v>5796831</v>
      </c>
      <c r="M47" s="2">
        <v>12048905188.6</v>
      </c>
      <c r="N47" s="2">
        <v>187130</v>
      </c>
      <c r="O47" t="s">
        <v>16</v>
      </c>
    </row>
    <row r="48" spans="1:15" x14ac:dyDescent="0.3">
      <c r="A48" s="1">
        <v>45954</v>
      </c>
      <c r="B48" t="s">
        <v>15</v>
      </c>
      <c r="C48" s="3">
        <v>2008</v>
      </c>
      <c r="D48" s="3">
        <v>2033</v>
      </c>
      <c r="E48" s="3">
        <v>2006.9</v>
      </c>
      <c r="F48" s="3">
        <v>2007.9</v>
      </c>
      <c r="G48" s="3">
        <v>2028</v>
      </c>
      <c r="H48" s="3">
        <v>2029.3</v>
      </c>
      <c r="I48" s="3">
        <v>2024.56</v>
      </c>
      <c r="J48" s="3">
        <v>2067</v>
      </c>
      <c r="K48" s="3">
        <v>1511</v>
      </c>
      <c r="L48" s="2">
        <v>3236799</v>
      </c>
      <c r="M48" s="2">
        <v>6553106604.6000004</v>
      </c>
      <c r="N48" s="2">
        <v>166105</v>
      </c>
      <c r="O48" t="s">
        <v>16</v>
      </c>
    </row>
    <row r="49" spans="1:15" x14ac:dyDescent="0.3">
      <c r="A49" s="1">
        <v>45953</v>
      </c>
      <c r="B49" t="s">
        <v>15</v>
      </c>
      <c r="C49" s="3">
        <v>2063.9</v>
      </c>
      <c r="D49" s="3">
        <v>2067</v>
      </c>
      <c r="E49" s="3">
        <v>2003.6</v>
      </c>
      <c r="F49" s="3">
        <v>2043.5</v>
      </c>
      <c r="G49" s="3">
        <v>2009.9</v>
      </c>
      <c r="H49" s="3">
        <v>2007.9</v>
      </c>
      <c r="I49" s="3">
        <v>2023.86</v>
      </c>
      <c r="J49" s="3">
        <v>2067</v>
      </c>
      <c r="K49" s="3">
        <v>1511</v>
      </c>
      <c r="L49" s="2">
        <v>8790128</v>
      </c>
      <c r="M49" s="2">
        <v>17789960867.900002</v>
      </c>
      <c r="N49" s="2">
        <v>296341</v>
      </c>
      <c r="O49" t="s">
        <v>16</v>
      </c>
    </row>
    <row r="50" spans="1:15" x14ac:dyDescent="0.3">
      <c r="A50" s="1">
        <v>45951</v>
      </c>
      <c r="B50" t="s">
        <v>15</v>
      </c>
      <c r="C50" s="3">
        <v>2051.8000000000002</v>
      </c>
      <c r="D50" s="3">
        <v>2058.5</v>
      </c>
      <c r="E50" s="3">
        <v>2038.5</v>
      </c>
      <c r="F50" s="3">
        <v>2051.5</v>
      </c>
      <c r="G50" s="3">
        <v>2041.6</v>
      </c>
      <c r="H50" s="3">
        <v>2043.5</v>
      </c>
      <c r="I50" s="3">
        <v>2045.3</v>
      </c>
      <c r="J50" s="3">
        <v>2058.5</v>
      </c>
      <c r="K50" s="3">
        <v>1511</v>
      </c>
      <c r="L50" s="2">
        <v>240850</v>
      </c>
      <c r="M50" s="2">
        <v>492610681.5</v>
      </c>
      <c r="N50" s="2">
        <v>21615</v>
      </c>
      <c r="O50" t="s">
        <v>16</v>
      </c>
    </row>
    <row r="51" spans="1:15" x14ac:dyDescent="0.3">
      <c r="A51" s="1">
        <v>45950</v>
      </c>
      <c r="B51" t="s">
        <v>15</v>
      </c>
      <c r="C51" s="3">
        <v>2026</v>
      </c>
      <c r="D51" s="3">
        <v>2057</v>
      </c>
      <c r="E51" s="3">
        <v>2019.7</v>
      </c>
      <c r="F51" s="3">
        <v>2012</v>
      </c>
      <c r="G51" s="3">
        <v>2050</v>
      </c>
      <c r="H51" s="3">
        <v>2051.5</v>
      </c>
      <c r="I51" s="3">
        <v>2042.87</v>
      </c>
      <c r="J51" s="3">
        <v>2057</v>
      </c>
      <c r="K51" s="3">
        <v>1511</v>
      </c>
      <c r="L51" s="2">
        <v>7387180</v>
      </c>
      <c r="M51" s="2">
        <v>15091064288.200001</v>
      </c>
      <c r="N51" s="2">
        <v>225566</v>
      </c>
      <c r="O51" t="s">
        <v>16</v>
      </c>
    </row>
    <row r="52" spans="1:15" x14ac:dyDescent="0.3">
      <c r="A52" s="1">
        <v>45947</v>
      </c>
      <c r="B52" t="s">
        <v>15</v>
      </c>
      <c r="C52" s="3">
        <v>1973.6</v>
      </c>
      <c r="D52" s="3">
        <v>2034.3</v>
      </c>
      <c r="E52" s="3">
        <v>1970.3</v>
      </c>
      <c r="F52" s="3">
        <v>1967.4</v>
      </c>
      <c r="G52" s="3">
        <v>2012.9</v>
      </c>
      <c r="H52" s="3">
        <v>2012</v>
      </c>
      <c r="I52" s="3">
        <v>2013.74</v>
      </c>
      <c r="J52" s="3">
        <v>2045.8</v>
      </c>
      <c r="K52" s="3">
        <v>1511</v>
      </c>
      <c r="L52" s="2">
        <v>6743801</v>
      </c>
      <c r="M52" s="2">
        <v>13580290074.700001</v>
      </c>
      <c r="N52" s="2">
        <v>202098</v>
      </c>
      <c r="O52" t="s">
        <v>16</v>
      </c>
    </row>
    <row r="53" spans="1:15" x14ac:dyDescent="0.3">
      <c r="A53" s="1">
        <v>45946</v>
      </c>
      <c r="B53" t="s">
        <v>15</v>
      </c>
      <c r="C53" s="3">
        <v>1962.3</v>
      </c>
      <c r="D53" s="3">
        <v>1986.9</v>
      </c>
      <c r="E53" s="3">
        <v>1962</v>
      </c>
      <c r="F53" s="3">
        <v>1968.5</v>
      </c>
      <c r="G53" s="3">
        <v>1970.2</v>
      </c>
      <c r="H53" s="3">
        <v>1967.4</v>
      </c>
      <c r="I53" s="3">
        <v>1973.83</v>
      </c>
      <c r="J53" s="3">
        <v>2045.8</v>
      </c>
      <c r="K53" s="3">
        <v>1511</v>
      </c>
      <c r="L53" s="2">
        <v>3700674</v>
      </c>
      <c r="M53" s="2">
        <v>7304500778.6999998</v>
      </c>
      <c r="N53" s="2">
        <v>246779</v>
      </c>
      <c r="O53" t="s">
        <v>16</v>
      </c>
    </row>
    <row r="54" spans="1:15" x14ac:dyDescent="0.3">
      <c r="A54" s="1">
        <v>45945</v>
      </c>
      <c r="B54" t="s">
        <v>15</v>
      </c>
      <c r="C54" s="3">
        <v>1957.2</v>
      </c>
      <c r="D54" s="3">
        <v>1976</v>
      </c>
      <c r="E54" s="3">
        <v>1951.6</v>
      </c>
      <c r="F54" s="3">
        <v>1946.6</v>
      </c>
      <c r="G54" s="3">
        <v>1967</v>
      </c>
      <c r="H54" s="3">
        <v>1968.5</v>
      </c>
      <c r="I54" s="3">
        <v>1965.08</v>
      </c>
      <c r="J54" s="3">
        <v>2045.8</v>
      </c>
      <c r="K54" s="3">
        <v>1511</v>
      </c>
      <c r="L54" s="2">
        <v>3447352</v>
      </c>
      <c r="M54" s="2">
        <v>6774313245.8000002</v>
      </c>
      <c r="N54" s="2">
        <v>132066</v>
      </c>
      <c r="O54" t="s">
        <v>16</v>
      </c>
    </row>
    <row r="55" spans="1:15" x14ac:dyDescent="0.3">
      <c r="A55" s="1">
        <v>45944</v>
      </c>
      <c r="B55" t="s">
        <v>15</v>
      </c>
      <c r="C55" s="3">
        <v>1964</v>
      </c>
      <c r="D55" s="3">
        <v>1964</v>
      </c>
      <c r="E55" s="3">
        <v>1939.2</v>
      </c>
      <c r="F55" s="3">
        <v>1954.9</v>
      </c>
      <c r="G55" s="3">
        <v>1948.2</v>
      </c>
      <c r="H55" s="3">
        <v>1946.6</v>
      </c>
      <c r="I55" s="3">
        <v>1948.36</v>
      </c>
      <c r="J55" s="3">
        <v>2045.8</v>
      </c>
      <c r="K55" s="3">
        <v>1511</v>
      </c>
      <c r="L55" s="2">
        <v>4454239</v>
      </c>
      <c r="M55" s="2">
        <v>8678447974.6000004</v>
      </c>
      <c r="N55" s="2">
        <v>115211</v>
      </c>
      <c r="O55" t="s">
        <v>16</v>
      </c>
    </row>
    <row r="56" spans="1:15" x14ac:dyDescent="0.3">
      <c r="A56" s="1">
        <v>45943</v>
      </c>
      <c r="B56" t="s">
        <v>15</v>
      </c>
      <c r="C56" s="3">
        <v>1937.9</v>
      </c>
      <c r="D56" s="3">
        <v>1965.9</v>
      </c>
      <c r="E56" s="3">
        <v>1936</v>
      </c>
      <c r="F56" s="3">
        <v>1939.9</v>
      </c>
      <c r="G56" s="3">
        <v>1955</v>
      </c>
      <c r="H56" s="3">
        <v>1954.9</v>
      </c>
      <c r="I56" s="3">
        <v>1955.22</v>
      </c>
      <c r="J56" s="3">
        <v>2045.8</v>
      </c>
      <c r="K56" s="3">
        <v>1511</v>
      </c>
      <c r="L56" s="2">
        <v>3672419</v>
      </c>
      <c r="M56" s="2">
        <v>7180372108.1000004</v>
      </c>
      <c r="N56" s="2">
        <v>134124</v>
      </c>
      <c r="O56" t="s">
        <v>16</v>
      </c>
    </row>
    <row r="57" spans="1:15" x14ac:dyDescent="0.3">
      <c r="A57" s="1">
        <v>45940</v>
      </c>
      <c r="B57" t="s">
        <v>15</v>
      </c>
      <c r="C57" s="3">
        <v>1937</v>
      </c>
      <c r="D57" s="3">
        <v>1947.6</v>
      </c>
      <c r="E57" s="3">
        <v>1935.4</v>
      </c>
      <c r="F57" s="3">
        <v>1942</v>
      </c>
      <c r="G57" s="3">
        <v>1940</v>
      </c>
      <c r="H57" s="3">
        <v>1939.9</v>
      </c>
      <c r="I57" s="3">
        <v>1940.42</v>
      </c>
      <c r="J57" s="3">
        <v>2045.8</v>
      </c>
      <c r="K57" s="3">
        <v>1511</v>
      </c>
      <c r="L57" s="2">
        <v>2512581</v>
      </c>
      <c r="M57" s="2">
        <v>4875455292.6000004</v>
      </c>
      <c r="N57" s="2">
        <v>100319</v>
      </c>
      <c r="O57" t="s">
        <v>16</v>
      </c>
    </row>
    <row r="58" spans="1:15" x14ac:dyDescent="0.3">
      <c r="A58" s="1">
        <v>45939</v>
      </c>
      <c r="B58" t="s">
        <v>15</v>
      </c>
      <c r="C58" s="3">
        <v>1945</v>
      </c>
      <c r="D58" s="3">
        <v>1948.8</v>
      </c>
      <c r="E58" s="3">
        <v>1931.3</v>
      </c>
      <c r="F58" s="3">
        <v>1943.5</v>
      </c>
      <c r="G58" s="3">
        <v>1941</v>
      </c>
      <c r="H58" s="3">
        <v>1942</v>
      </c>
      <c r="I58" s="3">
        <v>1940.57</v>
      </c>
      <c r="J58" s="3">
        <v>2045.8</v>
      </c>
      <c r="K58" s="3">
        <v>1511</v>
      </c>
      <c r="L58" s="2">
        <v>3945737</v>
      </c>
      <c r="M58" s="2">
        <v>7656969690.1999998</v>
      </c>
      <c r="N58" s="2">
        <v>123955</v>
      </c>
      <c r="O58" t="s">
        <v>16</v>
      </c>
    </row>
    <row r="59" spans="1:15" x14ac:dyDescent="0.3">
      <c r="A59" s="1">
        <v>45938</v>
      </c>
      <c r="B59" t="s">
        <v>15</v>
      </c>
      <c r="C59" s="3">
        <v>1929</v>
      </c>
      <c r="D59" s="3">
        <v>1962.6</v>
      </c>
      <c r="E59" s="3">
        <v>1927.6</v>
      </c>
      <c r="F59" s="3">
        <v>1929</v>
      </c>
      <c r="G59" s="3">
        <v>1939</v>
      </c>
      <c r="H59" s="3">
        <v>1943.5</v>
      </c>
      <c r="I59" s="3">
        <v>1945.68</v>
      </c>
      <c r="J59" s="3">
        <v>2045.8</v>
      </c>
      <c r="K59" s="3">
        <v>1511</v>
      </c>
      <c r="L59" s="2">
        <v>4957406</v>
      </c>
      <c r="M59" s="2">
        <v>9645507545.2000008</v>
      </c>
      <c r="N59" s="2">
        <v>189526</v>
      </c>
      <c r="O59" t="s">
        <v>16</v>
      </c>
    </row>
    <row r="60" spans="1:15" x14ac:dyDescent="0.3">
      <c r="A60" s="1">
        <v>45937</v>
      </c>
      <c r="B60" t="s">
        <v>15</v>
      </c>
      <c r="C60" s="3">
        <v>1900</v>
      </c>
      <c r="D60" s="3">
        <v>1946</v>
      </c>
      <c r="E60" s="3">
        <v>1900</v>
      </c>
      <c r="F60" s="3">
        <v>1903.1</v>
      </c>
      <c r="G60" s="3">
        <v>1928.8</v>
      </c>
      <c r="H60" s="3">
        <v>1929</v>
      </c>
      <c r="I60" s="3">
        <v>1928.23</v>
      </c>
      <c r="J60" s="3">
        <v>2045.8</v>
      </c>
      <c r="K60" s="3">
        <v>1511</v>
      </c>
      <c r="L60" s="2">
        <v>5713060</v>
      </c>
      <c r="M60" s="2">
        <v>11016084010</v>
      </c>
      <c r="N60" s="2">
        <v>176001</v>
      </c>
      <c r="O60" t="s">
        <v>16</v>
      </c>
    </row>
    <row r="61" spans="1:15" x14ac:dyDescent="0.3">
      <c r="A61" s="1">
        <v>45936</v>
      </c>
      <c r="B61" t="s">
        <v>15</v>
      </c>
      <c r="C61" s="3">
        <v>1892.6</v>
      </c>
      <c r="D61" s="3">
        <v>1907</v>
      </c>
      <c r="E61" s="3">
        <v>1887.5</v>
      </c>
      <c r="F61" s="3">
        <v>1896.7</v>
      </c>
      <c r="G61" s="3">
        <v>1901.9</v>
      </c>
      <c r="H61" s="3">
        <v>1903.1</v>
      </c>
      <c r="I61" s="3">
        <v>1898.12</v>
      </c>
      <c r="J61" s="3">
        <v>2045.8</v>
      </c>
      <c r="K61" s="3">
        <v>1511</v>
      </c>
      <c r="L61" s="2">
        <v>2809218</v>
      </c>
      <c r="M61" s="2">
        <v>5332230593.8999996</v>
      </c>
      <c r="N61" s="2">
        <v>125866</v>
      </c>
      <c r="O61" t="s">
        <v>16</v>
      </c>
    </row>
    <row r="62" spans="1:15" x14ac:dyDescent="0.3">
      <c r="A62" s="1">
        <v>45933</v>
      </c>
      <c r="B62" t="s">
        <v>15</v>
      </c>
      <c r="C62" s="3">
        <v>1851.2</v>
      </c>
      <c r="D62" s="3">
        <v>1900.3</v>
      </c>
      <c r="E62" s="3">
        <v>1848.1</v>
      </c>
      <c r="F62" s="3">
        <v>1867.6</v>
      </c>
      <c r="G62" s="3">
        <v>1896.9</v>
      </c>
      <c r="H62" s="3">
        <v>1896.7</v>
      </c>
      <c r="I62" s="3">
        <v>1880.95</v>
      </c>
      <c r="J62" s="3">
        <v>2045.8</v>
      </c>
      <c r="K62" s="3">
        <v>1511</v>
      </c>
      <c r="L62" s="2">
        <v>5828332</v>
      </c>
      <c r="M62" s="2">
        <v>10962776533</v>
      </c>
      <c r="N62" s="2">
        <v>177774</v>
      </c>
      <c r="O62" t="s">
        <v>16</v>
      </c>
    </row>
    <row r="63" spans="1:15" x14ac:dyDescent="0.3">
      <c r="A63" s="1">
        <v>45931</v>
      </c>
      <c r="B63" t="s">
        <v>15</v>
      </c>
      <c r="C63" s="3">
        <v>1868</v>
      </c>
      <c r="D63" s="3">
        <v>1877</v>
      </c>
      <c r="E63" s="3">
        <v>1855.9</v>
      </c>
      <c r="F63" s="3">
        <v>1878.4</v>
      </c>
      <c r="G63" s="3">
        <v>1869.5</v>
      </c>
      <c r="H63" s="3">
        <v>1867.6</v>
      </c>
      <c r="I63" s="3">
        <v>1866.91</v>
      </c>
      <c r="J63" s="3">
        <v>2045.8</v>
      </c>
      <c r="K63" s="3">
        <v>1511</v>
      </c>
      <c r="L63" s="2">
        <v>5675393</v>
      </c>
      <c r="M63" s="2">
        <v>10595421987.799999</v>
      </c>
      <c r="N63" s="2">
        <v>158923</v>
      </c>
      <c r="O63" t="s">
        <v>16</v>
      </c>
    </row>
    <row r="64" spans="1:15" x14ac:dyDescent="0.3">
      <c r="A64" s="1">
        <v>45930</v>
      </c>
      <c r="B64" t="s">
        <v>15</v>
      </c>
      <c r="C64" s="3">
        <v>1896</v>
      </c>
      <c r="D64" s="3">
        <v>1907.6</v>
      </c>
      <c r="E64" s="3">
        <v>1875.2</v>
      </c>
      <c r="F64" s="3">
        <v>1902.2</v>
      </c>
      <c r="G64" s="3">
        <v>1883</v>
      </c>
      <c r="H64" s="3">
        <v>1878.4</v>
      </c>
      <c r="I64" s="3">
        <v>1886.43</v>
      </c>
      <c r="J64" s="3">
        <v>2045.8</v>
      </c>
      <c r="K64" s="3">
        <v>1511</v>
      </c>
      <c r="L64" s="2">
        <v>5945625</v>
      </c>
      <c r="M64" s="2">
        <v>11216008469.799999</v>
      </c>
      <c r="N64" s="2">
        <v>191554</v>
      </c>
      <c r="O64" t="s">
        <v>16</v>
      </c>
    </row>
    <row r="65" spans="1:15" x14ac:dyDescent="0.3">
      <c r="A65" s="1">
        <v>45929</v>
      </c>
      <c r="B65" t="s">
        <v>15</v>
      </c>
      <c r="C65" s="3">
        <v>1928</v>
      </c>
      <c r="D65" s="3">
        <v>1928</v>
      </c>
      <c r="E65" s="3">
        <v>1897.5</v>
      </c>
      <c r="F65" s="3">
        <v>1916.6</v>
      </c>
      <c r="G65" s="3">
        <v>1906.5</v>
      </c>
      <c r="H65" s="3">
        <v>1902.2</v>
      </c>
      <c r="I65" s="3">
        <v>1908.52</v>
      </c>
      <c r="J65" s="3">
        <v>2045.8</v>
      </c>
      <c r="K65" s="3">
        <v>1511</v>
      </c>
      <c r="L65" s="2">
        <v>5072608</v>
      </c>
      <c r="M65" s="2">
        <v>9681198593.5</v>
      </c>
      <c r="N65" s="2">
        <v>152642</v>
      </c>
      <c r="O65" t="s">
        <v>16</v>
      </c>
    </row>
    <row r="66" spans="1:15" x14ac:dyDescent="0.3">
      <c r="A66" s="1">
        <v>45926</v>
      </c>
      <c r="B66" t="s">
        <v>15</v>
      </c>
      <c r="C66" s="3">
        <v>1931.1</v>
      </c>
      <c r="D66" s="3">
        <v>1944.7</v>
      </c>
      <c r="E66" s="3">
        <v>1911.9</v>
      </c>
      <c r="F66" s="3">
        <v>1935.6</v>
      </c>
      <c r="G66" s="3">
        <v>1915.4</v>
      </c>
      <c r="H66" s="3">
        <v>1916.6</v>
      </c>
      <c r="I66" s="3">
        <v>1922.81</v>
      </c>
      <c r="J66" s="3">
        <v>2045.8</v>
      </c>
      <c r="K66" s="3">
        <v>1511</v>
      </c>
      <c r="L66" s="2">
        <v>3239306</v>
      </c>
      <c r="M66" s="2">
        <v>6228584260.6999998</v>
      </c>
      <c r="N66" s="2">
        <v>139233</v>
      </c>
      <c r="O66" t="s">
        <v>16</v>
      </c>
    </row>
    <row r="67" spans="1:15" x14ac:dyDescent="0.3">
      <c r="A67" s="1">
        <v>45925</v>
      </c>
      <c r="B67" t="s">
        <v>15</v>
      </c>
      <c r="C67" s="3">
        <v>1930</v>
      </c>
      <c r="D67" s="3">
        <v>1950</v>
      </c>
      <c r="E67" s="3">
        <v>1928.8</v>
      </c>
      <c r="F67" s="3">
        <v>1931.1</v>
      </c>
      <c r="G67" s="3">
        <v>1935</v>
      </c>
      <c r="H67" s="3">
        <v>1935.6</v>
      </c>
      <c r="I67" s="3">
        <v>1940.12</v>
      </c>
      <c r="J67" s="3">
        <v>2045.8</v>
      </c>
      <c r="K67" s="3">
        <v>1511</v>
      </c>
      <c r="L67" s="2">
        <v>7133365</v>
      </c>
      <c r="M67" s="2">
        <v>13839559461.200001</v>
      </c>
      <c r="N67" s="2">
        <v>157177</v>
      </c>
      <c r="O67" t="s">
        <v>16</v>
      </c>
    </row>
    <row r="68" spans="1:15" x14ac:dyDescent="0.3">
      <c r="A68" s="1">
        <v>45924</v>
      </c>
      <c r="B68" t="s">
        <v>15</v>
      </c>
      <c r="C68" s="3">
        <v>1926</v>
      </c>
      <c r="D68" s="3">
        <v>1937.3</v>
      </c>
      <c r="E68" s="3">
        <v>1918.8</v>
      </c>
      <c r="F68" s="3">
        <v>1938.7</v>
      </c>
      <c r="G68" s="3">
        <v>1936</v>
      </c>
      <c r="H68" s="3">
        <v>1931.1</v>
      </c>
      <c r="I68" s="3">
        <v>1927.43</v>
      </c>
      <c r="J68" s="3">
        <v>2045.8</v>
      </c>
      <c r="K68" s="3">
        <v>1511</v>
      </c>
      <c r="L68" s="2">
        <v>5237977</v>
      </c>
      <c r="M68" s="2">
        <v>10095835192.1</v>
      </c>
      <c r="N68" s="2">
        <v>117702</v>
      </c>
      <c r="O68" t="s">
        <v>16</v>
      </c>
    </row>
    <row r="69" spans="1:15" x14ac:dyDescent="0.3">
      <c r="A69" s="1">
        <v>45923</v>
      </c>
      <c r="B69" t="s">
        <v>15</v>
      </c>
      <c r="C69" s="3">
        <v>1950</v>
      </c>
      <c r="D69" s="3">
        <v>1955</v>
      </c>
      <c r="E69" s="3">
        <v>1930.1</v>
      </c>
      <c r="F69" s="3">
        <v>1956.2</v>
      </c>
      <c r="G69" s="3">
        <v>1939.5</v>
      </c>
      <c r="H69" s="3">
        <v>1938.7</v>
      </c>
      <c r="I69" s="3">
        <v>1941.04</v>
      </c>
      <c r="J69" s="3">
        <v>2045.8</v>
      </c>
      <c r="K69" s="3">
        <v>1511</v>
      </c>
      <c r="L69" s="2">
        <v>4348633</v>
      </c>
      <c r="M69" s="2">
        <v>8440872959.3999996</v>
      </c>
      <c r="N69" s="2">
        <v>112057</v>
      </c>
      <c r="O69" t="s">
        <v>16</v>
      </c>
    </row>
    <row r="70" spans="1:15" x14ac:dyDescent="0.3">
      <c r="A70" s="1">
        <v>45922</v>
      </c>
      <c r="B70" t="s">
        <v>15</v>
      </c>
      <c r="C70" s="3">
        <v>1954</v>
      </c>
      <c r="D70" s="3">
        <v>1966</v>
      </c>
      <c r="E70" s="3">
        <v>1944</v>
      </c>
      <c r="F70" s="3">
        <v>1962.4</v>
      </c>
      <c r="G70" s="3">
        <v>1956</v>
      </c>
      <c r="H70" s="3">
        <v>1956.2</v>
      </c>
      <c r="I70" s="3">
        <v>1956.29</v>
      </c>
      <c r="J70" s="3">
        <v>2045.8</v>
      </c>
      <c r="K70" s="3">
        <v>1511</v>
      </c>
      <c r="L70" s="2">
        <v>4469137</v>
      </c>
      <c r="M70" s="2">
        <v>8742910725.5</v>
      </c>
      <c r="N70" s="2">
        <v>112539</v>
      </c>
      <c r="O70" t="s">
        <v>16</v>
      </c>
    </row>
    <row r="71" spans="1:15" x14ac:dyDescent="0.3">
      <c r="A71" s="1">
        <v>45919</v>
      </c>
      <c r="B71" t="s">
        <v>15</v>
      </c>
      <c r="C71" s="3">
        <v>1930.2</v>
      </c>
      <c r="D71" s="3">
        <v>1976.8</v>
      </c>
      <c r="E71" s="3">
        <v>1927.8</v>
      </c>
      <c r="F71" s="3">
        <v>1941.1</v>
      </c>
      <c r="G71" s="3">
        <v>1959.9</v>
      </c>
      <c r="H71" s="3">
        <v>1962.4</v>
      </c>
      <c r="I71" s="3">
        <v>1954.25</v>
      </c>
      <c r="J71" s="3">
        <v>2045.8</v>
      </c>
      <c r="K71" s="3">
        <v>1511</v>
      </c>
      <c r="L71" s="2">
        <v>11287603</v>
      </c>
      <c r="M71" s="2">
        <v>22058814337.5</v>
      </c>
      <c r="N71" s="2">
        <v>152101</v>
      </c>
      <c r="O71" t="s">
        <v>16</v>
      </c>
    </row>
    <row r="72" spans="1:15" x14ac:dyDescent="0.3">
      <c r="A72" s="1">
        <v>45918</v>
      </c>
      <c r="B72" t="s">
        <v>15</v>
      </c>
      <c r="C72" s="3">
        <v>1944.5</v>
      </c>
      <c r="D72" s="3">
        <v>1949.8</v>
      </c>
      <c r="E72" s="3">
        <v>1920.5</v>
      </c>
      <c r="F72" s="3">
        <v>1941.3</v>
      </c>
      <c r="G72" s="3">
        <v>1938.1</v>
      </c>
      <c r="H72" s="3">
        <v>1941.1</v>
      </c>
      <c r="I72" s="3">
        <v>1937.97</v>
      </c>
      <c r="J72" s="3">
        <v>2045.8</v>
      </c>
      <c r="K72" s="3">
        <v>1511</v>
      </c>
      <c r="L72" s="2">
        <v>5080814</v>
      </c>
      <c r="M72" s="2">
        <v>9846443250.2000008</v>
      </c>
      <c r="N72" s="2">
        <v>194124</v>
      </c>
      <c r="O72" t="s">
        <v>16</v>
      </c>
    </row>
    <row r="73" spans="1:15" x14ac:dyDescent="0.3">
      <c r="A73" s="1">
        <v>45917</v>
      </c>
      <c r="B73" t="s">
        <v>15</v>
      </c>
      <c r="C73" s="3">
        <v>1938.1</v>
      </c>
      <c r="D73" s="3">
        <v>1950.1</v>
      </c>
      <c r="E73" s="3">
        <v>1932.6</v>
      </c>
      <c r="F73" s="3">
        <v>1939.5</v>
      </c>
      <c r="G73" s="3">
        <v>1940.5</v>
      </c>
      <c r="H73" s="3">
        <v>1941.3</v>
      </c>
      <c r="I73" s="3">
        <v>1943.07</v>
      </c>
      <c r="J73" s="3">
        <v>2045.8</v>
      </c>
      <c r="K73" s="3">
        <v>1511</v>
      </c>
      <c r="L73" s="2">
        <v>4234637</v>
      </c>
      <c r="M73" s="2">
        <v>8228211139.5</v>
      </c>
      <c r="N73" s="2">
        <v>137019</v>
      </c>
      <c r="O73" t="s">
        <v>16</v>
      </c>
    </row>
    <row r="74" spans="1:15" x14ac:dyDescent="0.3">
      <c r="A74" s="1">
        <v>45916</v>
      </c>
      <c r="B74" t="s">
        <v>15</v>
      </c>
      <c r="C74" s="3">
        <v>1903.3</v>
      </c>
      <c r="D74" s="3">
        <v>1942</v>
      </c>
      <c r="E74" s="3">
        <v>1902.5</v>
      </c>
      <c r="F74" s="3">
        <v>1904.5</v>
      </c>
      <c r="G74" s="3">
        <v>1942</v>
      </c>
      <c r="H74" s="3">
        <v>1939.5</v>
      </c>
      <c r="I74" s="3">
        <v>1929.77</v>
      </c>
      <c r="J74" s="3">
        <v>2045.8</v>
      </c>
      <c r="K74" s="3">
        <v>1511</v>
      </c>
      <c r="L74" s="2">
        <v>5427586</v>
      </c>
      <c r="M74" s="2">
        <v>10473975256.4</v>
      </c>
      <c r="N74" s="2">
        <v>121211</v>
      </c>
      <c r="O74" t="s">
        <v>16</v>
      </c>
    </row>
    <row r="75" spans="1:15" x14ac:dyDescent="0.3">
      <c r="A75" s="1">
        <v>45915</v>
      </c>
      <c r="B75" t="s">
        <v>15</v>
      </c>
      <c r="C75" s="3">
        <v>1904</v>
      </c>
      <c r="D75" s="3">
        <v>1913</v>
      </c>
      <c r="E75" s="3">
        <v>1898.4</v>
      </c>
      <c r="F75" s="3">
        <v>1902.6</v>
      </c>
      <c r="G75" s="3">
        <v>1907.4</v>
      </c>
      <c r="H75" s="3">
        <v>1904.5</v>
      </c>
      <c r="I75" s="3">
        <v>1904.17</v>
      </c>
      <c r="J75" s="3">
        <v>2045.8</v>
      </c>
      <c r="K75" s="3">
        <v>1511</v>
      </c>
      <c r="L75" s="2">
        <v>3553258</v>
      </c>
      <c r="M75" s="2">
        <v>6766007905</v>
      </c>
      <c r="N75" s="2">
        <v>132537</v>
      </c>
      <c r="O75" t="s">
        <v>16</v>
      </c>
    </row>
    <row r="76" spans="1:15" x14ac:dyDescent="0.3">
      <c r="A76" s="1">
        <v>45912</v>
      </c>
      <c r="B76" t="s">
        <v>15</v>
      </c>
      <c r="C76" s="3">
        <v>1925</v>
      </c>
      <c r="D76" s="3">
        <v>1925</v>
      </c>
      <c r="E76" s="3">
        <v>1901.6</v>
      </c>
      <c r="F76" s="3">
        <v>1913</v>
      </c>
      <c r="G76" s="3">
        <v>1903.7</v>
      </c>
      <c r="H76" s="3">
        <v>1902.6</v>
      </c>
      <c r="I76" s="3">
        <v>1911.24</v>
      </c>
      <c r="J76" s="3">
        <v>2045.8</v>
      </c>
      <c r="K76" s="3">
        <v>1511</v>
      </c>
      <c r="L76" s="2">
        <v>3192824</v>
      </c>
      <c r="M76" s="2">
        <v>6102258824.1000004</v>
      </c>
      <c r="N76" s="2">
        <v>93480</v>
      </c>
      <c r="O76" t="s">
        <v>16</v>
      </c>
    </row>
    <row r="77" spans="1:15" x14ac:dyDescent="0.3">
      <c r="A77" s="1">
        <v>45911</v>
      </c>
      <c r="B77" t="s">
        <v>15</v>
      </c>
      <c r="C77" s="3">
        <v>1884</v>
      </c>
      <c r="D77" s="3">
        <v>1916</v>
      </c>
      <c r="E77" s="3">
        <v>1882.1</v>
      </c>
      <c r="F77" s="3">
        <v>1891.4</v>
      </c>
      <c r="G77" s="3">
        <v>1914.2</v>
      </c>
      <c r="H77" s="3">
        <v>1913</v>
      </c>
      <c r="I77" s="3">
        <v>1903.7</v>
      </c>
      <c r="J77" s="3">
        <v>2045.8</v>
      </c>
      <c r="K77" s="3">
        <v>1511</v>
      </c>
      <c r="L77" s="2">
        <v>4718266</v>
      </c>
      <c r="M77" s="2">
        <v>8982164743.1000004</v>
      </c>
      <c r="N77" s="2">
        <v>146936</v>
      </c>
      <c r="O77" t="s">
        <v>16</v>
      </c>
    </row>
    <row r="78" spans="1:15" x14ac:dyDescent="0.3">
      <c r="A78" s="1">
        <v>45910</v>
      </c>
      <c r="B78" t="s">
        <v>15</v>
      </c>
      <c r="C78" s="3">
        <v>1904</v>
      </c>
      <c r="D78" s="3">
        <v>1905</v>
      </c>
      <c r="E78" s="3">
        <v>1883</v>
      </c>
      <c r="F78" s="3">
        <v>1893.7</v>
      </c>
      <c r="G78" s="3">
        <v>1893.9</v>
      </c>
      <c r="H78" s="3">
        <v>1891.4</v>
      </c>
      <c r="I78" s="3">
        <v>1892.22</v>
      </c>
      <c r="J78" s="3">
        <v>2045.8</v>
      </c>
      <c r="K78" s="3">
        <v>1511</v>
      </c>
      <c r="L78" s="2">
        <v>3566139</v>
      </c>
      <c r="M78" s="2">
        <v>6747922521.3999996</v>
      </c>
      <c r="N78" s="2">
        <v>132980</v>
      </c>
      <c r="O78" t="s">
        <v>16</v>
      </c>
    </row>
    <row r="79" spans="1:15" x14ac:dyDescent="0.3">
      <c r="A79" s="1">
        <v>45909</v>
      </c>
      <c r="B79" t="s">
        <v>15</v>
      </c>
      <c r="C79" s="3">
        <v>1892</v>
      </c>
      <c r="D79" s="3">
        <v>1904</v>
      </c>
      <c r="E79" s="3">
        <v>1883</v>
      </c>
      <c r="F79" s="3">
        <v>1887.7</v>
      </c>
      <c r="G79" s="3">
        <v>1893</v>
      </c>
      <c r="H79" s="3">
        <v>1893.7</v>
      </c>
      <c r="I79" s="3">
        <v>1893.29</v>
      </c>
      <c r="J79" s="3">
        <v>2045.8</v>
      </c>
      <c r="K79" s="3">
        <v>1511</v>
      </c>
      <c r="L79" s="2">
        <v>4517793</v>
      </c>
      <c r="M79" s="2">
        <v>8553498311.1999998</v>
      </c>
      <c r="N79" s="2">
        <v>135596</v>
      </c>
      <c r="O79" t="s">
        <v>16</v>
      </c>
    </row>
    <row r="80" spans="1:15" x14ac:dyDescent="0.3">
      <c r="A80" s="1">
        <v>45908</v>
      </c>
      <c r="B80" t="s">
        <v>15</v>
      </c>
      <c r="C80" s="3">
        <v>1898</v>
      </c>
      <c r="D80" s="3">
        <v>1899</v>
      </c>
      <c r="E80" s="3">
        <v>1884.1</v>
      </c>
      <c r="F80" s="3">
        <v>1895.3</v>
      </c>
      <c r="G80" s="3">
        <v>1886</v>
      </c>
      <c r="H80" s="3">
        <v>1887.7</v>
      </c>
      <c r="I80" s="3">
        <v>1890.94</v>
      </c>
      <c r="J80" s="3">
        <v>2045.8</v>
      </c>
      <c r="K80" s="3">
        <v>1511</v>
      </c>
      <c r="L80" s="2">
        <v>2547552</v>
      </c>
      <c r="M80" s="2">
        <v>4817259823.5</v>
      </c>
      <c r="N80" s="2">
        <v>97251</v>
      </c>
      <c r="O80" t="s">
        <v>16</v>
      </c>
    </row>
    <row r="81" spans="1:15" x14ac:dyDescent="0.3">
      <c r="A81" s="1">
        <v>45905</v>
      </c>
      <c r="B81" t="s">
        <v>15</v>
      </c>
      <c r="C81" s="3">
        <v>1887</v>
      </c>
      <c r="D81" s="3">
        <v>1910.7</v>
      </c>
      <c r="E81" s="3">
        <v>1875.7</v>
      </c>
      <c r="F81" s="3">
        <v>1880.4</v>
      </c>
      <c r="G81" s="3">
        <v>1894</v>
      </c>
      <c r="H81" s="3">
        <v>1895.3</v>
      </c>
      <c r="I81" s="3">
        <v>1893.4</v>
      </c>
      <c r="J81" s="3">
        <v>2045.8</v>
      </c>
      <c r="K81" s="3">
        <v>1511</v>
      </c>
      <c r="L81" s="2">
        <v>2620140</v>
      </c>
      <c r="M81" s="2">
        <v>4960971727.3000002</v>
      </c>
      <c r="N81" s="2">
        <v>87681</v>
      </c>
      <c r="O81" t="s">
        <v>16</v>
      </c>
    </row>
    <row r="82" spans="1:15" x14ac:dyDescent="0.3">
      <c r="A82" s="1">
        <v>45904</v>
      </c>
      <c r="B82" t="s">
        <v>15</v>
      </c>
      <c r="C82" s="3">
        <v>1899</v>
      </c>
      <c r="D82" s="3">
        <v>1903.5</v>
      </c>
      <c r="E82" s="3">
        <v>1876.6</v>
      </c>
      <c r="F82" s="3">
        <v>1883.9</v>
      </c>
      <c r="G82" s="3">
        <v>1879.8</v>
      </c>
      <c r="H82" s="3">
        <v>1880.4</v>
      </c>
      <c r="I82" s="3">
        <v>1883.68</v>
      </c>
      <c r="J82" s="3">
        <v>2045.8</v>
      </c>
      <c r="K82" s="3">
        <v>1511</v>
      </c>
      <c r="L82" s="2">
        <v>5205333</v>
      </c>
      <c r="M82" s="2">
        <v>9805202617.5</v>
      </c>
      <c r="N82" s="2">
        <v>142962</v>
      </c>
      <c r="O82" t="s">
        <v>16</v>
      </c>
    </row>
    <row r="83" spans="1:15" x14ac:dyDescent="0.3">
      <c r="A83" s="1">
        <v>45903</v>
      </c>
      <c r="B83" t="s">
        <v>15</v>
      </c>
      <c r="C83" s="3">
        <v>1891</v>
      </c>
      <c r="D83" s="3">
        <v>1892.1</v>
      </c>
      <c r="E83" s="3">
        <v>1870</v>
      </c>
      <c r="F83" s="3">
        <v>1887.2</v>
      </c>
      <c r="G83" s="3">
        <v>1882.8</v>
      </c>
      <c r="H83" s="3">
        <v>1883.9</v>
      </c>
      <c r="I83" s="3">
        <v>1880.41</v>
      </c>
      <c r="J83" s="3">
        <v>2045.8</v>
      </c>
      <c r="K83" s="3">
        <v>1511</v>
      </c>
      <c r="L83" s="2">
        <v>3803044</v>
      </c>
      <c r="M83" s="2">
        <v>7151267254.5</v>
      </c>
      <c r="N83" s="2">
        <v>179727</v>
      </c>
      <c r="O83" t="s">
        <v>16</v>
      </c>
    </row>
    <row r="84" spans="1:15" x14ac:dyDescent="0.3">
      <c r="A84" s="1">
        <v>45902</v>
      </c>
      <c r="B84" t="s">
        <v>15</v>
      </c>
      <c r="C84" s="3">
        <v>1904.5</v>
      </c>
      <c r="D84" s="3">
        <v>1917.5</v>
      </c>
      <c r="E84" s="3">
        <v>1878</v>
      </c>
      <c r="F84" s="3">
        <v>1900.6</v>
      </c>
      <c r="G84" s="3">
        <v>1888.7</v>
      </c>
      <c r="H84" s="3">
        <v>1887.2</v>
      </c>
      <c r="I84" s="3">
        <v>1894.19</v>
      </c>
      <c r="J84" s="3">
        <v>2045.8</v>
      </c>
      <c r="K84" s="3">
        <v>1511</v>
      </c>
      <c r="L84" s="2">
        <v>4423049</v>
      </c>
      <c r="M84" s="2">
        <v>8378097503.1999998</v>
      </c>
      <c r="N84" s="2">
        <v>168727</v>
      </c>
      <c r="O84" t="s">
        <v>16</v>
      </c>
    </row>
    <row r="85" spans="1:15" x14ac:dyDescent="0.3">
      <c r="A85" s="1">
        <v>45901</v>
      </c>
      <c r="B85" t="s">
        <v>15</v>
      </c>
      <c r="C85" s="3">
        <v>1889</v>
      </c>
      <c r="D85" s="3">
        <v>1904.8</v>
      </c>
      <c r="E85" s="3">
        <v>1884.2</v>
      </c>
      <c r="F85" s="3">
        <v>1888.8</v>
      </c>
      <c r="G85" s="3">
        <v>1900.5</v>
      </c>
      <c r="H85" s="3">
        <v>1900.6</v>
      </c>
      <c r="I85" s="3">
        <v>1896.74</v>
      </c>
      <c r="J85" s="3">
        <v>2045.8</v>
      </c>
      <c r="K85" s="3">
        <v>1511</v>
      </c>
      <c r="L85" s="2">
        <v>3421488</v>
      </c>
      <c r="M85" s="2">
        <v>6489678664.8000002</v>
      </c>
      <c r="N85" s="2">
        <v>174084</v>
      </c>
      <c r="O85" t="s">
        <v>16</v>
      </c>
    </row>
    <row r="86" spans="1:15" x14ac:dyDescent="0.3">
      <c r="A86" s="1">
        <v>45898</v>
      </c>
      <c r="B86" t="s">
        <v>15</v>
      </c>
      <c r="C86" s="3">
        <v>1872.5</v>
      </c>
      <c r="D86" s="3">
        <v>1900.1</v>
      </c>
      <c r="E86" s="3">
        <v>1872.5</v>
      </c>
      <c r="F86" s="3">
        <v>1881.1</v>
      </c>
      <c r="G86" s="3">
        <v>1888.2</v>
      </c>
      <c r="H86" s="3">
        <v>1888.8</v>
      </c>
      <c r="I86" s="3">
        <v>1887.35</v>
      </c>
      <c r="J86" s="3">
        <v>2045.8</v>
      </c>
      <c r="K86" s="3">
        <v>1502</v>
      </c>
      <c r="L86" s="2">
        <v>4339042</v>
      </c>
      <c r="M86" s="2">
        <v>8189312163.6000004</v>
      </c>
      <c r="N86" s="2">
        <v>137051</v>
      </c>
      <c r="O86" t="s">
        <v>16</v>
      </c>
    </row>
    <row r="87" spans="1:15" x14ac:dyDescent="0.3">
      <c r="A87" s="1">
        <v>45897</v>
      </c>
      <c r="B87" t="s">
        <v>15</v>
      </c>
      <c r="C87" s="3">
        <v>1893</v>
      </c>
      <c r="D87" s="3">
        <v>1899.8</v>
      </c>
      <c r="E87" s="3">
        <v>1878.2</v>
      </c>
      <c r="F87" s="3">
        <v>1904.7</v>
      </c>
      <c r="G87" s="3">
        <v>1888</v>
      </c>
      <c r="H87" s="3">
        <v>1881.1</v>
      </c>
      <c r="I87" s="3">
        <v>1887.96</v>
      </c>
      <c r="J87" s="3">
        <v>2045.8</v>
      </c>
      <c r="K87" s="3">
        <v>1502</v>
      </c>
      <c r="L87" s="2">
        <v>5494113</v>
      </c>
      <c r="M87" s="2">
        <v>10372670054.700001</v>
      </c>
      <c r="N87" s="2">
        <v>192234</v>
      </c>
      <c r="O87" t="s">
        <v>16</v>
      </c>
    </row>
    <row r="88" spans="1:15" x14ac:dyDescent="0.3">
      <c r="A88" s="1">
        <v>45895</v>
      </c>
      <c r="B88" t="s">
        <v>15</v>
      </c>
      <c r="C88" s="3">
        <v>1922.1</v>
      </c>
      <c r="D88" s="3">
        <v>1925.8</v>
      </c>
      <c r="E88" s="3">
        <v>1896.2</v>
      </c>
      <c r="F88" s="3">
        <v>1930.7</v>
      </c>
      <c r="G88" s="3">
        <v>1903.7</v>
      </c>
      <c r="H88" s="3">
        <v>1904.7</v>
      </c>
      <c r="I88" s="3">
        <v>1907.89</v>
      </c>
      <c r="J88" s="3">
        <v>2045.8</v>
      </c>
      <c r="K88" s="3">
        <v>1502</v>
      </c>
      <c r="L88" s="2">
        <v>5984656</v>
      </c>
      <c r="M88" s="2">
        <v>11418074402.1</v>
      </c>
      <c r="N88" s="2">
        <v>171371</v>
      </c>
      <c r="O88" t="s">
        <v>16</v>
      </c>
    </row>
    <row r="89" spans="1:15" x14ac:dyDescent="0.3">
      <c r="A89" s="1">
        <v>45894</v>
      </c>
      <c r="B89" t="s">
        <v>15</v>
      </c>
      <c r="C89" s="3">
        <v>1940</v>
      </c>
      <c r="D89" s="3">
        <v>1940.1</v>
      </c>
      <c r="E89" s="3">
        <v>1913.2</v>
      </c>
      <c r="F89" s="3">
        <v>1933.3</v>
      </c>
      <c r="G89" s="3">
        <v>1928.9</v>
      </c>
      <c r="H89" s="3">
        <v>1930.7</v>
      </c>
      <c r="I89" s="3">
        <v>1927.45</v>
      </c>
      <c r="J89" s="3">
        <v>2045.8</v>
      </c>
      <c r="K89" s="3">
        <v>1502</v>
      </c>
      <c r="L89" s="2">
        <v>2451388</v>
      </c>
      <c r="M89" s="2">
        <v>4724917353.1000004</v>
      </c>
      <c r="N89" s="2">
        <v>88027</v>
      </c>
      <c r="O89" t="s">
        <v>16</v>
      </c>
    </row>
    <row r="90" spans="1:15" x14ac:dyDescent="0.3">
      <c r="A90" s="1">
        <v>45891</v>
      </c>
      <c r="B90" t="s">
        <v>15</v>
      </c>
      <c r="C90" s="3">
        <v>1934</v>
      </c>
      <c r="D90" s="3">
        <v>1947.7</v>
      </c>
      <c r="E90" s="3">
        <v>1917.4</v>
      </c>
      <c r="F90" s="3">
        <v>1929.9</v>
      </c>
      <c r="G90" s="3">
        <v>1933</v>
      </c>
      <c r="H90" s="3">
        <v>1933.3</v>
      </c>
      <c r="I90" s="3">
        <v>1931.22</v>
      </c>
      <c r="J90" s="3">
        <v>2045.8</v>
      </c>
      <c r="K90" s="3">
        <v>1446.5</v>
      </c>
      <c r="L90" s="2">
        <v>3271920</v>
      </c>
      <c r="M90" s="2">
        <v>6318796024.8000002</v>
      </c>
      <c r="N90" s="2">
        <v>112848</v>
      </c>
      <c r="O90" t="s">
        <v>16</v>
      </c>
    </row>
    <row r="91" spans="1:15" x14ac:dyDescent="0.3">
      <c r="A91" s="1">
        <v>45890</v>
      </c>
      <c r="B91" t="s">
        <v>15</v>
      </c>
      <c r="C91" s="3">
        <v>1930</v>
      </c>
      <c r="D91" s="3">
        <v>1940.9</v>
      </c>
      <c r="E91" s="3">
        <v>1927.7</v>
      </c>
      <c r="F91" s="3">
        <v>1928.4</v>
      </c>
      <c r="G91" s="3">
        <v>1930.1</v>
      </c>
      <c r="H91" s="3">
        <v>1929.9</v>
      </c>
      <c r="I91" s="3">
        <v>1932.63</v>
      </c>
      <c r="J91" s="3">
        <v>2045.8</v>
      </c>
      <c r="K91" s="3">
        <v>1446.5</v>
      </c>
      <c r="L91" s="2">
        <v>3376913</v>
      </c>
      <c r="M91" s="2">
        <v>6526315351.1000004</v>
      </c>
      <c r="N91" s="2">
        <v>122995</v>
      </c>
      <c r="O91" t="s">
        <v>16</v>
      </c>
    </row>
    <row r="92" spans="1:15" x14ac:dyDescent="0.3">
      <c r="A92" s="1">
        <v>45889</v>
      </c>
      <c r="B92" t="s">
        <v>15</v>
      </c>
      <c r="C92" s="3">
        <v>1937</v>
      </c>
      <c r="D92" s="3">
        <v>1952</v>
      </c>
      <c r="E92" s="3">
        <v>1926</v>
      </c>
      <c r="F92" s="3">
        <v>1909.7</v>
      </c>
      <c r="G92" s="3">
        <v>1930</v>
      </c>
      <c r="H92" s="3">
        <v>1928.4</v>
      </c>
      <c r="I92" s="3">
        <v>1935.01</v>
      </c>
      <c r="J92" s="3">
        <v>2045.8</v>
      </c>
      <c r="K92" s="3">
        <v>1446.5</v>
      </c>
      <c r="L92" s="2">
        <v>6962619</v>
      </c>
      <c r="M92" s="2">
        <v>13472715684.799999</v>
      </c>
      <c r="N92" s="2">
        <v>158774</v>
      </c>
      <c r="O92" t="s">
        <v>16</v>
      </c>
    </row>
    <row r="93" spans="1:15" x14ac:dyDescent="0.3">
      <c r="A93" s="1">
        <v>45888</v>
      </c>
      <c r="B93" t="s">
        <v>15</v>
      </c>
      <c r="C93" s="3">
        <v>1901.1</v>
      </c>
      <c r="D93" s="3">
        <v>1931.8</v>
      </c>
      <c r="E93" s="3">
        <v>1900</v>
      </c>
      <c r="F93" s="3">
        <v>1892.3</v>
      </c>
      <c r="G93" s="3">
        <v>1912.9</v>
      </c>
      <c r="H93" s="3">
        <v>1909.7</v>
      </c>
      <c r="I93" s="3">
        <v>1916.53</v>
      </c>
      <c r="J93" s="3">
        <v>2045.8</v>
      </c>
      <c r="K93" s="3">
        <v>1446.5</v>
      </c>
      <c r="L93" s="2">
        <v>5706265</v>
      </c>
      <c r="M93" s="2">
        <v>10936227739.1</v>
      </c>
      <c r="N93" s="2">
        <v>206298</v>
      </c>
      <c r="O93" t="s">
        <v>16</v>
      </c>
    </row>
    <row r="94" spans="1:15" x14ac:dyDescent="0.3">
      <c r="A94" s="1">
        <v>45887</v>
      </c>
      <c r="B94" t="s">
        <v>15</v>
      </c>
      <c r="C94" s="3">
        <v>1892.5</v>
      </c>
      <c r="D94" s="3">
        <v>1912.6</v>
      </c>
      <c r="E94" s="3">
        <v>1870.3</v>
      </c>
      <c r="F94" s="3">
        <v>1873.8</v>
      </c>
      <c r="G94" s="3">
        <v>1892.9</v>
      </c>
      <c r="H94" s="3">
        <v>1892.3</v>
      </c>
      <c r="I94" s="3">
        <v>1896.44</v>
      </c>
      <c r="J94" s="3">
        <v>2045.8</v>
      </c>
      <c r="K94" s="3">
        <v>1446.5</v>
      </c>
      <c r="L94" s="2">
        <v>7146376</v>
      </c>
      <c r="M94" s="2">
        <v>13552663053.700001</v>
      </c>
      <c r="N94" s="2">
        <v>168732</v>
      </c>
      <c r="O94" t="s">
        <v>16</v>
      </c>
    </row>
    <row r="95" spans="1:15" x14ac:dyDescent="0.3">
      <c r="A95" s="1">
        <v>45883</v>
      </c>
      <c r="B95" t="s">
        <v>15</v>
      </c>
      <c r="C95" s="3">
        <v>1873</v>
      </c>
      <c r="D95" s="3">
        <v>1883</v>
      </c>
      <c r="E95" s="3">
        <v>1866.8</v>
      </c>
      <c r="F95" s="3">
        <v>1867.4</v>
      </c>
      <c r="G95" s="3">
        <v>1871</v>
      </c>
      <c r="H95" s="3">
        <v>1873.8</v>
      </c>
      <c r="I95" s="3">
        <v>1875.27</v>
      </c>
      <c r="J95" s="3">
        <v>2045.8</v>
      </c>
      <c r="K95" s="3">
        <v>1445</v>
      </c>
      <c r="L95" s="2">
        <v>3958631</v>
      </c>
      <c r="M95" s="2">
        <v>7423516081</v>
      </c>
      <c r="N95" s="2">
        <v>94415</v>
      </c>
      <c r="O95" t="s">
        <v>16</v>
      </c>
    </row>
    <row r="96" spans="1:15" x14ac:dyDescent="0.3">
      <c r="A96" s="1">
        <v>45882</v>
      </c>
      <c r="B96" t="s">
        <v>15</v>
      </c>
      <c r="C96" s="3">
        <v>1853</v>
      </c>
      <c r="D96" s="3">
        <v>1872.5</v>
      </c>
      <c r="E96" s="3">
        <v>1851.8</v>
      </c>
      <c r="F96" s="3">
        <v>1850.3</v>
      </c>
      <c r="G96" s="3">
        <v>1870.9</v>
      </c>
      <c r="H96" s="3">
        <v>1867.4</v>
      </c>
      <c r="I96" s="3">
        <v>1864.4</v>
      </c>
      <c r="J96" s="3">
        <v>2045.8</v>
      </c>
      <c r="K96" s="3">
        <v>1445</v>
      </c>
      <c r="L96" s="2">
        <v>6697206</v>
      </c>
      <c r="M96" s="2">
        <v>12486297813.4</v>
      </c>
      <c r="N96" s="2">
        <v>156856</v>
      </c>
      <c r="O96" t="s">
        <v>16</v>
      </c>
    </row>
    <row r="97" spans="1:15" x14ac:dyDescent="0.3">
      <c r="A97" s="1">
        <v>45881</v>
      </c>
      <c r="B97" t="s">
        <v>15</v>
      </c>
      <c r="C97" s="3">
        <v>1857.4</v>
      </c>
      <c r="D97" s="3">
        <v>1865</v>
      </c>
      <c r="E97" s="3">
        <v>1847.1</v>
      </c>
      <c r="F97" s="3">
        <v>1857.4</v>
      </c>
      <c r="G97" s="3">
        <v>1850.2</v>
      </c>
      <c r="H97" s="3">
        <v>1850.3</v>
      </c>
      <c r="I97" s="3">
        <v>1853.8</v>
      </c>
      <c r="J97" s="3">
        <v>2045.8</v>
      </c>
      <c r="K97" s="3">
        <v>1445</v>
      </c>
      <c r="L97" s="2">
        <v>4645011</v>
      </c>
      <c r="M97" s="2">
        <v>8610901523.1000004</v>
      </c>
      <c r="N97" s="2">
        <v>128549</v>
      </c>
      <c r="O97" t="s">
        <v>16</v>
      </c>
    </row>
    <row r="98" spans="1:15" x14ac:dyDescent="0.3">
      <c r="A98" s="1">
        <v>45880</v>
      </c>
      <c r="B98" t="s">
        <v>15</v>
      </c>
      <c r="C98" s="3">
        <v>1863</v>
      </c>
      <c r="D98" s="3">
        <v>1866</v>
      </c>
      <c r="E98" s="3">
        <v>1845.7</v>
      </c>
      <c r="F98" s="3">
        <v>1858.6</v>
      </c>
      <c r="G98" s="3">
        <v>1855.3</v>
      </c>
      <c r="H98" s="3">
        <v>1857.4</v>
      </c>
      <c r="I98" s="3">
        <v>1857.65</v>
      </c>
      <c r="J98" s="3">
        <v>2045.8</v>
      </c>
      <c r="K98" s="3">
        <v>1445</v>
      </c>
      <c r="L98" s="2">
        <v>5266532</v>
      </c>
      <c r="M98" s="2">
        <v>9783347103</v>
      </c>
      <c r="N98" s="2">
        <v>182542</v>
      </c>
      <c r="O98" t="s">
        <v>16</v>
      </c>
    </row>
    <row r="99" spans="1:15" x14ac:dyDescent="0.3">
      <c r="A99" s="1">
        <v>45877</v>
      </c>
      <c r="B99" t="s">
        <v>15</v>
      </c>
      <c r="C99" s="3">
        <v>1886.3</v>
      </c>
      <c r="D99" s="3">
        <v>1893.8</v>
      </c>
      <c r="E99" s="3">
        <v>1856</v>
      </c>
      <c r="F99" s="3">
        <v>1922.6</v>
      </c>
      <c r="G99" s="3">
        <v>1859.5</v>
      </c>
      <c r="H99" s="3">
        <v>1858.6</v>
      </c>
      <c r="I99" s="3">
        <v>1871.02</v>
      </c>
      <c r="J99" s="3">
        <v>2045.8</v>
      </c>
      <c r="K99" s="3">
        <v>1422.6</v>
      </c>
      <c r="L99" s="2">
        <v>93801105</v>
      </c>
      <c r="M99" s="2">
        <v>175503711662.10001</v>
      </c>
      <c r="N99" s="2">
        <v>247592</v>
      </c>
      <c r="O99" t="s">
        <v>16</v>
      </c>
    </row>
    <row r="100" spans="1:15" x14ac:dyDescent="0.3">
      <c r="A100" s="1">
        <v>45876</v>
      </c>
      <c r="B100" t="s">
        <v>15</v>
      </c>
      <c r="C100" s="3">
        <v>1928.1</v>
      </c>
      <c r="D100" s="3">
        <v>1933.3</v>
      </c>
      <c r="E100" s="3">
        <v>1909.1</v>
      </c>
      <c r="F100" s="3">
        <v>1929.7</v>
      </c>
      <c r="G100" s="3">
        <v>1920.1</v>
      </c>
      <c r="H100" s="3">
        <v>1922.6</v>
      </c>
      <c r="I100" s="3">
        <v>1919.15</v>
      </c>
      <c r="J100" s="3">
        <v>2045.8</v>
      </c>
      <c r="K100" s="3">
        <v>1422.6</v>
      </c>
      <c r="L100" s="2">
        <v>4268534</v>
      </c>
      <c r="M100" s="2">
        <v>8191939056.3000002</v>
      </c>
      <c r="N100" s="2">
        <v>117390</v>
      </c>
      <c r="O100" t="s">
        <v>16</v>
      </c>
    </row>
    <row r="101" spans="1:15" x14ac:dyDescent="0.3">
      <c r="A101" s="1">
        <v>45875</v>
      </c>
      <c r="B101" t="s">
        <v>15</v>
      </c>
      <c r="C101" s="3">
        <v>1930</v>
      </c>
      <c r="D101" s="3">
        <v>1964.8</v>
      </c>
      <c r="E101" s="3">
        <v>1921.6</v>
      </c>
      <c r="F101" s="3">
        <v>1931.8</v>
      </c>
      <c r="G101" s="3">
        <v>1924</v>
      </c>
      <c r="H101" s="3">
        <v>1929.7</v>
      </c>
      <c r="I101" s="3">
        <v>1939.14</v>
      </c>
      <c r="J101" s="3">
        <v>2045.8</v>
      </c>
      <c r="K101" s="3">
        <v>1422.6</v>
      </c>
      <c r="L101" s="2">
        <v>5461349</v>
      </c>
      <c r="M101" s="2">
        <v>10590335524.200001</v>
      </c>
      <c r="N101" s="2">
        <v>198853</v>
      </c>
      <c r="O101" t="s">
        <v>16</v>
      </c>
    </row>
    <row r="102" spans="1:15" x14ac:dyDescent="0.3">
      <c r="A102" s="1">
        <v>45874</v>
      </c>
      <c r="B102" t="s">
        <v>15</v>
      </c>
      <c r="C102" s="3">
        <v>1920</v>
      </c>
      <c r="D102" s="3">
        <v>1937.6</v>
      </c>
      <c r="E102" s="3">
        <v>1912.1</v>
      </c>
      <c r="F102" s="3">
        <v>1914.6</v>
      </c>
      <c r="G102" s="3">
        <v>1930.3</v>
      </c>
      <c r="H102" s="3">
        <v>1931.8</v>
      </c>
      <c r="I102" s="3">
        <v>1928.92</v>
      </c>
      <c r="J102" s="3">
        <v>2045.8</v>
      </c>
      <c r="K102" s="3">
        <v>1422.6</v>
      </c>
      <c r="L102" s="2">
        <v>5167672</v>
      </c>
      <c r="M102" s="2">
        <v>9968010970.7000008</v>
      </c>
      <c r="N102" s="2">
        <v>142478</v>
      </c>
      <c r="O102" t="s">
        <v>16</v>
      </c>
    </row>
    <row r="103" spans="1:15" x14ac:dyDescent="0.3">
      <c r="A103" s="1">
        <v>45873</v>
      </c>
      <c r="B103" t="s">
        <v>15</v>
      </c>
      <c r="C103" s="3">
        <v>1892</v>
      </c>
      <c r="D103" s="3">
        <v>1919.9</v>
      </c>
      <c r="E103" s="3">
        <v>1878.5</v>
      </c>
      <c r="F103" s="3">
        <v>1884.4</v>
      </c>
      <c r="G103" s="3">
        <v>1915.1</v>
      </c>
      <c r="H103" s="3">
        <v>1914.6</v>
      </c>
      <c r="I103" s="3">
        <v>1909.5</v>
      </c>
      <c r="J103" s="3">
        <v>2045.8</v>
      </c>
      <c r="K103" s="3">
        <v>1422.6</v>
      </c>
      <c r="L103" s="2">
        <v>3074380</v>
      </c>
      <c r="M103" s="2">
        <v>5870535946.1999998</v>
      </c>
      <c r="N103" s="2">
        <v>103085</v>
      </c>
      <c r="O103" t="s">
        <v>16</v>
      </c>
    </row>
    <row r="104" spans="1:15" x14ac:dyDescent="0.3">
      <c r="A104" s="1">
        <v>45870</v>
      </c>
      <c r="B104" t="s">
        <v>15</v>
      </c>
      <c r="C104" s="3">
        <v>1914</v>
      </c>
      <c r="D104" s="3">
        <v>1919.7</v>
      </c>
      <c r="E104" s="3">
        <v>1878</v>
      </c>
      <c r="F104" s="3">
        <v>1914.3</v>
      </c>
      <c r="G104" s="3">
        <v>1878.1</v>
      </c>
      <c r="H104" s="3">
        <v>1884.4</v>
      </c>
      <c r="I104" s="3">
        <v>1896.46</v>
      </c>
      <c r="J104" s="3">
        <v>2045.8</v>
      </c>
      <c r="K104" s="3">
        <v>1422.6</v>
      </c>
      <c r="L104" s="2">
        <v>5192594</v>
      </c>
      <c r="M104" s="2">
        <v>9847524466.8999996</v>
      </c>
      <c r="N104" s="2">
        <v>112503</v>
      </c>
      <c r="O104" t="s">
        <v>16</v>
      </c>
    </row>
    <row r="105" spans="1:15" x14ac:dyDescent="0.3">
      <c r="A105" s="1">
        <v>45869</v>
      </c>
      <c r="B105" t="s">
        <v>15</v>
      </c>
      <c r="C105" s="3">
        <v>1913</v>
      </c>
      <c r="D105" s="3">
        <v>1926.5</v>
      </c>
      <c r="E105" s="3">
        <v>1895.6</v>
      </c>
      <c r="F105" s="3">
        <v>1932.6</v>
      </c>
      <c r="G105" s="3">
        <v>1912</v>
      </c>
      <c r="H105" s="3">
        <v>1914.3</v>
      </c>
      <c r="I105" s="3">
        <v>1914.01</v>
      </c>
      <c r="J105" s="3">
        <v>2045.8</v>
      </c>
      <c r="K105" s="3">
        <v>1422.6</v>
      </c>
      <c r="L105" s="2">
        <v>4674966</v>
      </c>
      <c r="M105" s="2">
        <v>8947909333.1000004</v>
      </c>
      <c r="N105" s="2">
        <v>139087</v>
      </c>
      <c r="O105" t="s">
        <v>16</v>
      </c>
    </row>
    <row r="106" spans="1:15" x14ac:dyDescent="0.3">
      <c r="A106" s="1">
        <v>45868</v>
      </c>
      <c r="B106" t="s">
        <v>15</v>
      </c>
      <c r="C106" s="3">
        <v>1934</v>
      </c>
      <c r="D106" s="3">
        <v>1939.2</v>
      </c>
      <c r="E106" s="3">
        <v>1922.1</v>
      </c>
      <c r="F106" s="3">
        <v>1918.3</v>
      </c>
      <c r="G106" s="3">
        <v>1930.1</v>
      </c>
      <c r="H106" s="3">
        <v>1932.6</v>
      </c>
      <c r="I106" s="3">
        <v>1931.15</v>
      </c>
      <c r="J106" s="3">
        <v>2045.8</v>
      </c>
      <c r="K106" s="3">
        <v>1422.6</v>
      </c>
      <c r="L106" s="2">
        <v>5044683</v>
      </c>
      <c r="M106" s="2">
        <v>9742040986.2999992</v>
      </c>
      <c r="N106" s="2">
        <v>124036</v>
      </c>
      <c r="O106" t="s">
        <v>16</v>
      </c>
    </row>
    <row r="107" spans="1:15" x14ac:dyDescent="0.3">
      <c r="A107" s="1">
        <v>45867</v>
      </c>
      <c r="B107" t="s">
        <v>15</v>
      </c>
      <c r="C107" s="3">
        <v>1880</v>
      </c>
      <c r="D107" s="3">
        <v>1923.6</v>
      </c>
      <c r="E107" s="3">
        <v>1880</v>
      </c>
      <c r="F107" s="3">
        <v>1890.3</v>
      </c>
      <c r="G107" s="3">
        <v>1913.7</v>
      </c>
      <c r="H107" s="3">
        <v>1918.3</v>
      </c>
      <c r="I107" s="3">
        <v>1914.14</v>
      </c>
      <c r="J107" s="3">
        <v>2045.8</v>
      </c>
      <c r="K107" s="3">
        <v>1422.6</v>
      </c>
      <c r="L107" s="2">
        <v>3748040</v>
      </c>
      <c r="M107" s="2">
        <v>7174267314.5</v>
      </c>
      <c r="N107" s="2">
        <v>130565</v>
      </c>
      <c r="O107" t="s">
        <v>16</v>
      </c>
    </row>
    <row r="108" spans="1:15" x14ac:dyDescent="0.3">
      <c r="A108" s="1">
        <v>45866</v>
      </c>
      <c r="B108" t="s">
        <v>15</v>
      </c>
      <c r="C108" s="3">
        <v>1930</v>
      </c>
      <c r="D108" s="3">
        <v>1930</v>
      </c>
      <c r="E108" s="3">
        <v>1885</v>
      </c>
      <c r="F108" s="3">
        <v>1937.9</v>
      </c>
      <c r="G108" s="3">
        <v>1889.9</v>
      </c>
      <c r="H108" s="3">
        <v>1890.3</v>
      </c>
      <c r="I108" s="3">
        <v>1899.08</v>
      </c>
      <c r="J108" s="3">
        <v>2045.8</v>
      </c>
      <c r="K108" s="3">
        <v>1422.6</v>
      </c>
      <c r="L108" s="2">
        <v>3575044</v>
      </c>
      <c r="M108" s="2">
        <v>6789304593.1000004</v>
      </c>
      <c r="N108" s="2">
        <v>183996</v>
      </c>
      <c r="O108" t="s">
        <v>16</v>
      </c>
    </row>
    <row r="109" spans="1:15" x14ac:dyDescent="0.3">
      <c r="A109" s="1">
        <v>45863</v>
      </c>
      <c r="B109" t="s">
        <v>15</v>
      </c>
      <c r="C109" s="3">
        <v>1936.1</v>
      </c>
      <c r="D109" s="3">
        <v>1952.7</v>
      </c>
      <c r="E109" s="3">
        <v>1925</v>
      </c>
      <c r="F109" s="3">
        <v>1936.1</v>
      </c>
      <c r="G109" s="3">
        <v>1928</v>
      </c>
      <c r="H109" s="3">
        <v>1937.9</v>
      </c>
      <c r="I109" s="3">
        <v>1938.43</v>
      </c>
      <c r="J109" s="3">
        <v>2045.8</v>
      </c>
      <c r="K109" s="3">
        <v>1422.6</v>
      </c>
      <c r="L109" s="2">
        <v>3896884</v>
      </c>
      <c r="M109" s="2">
        <v>7553854412.8000002</v>
      </c>
      <c r="N109" s="2">
        <v>150394</v>
      </c>
      <c r="O109" t="s">
        <v>16</v>
      </c>
    </row>
    <row r="110" spans="1:15" x14ac:dyDescent="0.3">
      <c r="A110" s="1">
        <v>45862</v>
      </c>
      <c r="B110" t="s">
        <v>15</v>
      </c>
      <c r="C110" s="3">
        <v>1943.8</v>
      </c>
      <c r="D110" s="3">
        <v>1970.4</v>
      </c>
      <c r="E110" s="3">
        <v>1933.7</v>
      </c>
      <c r="F110" s="3">
        <v>1943.8</v>
      </c>
      <c r="G110" s="3">
        <v>1937.2</v>
      </c>
      <c r="H110" s="3">
        <v>1936.1</v>
      </c>
      <c r="I110" s="3">
        <v>1949.7</v>
      </c>
      <c r="J110" s="3">
        <v>2045.8</v>
      </c>
      <c r="K110" s="3">
        <v>1422.6</v>
      </c>
      <c r="L110" s="2">
        <v>4150685</v>
      </c>
      <c r="M110" s="2">
        <v>8092572461</v>
      </c>
      <c r="N110" s="2">
        <v>121583</v>
      </c>
      <c r="O110" t="s">
        <v>16</v>
      </c>
    </row>
    <row r="111" spans="1:15" x14ac:dyDescent="0.3">
      <c r="A111" s="1">
        <v>45861</v>
      </c>
      <c r="B111" t="s">
        <v>15</v>
      </c>
      <c r="C111" s="3">
        <v>1920</v>
      </c>
      <c r="D111" s="3">
        <v>1949</v>
      </c>
      <c r="E111" s="3">
        <v>1907.3</v>
      </c>
      <c r="F111" s="3">
        <v>1906.8</v>
      </c>
      <c r="G111" s="3">
        <v>1948.7</v>
      </c>
      <c r="H111" s="3">
        <v>1943.8</v>
      </c>
      <c r="I111" s="3">
        <v>1931.92</v>
      </c>
      <c r="J111" s="3">
        <v>2045.8</v>
      </c>
      <c r="K111" s="3">
        <v>1422.6</v>
      </c>
      <c r="L111" s="2">
        <v>5194282</v>
      </c>
      <c r="M111" s="2">
        <v>10034958569.700001</v>
      </c>
      <c r="N111" s="2">
        <v>181713</v>
      </c>
      <c r="O111" t="s">
        <v>16</v>
      </c>
    </row>
    <row r="112" spans="1:15" x14ac:dyDescent="0.3">
      <c r="A112" s="1">
        <v>45860</v>
      </c>
      <c r="B112" t="s">
        <v>15</v>
      </c>
      <c r="C112" s="3">
        <v>1909.2</v>
      </c>
      <c r="D112" s="3">
        <v>1911.3</v>
      </c>
      <c r="E112" s="3">
        <v>1883</v>
      </c>
      <c r="F112" s="3">
        <v>1909.2</v>
      </c>
      <c r="G112" s="3">
        <v>1906.5</v>
      </c>
      <c r="H112" s="3">
        <v>1906.8</v>
      </c>
      <c r="I112" s="3">
        <v>1900.14</v>
      </c>
      <c r="J112" s="3">
        <v>2045.8</v>
      </c>
      <c r="K112" s="3">
        <v>1422.6</v>
      </c>
      <c r="L112" s="2">
        <v>4513541</v>
      </c>
      <c r="M112" s="2">
        <v>8576375988.6999998</v>
      </c>
      <c r="N112" s="2">
        <v>187488</v>
      </c>
      <c r="O112" t="s">
        <v>16</v>
      </c>
    </row>
    <row r="113" spans="1:15" x14ac:dyDescent="0.3">
      <c r="A113" s="1">
        <v>45859</v>
      </c>
      <c r="B113" t="s">
        <v>15</v>
      </c>
      <c r="C113" s="3">
        <v>1894.8</v>
      </c>
      <c r="D113" s="3">
        <v>1919.9</v>
      </c>
      <c r="E113" s="3">
        <v>1892.6</v>
      </c>
      <c r="F113" s="3">
        <v>1901</v>
      </c>
      <c r="G113" s="3">
        <v>1907.3</v>
      </c>
      <c r="H113" s="3">
        <v>1909.2</v>
      </c>
      <c r="I113" s="3">
        <v>1907.42</v>
      </c>
      <c r="J113" s="3">
        <v>2045.8</v>
      </c>
      <c r="K113" s="3">
        <v>1422.6</v>
      </c>
      <c r="L113" s="2">
        <v>5109654</v>
      </c>
      <c r="M113" s="2">
        <v>9746237253</v>
      </c>
      <c r="N113" s="2">
        <v>106175</v>
      </c>
      <c r="O113" t="s">
        <v>16</v>
      </c>
    </row>
    <row r="114" spans="1:15" x14ac:dyDescent="0.3">
      <c r="A114" s="1">
        <v>45856</v>
      </c>
      <c r="B114" t="s">
        <v>15</v>
      </c>
      <c r="C114" s="3">
        <v>1915.1</v>
      </c>
      <c r="D114" s="3">
        <v>1916</v>
      </c>
      <c r="E114" s="3">
        <v>1891.8</v>
      </c>
      <c r="F114" s="3">
        <v>1929.9</v>
      </c>
      <c r="G114" s="3">
        <v>1902</v>
      </c>
      <c r="H114" s="3">
        <v>1901</v>
      </c>
      <c r="I114" s="3">
        <v>1900.4</v>
      </c>
      <c r="J114" s="3">
        <v>2045.8</v>
      </c>
      <c r="K114" s="3">
        <v>1422.6</v>
      </c>
      <c r="L114" s="2">
        <v>4643961</v>
      </c>
      <c r="M114" s="2">
        <v>8825370372.2999992</v>
      </c>
      <c r="N114" s="2">
        <v>153436</v>
      </c>
      <c r="O114" t="s">
        <v>16</v>
      </c>
    </row>
    <row r="115" spans="1:15" x14ac:dyDescent="0.3">
      <c r="A115" s="1">
        <v>45855</v>
      </c>
      <c r="B115" t="s">
        <v>15</v>
      </c>
      <c r="C115" s="3">
        <v>1943.7</v>
      </c>
      <c r="D115" s="3">
        <v>1944.9</v>
      </c>
      <c r="E115" s="3">
        <v>1927.6</v>
      </c>
      <c r="F115" s="3">
        <v>1936.6</v>
      </c>
      <c r="G115" s="3">
        <v>1929.3</v>
      </c>
      <c r="H115" s="3">
        <v>1929.9</v>
      </c>
      <c r="I115" s="3">
        <v>1934.04</v>
      </c>
      <c r="J115" s="3">
        <v>2045.8</v>
      </c>
      <c r="K115" s="3">
        <v>1422.6</v>
      </c>
      <c r="L115" s="2">
        <v>6256455</v>
      </c>
      <c r="M115" s="2">
        <v>12100262832.1</v>
      </c>
      <c r="N115" s="2">
        <v>117865</v>
      </c>
      <c r="O115" t="s">
        <v>16</v>
      </c>
    </row>
    <row r="116" spans="1:15" x14ac:dyDescent="0.3">
      <c r="A116" s="1">
        <v>45854</v>
      </c>
      <c r="B116" t="s">
        <v>15</v>
      </c>
      <c r="C116" s="3">
        <v>1944</v>
      </c>
      <c r="D116" s="3">
        <v>1944</v>
      </c>
      <c r="E116" s="3">
        <v>1928.8</v>
      </c>
      <c r="F116" s="3">
        <v>1934.2</v>
      </c>
      <c r="G116" s="3">
        <v>1932.1</v>
      </c>
      <c r="H116" s="3">
        <v>1936.6</v>
      </c>
      <c r="I116" s="3">
        <v>1937.89</v>
      </c>
      <c r="J116" s="3">
        <v>2045.8</v>
      </c>
      <c r="K116" s="3">
        <v>1422.6</v>
      </c>
      <c r="L116" s="2">
        <v>4211258</v>
      </c>
      <c r="M116" s="2">
        <v>8160962898</v>
      </c>
      <c r="N116" s="2">
        <v>155828</v>
      </c>
      <c r="O116" t="s">
        <v>16</v>
      </c>
    </row>
    <row r="117" spans="1:15" x14ac:dyDescent="0.3">
      <c r="A117" s="1">
        <v>45853</v>
      </c>
      <c r="B117" t="s">
        <v>15</v>
      </c>
      <c r="C117" s="3">
        <v>1924.8</v>
      </c>
      <c r="D117" s="3">
        <v>1943</v>
      </c>
      <c r="E117" s="3">
        <v>1923.2</v>
      </c>
      <c r="F117" s="3">
        <v>1920.9</v>
      </c>
      <c r="G117" s="3">
        <v>1934.9</v>
      </c>
      <c r="H117" s="3">
        <v>1934.2</v>
      </c>
      <c r="I117" s="3">
        <v>1933.42</v>
      </c>
      <c r="J117" s="3">
        <v>2045.8</v>
      </c>
      <c r="K117" s="3">
        <v>1422.6</v>
      </c>
      <c r="L117" s="2">
        <v>4163140</v>
      </c>
      <c r="M117" s="2">
        <v>8049106906.8999996</v>
      </c>
      <c r="N117" s="2">
        <v>173130</v>
      </c>
      <c r="O117" t="s">
        <v>16</v>
      </c>
    </row>
    <row r="118" spans="1:15" x14ac:dyDescent="0.3">
      <c r="A118" s="1">
        <v>45852</v>
      </c>
      <c r="B118" t="s">
        <v>15</v>
      </c>
      <c r="C118" s="3">
        <v>1915</v>
      </c>
      <c r="D118" s="3">
        <v>1927.5</v>
      </c>
      <c r="E118" s="3">
        <v>1900.2</v>
      </c>
      <c r="F118" s="3">
        <v>1921.9</v>
      </c>
      <c r="G118" s="3">
        <v>1923.1</v>
      </c>
      <c r="H118" s="3">
        <v>1920.9</v>
      </c>
      <c r="I118" s="3">
        <v>1912.33</v>
      </c>
      <c r="J118" s="3">
        <v>2045.8</v>
      </c>
      <c r="K118" s="3">
        <v>1422.6</v>
      </c>
      <c r="L118" s="2">
        <v>5269381</v>
      </c>
      <c r="M118" s="2">
        <v>10076781994</v>
      </c>
      <c r="N118" s="2">
        <v>117745</v>
      </c>
      <c r="O118" t="s">
        <v>16</v>
      </c>
    </row>
    <row r="119" spans="1:15" x14ac:dyDescent="0.3">
      <c r="A119" s="1">
        <v>45849</v>
      </c>
      <c r="B119" t="s">
        <v>15</v>
      </c>
      <c r="C119" s="3">
        <v>1942</v>
      </c>
      <c r="D119" s="3">
        <v>1959.1</v>
      </c>
      <c r="E119" s="3">
        <v>1914.2</v>
      </c>
      <c r="F119" s="3">
        <v>1964.5</v>
      </c>
      <c r="G119" s="3">
        <v>1925.7</v>
      </c>
      <c r="H119" s="3">
        <v>1921.9</v>
      </c>
      <c r="I119" s="3">
        <v>1924.82</v>
      </c>
      <c r="J119" s="3">
        <v>2045.8</v>
      </c>
      <c r="K119" s="3">
        <v>1421.45</v>
      </c>
      <c r="L119" s="2">
        <v>13103980</v>
      </c>
      <c r="M119" s="2">
        <v>25222831889.299999</v>
      </c>
      <c r="N119" s="2">
        <v>203449</v>
      </c>
      <c r="O119" t="s">
        <v>16</v>
      </c>
    </row>
    <row r="120" spans="1:15" x14ac:dyDescent="0.3">
      <c r="A120" s="1">
        <v>45848</v>
      </c>
      <c r="B120" t="s">
        <v>15</v>
      </c>
      <c r="C120" s="3">
        <v>2028.6</v>
      </c>
      <c r="D120" s="3">
        <v>2028.6</v>
      </c>
      <c r="E120" s="3">
        <v>1962.3</v>
      </c>
      <c r="F120" s="3">
        <v>2019.7</v>
      </c>
      <c r="G120" s="3">
        <v>1964</v>
      </c>
      <c r="H120" s="3">
        <v>1964.5</v>
      </c>
      <c r="I120" s="3">
        <v>1981.26</v>
      </c>
      <c r="J120" s="3">
        <v>2045.8</v>
      </c>
      <c r="K120" s="3">
        <v>1421.45</v>
      </c>
      <c r="L120" s="2">
        <v>5695845</v>
      </c>
      <c r="M120" s="2">
        <v>11284970384.5</v>
      </c>
      <c r="N120" s="2">
        <v>137893</v>
      </c>
      <c r="O120" t="s">
        <v>16</v>
      </c>
    </row>
    <row r="121" spans="1:15" x14ac:dyDescent="0.3">
      <c r="A121" s="1">
        <v>45847</v>
      </c>
      <c r="B121" t="s">
        <v>15</v>
      </c>
      <c r="C121" s="3">
        <v>2035</v>
      </c>
      <c r="D121" s="3">
        <v>2040.7</v>
      </c>
      <c r="E121" s="3">
        <v>1998.5</v>
      </c>
      <c r="F121" s="3">
        <v>2030</v>
      </c>
      <c r="G121" s="3">
        <v>2019.2</v>
      </c>
      <c r="H121" s="3">
        <v>2019.7</v>
      </c>
      <c r="I121" s="3">
        <v>2026.57</v>
      </c>
      <c r="J121" s="3">
        <v>2045.8</v>
      </c>
      <c r="K121" s="3">
        <v>1421.45</v>
      </c>
      <c r="L121" s="2">
        <v>2937734</v>
      </c>
      <c r="M121" s="2">
        <v>5953511845.8999996</v>
      </c>
      <c r="N121" s="2">
        <v>106327</v>
      </c>
      <c r="O121" t="s">
        <v>16</v>
      </c>
    </row>
    <row r="122" spans="1:15" x14ac:dyDescent="0.3">
      <c r="A122" s="1">
        <v>45846</v>
      </c>
      <c r="B122" t="s">
        <v>15</v>
      </c>
      <c r="C122" s="3">
        <v>2026</v>
      </c>
      <c r="D122" s="3">
        <v>2035</v>
      </c>
      <c r="E122" s="3">
        <v>2014.8</v>
      </c>
      <c r="F122" s="3">
        <v>2033.9</v>
      </c>
      <c r="G122" s="3">
        <v>2033</v>
      </c>
      <c r="H122" s="3">
        <v>2030</v>
      </c>
      <c r="I122" s="3">
        <v>2025.34</v>
      </c>
      <c r="J122" s="3">
        <v>2045.8</v>
      </c>
      <c r="K122" s="3">
        <v>1421.45</v>
      </c>
      <c r="L122" s="2">
        <v>3624619</v>
      </c>
      <c r="M122" s="2">
        <v>7341077387.3999996</v>
      </c>
      <c r="N122" s="2">
        <v>108175</v>
      </c>
      <c r="O122" t="s">
        <v>16</v>
      </c>
    </row>
    <row r="123" spans="1:15" x14ac:dyDescent="0.3">
      <c r="A123" s="1">
        <v>45845</v>
      </c>
      <c r="B123" t="s">
        <v>15</v>
      </c>
      <c r="C123" s="3">
        <v>2018</v>
      </c>
      <c r="D123" s="3">
        <v>2036</v>
      </c>
      <c r="E123" s="3">
        <v>2010.6</v>
      </c>
      <c r="F123" s="3">
        <v>2017.2</v>
      </c>
      <c r="G123" s="3">
        <v>2029.5</v>
      </c>
      <c r="H123" s="3">
        <v>2033.9</v>
      </c>
      <c r="I123" s="3">
        <v>2023.94</v>
      </c>
      <c r="J123" s="3">
        <v>2045.8</v>
      </c>
      <c r="K123" s="3">
        <v>1421.45</v>
      </c>
      <c r="L123" s="2">
        <v>4165432</v>
      </c>
      <c r="M123" s="2">
        <v>8430571808.8000002</v>
      </c>
      <c r="N123" s="2">
        <v>129355</v>
      </c>
      <c r="O123" t="s">
        <v>16</v>
      </c>
    </row>
    <row r="124" spans="1:15" x14ac:dyDescent="0.3">
      <c r="A124" s="1">
        <v>45842</v>
      </c>
      <c r="B124" t="s">
        <v>15</v>
      </c>
      <c r="C124" s="3">
        <v>2027</v>
      </c>
      <c r="D124" s="3">
        <v>2036.5</v>
      </c>
      <c r="E124" s="3">
        <v>2005.1</v>
      </c>
      <c r="F124" s="3">
        <v>2019.3</v>
      </c>
      <c r="G124" s="3">
        <v>2018.3</v>
      </c>
      <c r="H124" s="3">
        <v>2017.2</v>
      </c>
      <c r="I124" s="3">
        <v>2014.08</v>
      </c>
      <c r="J124" s="3">
        <v>2045.8</v>
      </c>
      <c r="K124" s="3">
        <v>1408.45</v>
      </c>
      <c r="L124" s="2">
        <v>2178315</v>
      </c>
      <c r="M124" s="2">
        <v>4387298875.3999996</v>
      </c>
      <c r="N124" s="2">
        <v>101143</v>
      </c>
      <c r="O124" t="s">
        <v>16</v>
      </c>
    </row>
    <row r="125" spans="1:15" x14ac:dyDescent="0.3">
      <c r="A125" s="1">
        <v>45841</v>
      </c>
      <c r="B125" t="s">
        <v>15</v>
      </c>
      <c r="C125" s="3">
        <v>2041.8</v>
      </c>
      <c r="D125" s="3">
        <v>2044.9</v>
      </c>
      <c r="E125" s="3">
        <v>2012.9</v>
      </c>
      <c r="F125" s="3">
        <v>2033.3</v>
      </c>
      <c r="G125" s="3">
        <v>2019</v>
      </c>
      <c r="H125" s="3">
        <v>2019.3</v>
      </c>
      <c r="I125" s="3">
        <v>2030.02</v>
      </c>
      <c r="J125" s="3">
        <v>2045.8</v>
      </c>
      <c r="K125" s="3">
        <v>1408.45</v>
      </c>
      <c r="L125" s="2">
        <v>5558647</v>
      </c>
      <c r="M125" s="2">
        <v>11284185157.6</v>
      </c>
      <c r="N125" s="2">
        <v>154712</v>
      </c>
      <c r="O125" t="s">
        <v>16</v>
      </c>
    </row>
    <row r="126" spans="1:15" x14ac:dyDescent="0.3">
      <c r="A126" s="1">
        <v>45840</v>
      </c>
      <c r="B126" t="s">
        <v>15</v>
      </c>
      <c r="C126" s="3">
        <v>2037</v>
      </c>
      <c r="D126" s="3">
        <v>2045.8</v>
      </c>
      <c r="E126" s="3">
        <v>2018.3</v>
      </c>
      <c r="F126" s="3">
        <v>2019.4</v>
      </c>
      <c r="G126" s="3">
        <v>2030</v>
      </c>
      <c r="H126" s="3">
        <v>2033.3</v>
      </c>
      <c r="I126" s="3">
        <v>2033.47</v>
      </c>
      <c r="J126" s="3">
        <v>2045.8</v>
      </c>
      <c r="K126" s="3">
        <v>1408.45</v>
      </c>
      <c r="L126" s="2">
        <v>6513288</v>
      </c>
      <c r="M126" s="2">
        <v>13244594437.200001</v>
      </c>
      <c r="N126" s="2">
        <v>196748</v>
      </c>
      <c r="O126" t="s">
        <v>16</v>
      </c>
    </row>
    <row r="127" spans="1:15" x14ac:dyDescent="0.3">
      <c r="A127" s="1">
        <v>45839</v>
      </c>
      <c r="B127" t="s">
        <v>15</v>
      </c>
      <c r="C127" s="3">
        <v>2009</v>
      </c>
      <c r="D127" s="3">
        <v>2030.8</v>
      </c>
      <c r="E127" s="3">
        <v>2006.9</v>
      </c>
      <c r="F127" s="3">
        <v>2009.6</v>
      </c>
      <c r="G127" s="3">
        <v>2015.3</v>
      </c>
      <c r="H127" s="3">
        <v>2019.4</v>
      </c>
      <c r="I127" s="3">
        <v>2018.42</v>
      </c>
      <c r="J127" s="3">
        <v>2039</v>
      </c>
      <c r="K127" s="3">
        <v>1408.45</v>
      </c>
      <c r="L127" s="2">
        <v>3769165</v>
      </c>
      <c r="M127" s="2">
        <v>7607773613</v>
      </c>
      <c r="N127" s="2">
        <v>134125</v>
      </c>
      <c r="O127" t="s">
        <v>16</v>
      </c>
    </row>
    <row r="128" spans="1:15" x14ac:dyDescent="0.3">
      <c r="A128" s="1">
        <v>45838</v>
      </c>
      <c r="B128" t="s">
        <v>15</v>
      </c>
      <c r="C128" s="3">
        <v>2018</v>
      </c>
      <c r="D128" s="3">
        <v>2023.9</v>
      </c>
      <c r="E128" s="3">
        <v>2000.2</v>
      </c>
      <c r="F128" s="3">
        <v>2027.1</v>
      </c>
      <c r="G128" s="3">
        <v>2008.7</v>
      </c>
      <c r="H128" s="3">
        <v>2009.6</v>
      </c>
      <c r="I128" s="3">
        <v>2009.31</v>
      </c>
      <c r="J128" s="3">
        <v>2039</v>
      </c>
      <c r="K128" s="3">
        <v>1408.45</v>
      </c>
      <c r="L128" s="2">
        <v>5597484</v>
      </c>
      <c r="M128" s="2">
        <v>11247098467.700001</v>
      </c>
      <c r="N128" s="2">
        <v>152889</v>
      </c>
      <c r="O128" t="s">
        <v>16</v>
      </c>
    </row>
    <row r="129" spans="1:15" x14ac:dyDescent="0.3">
      <c r="A129" s="1">
        <v>45835</v>
      </c>
      <c r="B129" t="s">
        <v>15</v>
      </c>
      <c r="C129" s="3">
        <v>2010</v>
      </c>
      <c r="D129" s="3">
        <v>2039</v>
      </c>
      <c r="E129" s="3">
        <v>2008.6</v>
      </c>
      <c r="F129" s="3">
        <v>2014.3</v>
      </c>
      <c r="G129" s="3">
        <v>2020</v>
      </c>
      <c r="H129" s="3">
        <v>2027.1</v>
      </c>
      <c r="I129" s="3">
        <v>2024.22</v>
      </c>
      <c r="J129" s="3">
        <v>2039</v>
      </c>
      <c r="K129" s="3">
        <v>1389.35</v>
      </c>
      <c r="L129" s="2">
        <v>6405854</v>
      </c>
      <c r="M129" s="2">
        <v>12966837500.6</v>
      </c>
      <c r="N129" s="2">
        <v>148359</v>
      </c>
      <c r="O129" t="s">
        <v>16</v>
      </c>
    </row>
    <row r="130" spans="1:15" x14ac:dyDescent="0.3">
      <c r="A130" s="1">
        <v>45834</v>
      </c>
      <c r="B130" t="s">
        <v>15</v>
      </c>
      <c r="C130" s="3">
        <v>1970</v>
      </c>
      <c r="D130" s="3">
        <v>2018.4</v>
      </c>
      <c r="E130" s="3">
        <v>1966.3</v>
      </c>
      <c r="F130" s="3">
        <v>1965.6</v>
      </c>
      <c r="G130" s="3">
        <v>2015.6</v>
      </c>
      <c r="H130" s="3">
        <v>2014.3</v>
      </c>
      <c r="I130" s="3">
        <v>2000.12</v>
      </c>
      <c r="J130" s="3">
        <v>2018.4</v>
      </c>
      <c r="K130" s="3">
        <v>1389.35</v>
      </c>
      <c r="L130" s="2">
        <v>9413241</v>
      </c>
      <c r="M130" s="2">
        <v>18827572697.099998</v>
      </c>
      <c r="N130" s="2">
        <v>191193</v>
      </c>
      <c r="O130" t="s">
        <v>16</v>
      </c>
    </row>
    <row r="131" spans="1:15" x14ac:dyDescent="0.3">
      <c r="A131" s="1">
        <v>45833</v>
      </c>
      <c r="B131" t="s">
        <v>15</v>
      </c>
      <c r="C131" s="3">
        <v>1942</v>
      </c>
      <c r="D131" s="3">
        <v>1970</v>
      </c>
      <c r="E131" s="3">
        <v>1938</v>
      </c>
      <c r="F131" s="3">
        <v>1933.6</v>
      </c>
      <c r="G131" s="3">
        <v>1963.8</v>
      </c>
      <c r="H131" s="3">
        <v>1965.6</v>
      </c>
      <c r="I131" s="3">
        <v>1959.42</v>
      </c>
      <c r="J131" s="3">
        <v>1970</v>
      </c>
      <c r="K131" s="3">
        <v>1389.35</v>
      </c>
      <c r="L131" s="2">
        <v>4152765</v>
      </c>
      <c r="M131" s="2">
        <v>8137023309.3999996</v>
      </c>
      <c r="N131" s="2">
        <v>145203</v>
      </c>
      <c r="O131" t="s">
        <v>16</v>
      </c>
    </row>
    <row r="132" spans="1:15" x14ac:dyDescent="0.3">
      <c r="A132" s="1">
        <v>45832</v>
      </c>
      <c r="B132" t="s">
        <v>15</v>
      </c>
      <c r="C132" s="3">
        <v>1950.9</v>
      </c>
      <c r="D132" s="3">
        <v>1963</v>
      </c>
      <c r="E132" s="3">
        <v>1929.1</v>
      </c>
      <c r="F132" s="3">
        <v>1936.3</v>
      </c>
      <c r="G132" s="3">
        <v>1942</v>
      </c>
      <c r="H132" s="3">
        <v>1933.6</v>
      </c>
      <c r="I132" s="3">
        <v>1941.29</v>
      </c>
      <c r="J132" s="3">
        <v>1963</v>
      </c>
      <c r="K132" s="3">
        <v>1389.35</v>
      </c>
      <c r="L132" s="2">
        <v>6837210</v>
      </c>
      <c r="M132" s="2">
        <v>13272989083.700001</v>
      </c>
      <c r="N132" s="2">
        <v>180737</v>
      </c>
      <c r="O132" t="s">
        <v>16</v>
      </c>
    </row>
    <row r="133" spans="1:15" x14ac:dyDescent="0.3">
      <c r="A133" s="1">
        <v>45831</v>
      </c>
      <c r="B133" t="s">
        <v>15</v>
      </c>
      <c r="C133" s="3">
        <v>1930</v>
      </c>
      <c r="D133" s="3">
        <v>1949</v>
      </c>
      <c r="E133" s="3">
        <v>1927.1</v>
      </c>
      <c r="F133" s="3">
        <v>1936.7</v>
      </c>
      <c r="G133" s="3">
        <v>1935</v>
      </c>
      <c r="H133" s="3">
        <v>1936.3</v>
      </c>
      <c r="I133" s="3">
        <v>1937.95</v>
      </c>
      <c r="J133" s="3">
        <v>1949</v>
      </c>
      <c r="K133" s="3">
        <v>1389.35</v>
      </c>
      <c r="L133" s="2">
        <v>2946463</v>
      </c>
      <c r="M133" s="2">
        <v>5710099351.1000004</v>
      </c>
      <c r="N133" s="2">
        <v>122423</v>
      </c>
      <c r="O133" t="s">
        <v>16</v>
      </c>
    </row>
    <row r="134" spans="1:15" x14ac:dyDescent="0.3">
      <c r="A134" s="1">
        <v>45828</v>
      </c>
      <c r="B134" t="s">
        <v>15</v>
      </c>
      <c r="C134" s="3">
        <v>1880</v>
      </c>
      <c r="D134" s="3">
        <v>1949</v>
      </c>
      <c r="E134" s="3">
        <v>1874</v>
      </c>
      <c r="F134" s="3">
        <v>1877</v>
      </c>
      <c r="G134" s="3">
        <v>1934</v>
      </c>
      <c r="H134" s="3">
        <v>1936.7</v>
      </c>
      <c r="I134" s="3">
        <v>1927.9</v>
      </c>
      <c r="J134" s="3">
        <v>1949</v>
      </c>
      <c r="K134" s="3">
        <v>1372.85</v>
      </c>
      <c r="L134" s="2">
        <v>16228526</v>
      </c>
      <c r="M134" s="2">
        <v>31286969336.299999</v>
      </c>
      <c r="N134" s="2">
        <v>258340</v>
      </c>
      <c r="O134" t="s">
        <v>16</v>
      </c>
    </row>
    <row r="135" spans="1:15" x14ac:dyDescent="0.3">
      <c r="A135" s="1">
        <v>45827</v>
      </c>
      <c r="B135" t="s">
        <v>15</v>
      </c>
      <c r="C135" s="3">
        <v>1872</v>
      </c>
      <c r="D135" s="3">
        <v>1879</v>
      </c>
      <c r="E135" s="3">
        <v>1864.1</v>
      </c>
      <c r="F135" s="3">
        <v>1865.9</v>
      </c>
      <c r="G135" s="3">
        <v>1874</v>
      </c>
      <c r="H135" s="3">
        <v>1877</v>
      </c>
      <c r="I135" s="3">
        <v>1874.79</v>
      </c>
      <c r="J135" s="3">
        <v>1917</v>
      </c>
      <c r="K135" s="3">
        <v>1372.85</v>
      </c>
      <c r="L135" s="2">
        <v>4712312</v>
      </c>
      <c r="M135" s="2">
        <v>8834585788.1000004</v>
      </c>
      <c r="N135" s="2">
        <v>119233</v>
      </c>
      <c r="O135" t="s">
        <v>16</v>
      </c>
    </row>
    <row r="136" spans="1:15" x14ac:dyDescent="0.3">
      <c r="A136" s="1">
        <v>45826</v>
      </c>
      <c r="B136" t="s">
        <v>15</v>
      </c>
      <c r="C136" s="3">
        <v>1847.6</v>
      </c>
      <c r="D136" s="3">
        <v>1871</v>
      </c>
      <c r="E136" s="3">
        <v>1843.1</v>
      </c>
      <c r="F136" s="3">
        <v>1854.8</v>
      </c>
      <c r="G136" s="3">
        <v>1861.8</v>
      </c>
      <c r="H136" s="3">
        <v>1865.9</v>
      </c>
      <c r="I136" s="3">
        <v>1864.4</v>
      </c>
      <c r="J136" s="3">
        <v>1917</v>
      </c>
      <c r="K136" s="3">
        <v>1372.85</v>
      </c>
      <c r="L136" s="2">
        <v>5069427</v>
      </c>
      <c r="M136" s="2">
        <v>9451432452.5</v>
      </c>
      <c r="N136" s="2">
        <v>123077</v>
      </c>
      <c r="O136" t="s">
        <v>16</v>
      </c>
    </row>
    <row r="137" spans="1:15" x14ac:dyDescent="0.3">
      <c r="A137" s="1">
        <v>45825</v>
      </c>
      <c r="B137" t="s">
        <v>15</v>
      </c>
      <c r="C137" s="3">
        <v>1879</v>
      </c>
      <c r="D137" s="3">
        <v>1879</v>
      </c>
      <c r="E137" s="3">
        <v>1847.6</v>
      </c>
      <c r="F137" s="3">
        <v>1861.3</v>
      </c>
      <c r="G137" s="3">
        <v>1856.8</v>
      </c>
      <c r="H137" s="3">
        <v>1854.8</v>
      </c>
      <c r="I137" s="3">
        <v>1854.73</v>
      </c>
      <c r="J137" s="3">
        <v>1917</v>
      </c>
      <c r="K137" s="3">
        <v>1372.85</v>
      </c>
      <c r="L137" s="2">
        <v>6561555</v>
      </c>
      <c r="M137" s="2">
        <v>12169888553.1</v>
      </c>
      <c r="N137" s="2">
        <v>161741</v>
      </c>
      <c r="O137" t="s">
        <v>16</v>
      </c>
    </row>
    <row r="138" spans="1:15" x14ac:dyDescent="0.3">
      <c r="A138" s="1">
        <v>45824</v>
      </c>
      <c r="B138" t="s">
        <v>15</v>
      </c>
      <c r="C138" s="3">
        <v>1842.1</v>
      </c>
      <c r="D138" s="3">
        <v>1870</v>
      </c>
      <c r="E138" s="3">
        <v>1838.8</v>
      </c>
      <c r="F138" s="3">
        <v>1840.4</v>
      </c>
      <c r="G138" s="3">
        <v>1858.2</v>
      </c>
      <c r="H138" s="3">
        <v>1861.3</v>
      </c>
      <c r="I138" s="3">
        <v>1860.67</v>
      </c>
      <c r="J138" s="3">
        <v>1917</v>
      </c>
      <c r="K138" s="3">
        <v>1372.85</v>
      </c>
      <c r="L138" s="2">
        <v>5722187</v>
      </c>
      <c r="M138" s="2">
        <v>10647100022.6</v>
      </c>
      <c r="N138" s="2">
        <v>136896</v>
      </c>
      <c r="O138" t="s">
        <v>16</v>
      </c>
    </row>
    <row r="139" spans="1:15" x14ac:dyDescent="0.3">
      <c r="A139" s="1">
        <v>45821</v>
      </c>
      <c r="B139" t="s">
        <v>15</v>
      </c>
      <c r="C139" s="3">
        <v>1815</v>
      </c>
      <c r="D139" s="3">
        <v>1844.6</v>
      </c>
      <c r="E139" s="3">
        <v>1815</v>
      </c>
      <c r="F139" s="3">
        <v>1844.2</v>
      </c>
      <c r="G139" s="3">
        <v>1840.1</v>
      </c>
      <c r="H139" s="3">
        <v>1840.4</v>
      </c>
      <c r="I139" s="3">
        <v>1837.79</v>
      </c>
      <c r="J139" s="3">
        <v>1917</v>
      </c>
      <c r="K139" s="3">
        <v>1372.85</v>
      </c>
      <c r="L139" s="2">
        <v>4613000</v>
      </c>
      <c r="M139" s="2">
        <v>8477734828.5</v>
      </c>
      <c r="N139" s="2">
        <v>178295</v>
      </c>
      <c r="O139" t="s">
        <v>16</v>
      </c>
    </row>
    <row r="140" spans="1:15" x14ac:dyDescent="0.3">
      <c r="A140" s="1">
        <v>45820</v>
      </c>
      <c r="B140" t="s">
        <v>15</v>
      </c>
      <c r="C140" s="3">
        <v>1871.9</v>
      </c>
      <c r="D140" s="3">
        <v>1883</v>
      </c>
      <c r="E140" s="3">
        <v>1831.6</v>
      </c>
      <c r="F140" s="3">
        <v>1860.2</v>
      </c>
      <c r="G140" s="3">
        <v>1844</v>
      </c>
      <c r="H140" s="3">
        <v>1844.2</v>
      </c>
      <c r="I140" s="3">
        <v>1851.8</v>
      </c>
      <c r="J140" s="3">
        <v>1917</v>
      </c>
      <c r="K140" s="3">
        <v>1372.85</v>
      </c>
      <c r="L140" s="2">
        <v>7346031</v>
      </c>
      <c r="M140" s="2">
        <v>13603343695.4</v>
      </c>
      <c r="N140" s="2">
        <v>178651</v>
      </c>
      <c r="O140" t="s">
        <v>16</v>
      </c>
    </row>
    <row r="141" spans="1:15" x14ac:dyDescent="0.3">
      <c r="A141" s="1">
        <v>45819</v>
      </c>
      <c r="B141" t="s">
        <v>15</v>
      </c>
      <c r="C141" s="3">
        <v>1857.9</v>
      </c>
      <c r="D141" s="3">
        <v>1866.5</v>
      </c>
      <c r="E141" s="3">
        <v>1847.8</v>
      </c>
      <c r="F141" s="3">
        <v>1857.1</v>
      </c>
      <c r="G141" s="3">
        <v>1857.5</v>
      </c>
      <c r="H141" s="3">
        <v>1860.2</v>
      </c>
      <c r="I141" s="3">
        <v>1857.61</v>
      </c>
      <c r="J141" s="3">
        <v>1917</v>
      </c>
      <c r="K141" s="3">
        <v>1372.85</v>
      </c>
      <c r="L141" s="2">
        <v>8907265</v>
      </c>
      <c r="M141" s="2">
        <v>16546192522.9</v>
      </c>
      <c r="N141" s="2">
        <v>160998</v>
      </c>
      <c r="O141" t="s">
        <v>16</v>
      </c>
    </row>
    <row r="142" spans="1:15" x14ac:dyDescent="0.3">
      <c r="A142" s="1">
        <v>45818</v>
      </c>
      <c r="B142" t="s">
        <v>15</v>
      </c>
      <c r="C142" s="3">
        <v>1866.6</v>
      </c>
      <c r="D142" s="3">
        <v>1875.6</v>
      </c>
      <c r="E142" s="3">
        <v>1850.3</v>
      </c>
      <c r="F142" s="3">
        <v>1865.1</v>
      </c>
      <c r="G142" s="3">
        <v>1855.9</v>
      </c>
      <c r="H142" s="3">
        <v>1857.1</v>
      </c>
      <c r="I142" s="3">
        <v>1859.98</v>
      </c>
      <c r="J142" s="3">
        <v>1917</v>
      </c>
      <c r="K142" s="3">
        <v>1372.85</v>
      </c>
      <c r="L142" s="2">
        <v>7925901</v>
      </c>
      <c r="M142" s="2">
        <v>14742016739.200001</v>
      </c>
      <c r="N142" s="2">
        <v>167981</v>
      </c>
      <c r="O142" t="s">
        <v>16</v>
      </c>
    </row>
    <row r="143" spans="1:15" x14ac:dyDescent="0.3">
      <c r="A143" s="1">
        <v>45817</v>
      </c>
      <c r="B143" t="s">
        <v>15</v>
      </c>
      <c r="C143" s="3">
        <v>1874</v>
      </c>
      <c r="D143" s="3">
        <v>1875</v>
      </c>
      <c r="E143" s="3">
        <v>1848.7</v>
      </c>
      <c r="F143" s="3">
        <v>1870.2</v>
      </c>
      <c r="G143" s="3">
        <v>1865</v>
      </c>
      <c r="H143" s="3">
        <v>1865.1</v>
      </c>
      <c r="I143" s="3">
        <v>1862.61</v>
      </c>
      <c r="J143" s="3">
        <v>1917</v>
      </c>
      <c r="K143" s="3">
        <v>1372.85</v>
      </c>
      <c r="L143" s="2">
        <v>3649505</v>
      </c>
      <c r="M143" s="2">
        <v>6797612329</v>
      </c>
      <c r="N143" s="2">
        <v>131990</v>
      </c>
      <c r="O143" t="s">
        <v>16</v>
      </c>
    </row>
    <row r="144" spans="1:15" x14ac:dyDescent="0.3">
      <c r="A144" s="1">
        <v>45814</v>
      </c>
      <c r="B144" t="s">
        <v>15</v>
      </c>
      <c r="C144" s="3">
        <v>1872.1</v>
      </c>
      <c r="D144" s="3">
        <v>1881.9</v>
      </c>
      <c r="E144" s="3">
        <v>1867.3</v>
      </c>
      <c r="F144" s="3">
        <v>1878.8</v>
      </c>
      <c r="G144" s="3">
        <v>1870.1</v>
      </c>
      <c r="H144" s="3">
        <v>1870.2</v>
      </c>
      <c r="I144" s="3">
        <v>1874.58</v>
      </c>
      <c r="J144" s="3">
        <v>1917</v>
      </c>
      <c r="K144" s="3">
        <v>1219.05</v>
      </c>
      <c r="L144" s="2">
        <v>4644174</v>
      </c>
      <c r="M144" s="2">
        <v>8705867475.2000008</v>
      </c>
      <c r="N144" s="2">
        <v>165644</v>
      </c>
      <c r="O144" t="s">
        <v>16</v>
      </c>
    </row>
    <row r="145" spans="1:15" x14ac:dyDescent="0.3">
      <c r="A145" s="1">
        <v>45813</v>
      </c>
      <c r="B145" t="s">
        <v>15</v>
      </c>
      <c r="C145" s="3">
        <v>1884</v>
      </c>
      <c r="D145" s="3">
        <v>1889</v>
      </c>
      <c r="E145" s="3">
        <v>1868.6</v>
      </c>
      <c r="F145" s="3">
        <v>1875.4</v>
      </c>
      <c r="G145" s="3">
        <v>1878</v>
      </c>
      <c r="H145" s="3">
        <v>1878.8</v>
      </c>
      <c r="I145" s="3">
        <v>1874.29</v>
      </c>
      <c r="J145" s="3">
        <v>1917</v>
      </c>
      <c r="K145" s="3">
        <v>1219.05</v>
      </c>
      <c r="L145" s="2">
        <v>8999675</v>
      </c>
      <c r="M145" s="2">
        <v>16867977555.4</v>
      </c>
      <c r="N145" s="2">
        <v>157560</v>
      </c>
      <c r="O145" t="s">
        <v>16</v>
      </c>
    </row>
    <row r="146" spans="1:15" x14ac:dyDescent="0.3">
      <c r="A146" s="1">
        <v>45812</v>
      </c>
      <c r="B146" t="s">
        <v>15</v>
      </c>
      <c r="C146" s="3">
        <v>1855</v>
      </c>
      <c r="D146" s="3">
        <v>1884.6</v>
      </c>
      <c r="E146" s="3">
        <v>1850</v>
      </c>
      <c r="F146" s="3">
        <v>1841.3</v>
      </c>
      <c r="G146" s="3">
        <v>1873</v>
      </c>
      <c r="H146" s="3">
        <v>1875.4</v>
      </c>
      <c r="I146" s="3">
        <v>1873.4</v>
      </c>
      <c r="J146" s="3">
        <v>1917</v>
      </c>
      <c r="K146" s="3">
        <v>1219.05</v>
      </c>
      <c r="L146" s="2">
        <v>5892170</v>
      </c>
      <c r="M146" s="2">
        <v>11038406458.9</v>
      </c>
      <c r="N146" s="2">
        <v>200975</v>
      </c>
      <c r="O146" t="s">
        <v>16</v>
      </c>
    </row>
    <row r="147" spans="1:15" x14ac:dyDescent="0.3">
      <c r="A147" s="1">
        <v>45811</v>
      </c>
      <c r="B147" t="s">
        <v>15</v>
      </c>
      <c r="C147" s="3">
        <v>1867</v>
      </c>
      <c r="D147" s="3">
        <v>1869.5</v>
      </c>
      <c r="E147" s="3">
        <v>1832</v>
      </c>
      <c r="F147" s="3">
        <v>1854.1</v>
      </c>
      <c r="G147" s="3">
        <v>1841.6</v>
      </c>
      <c r="H147" s="3">
        <v>1841.3</v>
      </c>
      <c r="I147" s="3">
        <v>1844.12</v>
      </c>
      <c r="J147" s="3">
        <v>1917</v>
      </c>
      <c r="K147" s="3">
        <v>1219.05</v>
      </c>
      <c r="L147" s="2">
        <v>5596977</v>
      </c>
      <c r="M147" s="2">
        <v>10321475298.6</v>
      </c>
      <c r="N147" s="2">
        <v>194113</v>
      </c>
      <c r="O147" t="s">
        <v>16</v>
      </c>
    </row>
    <row r="148" spans="1:15" x14ac:dyDescent="0.3">
      <c r="A148" s="1">
        <v>45810</v>
      </c>
      <c r="B148" t="s">
        <v>15</v>
      </c>
      <c r="C148" s="3">
        <v>1844</v>
      </c>
      <c r="D148" s="3">
        <v>1859</v>
      </c>
      <c r="E148" s="3">
        <v>1831.5</v>
      </c>
      <c r="F148" s="3">
        <v>1856.2</v>
      </c>
      <c r="G148" s="3">
        <v>1850</v>
      </c>
      <c r="H148" s="3">
        <v>1854.1</v>
      </c>
      <c r="I148" s="3">
        <v>1848.95</v>
      </c>
      <c r="J148" s="3">
        <v>1917</v>
      </c>
      <c r="K148" s="3">
        <v>1219.05</v>
      </c>
      <c r="L148" s="2">
        <v>3199499</v>
      </c>
      <c r="M148" s="2">
        <v>5915706164.5</v>
      </c>
      <c r="N148" s="2">
        <v>119382</v>
      </c>
      <c r="O148" t="s">
        <v>16</v>
      </c>
    </row>
    <row r="149" spans="1:15" x14ac:dyDescent="0.3">
      <c r="A149" s="1">
        <v>45807</v>
      </c>
      <c r="B149" t="s">
        <v>15</v>
      </c>
      <c r="C149" s="3">
        <v>1854</v>
      </c>
      <c r="D149" s="3">
        <v>1867</v>
      </c>
      <c r="E149" s="3">
        <v>1843</v>
      </c>
      <c r="F149" s="3">
        <v>1863.6</v>
      </c>
      <c r="G149" s="3">
        <v>1859.7</v>
      </c>
      <c r="H149" s="3">
        <v>1856.2</v>
      </c>
      <c r="I149" s="3">
        <v>1856.33</v>
      </c>
      <c r="J149" s="3">
        <v>1917</v>
      </c>
      <c r="K149" s="3">
        <v>1219.05</v>
      </c>
      <c r="L149" s="2">
        <v>16712960</v>
      </c>
      <c r="M149" s="2">
        <v>31024799188.599998</v>
      </c>
      <c r="N149" s="2">
        <v>163931</v>
      </c>
      <c r="O149" t="s">
        <v>16</v>
      </c>
    </row>
    <row r="150" spans="1:15" x14ac:dyDescent="0.3">
      <c r="A150" s="1">
        <v>45806</v>
      </c>
      <c r="B150" t="s">
        <v>15</v>
      </c>
      <c r="C150" s="3">
        <v>1858</v>
      </c>
      <c r="D150" s="3">
        <v>1867</v>
      </c>
      <c r="E150" s="3">
        <v>1850.5</v>
      </c>
      <c r="F150" s="3">
        <v>1856.1</v>
      </c>
      <c r="G150" s="3">
        <v>1865</v>
      </c>
      <c r="H150" s="3">
        <v>1863.6</v>
      </c>
      <c r="I150" s="3">
        <v>1861.2</v>
      </c>
      <c r="J150" s="3">
        <v>1917</v>
      </c>
      <c r="K150" s="3">
        <v>1219.05</v>
      </c>
      <c r="L150" s="2">
        <v>5786774</v>
      </c>
      <c r="M150" s="2">
        <v>10770332949.6</v>
      </c>
      <c r="N150" s="2">
        <v>218220</v>
      </c>
      <c r="O150" t="s">
        <v>16</v>
      </c>
    </row>
    <row r="151" spans="1:15" x14ac:dyDescent="0.3">
      <c r="A151" s="1">
        <v>45805</v>
      </c>
      <c r="B151" t="s">
        <v>15</v>
      </c>
      <c r="C151" s="3">
        <v>1848</v>
      </c>
      <c r="D151" s="3">
        <v>1867</v>
      </c>
      <c r="E151" s="3">
        <v>1845.1</v>
      </c>
      <c r="F151" s="3">
        <v>1843.8</v>
      </c>
      <c r="G151" s="3">
        <v>1855.5</v>
      </c>
      <c r="H151" s="3">
        <v>1856.1</v>
      </c>
      <c r="I151" s="3">
        <v>1857.45</v>
      </c>
      <c r="J151" s="3">
        <v>1917</v>
      </c>
      <c r="K151" s="3">
        <v>1219.05</v>
      </c>
      <c r="L151" s="2">
        <v>3713699</v>
      </c>
      <c r="M151" s="2">
        <v>6898020834.1999998</v>
      </c>
      <c r="N151" s="2">
        <v>118955</v>
      </c>
      <c r="O151" t="s">
        <v>16</v>
      </c>
    </row>
    <row r="152" spans="1:15" x14ac:dyDescent="0.3">
      <c r="A152" s="1">
        <v>45804</v>
      </c>
      <c r="B152" t="s">
        <v>15</v>
      </c>
      <c r="C152" s="3">
        <v>1844</v>
      </c>
      <c r="D152" s="3">
        <v>1857.6</v>
      </c>
      <c r="E152" s="3">
        <v>1833.7</v>
      </c>
      <c r="F152" s="3">
        <v>1847.4</v>
      </c>
      <c r="G152" s="3">
        <v>1847.3</v>
      </c>
      <c r="H152" s="3">
        <v>1843.8</v>
      </c>
      <c r="I152" s="3">
        <v>1843.98</v>
      </c>
      <c r="J152" s="3">
        <v>1917</v>
      </c>
      <c r="K152" s="3">
        <v>1219.05</v>
      </c>
      <c r="L152" s="2">
        <v>5847725</v>
      </c>
      <c r="M152" s="2">
        <v>10783099301.4</v>
      </c>
      <c r="N152" s="2">
        <v>181830</v>
      </c>
      <c r="O152" t="s">
        <v>16</v>
      </c>
    </row>
    <row r="153" spans="1:15" x14ac:dyDescent="0.3">
      <c r="A153" s="1">
        <v>45803</v>
      </c>
      <c r="B153" t="s">
        <v>15</v>
      </c>
      <c r="C153" s="3">
        <v>1834</v>
      </c>
      <c r="D153" s="3">
        <v>1850</v>
      </c>
      <c r="E153" s="3">
        <v>1830.9</v>
      </c>
      <c r="F153" s="3">
        <v>1831.7</v>
      </c>
      <c r="G153" s="3">
        <v>1846.5</v>
      </c>
      <c r="H153" s="3">
        <v>1847.4</v>
      </c>
      <c r="I153" s="3">
        <v>1845.67</v>
      </c>
      <c r="J153" s="3">
        <v>1917</v>
      </c>
      <c r="K153" s="3">
        <v>1219.05</v>
      </c>
      <c r="L153" s="2">
        <v>3254715</v>
      </c>
      <c r="M153" s="2">
        <v>6007142210.3999996</v>
      </c>
      <c r="N153" s="2">
        <v>154230</v>
      </c>
      <c r="O153" t="s">
        <v>16</v>
      </c>
    </row>
    <row r="154" spans="1:15" x14ac:dyDescent="0.3">
      <c r="A154" s="1">
        <v>45800</v>
      </c>
      <c r="B154" t="s">
        <v>15</v>
      </c>
      <c r="C154" s="3">
        <v>1825</v>
      </c>
      <c r="D154" s="3">
        <v>1841.8</v>
      </c>
      <c r="E154" s="3">
        <v>1821.5</v>
      </c>
      <c r="F154" s="3">
        <v>1831.4</v>
      </c>
      <c r="G154" s="3">
        <v>1831</v>
      </c>
      <c r="H154" s="3">
        <v>1831.7</v>
      </c>
      <c r="I154" s="3">
        <v>1835.52</v>
      </c>
      <c r="J154" s="3">
        <v>1917</v>
      </c>
      <c r="K154" s="3">
        <v>1219.05</v>
      </c>
      <c r="L154" s="2">
        <v>3460945</v>
      </c>
      <c r="M154" s="2">
        <v>6352622258.6999998</v>
      </c>
      <c r="N154" s="2">
        <v>149774</v>
      </c>
      <c r="O154" t="s">
        <v>16</v>
      </c>
    </row>
    <row r="155" spans="1:15" x14ac:dyDescent="0.3">
      <c r="A155" s="1">
        <v>45799</v>
      </c>
      <c r="B155" t="s">
        <v>15</v>
      </c>
      <c r="C155" s="3">
        <v>1819.9</v>
      </c>
      <c r="D155" s="3">
        <v>1836.7</v>
      </c>
      <c r="E155" s="3">
        <v>1816.3</v>
      </c>
      <c r="F155" s="3">
        <v>1822.5</v>
      </c>
      <c r="G155" s="3">
        <v>1831</v>
      </c>
      <c r="H155" s="3">
        <v>1831.4</v>
      </c>
      <c r="I155" s="3">
        <v>1829.94</v>
      </c>
      <c r="J155" s="3">
        <v>1917</v>
      </c>
      <c r="K155" s="3">
        <v>1219.05</v>
      </c>
      <c r="L155" s="2">
        <v>6496923</v>
      </c>
      <c r="M155" s="2">
        <v>11888988220.5</v>
      </c>
      <c r="N155" s="2">
        <v>206038</v>
      </c>
      <c r="O155" t="s">
        <v>16</v>
      </c>
    </row>
    <row r="156" spans="1:15" x14ac:dyDescent="0.3">
      <c r="A156" s="1">
        <v>45798</v>
      </c>
      <c r="B156" t="s">
        <v>15</v>
      </c>
      <c r="C156" s="3">
        <v>1813</v>
      </c>
      <c r="D156" s="3">
        <v>1826.5</v>
      </c>
      <c r="E156" s="3">
        <v>1805.3</v>
      </c>
      <c r="F156" s="3">
        <v>1808.9</v>
      </c>
      <c r="G156" s="3">
        <v>1822</v>
      </c>
      <c r="H156" s="3">
        <v>1822.5</v>
      </c>
      <c r="I156" s="3">
        <v>1819.2</v>
      </c>
      <c r="J156" s="3">
        <v>1917</v>
      </c>
      <c r="K156" s="3">
        <v>1219.05</v>
      </c>
      <c r="L156" s="2">
        <v>6849562</v>
      </c>
      <c r="M156" s="2">
        <v>12460710453.5</v>
      </c>
      <c r="N156" s="2">
        <v>299080</v>
      </c>
      <c r="O156" t="s">
        <v>16</v>
      </c>
    </row>
    <row r="157" spans="1:15" x14ac:dyDescent="0.3">
      <c r="A157" s="1">
        <v>45797</v>
      </c>
      <c r="B157" t="s">
        <v>15</v>
      </c>
      <c r="C157" s="3">
        <v>1809.8</v>
      </c>
      <c r="D157" s="3">
        <v>1824.9</v>
      </c>
      <c r="E157" s="3">
        <v>1799.5</v>
      </c>
      <c r="F157" s="3">
        <v>1818.3</v>
      </c>
      <c r="G157" s="3">
        <v>1809.7</v>
      </c>
      <c r="H157" s="3">
        <v>1808.9</v>
      </c>
      <c r="I157" s="3">
        <v>1809.85</v>
      </c>
      <c r="J157" s="3">
        <v>1917</v>
      </c>
      <c r="K157" s="3">
        <v>1219.05</v>
      </c>
      <c r="L157" s="2">
        <v>12512596</v>
      </c>
      <c r="M157" s="2">
        <v>22645951310.900002</v>
      </c>
      <c r="N157" s="2">
        <v>281116</v>
      </c>
      <c r="O157" t="s">
        <v>16</v>
      </c>
    </row>
    <row r="158" spans="1:15" x14ac:dyDescent="0.3">
      <c r="A158" s="1">
        <v>45796</v>
      </c>
      <c r="B158" t="s">
        <v>15</v>
      </c>
      <c r="C158" s="3">
        <v>1822</v>
      </c>
      <c r="D158" s="3">
        <v>1828.7</v>
      </c>
      <c r="E158" s="3">
        <v>1809</v>
      </c>
      <c r="F158" s="3">
        <v>1814</v>
      </c>
      <c r="G158" s="3">
        <v>1816.5</v>
      </c>
      <c r="H158" s="3">
        <v>1818.3</v>
      </c>
      <c r="I158" s="3">
        <v>1818.41</v>
      </c>
      <c r="J158" s="3">
        <v>1917</v>
      </c>
      <c r="K158" s="3">
        <v>1219.05</v>
      </c>
      <c r="L158" s="2">
        <v>5799804</v>
      </c>
      <c r="M158" s="2">
        <v>10546436610</v>
      </c>
      <c r="N158" s="2">
        <v>223582</v>
      </c>
      <c r="O158" t="s">
        <v>16</v>
      </c>
    </row>
    <row r="159" spans="1:15" x14ac:dyDescent="0.3">
      <c r="A159" s="1">
        <v>45793</v>
      </c>
      <c r="B159" t="s">
        <v>15</v>
      </c>
      <c r="C159" s="3">
        <v>1834</v>
      </c>
      <c r="D159" s="3">
        <v>1834</v>
      </c>
      <c r="E159" s="3">
        <v>1810.1</v>
      </c>
      <c r="F159" s="3">
        <v>1867.2</v>
      </c>
      <c r="G159" s="3">
        <v>1814.4</v>
      </c>
      <c r="H159" s="3">
        <v>1814</v>
      </c>
      <c r="I159" s="3">
        <v>1815.18</v>
      </c>
      <c r="J159" s="3">
        <v>1917</v>
      </c>
      <c r="K159" s="3">
        <v>1219.05</v>
      </c>
      <c r="L159" s="2">
        <v>100662047</v>
      </c>
      <c r="M159" s="2">
        <v>182719665612.79999</v>
      </c>
      <c r="N159" s="2">
        <v>286997</v>
      </c>
      <c r="O159" t="s">
        <v>16</v>
      </c>
    </row>
    <row r="160" spans="1:15" x14ac:dyDescent="0.3">
      <c r="A160" s="1">
        <v>45792</v>
      </c>
      <c r="B160" t="s">
        <v>15</v>
      </c>
      <c r="C160" s="3">
        <v>1849.9</v>
      </c>
      <c r="D160" s="3">
        <v>1869.9</v>
      </c>
      <c r="E160" s="3">
        <v>1825</v>
      </c>
      <c r="F160" s="3">
        <v>1834.2</v>
      </c>
      <c r="G160" s="3">
        <v>1863.1</v>
      </c>
      <c r="H160" s="3">
        <v>1867.2</v>
      </c>
      <c r="I160" s="3">
        <v>1849.52</v>
      </c>
      <c r="J160" s="3">
        <v>1917</v>
      </c>
      <c r="K160" s="3">
        <v>1219.05</v>
      </c>
      <c r="L160" s="2">
        <v>8788351</v>
      </c>
      <c r="M160" s="2">
        <v>16254270538.1</v>
      </c>
      <c r="N160" s="2">
        <v>195431</v>
      </c>
      <c r="O160" t="s">
        <v>16</v>
      </c>
    </row>
    <row r="161" spans="1:15" x14ac:dyDescent="0.3">
      <c r="A161" s="1">
        <v>45791</v>
      </c>
      <c r="B161" t="s">
        <v>15</v>
      </c>
      <c r="C161" s="3">
        <v>1830</v>
      </c>
      <c r="D161" s="3">
        <v>1870.7</v>
      </c>
      <c r="E161" s="3">
        <v>1820.2</v>
      </c>
      <c r="F161" s="3">
        <v>1820.6</v>
      </c>
      <c r="G161" s="3">
        <v>1837.9</v>
      </c>
      <c r="H161" s="3">
        <v>1834.2</v>
      </c>
      <c r="I161" s="3">
        <v>1843.39</v>
      </c>
      <c r="J161" s="3">
        <v>1917</v>
      </c>
      <c r="K161" s="3">
        <v>1219.05</v>
      </c>
      <c r="L161" s="2">
        <v>7401614</v>
      </c>
      <c r="M161" s="2">
        <v>13644025354.700001</v>
      </c>
      <c r="N161" s="2">
        <v>226624</v>
      </c>
      <c r="O161" t="s">
        <v>16</v>
      </c>
    </row>
    <row r="162" spans="1:15" x14ac:dyDescent="0.3">
      <c r="A162" s="1">
        <v>45790</v>
      </c>
      <c r="B162" t="s">
        <v>15</v>
      </c>
      <c r="C162" s="3">
        <v>1870</v>
      </c>
      <c r="D162" s="3">
        <v>1883.7</v>
      </c>
      <c r="E162" s="3">
        <v>1816.6</v>
      </c>
      <c r="F162" s="3">
        <v>1870.8</v>
      </c>
      <c r="G162" s="3">
        <v>1824.5</v>
      </c>
      <c r="H162" s="3">
        <v>1820.6</v>
      </c>
      <c r="I162" s="3">
        <v>1834.02</v>
      </c>
      <c r="J162" s="3">
        <v>1917</v>
      </c>
      <c r="K162" s="3">
        <v>1219.05</v>
      </c>
      <c r="L162" s="2">
        <v>8817763</v>
      </c>
      <c r="M162" s="2">
        <v>16171933283.299999</v>
      </c>
      <c r="N162" s="2">
        <v>282085</v>
      </c>
      <c r="O162" t="s">
        <v>16</v>
      </c>
    </row>
    <row r="163" spans="1:15" x14ac:dyDescent="0.3">
      <c r="A163" s="1">
        <v>45789</v>
      </c>
      <c r="B163" t="s">
        <v>15</v>
      </c>
      <c r="C163" s="3">
        <v>1868.9</v>
      </c>
      <c r="D163" s="3">
        <v>1883.4</v>
      </c>
      <c r="E163" s="3">
        <v>1854</v>
      </c>
      <c r="F163" s="3">
        <v>1848.4</v>
      </c>
      <c r="G163" s="3">
        <v>1873</v>
      </c>
      <c r="H163" s="3">
        <v>1870.8</v>
      </c>
      <c r="I163" s="3">
        <v>1869.65</v>
      </c>
      <c r="J163" s="3">
        <v>1917</v>
      </c>
      <c r="K163" s="3">
        <v>1219.05</v>
      </c>
      <c r="L163" s="2">
        <v>3936019</v>
      </c>
      <c r="M163" s="2">
        <v>7358980437</v>
      </c>
      <c r="N163" s="2">
        <v>134363</v>
      </c>
      <c r="O163" t="s">
        <v>16</v>
      </c>
    </row>
    <row r="164" spans="1:15" x14ac:dyDescent="0.3">
      <c r="A164" s="1">
        <v>45786</v>
      </c>
      <c r="B164" t="s">
        <v>15</v>
      </c>
      <c r="C164" s="3">
        <v>1855</v>
      </c>
      <c r="D164" s="3">
        <v>1871.1</v>
      </c>
      <c r="E164" s="3">
        <v>1836.5</v>
      </c>
      <c r="F164" s="3">
        <v>1874.9</v>
      </c>
      <c r="G164" s="3">
        <v>1850</v>
      </c>
      <c r="H164" s="3">
        <v>1848.4</v>
      </c>
      <c r="I164" s="3">
        <v>1848.9</v>
      </c>
      <c r="J164" s="3">
        <v>1917</v>
      </c>
      <c r="K164" s="3">
        <v>1219.05</v>
      </c>
      <c r="L164" s="2">
        <v>3686209</v>
      </c>
      <c r="M164" s="2">
        <v>6815420471.6999998</v>
      </c>
      <c r="N164" s="2">
        <v>142316</v>
      </c>
      <c r="O164" t="s">
        <v>16</v>
      </c>
    </row>
    <row r="165" spans="1:15" x14ac:dyDescent="0.3">
      <c r="A165" s="1">
        <v>45785</v>
      </c>
      <c r="B165" t="s">
        <v>15</v>
      </c>
      <c r="C165" s="3">
        <v>1897</v>
      </c>
      <c r="D165" s="3">
        <v>1905.8</v>
      </c>
      <c r="E165" s="3">
        <v>1862.4</v>
      </c>
      <c r="F165" s="3">
        <v>1896.8</v>
      </c>
      <c r="G165" s="3">
        <v>1864.5</v>
      </c>
      <c r="H165" s="3">
        <v>1874.9</v>
      </c>
      <c r="I165" s="3">
        <v>1880.32</v>
      </c>
      <c r="J165" s="3">
        <v>1917</v>
      </c>
      <c r="K165" s="3">
        <v>1219.05</v>
      </c>
      <c r="L165" s="2">
        <v>5500724</v>
      </c>
      <c r="M165" s="2">
        <v>10343102911.1</v>
      </c>
      <c r="N165" s="2">
        <v>188110</v>
      </c>
      <c r="O165" t="s">
        <v>16</v>
      </c>
    </row>
    <row r="166" spans="1:15" x14ac:dyDescent="0.3">
      <c r="A166" s="1">
        <v>45784</v>
      </c>
      <c r="B166" t="s">
        <v>15</v>
      </c>
      <c r="C166" s="3">
        <v>1901</v>
      </c>
      <c r="D166" s="3">
        <v>1917</v>
      </c>
      <c r="E166" s="3">
        <v>1885.5</v>
      </c>
      <c r="F166" s="3">
        <v>1901</v>
      </c>
      <c r="G166" s="3">
        <v>1892.7</v>
      </c>
      <c r="H166" s="3">
        <v>1896.8</v>
      </c>
      <c r="I166" s="3">
        <v>1899.09</v>
      </c>
      <c r="J166" s="3">
        <v>1917</v>
      </c>
      <c r="K166" s="3">
        <v>1219.05</v>
      </c>
      <c r="L166" s="2">
        <v>5554616</v>
      </c>
      <c r="M166" s="2">
        <v>10548724277</v>
      </c>
      <c r="N166" s="2">
        <v>184822</v>
      </c>
      <c r="O166" t="s">
        <v>16</v>
      </c>
    </row>
    <row r="167" spans="1:15" x14ac:dyDescent="0.3">
      <c r="A167" s="1">
        <v>45783</v>
      </c>
      <c r="B167" t="s">
        <v>15</v>
      </c>
      <c r="C167" s="3">
        <v>1888.3</v>
      </c>
      <c r="D167" s="3">
        <v>1912</v>
      </c>
      <c r="E167" s="3">
        <v>1882.6</v>
      </c>
      <c r="F167" s="3">
        <v>1866</v>
      </c>
      <c r="G167" s="3">
        <v>1896</v>
      </c>
      <c r="H167" s="3">
        <v>1901</v>
      </c>
      <c r="I167" s="3">
        <v>1899.53</v>
      </c>
      <c r="J167" s="3">
        <v>1912</v>
      </c>
      <c r="K167" s="3">
        <v>1219.05</v>
      </c>
      <c r="L167" s="2">
        <v>8597920</v>
      </c>
      <c r="M167" s="2">
        <v>16331996371.700001</v>
      </c>
      <c r="N167" s="2">
        <v>200749</v>
      </c>
      <c r="O167" t="s">
        <v>16</v>
      </c>
    </row>
    <row r="168" spans="1:15" x14ac:dyDescent="0.3">
      <c r="A168" s="1">
        <v>45782</v>
      </c>
      <c r="B168" t="s">
        <v>15</v>
      </c>
      <c r="C168" s="3">
        <v>1868</v>
      </c>
      <c r="D168" s="3">
        <v>1873.5</v>
      </c>
      <c r="E168" s="3">
        <v>1849.2</v>
      </c>
      <c r="F168" s="3">
        <v>1851.9</v>
      </c>
      <c r="G168" s="3">
        <v>1866</v>
      </c>
      <c r="H168" s="3">
        <v>1866</v>
      </c>
      <c r="I168" s="3">
        <v>1864.43</v>
      </c>
      <c r="J168" s="3">
        <v>1904.3</v>
      </c>
      <c r="K168" s="3">
        <v>1219.05</v>
      </c>
      <c r="L168" s="2">
        <v>3548839</v>
      </c>
      <c r="M168" s="2">
        <v>6616547877</v>
      </c>
      <c r="N168" s="2">
        <v>103413</v>
      </c>
      <c r="O168" t="s">
        <v>16</v>
      </c>
    </row>
    <row r="169" spans="1:15" x14ac:dyDescent="0.3">
      <c r="A169" s="1">
        <v>45779</v>
      </c>
      <c r="B169" t="s">
        <v>15</v>
      </c>
      <c r="C169" s="3">
        <v>1852</v>
      </c>
      <c r="D169" s="3">
        <v>1883.6</v>
      </c>
      <c r="E169" s="3">
        <v>1832.1</v>
      </c>
      <c r="F169" s="3">
        <v>1864.5</v>
      </c>
      <c r="G169" s="3">
        <v>1849</v>
      </c>
      <c r="H169" s="3">
        <v>1851.9</v>
      </c>
      <c r="I169" s="3">
        <v>1854.96</v>
      </c>
      <c r="J169" s="3">
        <v>1904.3</v>
      </c>
      <c r="K169" s="3">
        <v>1219.05</v>
      </c>
      <c r="L169" s="2">
        <v>5528529</v>
      </c>
      <c r="M169" s="2">
        <v>10255209665.9</v>
      </c>
      <c r="N169" s="2">
        <v>181226</v>
      </c>
      <c r="O169" t="s">
        <v>16</v>
      </c>
    </row>
    <row r="170" spans="1:15" x14ac:dyDescent="0.3">
      <c r="A170" s="1">
        <v>45777</v>
      </c>
      <c r="B170" t="s">
        <v>15</v>
      </c>
      <c r="C170" s="3">
        <v>1837</v>
      </c>
      <c r="D170" s="3">
        <v>1876.9</v>
      </c>
      <c r="E170" s="3">
        <v>1827</v>
      </c>
      <c r="F170" s="3">
        <v>1823.8</v>
      </c>
      <c r="G170" s="3">
        <v>1854.8</v>
      </c>
      <c r="H170" s="3">
        <v>1864.5</v>
      </c>
      <c r="I170" s="3">
        <v>1854.65</v>
      </c>
      <c r="J170" s="3">
        <v>1904.3</v>
      </c>
      <c r="K170" s="3">
        <v>1219.05</v>
      </c>
      <c r="L170" s="2">
        <v>9139821</v>
      </c>
      <c r="M170" s="2">
        <v>16951167803.700001</v>
      </c>
      <c r="N170" s="2">
        <v>152336</v>
      </c>
      <c r="O170" t="s">
        <v>16</v>
      </c>
    </row>
    <row r="171" spans="1:15" x14ac:dyDescent="0.3">
      <c r="A171" s="1">
        <v>45776</v>
      </c>
      <c r="B171" t="s">
        <v>15</v>
      </c>
      <c r="C171" s="3">
        <v>1823.7</v>
      </c>
      <c r="D171" s="3">
        <v>1847.8</v>
      </c>
      <c r="E171" s="3">
        <v>1817.6</v>
      </c>
      <c r="F171" s="3">
        <v>1821.8</v>
      </c>
      <c r="G171" s="3">
        <v>1827.2</v>
      </c>
      <c r="H171" s="3">
        <v>1823.8</v>
      </c>
      <c r="I171" s="3">
        <v>1829.51</v>
      </c>
      <c r="J171" s="3">
        <v>1904.3</v>
      </c>
      <c r="K171" s="3">
        <v>1219.05</v>
      </c>
      <c r="L171" s="2">
        <v>4684155</v>
      </c>
      <c r="M171" s="2">
        <v>8569695123.6999998</v>
      </c>
      <c r="N171" s="2">
        <v>153385</v>
      </c>
      <c r="O171" t="s">
        <v>16</v>
      </c>
    </row>
    <row r="172" spans="1:15" x14ac:dyDescent="0.3">
      <c r="A172" s="1">
        <v>45775</v>
      </c>
      <c r="B172" t="s">
        <v>15</v>
      </c>
      <c r="C172" s="3">
        <v>1836</v>
      </c>
      <c r="D172" s="3">
        <v>1838.9</v>
      </c>
      <c r="E172" s="3">
        <v>1813.4</v>
      </c>
      <c r="F172" s="3">
        <v>1817.2</v>
      </c>
      <c r="G172" s="3">
        <v>1820.3</v>
      </c>
      <c r="H172" s="3">
        <v>1821.8</v>
      </c>
      <c r="I172" s="3">
        <v>1822.3</v>
      </c>
      <c r="J172" s="3">
        <v>1904.3</v>
      </c>
      <c r="K172" s="3">
        <v>1219.05</v>
      </c>
      <c r="L172" s="2">
        <v>3301891</v>
      </c>
      <c r="M172" s="2">
        <v>6017036292.3000002</v>
      </c>
      <c r="N172" s="2">
        <v>100779</v>
      </c>
      <c r="O172" t="s">
        <v>16</v>
      </c>
    </row>
    <row r="173" spans="1:15" x14ac:dyDescent="0.3">
      <c r="A173" s="1">
        <v>45772</v>
      </c>
      <c r="B173" t="s">
        <v>15</v>
      </c>
      <c r="C173" s="3">
        <v>1846.7</v>
      </c>
      <c r="D173" s="3">
        <v>1861.7</v>
      </c>
      <c r="E173" s="3">
        <v>1806</v>
      </c>
      <c r="F173" s="3">
        <v>1845.6</v>
      </c>
      <c r="G173" s="3">
        <v>1815</v>
      </c>
      <c r="H173" s="3">
        <v>1817.2</v>
      </c>
      <c r="I173" s="3">
        <v>1822.78</v>
      </c>
      <c r="J173" s="3">
        <v>1904.3</v>
      </c>
      <c r="K173" s="3">
        <v>1219.05</v>
      </c>
      <c r="L173" s="2">
        <v>4570083</v>
      </c>
      <c r="M173" s="2">
        <v>8330254030.3000002</v>
      </c>
      <c r="N173" s="2">
        <v>123799</v>
      </c>
      <c r="O173" t="s">
        <v>16</v>
      </c>
    </row>
    <row r="174" spans="1:15" x14ac:dyDescent="0.3">
      <c r="A174" s="1">
        <v>45771</v>
      </c>
      <c r="B174" t="s">
        <v>15</v>
      </c>
      <c r="C174" s="3">
        <v>1874.5</v>
      </c>
      <c r="D174" s="3">
        <v>1877.8</v>
      </c>
      <c r="E174" s="3">
        <v>1839.5</v>
      </c>
      <c r="F174" s="3">
        <v>1881.6</v>
      </c>
      <c r="G174" s="3">
        <v>1846.1</v>
      </c>
      <c r="H174" s="3">
        <v>1845.6</v>
      </c>
      <c r="I174" s="3">
        <v>1849.47</v>
      </c>
      <c r="J174" s="3">
        <v>1904.3</v>
      </c>
      <c r="K174" s="3">
        <v>1219.05</v>
      </c>
      <c r="L174" s="2">
        <v>5180688</v>
      </c>
      <c r="M174" s="2">
        <v>9581534808.1000004</v>
      </c>
      <c r="N174" s="2">
        <v>136668</v>
      </c>
      <c r="O174" t="s">
        <v>16</v>
      </c>
    </row>
    <row r="175" spans="1:15" x14ac:dyDescent="0.3">
      <c r="A175" s="1">
        <v>45770</v>
      </c>
      <c r="B175" t="s">
        <v>15</v>
      </c>
      <c r="C175" s="3">
        <v>1867</v>
      </c>
      <c r="D175" s="3">
        <v>1885.9</v>
      </c>
      <c r="E175" s="3">
        <v>1836.1</v>
      </c>
      <c r="F175" s="3">
        <v>1852.2</v>
      </c>
      <c r="G175" s="3">
        <v>1869.9</v>
      </c>
      <c r="H175" s="3">
        <v>1881.6</v>
      </c>
      <c r="I175" s="3">
        <v>1861.63</v>
      </c>
      <c r="J175" s="3">
        <v>1904.3</v>
      </c>
      <c r="K175" s="3">
        <v>1219.05</v>
      </c>
      <c r="L175" s="2">
        <v>6855027</v>
      </c>
      <c r="M175" s="2">
        <v>12761537178.799999</v>
      </c>
      <c r="N175" s="2">
        <v>149770</v>
      </c>
      <c r="O175" t="s">
        <v>16</v>
      </c>
    </row>
    <row r="176" spans="1:15" x14ac:dyDescent="0.3">
      <c r="A176" s="1">
        <v>45769</v>
      </c>
      <c r="B176" t="s">
        <v>15</v>
      </c>
      <c r="C176" s="3">
        <v>1888</v>
      </c>
      <c r="D176" s="3">
        <v>1888</v>
      </c>
      <c r="E176" s="3">
        <v>1836.8</v>
      </c>
      <c r="F176" s="3">
        <v>1883.4</v>
      </c>
      <c r="G176" s="3">
        <v>1848.2</v>
      </c>
      <c r="H176" s="3">
        <v>1852.2</v>
      </c>
      <c r="I176" s="3">
        <v>1856.49</v>
      </c>
      <c r="J176" s="3">
        <v>1904.3</v>
      </c>
      <c r="K176" s="3">
        <v>1219.05</v>
      </c>
      <c r="L176" s="2">
        <v>6155127</v>
      </c>
      <c r="M176" s="2">
        <v>11426950907.9</v>
      </c>
      <c r="N176" s="2">
        <v>196921</v>
      </c>
      <c r="O176" t="s">
        <v>16</v>
      </c>
    </row>
    <row r="177" spans="1:15" x14ac:dyDescent="0.3">
      <c r="A177" s="1">
        <v>45768</v>
      </c>
      <c r="B177" t="s">
        <v>15</v>
      </c>
      <c r="C177" s="3">
        <v>1898.4</v>
      </c>
      <c r="D177" s="3">
        <v>1904.3</v>
      </c>
      <c r="E177" s="3">
        <v>1868.6</v>
      </c>
      <c r="F177" s="3">
        <v>1889.1</v>
      </c>
      <c r="G177" s="3">
        <v>1884</v>
      </c>
      <c r="H177" s="3">
        <v>1883.4</v>
      </c>
      <c r="I177" s="3">
        <v>1881.04</v>
      </c>
      <c r="J177" s="3">
        <v>1904.3</v>
      </c>
      <c r="K177" s="3">
        <v>1219.05</v>
      </c>
      <c r="L177" s="2">
        <v>3501123</v>
      </c>
      <c r="M177" s="2">
        <v>6585758282.3000002</v>
      </c>
      <c r="N177" s="2">
        <v>154074</v>
      </c>
      <c r="O177" t="s">
        <v>16</v>
      </c>
    </row>
    <row r="178" spans="1:15" x14ac:dyDescent="0.3">
      <c r="A178" s="1">
        <v>45764</v>
      </c>
      <c r="B178" t="s">
        <v>15</v>
      </c>
      <c r="C178" s="3">
        <v>1834</v>
      </c>
      <c r="D178" s="3">
        <v>1897.7</v>
      </c>
      <c r="E178" s="3">
        <v>1825.7</v>
      </c>
      <c r="F178" s="3">
        <v>1822.6</v>
      </c>
      <c r="G178" s="3">
        <v>1882.9</v>
      </c>
      <c r="H178" s="3">
        <v>1889.1</v>
      </c>
      <c r="I178" s="3">
        <v>1866.68</v>
      </c>
      <c r="J178" s="3">
        <v>1897.7</v>
      </c>
      <c r="K178" s="3">
        <v>1210.3499999999999</v>
      </c>
      <c r="L178" s="2">
        <v>10894325</v>
      </c>
      <c r="M178" s="2">
        <v>20336174780.799999</v>
      </c>
      <c r="N178" s="2">
        <v>285724</v>
      </c>
      <c r="O178" t="s">
        <v>16</v>
      </c>
    </row>
    <row r="179" spans="1:15" x14ac:dyDescent="0.3">
      <c r="A179" s="1">
        <v>45763</v>
      </c>
      <c r="B179" t="s">
        <v>15</v>
      </c>
      <c r="C179" s="3">
        <v>1802.4</v>
      </c>
      <c r="D179" s="3">
        <v>1826.5</v>
      </c>
      <c r="E179" s="3">
        <v>1794.1</v>
      </c>
      <c r="F179" s="3">
        <v>1798.8</v>
      </c>
      <c r="G179" s="3">
        <v>1821</v>
      </c>
      <c r="H179" s="3">
        <v>1822.6</v>
      </c>
      <c r="I179" s="3">
        <v>1810.55</v>
      </c>
      <c r="J179" s="3">
        <v>1826.5</v>
      </c>
      <c r="K179" s="3">
        <v>1210.3499999999999</v>
      </c>
      <c r="L179" s="2">
        <v>6180958</v>
      </c>
      <c r="M179" s="2">
        <v>11190947200.5</v>
      </c>
      <c r="N179" s="2">
        <v>169343</v>
      </c>
      <c r="O179" t="s">
        <v>16</v>
      </c>
    </row>
    <row r="180" spans="1:15" x14ac:dyDescent="0.3">
      <c r="A180" s="1">
        <v>45762</v>
      </c>
      <c r="B180" t="s">
        <v>15</v>
      </c>
      <c r="C180" s="3">
        <v>1808.2</v>
      </c>
      <c r="D180" s="3">
        <v>1820</v>
      </c>
      <c r="E180" s="3">
        <v>1781.1</v>
      </c>
      <c r="F180" s="3">
        <v>1756.6</v>
      </c>
      <c r="G180" s="3">
        <v>1798</v>
      </c>
      <c r="H180" s="3">
        <v>1798.8</v>
      </c>
      <c r="I180" s="3">
        <v>1799.9</v>
      </c>
      <c r="J180" s="3">
        <v>1820</v>
      </c>
      <c r="K180" s="3">
        <v>1210.3499999999999</v>
      </c>
      <c r="L180" s="2">
        <v>10313411</v>
      </c>
      <c r="M180" s="2">
        <v>18563102108.700001</v>
      </c>
      <c r="N180" s="2">
        <v>225430</v>
      </c>
      <c r="O180" t="s">
        <v>16</v>
      </c>
    </row>
    <row r="181" spans="1:15" x14ac:dyDescent="0.3">
      <c r="A181" s="1">
        <v>45758</v>
      </c>
      <c r="B181" t="s">
        <v>15</v>
      </c>
      <c r="C181" s="3">
        <v>1760</v>
      </c>
      <c r="D181" s="3">
        <v>1767</v>
      </c>
      <c r="E181" s="3">
        <v>1732.35</v>
      </c>
      <c r="F181" s="3">
        <v>1715.55</v>
      </c>
      <c r="G181" s="3">
        <v>1760.6</v>
      </c>
      <c r="H181" s="3">
        <v>1756.6</v>
      </c>
      <c r="I181" s="3">
        <v>1756.34</v>
      </c>
      <c r="J181" s="3">
        <v>1779</v>
      </c>
      <c r="K181" s="3">
        <v>1183.0999999999999</v>
      </c>
      <c r="L181" s="2">
        <v>8340002</v>
      </c>
      <c r="M181" s="2">
        <v>14647837496.049999</v>
      </c>
      <c r="N181" s="2">
        <v>240119</v>
      </c>
      <c r="O181" t="s">
        <v>16</v>
      </c>
    </row>
    <row r="182" spans="1:15" x14ac:dyDescent="0.3">
      <c r="A182" s="1">
        <v>45756</v>
      </c>
      <c r="B182" t="s">
        <v>15</v>
      </c>
      <c r="C182" s="3">
        <v>1719.65</v>
      </c>
      <c r="D182" s="3">
        <v>1726.85</v>
      </c>
      <c r="E182" s="3">
        <v>1711.6</v>
      </c>
      <c r="F182" s="3">
        <v>1720.4</v>
      </c>
      <c r="G182" s="3">
        <v>1715.1</v>
      </c>
      <c r="H182" s="3">
        <v>1715.55</v>
      </c>
      <c r="I182" s="3">
        <v>1717.91</v>
      </c>
      <c r="J182" s="3">
        <v>1779</v>
      </c>
      <c r="K182" s="3">
        <v>1183.0999999999999</v>
      </c>
      <c r="L182" s="2">
        <v>5600666</v>
      </c>
      <c r="M182" s="2">
        <v>9621435360.3999996</v>
      </c>
      <c r="N182" s="2">
        <v>166612</v>
      </c>
      <c r="O182" t="s">
        <v>16</v>
      </c>
    </row>
    <row r="183" spans="1:15" x14ac:dyDescent="0.3">
      <c r="A183" s="1">
        <v>45755</v>
      </c>
      <c r="B183" t="s">
        <v>15</v>
      </c>
      <c r="C183" s="3">
        <v>1720.7</v>
      </c>
      <c r="D183" s="3">
        <v>1742.3</v>
      </c>
      <c r="E183" s="3">
        <v>1706.8</v>
      </c>
      <c r="F183" s="3">
        <v>1686.65</v>
      </c>
      <c r="G183" s="3">
        <v>1721.35</v>
      </c>
      <c r="H183" s="3">
        <v>1720.4</v>
      </c>
      <c r="I183" s="3">
        <v>1723.59</v>
      </c>
      <c r="J183" s="3">
        <v>1779</v>
      </c>
      <c r="K183" s="3">
        <v>1183.0999999999999</v>
      </c>
      <c r="L183" s="2">
        <v>7206935</v>
      </c>
      <c r="M183" s="2">
        <v>12421775636.65</v>
      </c>
      <c r="N183" s="2">
        <v>251891</v>
      </c>
      <c r="O183" t="s">
        <v>16</v>
      </c>
    </row>
    <row r="184" spans="1:15" x14ac:dyDescent="0.3">
      <c r="A184" s="1">
        <v>45754</v>
      </c>
      <c r="B184" t="s">
        <v>15</v>
      </c>
      <c r="C184" s="3">
        <v>1730</v>
      </c>
      <c r="D184" s="3">
        <v>1774.75</v>
      </c>
      <c r="E184" s="3">
        <v>1669.4</v>
      </c>
      <c r="F184" s="3">
        <v>1743.45</v>
      </c>
      <c r="G184" s="3">
        <v>1693</v>
      </c>
      <c r="H184" s="3">
        <v>1686.65</v>
      </c>
      <c r="I184" s="3">
        <v>1708.22</v>
      </c>
      <c r="J184" s="3">
        <v>1779</v>
      </c>
      <c r="K184" s="3">
        <v>1183.0999999999999</v>
      </c>
      <c r="L184" s="2">
        <v>14870388</v>
      </c>
      <c r="M184" s="2">
        <v>25401930206.299999</v>
      </c>
      <c r="N184" s="2">
        <v>403223</v>
      </c>
      <c r="O184" t="s">
        <v>16</v>
      </c>
    </row>
    <row r="185" spans="1:15" x14ac:dyDescent="0.3">
      <c r="A185" s="1">
        <v>45751</v>
      </c>
      <c r="B185" t="s">
        <v>15</v>
      </c>
      <c r="C185" s="3">
        <v>1754.5</v>
      </c>
      <c r="D185" s="3">
        <v>1770.8</v>
      </c>
      <c r="E185" s="3">
        <v>1740</v>
      </c>
      <c r="F185" s="3">
        <v>1746</v>
      </c>
      <c r="G185" s="3">
        <v>1740.5</v>
      </c>
      <c r="H185" s="3">
        <v>1743.45</v>
      </c>
      <c r="I185" s="3">
        <v>1753.12</v>
      </c>
      <c r="J185" s="3">
        <v>1779</v>
      </c>
      <c r="K185" s="3">
        <v>1183.0999999999999</v>
      </c>
      <c r="L185" s="2">
        <v>7817334</v>
      </c>
      <c r="M185" s="2">
        <v>13704722222.15</v>
      </c>
      <c r="N185" s="2">
        <v>258867</v>
      </c>
      <c r="O185" t="s">
        <v>16</v>
      </c>
    </row>
    <row r="186" spans="1:15" x14ac:dyDescent="0.3">
      <c r="A186" s="1">
        <v>45750</v>
      </c>
      <c r="B186" t="s">
        <v>15</v>
      </c>
      <c r="C186" s="3">
        <v>1748</v>
      </c>
      <c r="D186" s="3">
        <v>1754.95</v>
      </c>
      <c r="E186" s="3">
        <v>1735.45</v>
      </c>
      <c r="F186" s="3">
        <v>1754.6</v>
      </c>
      <c r="G186" s="3">
        <v>1742.5</v>
      </c>
      <c r="H186" s="3">
        <v>1746</v>
      </c>
      <c r="I186" s="3">
        <v>1746.33</v>
      </c>
      <c r="J186" s="3">
        <v>1779</v>
      </c>
      <c r="K186" s="3">
        <v>1183.0999999999999</v>
      </c>
      <c r="L186" s="2">
        <v>2341989</v>
      </c>
      <c r="M186" s="2">
        <v>4089893735.1999998</v>
      </c>
      <c r="N186" s="2">
        <v>91775</v>
      </c>
      <c r="O186" t="s">
        <v>16</v>
      </c>
    </row>
    <row r="187" spans="1:15" x14ac:dyDescent="0.3">
      <c r="A187" s="1">
        <v>45749</v>
      </c>
      <c r="B187" t="s">
        <v>15</v>
      </c>
      <c r="C187" s="3">
        <v>1720</v>
      </c>
      <c r="D187" s="3">
        <v>1760.4</v>
      </c>
      <c r="E187" s="3">
        <v>1716.95</v>
      </c>
      <c r="F187" s="3">
        <v>1724.15</v>
      </c>
      <c r="G187" s="3">
        <v>1751.15</v>
      </c>
      <c r="H187" s="3">
        <v>1754.6</v>
      </c>
      <c r="I187" s="3">
        <v>1747.29</v>
      </c>
      <c r="J187" s="3">
        <v>1779</v>
      </c>
      <c r="K187" s="3">
        <v>1183.0999999999999</v>
      </c>
      <c r="L187" s="2">
        <v>6431226</v>
      </c>
      <c r="M187" s="2">
        <v>11237222453.5</v>
      </c>
      <c r="N187" s="2">
        <v>137465</v>
      </c>
      <c r="O187" t="s">
        <v>16</v>
      </c>
    </row>
    <row r="188" spans="1:15" x14ac:dyDescent="0.3">
      <c r="A188" s="1">
        <v>45748</v>
      </c>
      <c r="B188" t="s">
        <v>15</v>
      </c>
      <c r="C188" s="3">
        <v>1715</v>
      </c>
      <c r="D188" s="3">
        <v>1765</v>
      </c>
      <c r="E188" s="3">
        <v>1708.45</v>
      </c>
      <c r="F188" s="3">
        <v>1733.4</v>
      </c>
      <c r="G188" s="3">
        <v>1723.6</v>
      </c>
      <c r="H188" s="3">
        <v>1724.15</v>
      </c>
      <c r="I188" s="3">
        <v>1732.43</v>
      </c>
      <c r="J188" s="3">
        <v>1779</v>
      </c>
      <c r="K188" s="3">
        <v>1183.0999999999999</v>
      </c>
      <c r="L188" s="2">
        <v>6773056</v>
      </c>
      <c r="M188" s="2">
        <v>11733878299.799999</v>
      </c>
      <c r="N188" s="2">
        <v>171800</v>
      </c>
      <c r="O188" t="s">
        <v>16</v>
      </c>
    </row>
    <row r="189" spans="1:15" x14ac:dyDescent="0.3">
      <c r="A189" s="1">
        <v>45744</v>
      </c>
      <c r="B189" t="s">
        <v>15</v>
      </c>
      <c r="C189" s="3">
        <v>1733.3</v>
      </c>
      <c r="D189" s="3">
        <v>1745.75</v>
      </c>
      <c r="E189" s="3">
        <v>1660</v>
      </c>
      <c r="F189" s="3">
        <v>1724.7</v>
      </c>
      <c r="G189" s="3">
        <v>1727.4</v>
      </c>
      <c r="H189" s="3">
        <v>1733.4</v>
      </c>
      <c r="I189" s="3">
        <v>1730.81</v>
      </c>
      <c r="J189" s="3">
        <v>1779</v>
      </c>
      <c r="K189" s="3">
        <v>1183.0999999999999</v>
      </c>
      <c r="L189" s="2">
        <v>4133264</v>
      </c>
      <c r="M189" s="2">
        <v>7153914205.5500002</v>
      </c>
      <c r="N189" s="2">
        <v>179997</v>
      </c>
      <c r="O189" t="s">
        <v>16</v>
      </c>
    </row>
    <row r="190" spans="1:15" x14ac:dyDescent="0.3">
      <c r="A190" s="1">
        <v>45743</v>
      </c>
      <c r="B190" t="s">
        <v>15</v>
      </c>
      <c r="C190" s="3">
        <v>1739.95</v>
      </c>
      <c r="D190" s="3">
        <v>1746.4</v>
      </c>
      <c r="E190" s="3">
        <v>1713.25</v>
      </c>
      <c r="F190" s="3">
        <v>1738.55</v>
      </c>
      <c r="G190" s="3">
        <v>1726</v>
      </c>
      <c r="H190" s="3">
        <v>1724.7</v>
      </c>
      <c r="I190" s="3">
        <v>1729.91</v>
      </c>
      <c r="J190" s="3">
        <v>1779</v>
      </c>
      <c r="K190" s="3">
        <v>1183.0999999999999</v>
      </c>
      <c r="L190" s="2">
        <v>6222339</v>
      </c>
      <c r="M190" s="2">
        <v>10764094794.1</v>
      </c>
      <c r="N190" s="2">
        <v>193040</v>
      </c>
      <c r="O190" t="s">
        <v>16</v>
      </c>
    </row>
    <row r="191" spans="1:15" x14ac:dyDescent="0.3">
      <c r="A191" s="1">
        <v>45742</v>
      </c>
      <c r="B191" t="s">
        <v>15</v>
      </c>
      <c r="C191" s="3">
        <v>1739.15</v>
      </c>
      <c r="D191" s="3">
        <v>1765</v>
      </c>
      <c r="E191" s="3">
        <v>1726.15</v>
      </c>
      <c r="F191" s="3">
        <v>1730.5</v>
      </c>
      <c r="G191" s="3">
        <v>1733.1</v>
      </c>
      <c r="H191" s="3">
        <v>1738.55</v>
      </c>
      <c r="I191" s="3">
        <v>1742.16</v>
      </c>
      <c r="J191" s="3">
        <v>1779</v>
      </c>
      <c r="K191" s="3">
        <v>1183.0999999999999</v>
      </c>
      <c r="L191" s="2">
        <v>7142394</v>
      </c>
      <c r="M191" s="2">
        <v>12443161155.450001</v>
      </c>
      <c r="N191" s="2">
        <v>218179</v>
      </c>
      <c r="O191" t="s">
        <v>16</v>
      </c>
    </row>
    <row r="192" spans="1:15" x14ac:dyDescent="0.3">
      <c r="A192" s="1">
        <v>45741</v>
      </c>
      <c r="B192" t="s">
        <v>15</v>
      </c>
      <c r="C192" s="3">
        <v>1725</v>
      </c>
      <c r="D192" s="3">
        <v>1740.5</v>
      </c>
      <c r="E192" s="3">
        <v>1706.1</v>
      </c>
      <c r="F192" s="3">
        <v>1718.8</v>
      </c>
      <c r="G192" s="3">
        <v>1727.5</v>
      </c>
      <c r="H192" s="3">
        <v>1730.5</v>
      </c>
      <c r="I192" s="3">
        <v>1726.12</v>
      </c>
      <c r="J192" s="3">
        <v>1779</v>
      </c>
      <c r="K192" s="3">
        <v>1183.0999999999999</v>
      </c>
      <c r="L192" s="2">
        <v>4857399</v>
      </c>
      <c r="M192" s="2">
        <v>8384466695.5</v>
      </c>
      <c r="N192" s="2">
        <v>167951</v>
      </c>
      <c r="O192" t="s">
        <v>16</v>
      </c>
    </row>
    <row r="193" spans="1:15" x14ac:dyDescent="0.3">
      <c r="A193" s="1">
        <v>45740</v>
      </c>
      <c r="B193" t="s">
        <v>15</v>
      </c>
      <c r="C193" s="3">
        <v>1740</v>
      </c>
      <c r="D193" s="3">
        <v>1740</v>
      </c>
      <c r="E193" s="3">
        <v>1714.85</v>
      </c>
      <c r="F193" s="3">
        <v>1725.8</v>
      </c>
      <c r="G193" s="3">
        <v>1716.95</v>
      </c>
      <c r="H193" s="3">
        <v>1718.8</v>
      </c>
      <c r="I193" s="3">
        <v>1724.91</v>
      </c>
      <c r="J193" s="3">
        <v>1779</v>
      </c>
      <c r="K193" s="3">
        <v>1183.0999999999999</v>
      </c>
      <c r="L193" s="2">
        <v>4120999</v>
      </c>
      <c r="M193" s="2">
        <v>7108364278</v>
      </c>
      <c r="N193" s="2">
        <v>165902</v>
      </c>
      <c r="O193" t="s">
        <v>16</v>
      </c>
    </row>
    <row r="194" spans="1:15" x14ac:dyDescent="0.3">
      <c r="A194" s="1">
        <v>45737</v>
      </c>
      <c r="B194" t="s">
        <v>15</v>
      </c>
      <c r="C194" s="3">
        <v>1709.65</v>
      </c>
      <c r="D194" s="3">
        <v>1731.4</v>
      </c>
      <c r="E194" s="3">
        <v>1692</v>
      </c>
      <c r="F194" s="3">
        <v>1705.25</v>
      </c>
      <c r="G194" s="3">
        <v>1721.85</v>
      </c>
      <c r="H194" s="3">
        <v>1725.8</v>
      </c>
      <c r="I194" s="3">
        <v>1716.34</v>
      </c>
      <c r="J194" s="3">
        <v>1779</v>
      </c>
      <c r="K194" s="3">
        <v>1183.0999999999999</v>
      </c>
      <c r="L194" s="2">
        <v>14715349</v>
      </c>
      <c r="M194" s="2">
        <v>25256604396.5</v>
      </c>
      <c r="N194" s="2">
        <v>201573</v>
      </c>
      <c r="O194" t="s">
        <v>16</v>
      </c>
    </row>
    <row r="195" spans="1:15" x14ac:dyDescent="0.3">
      <c r="A195" s="1">
        <v>45736</v>
      </c>
      <c r="B195" t="s">
        <v>15</v>
      </c>
      <c r="C195" s="3">
        <v>1660</v>
      </c>
      <c r="D195" s="3">
        <v>1709.65</v>
      </c>
      <c r="E195" s="3">
        <v>1646.1</v>
      </c>
      <c r="F195" s="3">
        <v>1637.15</v>
      </c>
      <c r="G195" s="3">
        <v>1704</v>
      </c>
      <c r="H195" s="3">
        <v>1705.25</v>
      </c>
      <c r="I195" s="3">
        <v>1686.32</v>
      </c>
      <c r="J195" s="3">
        <v>1779</v>
      </c>
      <c r="K195" s="3">
        <v>1183.0999999999999</v>
      </c>
      <c r="L195" s="2">
        <v>12074465</v>
      </c>
      <c r="M195" s="2">
        <v>20361409533.450001</v>
      </c>
      <c r="N195" s="2">
        <v>240074</v>
      </c>
      <c r="O195" t="s">
        <v>16</v>
      </c>
    </row>
    <row r="196" spans="1:15" x14ac:dyDescent="0.3">
      <c r="A196" s="1">
        <v>45735</v>
      </c>
      <c r="B196" t="s">
        <v>15</v>
      </c>
      <c r="C196" s="3">
        <v>1635</v>
      </c>
      <c r="D196" s="3">
        <v>1642.05</v>
      </c>
      <c r="E196" s="3">
        <v>1627.5</v>
      </c>
      <c r="F196" s="3">
        <v>1627.3</v>
      </c>
      <c r="G196" s="3">
        <v>1635</v>
      </c>
      <c r="H196" s="3">
        <v>1637.15</v>
      </c>
      <c r="I196" s="3">
        <v>1634.61</v>
      </c>
      <c r="J196" s="3">
        <v>1779</v>
      </c>
      <c r="K196" s="3">
        <v>1183.0999999999999</v>
      </c>
      <c r="L196" s="2">
        <v>6283464</v>
      </c>
      <c r="M196" s="2">
        <v>10271009720.549999</v>
      </c>
      <c r="N196" s="2">
        <v>199602</v>
      </c>
      <c r="O196" t="s">
        <v>16</v>
      </c>
    </row>
    <row r="197" spans="1:15" x14ac:dyDescent="0.3">
      <c r="A197" s="1">
        <v>45734</v>
      </c>
      <c r="B197" t="s">
        <v>15</v>
      </c>
      <c r="C197" s="3">
        <v>1649.5</v>
      </c>
      <c r="D197" s="3">
        <v>1655</v>
      </c>
      <c r="E197" s="3">
        <v>1622.1</v>
      </c>
      <c r="F197" s="3">
        <v>1639.15</v>
      </c>
      <c r="G197" s="3">
        <v>1632</v>
      </c>
      <c r="H197" s="3">
        <v>1627.3</v>
      </c>
      <c r="I197" s="3">
        <v>1634.46</v>
      </c>
      <c r="J197" s="3">
        <v>1779</v>
      </c>
      <c r="K197" s="3">
        <v>1183.0999999999999</v>
      </c>
      <c r="L197" s="2">
        <v>6539954</v>
      </c>
      <c r="M197" s="2">
        <v>10689280328.15</v>
      </c>
      <c r="N197" s="2">
        <v>182821</v>
      </c>
      <c r="O197" t="s">
        <v>16</v>
      </c>
    </row>
    <row r="198" spans="1:15" x14ac:dyDescent="0.3">
      <c r="A198" s="1">
        <v>45733</v>
      </c>
      <c r="B198" t="s">
        <v>15</v>
      </c>
      <c r="C198" s="3">
        <v>1612.2</v>
      </c>
      <c r="D198" s="3">
        <v>1648.4</v>
      </c>
      <c r="E198" s="3">
        <v>1612.2</v>
      </c>
      <c r="F198" s="3">
        <v>1632.5</v>
      </c>
      <c r="G198" s="3">
        <v>1641.3</v>
      </c>
      <c r="H198" s="3">
        <v>1639.15</v>
      </c>
      <c r="I198" s="3">
        <v>1638.3</v>
      </c>
      <c r="J198" s="3">
        <v>1779</v>
      </c>
      <c r="K198" s="3">
        <v>1183.0999999999999</v>
      </c>
      <c r="L198" s="2">
        <v>6405525</v>
      </c>
      <c r="M198" s="2">
        <v>10494187865.950001</v>
      </c>
      <c r="N198" s="2">
        <v>212442</v>
      </c>
      <c r="O198" t="s">
        <v>16</v>
      </c>
    </row>
    <row r="199" spans="1:15" x14ac:dyDescent="0.3">
      <c r="A199" s="1">
        <v>45729</v>
      </c>
      <c r="B199" t="s">
        <v>15</v>
      </c>
      <c r="C199" s="3">
        <v>1650.8</v>
      </c>
      <c r="D199" s="3">
        <v>1656.9</v>
      </c>
      <c r="E199" s="3">
        <v>1629.6</v>
      </c>
      <c r="F199" s="3">
        <v>1642.85</v>
      </c>
      <c r="G199" s="3">
        <v>1632.9</v>
      </c>
      <c r="H199" s="3">
        <v>1632.5</v>
      </c>
      <c r="I199" s="3">
        <v>1639.89</v>
      </c>
      <c r="J199" s="3">
        <v>1779</v>
      </c>
      <c r="K199" s="3">
        <v>1151.7</v>
      </c>
      <c r="L199" s="2">
        <v>8317331</v>
      </c>
      <c r="M199" s="2">
        <v>13639534755.5</v>
      </c>
      <c r="N199" s="2">
        <v>174903</v>
      </c>
      <c r="O199" t="s">
        <v>16</v>
      </c>
    </row>
    <row r="200" spans="1:15" x14ac:dyDescent="0.3">
      <c r="A200" s="1">
        <v>45728</v>
      </c>
      <c r="B200" t="s">
        <v>15</v>
      </c>
      <c r="C200" s="3">
        <v>1690</v>
      </c>
      <c r="D200" s="3">
        <v>1716.65</v>
      </c>
      <c r="E200" s="3">
        <v>1634</v>
      </c>
      <c r="F200" s="3">
        <v>1662.95</v>
      </c>
      <c r="G200" s="3">
        <v>1647.7</v>
      </c>
      <c r="H200" s="3">
        <v>1642.85</v>
      </c>
      <c r="I200" s="3">
        <v>1661.25</v>
      </c>
      <c r="J200" s="3">
        <v>1779</v>
      </c>
      <c r="K200" s="3">
        <v>1151.7</v>
      </c>
      <c r="L200" s="2">
        <v>9907628</v>
      </c>
      <c r="M200" s="2">
        <v>16459005626.85</v>
      </c>
      <c r="N200" s="2">
        <v>300458</v>
      </c>
      <c r="O200" t="s">
        <v>16</v>
      </c>
    </row>
    <row r="201" spans="1:15" x14ac:dyDescent="0.3">
      <c r="A201" s="1">
        <v>45727</v>
      </c>
      <c r="B201" t="s">
        <v>15</v>
      </c>
      <c r="C201" s="3">
        <v>1630</v>
      </c>
      <c r="D201" s="3">
        <v>1676.4</v>
      </c>
      <c r="E201" s="3">
        <v>1624.05</v>
      </c>
      <c r="F201" s="3">
        <v>1630.95</v>
      </c>
      <c r="G201" s="3">
        <v>1664</v>
      </c>
      <c r="H201" s="3">
        <v>1662.95</v>
      </c>
      <c r="I201" s="3">
        <v>1655.87</v>
      </c>
      <c r="J201" s="3">
        <v>1779</v>
      </c>
      <c r="K201" s="3">
        <v>1151.7</v>
      </c>
      <c r="L201" s="2">
        <v>6078564</v>
      </c>
      <c r="M201" s="2">
        <v>10065296628.049999</v>
      </c>
      <c r="N201" s="2">
        <v>356280</v>
      </c>
      <c r="O201" t="s">
        <v>16</v>
      </c>
    </row>
    <row r="202" spans="1:15" x14ac:dyDescent="0.3">
      <c r="A202" s="1">
        <v>45726</v>
      </c>
      <c r="B202" t="s">
        <v>15</v>
      </c>
      <c r="C202" s="3">
        <v>1640</v>
      </c>
      <c r="D202" s="3">
        <v>1654.9</v>
      </c>
      <c r="E202" s="3">
        <v>1626.6</v>
      </c>
      <c r="F202" s="3">
        <v>1630.7</v>
      </c>
      <c r="G202" s="3">
        <v>1628</v>
      </c>
      <c r="H202" s="3">
        <v>1630.95</v>
      </c>
      <c r="I202" s="3">
        <v>1639.56</v>
      </c>
      <c r="J202" s="3">
        <v>1779</v>
      </c>
      <c r="K202" s="3">
        <v>1151.7</v>
      </c>
      <c r="L202" s="2">
        <v>3778450</v>
      </c>
      <c r="M202" s="2">
        <v>6195012671.4499998</v>
      </c>
      <c r="N202" s="2">
        <v>162065</v>
      </c>
      <c r="O202" t="s">
        <v>16</v>
      </c>
    </row>
    <row r="203" spans="1:15" x14ac:dyDescent="0.3">
      <c r="A203" s="1">
        <v>45723</v>
      </c>
      <c r="B203" t="s">
        <v>15</v>
      </c>
      <c r="C203" s="3">
        <v>1629</v>
      </c>
      <c r="D203" s="3">
        <v>1642.4</v>
      </c>
      <c r="E203" s="3">
        <v>1615.6</v>
      </c>
      <c r="F203" s="3">
        <v>1626.9</v>
      </c>
      <c r="G203" s="3">
        <v>1637.95</v>
      </c>
      <c r="H203" s="3">
        <v>1630.7</v>
      </c>
      <c r="I203" s="3">
        <v>1628.92</v>
      </c>
      <c r="J203" s="3">
        <v>1779</v>
      </c>
      <c r="K203" s="3">
        <v>1132</v>
      </c>
      <c r="L203" s="2">
        <v>3035558</v>
      </c>
      <c r="M203" s="2">
        <v>4944683610.6499996</v>
      </c>
      <c r="N203" s="2">
        <v>143747</v>
      </c>
      <c r="O203" t="s">
        <v>16</v>
      </c>
    </row>
    <row r="204" spans="1:15" x14ac:dyDescent="0.3">
      <c r="A204" s="1">
        <v>45722</v>
      </c>
      <c r="B204" t="s">
        <v>15</v>
      </c>
      <c r="C204" s="3">
        <v>1618</v>
      </c>
      <c r="D204" s="3">
        <v>1631.75</v>
      </c>
      <c r="E204" s="3">
        <v>1590.45</v>
      </c>
      <c r="F204" s="3">
        <v>1618.25</v>
      </c>
      <c r="G204" s="3">
        <v>1625</v>
      </c>
      <c r="H204" s="3">
        <v>1626.9</v>
      </c>
      <c r="I204" s="3">
        <v>1615.96</v>
      </c>
      <c r="J204" s="3">
        <v>1779</v>
      </c>
      <c r="K204" s="3">
        <v>1132</v>
      </c>
      <c r="L204" s="2">
        <v>5174009</v>
      </c>
      <c r="M204" s="2">
        <v>8361000902.8500004</v>
      </c>
      <c r="N204" s="2">
        <v>185788</v>
      </c>
      <c r="O204" t="s">
        <v>16</v>
      </c>
    </row>
    <row r="205" spans="1:15" x14ac:dyDescent="0.3">
      <c r="A205" s="1">
        <v>45721</v>
      </c>
      <c r="B205" t="s">
        <v>15</v>
      </c>
      <c r="C205" s="3">
        <v>1578</v>
      </c>
      <c r="D205" s="3">
        <v>1626.1</v>
      </c>
      <c r="E205" s="3">
        <v>1577.1</v>
      </c>
      <c r="F205" s="3">
        <v>1575.35</v>
      </c>
      <c r="G205" s="3">
        <v>1610</v>
      </c>
      <c r="H205" s="3">
        <v>1618.25</v>
      </c>
      <c r="I205" s="3">
        <v>1611.96</v>
      </c>
      <c r="J205" s="3">
        <v>1779</v>
      </c>
      <c r="K205" s="3">
        <v>1132</v>
      </c>
      <c r="L205" s="2">
        <v>6295425</v>
      </c>
      <c r="M205" s="2">
        <v>10147975647.299999</v>
      </c>
      <c r="N205" s="2">
        <v>271207</v>
      </c>
      <c r="O205" t="s">
        <v>16</v>
      </c>
    </row>
    <row r="206" spans="1:15" x14ac:dyDescent="0.3">
      <c r="A206" s="1">
        <v>45720</v>
      </c>
      <c r="B206" t="s">
        <v>15</v>
      </c>
      <c r="C206" s="3">
        <v>1589</v>
      </c>
      <c r="D206" s="3">
        <v>1590.5</v>
      </c>
      <c r="E206" s="3">
        <v>1568</v>
      </c>
      <c r="F206" s="3">
        <v>1595.8</v>
      </c>
      <c r="G206" s="3">
        <v>1575.9</v>
      </c>
      <c r="H206" s="3">
        <v>1575.35</v>
      </c>
      <c r="I206" s="3">
        <v>1575.21</v>
      </c>
      <c r="J206" s="3">
        <v>1779</v>
      </c>
      <c r="K206" s="3">
        <v>1132</v>
      </c>
      <c r="L206" s="2">
        <v>5219668</v>
      </c>
      <c r="M206" s="2">
        <v>8222086740.0500002</v>
      </c>
      <c r="N206" s="2">
        <v>164399</v>
      </c>
      <c r="O206" t="s">
        <v>16</v>
      </c>
    </row>
    <row r="207" spans="1:15" x14ac:dyDescent="0.3">
      <c r="A207" s="1">
        <v>45719</v>
      </c>
      <c r="B207" t="s">
        <v>15</v>
      </c>
      <c r="C207" s="3">
        <v>1579</v>
      </c>
      <c r="D207" s="3">
        <v>1602.75</v>
      </c>
      <c r="E207" s="3">
        <v>1572.75</v>
      </c>
      <c r="F207" s="3">
        <v>1570.2</v>
      </c>
      <c r="G207" s="3">
        <v>1597.85</v>
      </c>
      <c r="H207" s="3">
        <v>1595.8</v>
      </c>
      <c r="I207" s="3">
        <v>1589.33</v>
      </c>
      <c r="J207" s="3">
        <v>1779</v>
      </c>
      <c r="K207" s="3">
        <v>1132</v>
      </c>
      <c r="L207" s="2">
        <v>6993525</v>
      </c>
      <c r="M207" s="2">
        <v>11115039796.700001</v>
      </c>
      <c r="N207" s="2">
        <v>236184</v>
      </c>
      <c r="O207" t="s">
        <v>16</v>
      </c>
    </row>
    <row r="208" spans="1:15" x14ac:dyDescent="0.3">
      <c r="A208" s="1">
        <v>45716</v>
      </c>
      <c r="B208" t="s">
        <v>15</v>
      </c>
      <c r="C208" s="3">
        <v>1641.95</v>
      </c>
      <c r="D208" s="3">
        <v>1648.45</v>
      </c>
      <c r="E208" s="3">
        <v>1559.5</v>
      </c>
      <c r="F208" s="3">
        <v>1650.4</v>
      </c>
      <c r="G208" s="3">
        <v>1569.1</v>
      </c>
      <c r="H208" s="3">
        <v>1570.2</v>
      </c>
      <c r="I208" s="3">
        <v>1581.4</v>
      </c>
      <c r="J208" s="3">
        <v>1779</v>
      </c>
      <c r="K208" s="3">
        <v>1099</v>
      </c>
      <c r="L208" s="2">
        <v>13640211</v>
      </c>
      <c r="M208" s="2">
        <v>21570635492.599998</v>
      </c>
      <c r="N208" s="2">
        <v>207431</v>
      </c>
      <c r="O208" t="s">
        <v>16</v>
      </c>
    </row>
    <row r="209" spans="1:15" x14ac:dyDescent="0.3">
      <c r="A209" s="1">
        <v>45715</v>
      </c>
      <c r="B209" t="s">
        <v>15</v>
      </c>
      <c r="C209" s="3">
        <v>1643.4</v>
      </c>
      <c r="D209" s="3">
        <v>1656</v>
      </c>
      <c r="E209" s="3">
        <v>1638.65</v>
      </c>
      <c r="F209" s="3">
        <v>1641.4</v>
      </c>
      <c r="G209" s="3">
        <v>1646</v>
      </c>
      <c r="H209" s="3">
        <v>1650.4</v>
      </c>
      <c r="I209" s="3">
        <v>1648.42</v>
      </c>
      <c r="J209" s="3">
        <v>1779</v>
      </c>
      <c r="K209" s="3">
        <v>1099</v>
      </c>
      <c r="L209" s="2">
        <v>7568745</v>
      </c>
      <c r="M209" s="2">
        <v>12476451442.5</v>
      </c>
      <c r="N209" s="2">
        <v>195260</v>
      </c>
      <c r="O209" t="s">
        <v>16</v>
      </c>
    </row>
    <row r="210" spans="1:15" x14ac:dyDescent="0.3">
      <c r="A210" s="1">
        <v>45713</v>
      </c>
      <c r="B210" t="s">
        <v>15</v>
      </c>
      <c r="C210" s="3">
        <v>1597</v>
      </c>
      <c r="D210" s="3">
        <v>1649.15</v>
      </c>
      <c r="E210" s="3">
        <v>1597</v>
      </c>
      <c r="F210" s="3">
        <v>1601.3</v>
      </c>
      <c r="G210" s="3">
        <v>1638.45</v>
      </c>
      <c r="H210" s="3">
        <v>1641.4</v>
      </c>
      <c r="I210" s="3">
        <v>1633.97</v>
      </c>
      <c r="J210" s="3">
        <v>1779</v>
      </c>
      <c r="K210" s="3">
        <v>1099</v>
      </c>
      <c r="L210" s="2">
        <v>6286808</v>
      </c>
      <c r="M210" s="2">
        <v>10272424878.25</v>
      </c>
      <c r="N210" s="2">
        <v>223534</v>
      </c>
      <c r="O210" t="s">
        <v>16</v>
      </c>
    </row>
    <row r="211" spans="1:15" x14ac:dyDescent="0.3">
      <c r="A211" s="1">
        <v>45712</v>
      </c>
      <c r="B211" t="s">
        <v>15</v>
      </c>
      <c r="C211" s="3">
        <v>1627</v>
      </c>
      <c r="D211" s="3">
        <v>1637.55</v>
      </c>
      <c r="E211" s="3">
        <v>1598</v>
      </c>
      <c r="F211" s="3">
        <v>1639.25</v>
      </c>
      <c r="G211" s="3">
        <v>1600</v>
      </c>
      <c r="H211" s="3">
        <v>1601.3</v>
      </c>
      <c r="I211" s="3">
        <v>1609.35</v>
      </c>
      <c r="J211" s="3">
        <v>1779</v>
      </c>
      <c r="K211" s="3">
        <v>1099</v>
      </c>
      <c r="L211" s="2">
        <v>4673190</v>
      </c>
      <c r="M211" s="2">
        <v>7520792175.0500002</v>
      </c>
      <c r="N211" s="2">
        <v>191311</v>
      </c>
      <c r="O211" t="s">
        <v>16</v>
      </c>
    </row>
    <row r="212" spans="1:15" x14ac:dyDescent="0.3">
      <c r="A212" s="1">
        <v>45709</v>
      </c>
      <c r="B212" t="s">
        <v>15</v>
      </c>
      <c r="C212" s="3">
        <v>1643.5</v>
      </c>
      <c r="D212" s="3">
        <v>1658.7</v>
      </c>
      <c r="E212" s="3">
        <v>1629.2</v>
      </c>
      <c r="F212" s="3">
        <v>1643.5</v>
      </c>
      <c r="G212" s="3">
        <v>1636.75</v>
      </c>
      <c r="H212" s="3">
        <v>1639.25</v>
      </c>
      <c r="I212" s="3">
        <v>1642.53</v>
      </c>
      <c r="J212" s="3">
        <v>1779</v>
      </c>
      <c r="K212" s="3">
        <v>1097.6500000000001</v>
      </c>
      <c r="L212" s="2">
        <v>5447583</v>
      </c>
      <c r="M212" s="2">
        <v>8947842381.2999992</v>
      </c>
      <c r="N212" s="2">
        <v>161361</v>
      </c>
      <c r="O212" t="s">
        <v>16</v>
      </c>
    </row>
    <row r="213" spans="1:15" x14ac:dyDescent="0.3">
      <c r="A213" s="1">
        <v>45708</v>
      </c>
      <c r="B213" t="s">
        <v>15</v>
      </c>
      <c r="C213" s="3">
        <v>1639.85</v>
      </c>
      <c r="D213" s="3">
        <v>1649.8</v>
      </c>
      <c r="E213" s="3">
        <v>1627.25</v>
      </c>
      <c r="F213" s="3">
        <v>1645.2</v>
      </c>
      <c r="G213" s="3">
        <v>1647</v>
      </c>
      <c r="H213" s="3">
        <v>1643.5</v>
      </c>
      <c r="I213" s="3">
        <v>1635.7</v>
      </c>
      <c r="J213" s="3">
        <v>1779</v>
      </c>
      <c r="K213" s="3">
        <v>1097.6500000000001</v>
      </c>
      <c r="L213" s="2">
        <v>5524503</v>
      </c>
      <c r="M213" s="2">
        <v>9036435549.2999992</v>
      </c>
      <c r="N213" s="2">
        <v>194090</v>
      </c>
      <c r="O213" t="s">
        <v>16</v>
      </c>
    </row>
    <row r="214" spans="1:15" x14ac:dyDescent="0.3">
      <c r="A214" s="1">
        <v>45707</v>
      </c>
      <c r="B214" t="s">
        <v>15</v>
      </c>
      <c r="C214" s="3">
        <v>1670</v>
      </c>
      <c r="D214" s="3">
        <v>1673.45</v>
      </c>
      <c r="E214" s="3">
        <v>1638.45</v>
      </c>
      <c r="F214" s="3">
        <v>1668.9</v>
      </c>
      <c r="G214" s="3">
        <v>1640</v>
      </c>
      <c r="H214" s="3">
        <v>1645.2</v>
      </c>
      <c r="I214" s="3">
        <v>1649.6</v>
      </c>
      <c r="J214" s="3">
        <v>1779</v>
      </c>
      <c r="K214" s="3">
        <v>1097.6500000000001</v>
      </c>
      <c r="L214" s="2">
        <v>7776555</v>
      </c>
      <c r="M214" s="2">
        <v>12828171503.549999</v>
      </c>
      <c r="N214" s="2">
        <v>229239</v>
      </c>
      <c r="O214" t="s">
        <v>16</v>
      </c>
    </row>
    <row r="215" spans="1:15" x14ac:dyDescent="0.3">
      <c r="A215" s="1">
        <v>45706</v>
      </c>
      <c r="B215" t="s">
        <v>15</v>
      </c>
      <c r="C215" s="3">
        <v>1692</v>
      </c>
      <c r="D215" s="3">
        <v>1695.95</v>
      </c>
      <c r="E215" s="3">
        <v>1655.8</v>
      </c>
      <c r="F215" s="3">
        <v>1675.55</v>
      </c>
      <c r="G215" s="3">
        <v>1669.5</v>
      </c>
      <c r="H215" s="3">
        <v>1668.9</v>
      </c>
      <c r="I215" s="3">
        <v>1668.91</v>
      </c>
      <c r="J215" s="3">
        <v>1779</v>
      </c>
      <c r="K215" s="3">
        <v>1097.6500000000001</v>
      </c>
      <c r="L215" s="2">
        <v>7529598</v>
      </c>
      <c r="M215" s="2">
        <v>12566230247.9</v>
      </c>
      <c r="N215" s="2">
        <v>182050</v>
      </c>
      <c r="O215" t="s">
        <v>16</v>
      </c>
    </row>
    <row r="216" spans="1:15" x14ac:dyDescent="0.3">
      <c r="A216" s="1">
        <v>45705</v>
      </c>
      <c r="B216" t="s">
        <v>15</v>
      </c>
      <c r="C216" s="3">
        <v>1711.75</v>
      </c>
      <c r="D216" s="3">
        <v>1716.9</v>
      </c>
      <c r="E216" s="3">
        <v>1666.25</v>
      </c>
      <c r="F216" s="3">
        <v>1717.05</v>
      </c>
      <c r="G216" s="3">
        <v>1676.5</v>
      </c>
      <c r="H216" s="3">
        <v>1675.55</v>
      </c>
      <c r="I216" s="3">
        <v>1686.91</v>
      </c>
      <c r="J216" s="3">
        <v>1779</v>
      </c>
      <c r="K216" s="3">
        <v>1097.6500000000001</v>
      </c>
      <c r="L216" s="2">
        <v>4906462</v>
      </c>
      <c r="M216" s="2">
        <v>8276761536.1999998</v>
      </c>
      <c r="N216" s="2">
        <v>167548</v>
      </c>
      <c r="O216" t="s">
        <v>16</v>
      </c>
    </row>
    <row r="217" spans="1:15" x14ac:dyDescent="0.3">
      <c r="A217" s="1">
        <v>45702</v>
      </c>
      <c r="B217" t="s">
        <v>15</v>
      </c>
      <c r="C217" s="3">
        <v>1714</v>
      </c>
      <c r="D217" s="3">
        <v>1724.1</v>
      </c>
      <c r="E217" s="3">
        <v>1705.25</v>
      </c>
      <c r="F217" s="3">
        <v>1714.6</v>
      </c>
      <c r="G217" s="3">
        <v>1715</v>
      </c>
      <c r="H217" s="3">
        <v>1717.05</v>
      </c>
      <c r="I217" s="3">
        <v>1714.68</v>
      </c>
      <c r="J217" s="3">
        <v>1779</v>
      </c>
      <c r="K217" s="3">
        <v>1097.6500000000001</v>
      </c>
      <c r="L217" s="2">
        <v>5125863</v>
      </c>
      <c r="M217" s="2">
        <v>8789195888.1499996</v>
      </c>
      <c r="N217" s="2">
        <v>132902</v>
      </c>
      <c r="O217" t="s">
        <v>16</v>
      </c>
    </row>
    <row r="218" spans="1:15" x14ac:dyDescent="0.3">
      <c r="A218" s="1">
        <v>45701</v>
      </c>
      <c r="B218" t="s">
        <v>15</v>
      </c>
      <c r="C218" s="3">
        <v>1710</v>
      </c>
      <c r="D218" s="3">
        <v>1728.4</v>
      </c>
      <c r="E218" s="3">
        <v>1703.9</v>
      </c>
      <c r="F218" s="3">
        <v>1711.55</v>
      </c>
      <c r="G218" s="3">
        <v>1710.6</v>
      </c>
      <c r="H218" s="3">
        <v>1714.6</v>
      </c>
      <c r="I218" s="3">
        <v>1717.52</v>
      </c>
      <c r="J218" s="3">
        <v>1779</v>
      </c>
      <c r="K218" s="3">
        <v>1097.6500000000001</v>
      </c>
      <c r="L218" s="2">
        <v>5356002</v>
      </c>
      <c r="M218" s="2">
        <v>9199017749.9500008</v>
      </c>
      <c r="N218" s="2">
        <v>248069</v>
      </c>
      <c r="O218" t="s">
        <v>16</v>
      </c>
    </row>
    <row r="219" spans="1:15" x14ac:dyDescent="0.3">
      <c r="A219" s="1">
        <v>45700</v>
      </c>
      <c r="B219" t="s">
        <v>15</v>
      </c>
      <c r="C219" s="3">
        <v>1704</v>
      </c>
      <c r="D219" s="3">
        <v>1713.7</v>
      </c>
      <c r="E219" s="3">
        <v>1684.5</v>
      </c>
      <c r="F219" s="3">
        <v>1696.75</v>
      </c>
      <c r="G219" s="3">
        <v>1712</v>
      </c>
      <c r="H219" s="3">
        <v>1711.55</v>
      </c>
      <c r="I219" s="3">
        <v>1702.11</v>
      </c>
      <c r="J219" s="3">
        <v>1779</v>
      </c>
      <c r="K219" s="3">
        <v>1097.6500000000001</v>
      </c>
      <c r="L219" s="2">
        <v>7148192</v>
      </c>
      <c r="M219" s="2">
        <v>12166976749.65</v>
      </c>
      <c r="N219" s="2">
        <v>193104</v>
      </c>
      <c r="O219" t="s">
        <v>16</v>
      </c>
    </row>
    <row r="220" spans="1:15" x14ac:dyDescent="0.3">
      <c r="A220" s="1">
        <v>45699</v>
      </c>
      <c r="B220" t="s">
        <v>15</v>
      </c>
      <c r="C220" s="3">
        <v>1706</v>
      </c>
      <c r="D220" s="3">
        <v>1706.65</v>
      </c>
      <c r="E220" s="3">
        <v>1686.2</v>
      </c>
      <c r="F220" s="3">
        <v>1693.05</v>
      </c>
      <c r="G220" s="3">
        <v>1695.9</v>
      </c>
      <c r="H220" s="3">
        <v>1696.75</v>
      </c>
      <c r="I220" s="3">
        <v>1697.86</v>
      </c>
      <c r="J220" s="3">
        <v>1779</v>
      </c>
      <c r="K220" s="3">
        <v>1097.6500000000001</v>
      </c>
      <c r="L220" s="2">
        <v>8965266</v>
      </c>
      <c r="M220" s="2">
        <v>15221772711.85</v>
      </c>
      <c r="N220" s="2">
        <v>204795</v>
      </c>
      <c r="O220" t="s">
        <v>16</v>
      </c>
    </row>
    <row r="221" spans="1:15" x14ac:dyDescent="0.3">
      <c r="A221" s="1">
        <v>45698</v>
      </c>
      <c r="B221" t="s">
        <v>15</v>
      </c>
      <c r="C221" s="3">
        <v>1698.85</v>
      </c>
      <c r="D221" s="3">
        <v>1700</v>
      </c>
      <c r="E221" s="3">
        <v>1678.05</v>
      </c>
      <c r="F221" s="3">
        <v>1676.75</v>
      </c>
      <c r="G221" s="3">
        <v>1694.5</v>
      </c>
      <c r="H221" s="3">
        <v>1693.05</v>
      </c>
      <c r="I221" s="3">
        <v>1689.87</v>
      </c>
      <c r="J221" s="3">
        <v>1779</v>
      </c>
      <c r="K221" s="3">
        <v>1097.6500000000001</v>
      </c>
      <c r="L221" s="2">
        <v>6782878</v>
      </c>
      <c r="M221" s="2">
        <v>11462183700.6</v>
      </c>
      <c r="N221" s="2">
        <v>220261</v>
      </c>
      <c r="O221" t="s">
        <v>16</v>
      </c>
    </row>
    <row r="222" spans="1:15" x14ac:dyDescent="0.3">
      <c r="A222" s="1">
        <v>45695</v>
      </c>
      <c r="B222" t="s">
        <v>15</v>
      </c>
      <c r="C222" s="3">
        <v>1635.05</v>
      </c>
      <c r="D222" s="3">
        <v>1707.55</v>
      </c>
      <c r="E222" s="3">
        <v>1635</v>
      </c>
      <c r="F222" s="3">
        <v>1619.75</v>
      </c>
      <c r="G222" s="3">
        <v>1678</v>
      </c>
      <c r="H222" s="3">
        <v>1676.75</v>
      </c>
      <c r="I222" s="3">
        <v>1685.72</v>
      </c>
      <c r="J222" s="3">
        <v>1779</v>
      </c>
      <c r="K222" s="3">
        <v>1097.6500000000001</v>
      </c>
      <c r="L222" s="2">
        <v>14873255</v>
      </c>
      <c r="M222" s="2">
        <v>25072137924.849998</v>
      </c>
      <c r="N222" s="2">
        <v>458983</v>
      </c>
      <c r="O222" t="s">
        <v>16</v>
      </c>
    </row>
    <row r="223" spans="1:15" x14ac:dyDescent="0.3">
      <c r="A223" s="1">
        <v>45694</v>
      </c>
      <c r="B223" t="s">
        <v>15</v>
      </c>
      <c r="C223" s="3">
        <v>1665.9</v>
      </c>
      <c r="D223" s="3">
        <v>1667.3</v>
      </c>
      <c r="E223" s="3">
        <v>1613.25</v>
      </c>
      <c r="F223" s="3">
        <v>1660.45</v>
      </c>
      <c r="G223" s="3">
        <v>1621.9</v>
      </c>
      <c r="H223" s="3">
        <v>1619.75</v>
      </c>
      <c r="I223" s="3">
        <v>1630.19</v>
      </c>
      <c r="J223" s="3">
        <v>1779</v>
      </c>
      <c r="K223" s="3">
        <v>1097.6500000000001</v>
      </c>
      <c r="L223" s="2">
        <v>5229162</v>
      </c>
      <c r="M223" s="2">
        <v>8524533206.1499996</v>
      </c>
      <c r="N223" s="2">
        <v>135010</v>
      </c>
      <c r="O223" t="s">
        <v>16</v>
      </c>
    </row>
    <row r="224" spans="1:15" x14ac:dyDescent="0.3">
      <c r="A224" s="1">
        <v>45693</v>
      </c>
      <c r="B224" t="s">
        <v>15</v>
      </c>
      <c r="C224" s="3">
        <v>1670</v>
      </c>
      <c r="D224" s="3">
        <v>1675.2</v>
      </c>
      <c r="E224" s="3">
        <v>1649.1</v>
      </c>
      <c r="F224" s="3">
        <v>1661.45</v>
      </c>
      <c r="G224" s="3">
        <v>1657.8</v>
      </c>
      <c r="H224" s="3">
        <v>1660.45</v>
      </c>
      <c r="I224" s="3">
        <v>1659.88</v>
      </c>
      <c r="J224" s="3">
        <v>1779</v>
      </c>
      <c r="K224" s="3">
        <v>1097.6500000000001</v>
      </c>
      <c r="L224" s="2">
        <v>3920893</v>
      </c>
      <c r="M224" s="2">
        <v>6508206942.1000004</v>
      </c>
      <c r="N224" s="2">
        <v>160722</v>
      </c>
      <c r="O224" t="s">
        <v>16</v>
      </c>
    </row>
    <row r="225" spans="1:15" x14ac:dyDescent="0.3">
      <c r="A225" s="1">
        <v>45692</v>
      </c>
      <c r="B225" t="s">
        <v>15</v>
      </c>
      <c r="C225" s="3">
        <v>1662.15</v>
      </c>
      <c r="D225" s="3">
        <v>1668.3</v>
      </c>
      <c r="E225" s="3">
        <v>1629.05</v>
      </c>
      <c r="F225" s="3">
        <v>1652.35</v>
      </c>
      <c r="G225" s="3">
        <v>1663</v>
      </c>
      <c r="H225" s="3">
        <v>1661.45</v>
      </c>
      <c r="I225" s="3">
        <v>1648.08</v>
      </c>
      <c r="J225" s="3">
        <v>1779</v>
      </c>
      <c r="K225" s="3">
        <v>1097.6500000000001</v>
      </c>
      <c r="L225" s="2">
        <v>6385876</v>
      </c>
      <c r="M225" s="2">
        <v>10524438817.299999</v>
      </c>
      <c r="N225" s="2">
        <v>209388</v>
      </c>
      <c r="O225" t="s">
        <v>16</v>
      </c>
    </row>
    <row r="226" spans="1:15" x14ac:dyDescent="0.3">
      <c r="A226" s="1">
        <v>45691</v>
      </c>
      <c r="B226" t="s">
        <v>15</v>
      </c>
      <c r="C226" s="3">
        <v>1619.9</v>
      </c>
      <c r="D226" s="3">
        <v>1661</v>
      </c>
      <c r="E226" s="3">
        <v>1608.1</v>
      </c>
      <c r="F226" s="3">
        <v>1623.25</v>
      </c>
      <c r="G226" s="3">
        <v>1651</v>
      </c>
      <c r="H226" s="3">
        <v>1652.35</v>
      </c>
      <c r="I226" s="3">
        <v>1646.73</v>
      </c>
      <c r="J226" s="3">
        <v>1779</v>
      </c>
      <c r="K226" s="3">
        <v>1097.6500000000001</v>
      </c>
      <c r="L226" s="2">
        <v>4146970</v>
      </c>
      <c r="M226" s="2">
        <v>6828939750.0500002</v>
      </c>
      <c r="N226" s="2">
        <v>192465</v>
      </c>
      <c r="O226" t="s">
        <v>16</v>
      </c>
    </row>
    <row r="227" spans="1:15" x14ac:dyDescent="0.3">
      <c r="A227" s="1">
        <v>45689</v>
      </c>
      <c r="B227" t="s">
        <v>15</v>
      </c>
      <c r="C227" s="3">
        <v>1627</v>
      </c>
      <c r="D227" s="3">
        <v>1644</v>
      </c>
      <c r="E227" s="3">
        <v>1609.2</v>
      </c>
      <c r="F227" s="3">
        <v>1626.3</v>
      </c>
      <c r="G227" s="3">
        <v>1624.9</v>
      </c>
      <c r="H227" s="3">
        <v>1623.25</v>
      </c>
      <c r="I227" s="3">
        <v>1627.35</v>
      </c>
      <c r="J227" s="3">
        <v>1779</v>
      </c>
      <c r="K227" s="3">
        <v>1097.6500000000001</v>
      </c>
      <c r="L227" s="2">
        <v>2741589</v>
      </c>
      <c r="M227" s="2">
        <v>4461522182</v>
      </c>
      <c r="N227" s="2">
        <v>87609</v>
      </c>
      <c r="O227" t="s">
        <v>16</v>
      </c>
    </row>
    <row r="228" spans="1:15" x14ac:dyDescent="0.3">
      <c r="A228" s="1">
        <v>45688</v>
      </c>
      <c r="B228" t="s">
        <v>15</v>
      </c>
      <c r="C228" s="3">
        <v>1639.1</v>
      </c>
      <c r="D228" s="3">
        <v>1639.1</v>
      </c>
      <c r="E228" s="3">
        <v>1574.25</v>
      </c>
      <c r="F228" s="3">
        <v>1640.75</v>
      </c>
      <c r="G228" s="3">
        <v>1627.35</v>
      </c>
      <c r="H228" s="3">
        <v>1626.3</v>
      </c>
      <c r="I228" s="3">
        <v>1615.44</v>
      </c>
      <c r="J228" s="3">
        <v>1779</v>
      </c>
      <c r="K228" s="3">
        <v>1097.6500000000001</v>
      </c>
      <c r="L228" s="2">
        <v>8340866</v>
      </c>
      <c r="M228" s="2">
        <v>13474126995.1</v>
      </c>
      <c r="N228" s="2">
        <v>254531</v>
      </c>
      <c r="O228" t="s">
        <v>16</v>
      </c>
    </row>
    <row r="229" spans="1:15" x14ac:dyDescent="0.3">
      <c r="A229" s="1">
        <v>45687</v>
      </c>
      <c r="B229" t="s">
        <v>15</v>
      </c>
      <c r="C229" s="3">
        <v>1606.7</v>
      </c>
      <c r="D229" s="3">
        <v>1644.95</v>
      </c>
      <c r="E229" s="3">
        <v>1595.2</v>
      </c>
      <c r="F229" s="3">
        <v>1600.45</v>
      </c>
      <c r="G229" s="3">
        <v>1642.5</v>
      </c>
      <c r="H229" s="3">
        <v>1640.75</v>
      </c>
      <c r="I229" s="3">
        <v>1628.63</v>
      </c>
      <c r="J229" s="3">
        <v>1779</v>
      </c>
      <c r="K229" s="3">
        <v>1097.6500000000001</v>
      </c>
      <c r="L229" s="2">
        <v>4283637</v>
      </c>
      <c r="M229" s="2">
        <v>6976450419.8000002</v>
      </c>
      <c r="N229" s="2">
        <v>189279</v>
      </c>
      <c r="O229" t="s">
        <v>16</v>
      </c>
    </row>
    <row r="230" spans="1:15" x14ac:dyDescent="0.3">
      <c r="A230" s="1">
        <v>45686</v>
      </c>
      <c r="B230" t="s">
        <v>15</v>
      </c>
      <c r="C230" s="3">
        <v>1620</v>
      </c>
      <c r="D230" s="3">
        <v>1626.9</v>
      </c>
      <c r="E230" s="3">
        <v>1593.15</v>
      </c>
      <c r="F230" s="3">
        <v>1618.35</v>
      </c>
      <c r="G230" s="3">
        <v>1605.7</v>
      </c>
      <c r="H230" s="3">
        <v>1600.45</v>
      </c>
      <c r="I230" s="3">
        <v>1614.94</v>
      </c>
      <c r="J230" s="3">
        <v>1779</v>
      </c>
      <c r="K230" s="3">
        <v>1097.6500000000001</v>
      </c>
      <c r="L230" s="2">
        <v>5009227</v>
      </c>
      <c r="M230" s="2">
        <v>8089582028.8000002</v>
      </c>
      <c r="N230" s="2">
        <v>143936</v>
      </c>
      <c r="O230" t="s">
        <v>16</v>
      </c>
    </row>
    <row r="231" spans="1:15" x14ac:dyDescent="0.3">
      <c r="A231" s="1">
        <v>45685</v>
      </c>
      <c r="B231" t="s">
        <v>15</v>
      </c>
      <c r="C231" s="3">
        <v>1607.65</v>
      </c>
      <c r="D231" s="3">
        <v>1630.3</v>
      </c>
      <c r="E231" s="3">
        <v>1597</v>
      </c>
      <c r="F231" s="3">
        <v>1602.6</v>
      </c>
      <c r="G231" s="3">
        <v>1618.8</v>
      </c>
      <c r="H231" s="3">
        <v>1618.35</v>
      </c>
      <c r="I231" s="3">
        <v>1615.4</v>
      </c>
      <c r="J231" s="3">
        <v>1779</v>
      </c>
      <c r="K231" s="3">
        <v>1097.6500000000001</v>
      </c>
      <c r="L231" s="2">
        <v>5216471</v>
      </c>
      <c r="M231" s="2">
        <v>8426687243.9499998</v>
      </c>
      <c r="N231" s="2">
        <v>159833</v>
      </c>
      <c r="O231" t="s">
        <v>16</v>
      </c>
    </row>
    <row r="232" spans="1:15" x14ac:dyDescent="0.3">
      <c r="A232" s="1">
        <v>45684</v>
      </c>
      <c r="B232" t="s">
        <v>15</v>
      </c>
      <c r="C232" s="3">
        <v>1638.95</v>
      </c>
      <c r="D232" s="3">
        <v>1647.2</v>
      </c>
      <c r="E232" s="3">
        <v>1593.7</v>
      </c>
      <c r="F232" s="3">
        <v>1644.8</v>
      </c>
      <c r="G232" s="3">
        <v>1604.35</v>
      </c>
      <c r="H232" s="3">
        <v>1602.6</v>
      </c>
      <c r="I232" s="3">
        <v>1614.62</v>
      </c>
      <c r="J232" s="3">
        <v>1779</v>
      </c>
      <c r="K232" s="3">
        <v>1097.6500000000001</v>
      </c>
      <c r="L232" s="2">
        <v>6622807</v>
      </c>
      <c r="M232" s="2">
        <v>10693344747.049999</v>
      </c>
      <c r="N232" s="2">
        <v>171786</v>
      </c>
      <c r="O232" t="s">
        <v>16</v>
      </c>
    </row>
    <row r="233" spans="1:15" x14ac:dyDescent="0.3">
      <c r="A233" s="1">
        <v>45681</v>
      </c>
      <c r="B233" t="s">
        <v>15</v>
      </c>
      <c r="C233" s="3">
        <v>1634.05</v>
      </c>
      <c r="D233" s="3">
        <v>1661.9</v>
      </c>
      <c r="E233" s="3">
        <v>1634.05</v>
      </c>
      <c r="F233" s="3">
        <v>1636</v>
      </c>
      <c r="G233" s="3">
        <v>1641.45</v>
      </c>
      <c r="H233" s="3">
        <v>1644.8</v>
      </c>
      <c r="I233" s="3">
        <v>1646.84</v>
      </c>
      <c r="J233" s="3">
        <v>1779</v>
      </c>
      <c r="K233" s="3">
        <v>1097.6500000000001</v>
      </c>
      <c r="L233" s="2">
        <v>3620058</v>
      </c>
      <c r="M233" s="2">
        <v>5961640034.75</v>
      </c>
      <c r="N233" s="2">
        <v>122533</v>
      </c>
      <c r="O233" t="s">
        <v>16</v>
      </c>
    </row>
    <row r="234" spans="1:15" x14ac:dyDescent="0.3">
      <c r="A234" s="1">
        <v>45680</v>
      </c>
      <c r="B234" t="s">
        <v>15</v>
      </c>
      <c r="C234" s="3">
        <v>1624.5</v>
      </c>
      <c r="D234" s="3">
        <v>1645.4</v>
      </c>
      <c r="E234" s="3">
        <v>1617.2</v>
      </c>
      <c r="F234" s="3">
        <v>1631.75</v>
      </c>
      <c r="G234" s="3">
        <v>1638</v>
      </c>
      <c r="H234" s="3">
        <v>1636</v>
      </c>
      <c r="I234" s="3">
        <v>1635.89</v>
      </c>
      <c r="J234" s="3">
        <v>1779</v>
      </c>
      <c r="K234" s="3">
        <v>1097.6500000000001</v>
      </c>
      <c r="L234" s="2">
        <v>2457080</v>
      </c>
      <c r="M234" s="2">
        <v>4019513108.75</v>
      </c>
      <c r="N234" s="2">
        <v>123511</v>
      </c>
      <c r="O234" t="s">
        <v>16</v>
      </c>
    </row>
    <row r="235" spans="1:15" x14ac:dyDescent="0.3">
      <c r="A235" s="1">
        <v>45679</v>
      </c>
      <c r="B235" t="s">
        <v>15</v>
      </c>
      <c r="C235" s="3">
        <v>1627.5</v>
      </c>
      <c r="D235" s="3">
        <v>1641</v>
      </c>
      <c r="E235" s="3">
        <v>1622.55</v>
      </c>
      <c r="F235" s="3">
        <v>1626.15</v>
      </c>
      <c r="G235" s="3">
        <v>1631</v>
      </c>
      <c r="H235" s="3">
        <v>1631.75</v>
      </c>
      <c r="I235" s="3">
        <v>1632.24</v>
      </c>
      <c r="J235" s="3">
        <v>1779</v>
      </c>
      <c r="K235" s="3">
        <v>1097.6500000000001</v>
      </c>
      <c r="L235" s="2">
        <v>3262136</v>
      </c>
      <c r="M235" s="2">
        <v>5324593310.25</v>
      </c>
      <c r="N235" s="2">
        <v>116455</v>
      </c>
      <c r="O235" t="s">
        <v>16</v>
      </c>
    </row>
    <row r="236" spans="1:15" x14ac:dyDescent="0.3">
      <c r="A236" s="1">
        <v>45678</v>
      </c>
      <c r="B236" t="s">
        <v>15</v>
      </c>
      <c r="C236" s="3">
        <v>1654</v>
      </c>
      <c r="D236" s="3">
        <v>1656.7</v>
      </c>
      <c r="E236" s="3">
        <v>1620.3</v>
      </c>
      <c r="F236" s="3">
        <v>1641.15</v>
      </c>
      <c r="G236" s="3">
        <v>1628.85</v>
      </c>
      <c r="H236" s="3">
        <v>1626.15</v>
      </c>
      <c r="I236" s="3">
        <v>1636.97</v>
      </c>
      <c r="J236" s="3">
        <v>1779</v>
      </c>
      <c r="K236" s="3">
        <v>1097.6500000000001</v>
      </c>
      <c r="L236" s="2">
        <v>7958844</v>
      </c>
      <c r="M236" s="2">
        <v>13028383404.700001</v>
      </c>
      <c r="N236" s="2">
        <v>266374</v>
      </c>
      <c r="O236" t="s">
        <v>16</v>
      </c>
    </row>
    <row r="237" spans="1:15" x14ac:dyDescent="0.3">
      <c r="A237" s="1">
        <v>45677</v>
      </c>
      <c r="B237" t="s">
        <v>15</v>
      </c>
      <c r="C237" s="3">
        <v>1638</v>
      </c>
      <c r="D237" s="3">
        <v>1645</v>
      </c>
      <c r="E237" s="3">
        <v>1618.1</v>
      </c>
      <c r="F237" s="3">
        <v>1627.5</v>
      </c>
      <c r="G237" s="3">
        <v>1640</v>
      </c>
      <c r="H237" s="3">
        <v>1641.15</v>
      </c>
      <c r="I237" s="3">
        <v>1635</v>
      </c>
      <c r="J237" s="3">
        <v>1779</v>
      </c>
      <c r="K237" s="3">
        <v>1097.6500000000001</v>
      </c>
      <c r="L237" s="2">
        <v>3933044</v>
      </c>
      <c r="M237" s="2">
        <v>6430525082.8500004</v>
      </c>
      <c r="N237" s="2">
        <v>146010</v>
      </c>
      <c r="O237" t="s">
        <v>16</v>
      </c>
    </row>
    <row r="238" spans="1:15" x14ac:dyDescent="0.3">
      <c r="A238" s="1">
        <v>45674</v>
      </c>
      <c r="B238" t="s">
        <v>15</v>
      </c>
      <c r="C238" s="3">
        <v>1630.1</v>
      </c>
      <c r="D238" s="3">
        <v>1639</v>
      </c>
      <c r="E238" s="3">
        <v>1623</v>
      </c>
      <c r="F238" s="3">
        <v>1630.2</v>
      </c>
      <c r="G238" s="3">
        <v>1624.3</v>
      </c>
      <c r="H238" s="3">
        <v>1627.5</v>
      </c>
      <c r="I238" s="3">
        <v>1629.06</v>
      </c>
      <c r="J238" s="3">
        <v>1779</v>
      </c>
      <c r="K238" s="3">
        <v>1074.55</v>
      </c>
      <c r="L238" s="2">
        <v>2678801</v>
      </c>
      <c r="M238" s="2">
        <v>4363939418.5500002</v>
      </c>
      <c r="N238" s="2">
        <v>91952</v>
      </c>
      <c r="O238" t="s">
        <v>16</v>
      </c>
    </row>
    <row r="239" spans="1:15" x14ac:dyDescent="0.3">
      <c r="A239" s="1">
        <v>45673</v>
      </c>
      <c r="B239" t="s">
        <v>15</v>
      </c>
      <c r="C239" s="3">
        <v>1619.05</v>
      </c>
      <c r="D239" s="3">
        <v>1635</v>
      </c>
      <c r="E239" s="3">
        <v>1600.55</v>
      </c>
      <c r="F239" s="3">
        <v>1607.45</v>
      </c>
      <c r="G239" s="3">
        <v>1634</v>
      </c>
      <c r="H239" s="3">
        <v>1630.2</v>
      </c>
      <c r="I239" s="3">
        <v>1624.68</v>
      </c>
      <c r="J239" s="3">
        <v>1779</v>
      </c>
      <c r="K239" s="3">
        <v>1074.55</v>
      </c>
      <c r="L239" s="2">
        <v>5299325</v>
      </c>
      <c r="M239" s="2">
        <v>8609708184.4500008</v>
      </c>
      <c r="N239" s="2">
        <v>197728</v>
      </c>
      <c r="O239" t="s">
        <v>16</v>
      </c>
    </row>
    <row r="240" spans="1:15" x14ac:dyDescent="0.3">
      <c r="A240" s="1">
        <v>45672</v>
      </c>
      <c r="B240" t="s">
        <v>15</v>
      </c>
      <c r="C240" s="3">
        <v>1608.05</v>
      </c>
      <c r="D240" s="3">
        <v>1613.85</v>
      </c>
      <c r="E240" s="3">
        <v>1593</v>
      </c>
      <c r="F240" s="3">
        <v>1600.1</v>
      </c>
      <c r="G240" s="3">
        <v>1609</v>
      </c>
      <c r="H240" s="3">
        <v>1607.45</v>
      </c>
      <c r="I240" s="3">
        <v>1605.63</v>
      </c>
      <c r="J240" s="3">
        <v>1779</v>
      </c>
      <c r="K240" s="3">
        <v>1074.55</v>
      </c>
      <c r="L240" s="2">
        <v>2960985</v>
      </c>
      <c r="M240" s="2">
        <v>4754253926.1999998</v>
      </c>
      <c r="N240" s="2">
        <v>172794</v>
      </c>
      <c r="O240" t="s">
        <v>16</v>
      </c>
    </row>
    <row r="241" spans="1:15" x14ac:dyDescent="0.3">
      <c r="A241" s="1">
        <v>45671</v>
      </c>
      <c r="B241" t="s">
        <v>15</v>
      </c>
      <c r="C241" s="3">
        <v>1604.7</v>
      </c>
      <c r="D241" s="3">
        <v>1633.4</v>
      </c>
      <c r="E241" s="3">
        <v>1578.5</v>
      </c>
      <c r="F241" s="3">
        <v>1597.2</v>
      </c>
      <c r="G241" s="3">
        <v>1594.05</v>
      </c>
      <c r="H241" s="3">
        <v>1600.1</v>
      </c>
      <c r="I241" s="3">
        <v>1608.51</v>
      </c>
      <c r="J241" s="3">
        <v>1779</v>
      </c>
      <c r="K241" s="3">
        <v>1074.55</v>
      </c>
      <c r="L241" s="2">
        <v>7284572</v>
      </c>
      <c r="M241" s="2">
        <v>11717327866.950001</v>
      </c>
      <c r="N241" s="2">
        <v>296914</v>
      </c>
      <c r="O241" t="s">
        <v>16</v>
      </c>
    </row>
    <row r="242" spans="1:15" x14ac:dyDescent="0.3">
      <c r="A242" s="1">
        <v>45670</v>
      </c>
      <c r="B242" t="s">
        <v>15</v>
      </c>
      <c r="C242" s="3">
        <v>1580</v>
      </c>
      <c r="D242" s="3">
        <v>1614.7</v>
      </c>
      <c r="E242" s="3">
        <v>1578.1</v>
      </c>
      <c r="F242" s="3">
        <v>1615.9</v>
      </c>
      <c r="G242" s="3">
        <v>1594.1</v>
      </c>
      <c r="H242" s="3">
        <v>1597.2</v>
      </c>
      <c r="I242" s="3">
        <v>1598.88</v>
      </c>
      <c r="J242" s="3">
        <v>1779</v>
      </c>
      <c r="K242" s="3">
        <v>1074.55</v>
      </c>
      <c r="L242" s="2">
        <v>3705039</v>
      </c>
      <c r="M242" s="2">
        <v>5923897408.1999998</v>
      </c>
      <c r="N242" s="2">
        <v>169667</v>
      </c>
      <c r="O242" t="s">
        <v>16</v>
      </c>
    </row>
    <row r="243" spans="1:15" x14ac:dyDescent="0.3">
      <c r="A243" s="1">
        <v>45667</v>
      </c>
      <c r="B243" t="s">
        <v>15</v>
      </c>
      <c r="C243" s="3">
        <v>1608</v>
      </c>
      <c r="D243" s="3">
        <v>1625</v>
      </c>
      <c r="E243" s="3">
        <v>1591.8</v>
      </c>
      <c r="F243" s="3">
        <v>1607.05</v>
      </c>
      <c r="G243" s="3">
        <v>1611</v>
      </c>
      <c r="H243" s="3">
        <v>1615.9</v>
      </c>
      <c r="I243" s="3">
        <v>1613.45</v>
      </c>
      <c r="J243" s="3">
        <v>1779</v>
      </c>
      <c r="K243" s="3">
        <v>1045.25</v>
      </c>
      <c r="L243" s="2">
        <v>4145892</v>
      </c>
      <c r="M243" s="2">
        <v>6689210125.0500002</v>
      </c>
      <c r="N243" s="2">
        <v>182178</v>
      </c>
      <c r="O243" t="s">
        <v>16</v>
      </c>
    </row>
    <row r="244" spans="1:15" x14ac:dyDescent="0.3">
      <c r="A244" s="1">
        <v>45666</v>
      </c>
      <c r="B244" t="s">
        <v>15</v>
      </c>
      <c r="C244" s="3">
        <v>1600</v>
      </c>
      <c r="D244" s="3">
        <v>1620.2</v>
      </c>
      <c r="E244" s="3">
        <v>1592.4</v>
      </c>
      <c r="F244" s="3">
        <v>1599.2</v>
      </c>
      <c r="G244" s="3">
        <v>1607.8</v>
      </c>
      <c r="H244" s="3">
        <v>1607.05</v>
      </c>
      <c r="I244" s="3">
        <v>1605.42</v>
      </c>
      <c r="J244" s="3">
        <v>1779</v>
      </c>
      <c r="K244" s="3">
        <v>1045.25</v>
      </c>
      <c r="L244" s="2">
        <v>4684859</v>
      </c>
      <c r="M244" s="2">
        <v>7521159280.5500002</v>
      </c>
      <c r="N244" s="2">
        <v>312415</v>
      </c>
      <c r="O244" t="s">
        <v>16</v>
      </c>
    </row>
    <row r="245" spans="1:15" x14ac:dyDescent="0.3">
      <c r="A245" s="1">
        <v>45665</v>
      </c>
      <c r="B245" t="s">
        <v>15</v>
      </c>
      <c r="C245" s="3">
        <v>1598.75</v>
      </c>
      <c r="D245" s="3">
        <v>1613.45</v>
      </c>
      <c r="E245" s="3">
        <v>1577.85</v>
      </c>
      <c r="F245" s="3">
        <v>1590.85</v>
      </c>
      <c r="G245" s="3">
        <v>1601.15</v>
      </c>
      <c r="H245" s="3">
        <v>1599.2</v>
      </c>
      <c r="I245" s="3">
        <v>1591.05</v>
      </c>
      <c r="J245" s="3">
        <v>1779</v>
      </c>
      <c r="K245" s="3">
        <v>1045.25</v>
      </c>
      <c r="L245" s="2">
        <v>3674564</v>
      </c>
      <c r="M245" s="2">
        <v>5846408484.3000002</v>
      </c>
      <c r="N245" s="2">
        <v>209954</v>
      </c>
      <c r="O245" t="s">
        <v>16</v>
      </c>
    </row>
    <row r="246" spans="1:15" x14ac:dyDescent="0.3">
      <c r="A246" s="1">
        <v>45664</v>
      </c>
      <c r="B246" t="s">
        <v>15</v>
      </c>
      <c r="C246" s="3">
        <v>1594</v>
      </c>
      <c r="D246" s="3">
        <v>1603</v>
      </c>
      <c r="E246" s="3">
        <v>1584.05</v>
      </c>
      <c r="F246" s="3">
        <v>1588.45</v>
      </c>
      <c r="G246" s="3">
        <v>1591</v>
      </c>
      <c r="H246" s="3">
        <v>1590.85</v>
      </c>
      <c r="I246" s="3">
        <v>1591.45</v>
      </c>
      <c r="J246" s="3">
        <v>1779</v>
      </c>
      <c r="K246" s="3">
        <v>1045.25</v>
      </c>
      <c r="L246" s="2">
        <v>2830856</v>
      </c>
      <c r="M246" s="2">
        <v>4505179409.1000004</v>
      </c>
      <c r="N246" s="2">
        <v>110398</v>
      </c>
      <c r="O246" t="s">
        <v>16</v>
      </c>
    </row>
    <row r="247" spans="1:15" x14ac:dyDescent="0.3">
      <c r="A247" s="1">
        <v>45663</v>
      </c>
      <c r="B247" t="s">
        <v>15</v>
      </c>
      <c r="C247" s="3">
        <v>1596.15</v>
      </c>
      <c r="D247" s="3">
        <v>1609.85</v>
      </c>
      <c r="E247" s="3">
        <v>1567.1</v>
      </c>
      <c r="F247" s="3">
        <v>1598.85</v>
      </c>
      <c r="G247" s="3">
        <v>1589.35</v>
      </c>
      <c r="H247" s="3">
        <v>1588.45</v>
      </c>
      <c r="I247" s="3">
        <v>1589.02</v>
      </c>
      <c r="J247" s="3">
        <v>1779</v>
      </c>
      <c r="K247" s="3">
        <v>1045.25</v>
      </c>
      <c r="L247" s="2">
        <v>4584188</v>
      </c>
      <c r="M247" s="2">
        <v>7284366528.3999996</v>
      </c>
      <c r="N247" s="2">
        <v>126704</v>
      </c>
      <c r="O247" t="s">
        <v>16</v>
      </c>
    </row>
    <row r="248" spans="1:15" x14ac:dyDescent="0.3">
      <c r="A248" s="1">
        <v>45660</v>
      </c>
      <c r="B248" t="s">
        <v>15</v>
      </c>
      <c r="C248" s="3">
        <v>1615</v>
      </c>
      <c r="D248" s="3">
        <v>1617</v>
      </c>
      <c r="E248" s="3">
        <v>1593.3</v>
      </c>
      <c r="F248" s="3">
        <v>1609.7</v>
      </c>
      <c r="G248" s="3">
        <v>1594</v>
      </c>
      <c r="H248" s="3">
        <v>1598.85</v>
      </c>
      <c r="I248" s="3">
        <v>1601.48</v>
      </c>
      <c r="J248" s="3">
        <v>1779</v>
      </c>
      <c r="K248" s="3">
        <v>1007</v>
      </c>
      <c r="L248" s="2">
        <v>3669685</v>
      </c>
      <c r="M248" s="2">
        <v>5876919268.3999996</v>
      </c>
      <c r="N248" s="2">
        <v>128800</v>
      </c>
      <c r="O248" t="s">
        <v>16</v>
      </c>
    </row>
    <row r="249" spans="1:15" x14ac:dyDescent="0.3">
      <c r="A249" s="1">
        <v>45659</v>
      </c>
      <c r="B249" t="s">
        <v>15</v>
      </c>
      <c r="C249" s="3">
        <v>1599.9</v>
      </c>
      <c r="D249" s="3">
        <v>1619.6</v>
      </c>
      <c r="E249" s="3">
        <v>1588.4</v>
      </c>
      <c r="F249" s="3">
        <v>1595.7</v>
      </c>
      <c r="G249" s="3">
        <v>1613</v>
      </c>
      <c r="H249" s="3">
        <v>1609.7</v>
      </c>
      <c r="I249" s="3">
        <v>1608.78</v>
      </c>
      <c r="J249" s="3">
        <v>1779</v>
      </c>
      <c r="K249" s="3">
        <v>1007</v>
      </c>
      <c r="L249" s="2">
        <v>3728040</v>
      </c>
      <c r="M249" s="2">
        <v>5997612867.3000002</v>
      </c>
      <c r="N249" s="2">
        <v>189267</v>
      </c>
      <c r="O249" t="s">
        <v>16</v>
      </c>
    </row>
    <row r="250" spans="1:15" x14ac:dyDescent="0.3">
      <c r="A250" s="1">
        <v>45658</v>
      </c>
      <c r="B250" t="s">
        <v>15</v>
      </c>
      <c r="C250" s="3">
        <v>1593</v>
      </c>
      <c r="D250" s="3">
        <v>1606.55</v>
      </c>
      <c r="E250" s="3">
        <v>1584.05</v>
      </c>
      <c r="F250" s="3">
        <v>1587.75</v>
      </c>
      <c r="G250" s="3">
        <v>1597.95</v>
      </c>
      <c r="H250" s="3">
        <v>1595.7</v>
      </c>
      <c r="I250" s="3">
        <v>1594.42</v>
      </c>
      <c r="J250" s="3">
        <v>1779</v>
      </c>
      <c r="K250" s="3">
        <v>1007</v>
      </c>
      <c r="L250" s="2">
        <v>1405565</v>
      </c>
      <c r="M250" s="2">
        <v>2241059050.3000002</v>
      </c>
      <c r="N250" s="2">
        <v>63674</v>
      </c>
      <c r="O250" t="s">
        <v>16</v>
      </c>
    </row>
    <row r="251" spans="1:15" x14ac:dyDescent="0.3">
      <c r="A251" s="1">
        <v>46022</v>
      </c>
      <c r="B251" t="s">
        <v>15</v>
      </c>
      <c r="C251" s="4">
        <v>1624.5</v>
      </c>
      <c r="D251" s="4">
        <v>1631.7</v>
      </c>
      <c r="E251" s="4">
        <v>1616.8</v>
      </c>
      <c r="F251" s="4">
        <v>1615.2</v>
      </c>
      <c r="G251" s="4">
        <v>1620.1</v>
      </c>
      <c r="H251" s="4">
        <v>1623.3</v>
      </c>
      <c r="I251" s="4">
        <v>1624.23</v>
      </c>
      <c r="J251" s="4">
        <v>2012.2</v>
      </c>
      <c r="K251" s="4">
        <v>1302.75</v>
      </c>
      <c r="L251" s="2">
        <v>1359963</v>
      </c>
      <c r="M251" s="2">
        <v>2208891261.3000002</v>
      </c>
      <c r="N251">
        <v>44369</v>
      </c>
      <c r="O251" t="s">
        <v>17</v>
      </c>
    </row>
    <row r="252" spans="1:15" x14ac:dyDescent="0.3">
      <c r="A252" s="1">
        <v>46021</v>
      </c>
      <c r="B252" t="s">
        <v>15</v>
      </c>
      <c r="C252" s="4">
        <v>1630.8</v>
      </c>
      <c r="D252" s="4">
        <v>1635.7</v>
      </c>
      <c r="E252" s="4">
        <v>1611.1</v>
      </c>
      <c r="F252" s="4">
        <v>1630.8</v>
      </c>
      <c r="G252" s="4">
        <v>1621.5</v>
      </c>
      <c r="H252" s="4">
        <v>1615.2</v>
      </c>
      <c r="I252" s="4">
        <v>1619.83</v>
      </c>
      <c r="J252" s="4">
        <v>2012.2</v>
      </c>
      <c r="K252" s="4">
        <v>1302.75</v>
      </c>
      <c r="L252" s="2">
        <v>3323273</v>
      </c>
      <c r="M252" s="2">
        <v>5383130430.8000002</v>
      </c>
      <c r="N252">
        <v>112154</v>
      </c>
      <c r="O252" t="s">
        <v>17</v>
      </c>
    </row>
    <row r="253" spans="1:15" x14ac:dyDescent="0.3">
      <c r="A253" s="1">
        <v>46020</v>
      </c>
      <c r="B253" t="s">
        <v>15</v>
      </c>
      <c r="C253" s="4">
        <v>1659.7</v>
      </c>
      <c r="D253" s="4">
        <v>1660.8</v>
      </c>
      <c r="E253" s="4">
        <v>1625.4</v>
      </c>
      <c r="F253" s="4">
        <v>1660.9</v>
      </c>
      <c r="G253" s="4">
        <v>1630.6</v>
      </c>
      <c r="H253" s="4">
        <v>1630.8</v>
      </c>
      <c r="I253" s="4">
        <v>1642.6</v>
      </c>
      <c r="J253" s="4">
        <v>2012.2</v>
      </c>
      <c r="K253" s="4">
        <v>1302.75</v>
      </c>
      <c r="L253" s="2">
        <v>1516288</v>
      </c>
      <c r="M253" s="2">
        <v>2490651496</v>
      </c>
      <c r="N253">
        <v>68600</v>
      </c>
      <c r="O253" t="s">
        <v>17</v>
      </c>
    </row>
    <row r="254" spans="1:15" x14ac:dyDescent="0.3">
      <c r="A254" s="1">
        <v>46017</v>
      </c>
      <c r="B254" t="s">
        <v>15</v>
      </c>
      <c r="C254" s="4">
        <v>1668</v>
      </c>
      <c r="D254" s="4">
        <v>1676.4</v>
      </c>
      <c r="E254" s="4">
        <v>1650.5</v>
      </c>
      <c r="F254" s="4">
        <v>1674.7</v>
      </c>
      <c r="G254" s="4">
        <v>1661.2</v>
      </c>
      <c r="H254" s="4">
        <v>1660.9</v>
      </c>
      <c r="I254" s="4">
        <v>1660.76</v>
      </c>
      <c r="J254" s="4">
        <v>2012.2</v>
      </c>
      <c r="K254" s="4">
        <v>1302.75</v>
      </c>
      <c r="L254" s="2">
        <v>921138</v>
      </c>
      <c r="M254" s="2">
        <v>1529784855.2</v>
      </c>
      <c r="N254">
        <v>53805</v>
      </c>
      <c r="O254" t="s">
        <v>17</v>
      </c>
    </row>
    <row r="255" spans="1:15" x14ac:dyDescent="0.3">
      <c r="A255" s="1">
        <v>46015</v>
      </c>
      <c r="B255" t="s">
        <v>15</v>
      </c>
      <c r="C255" s="4">
        <v>1676</v>
      </c>
      <c r="D255" s="4">
        <v>1680</v>
      </c>
      <c r="E255" s="4">
        <v>1665.1</v>
      </c>
      <c r="F255" s="4">
        <v>1679.9</v>
      </c>
      <c r="G255" s="4">
        <v>1675.5</v>
      </c>
      <c r="H255" s="4">
        <v>1674.7</v>
      </c>
      <c r="I255" s="4">
        <v>1674.72</v>
      </c>
      <c r="J255" s="4">
        <v>2012.2</v>
      </c>
      <c r="K255" s="4">
        <v>1302.75</v>
      </c>
      <c r="L255" s="2">
        <v>989858</v>
      </c>
      <c r="M255" s="2">
        <v>1657731133.3</v>
      </c>
      <c r="N255">
        <v>48783</v>
      </c>
      <c r="O255" t="s">
        <v>17</v>
      </c>
    </row>
    <row r="256" spans="1:15" x14ac:dyDescent="0.3">
      <c r="A256" s="1">
        <v>46014</v>
      </c>
      <c r="B256" t="s">
        <v>15</v>
      </c>
      <c r="C256" s="4">
        <v>1675.1</v>
      </c>
      <c r="D256" s="4">
        <v>1686.9</v>
      </c>
      <c r="E256" s="4">
        <v>1656.2</v>
      </c>
      <c r="F256" s="4">
        <v>1670.3</v>
      </c>
      <c r="G256" s="4">
        <v>1674.8</v>
      </c>
      <c r="H256" s="4">
        <v>1679.9</v>
      </c>
      <c r="I256" s="4">
        <v>1674.59</v>
      </c>
      <c r="J256" s="4">
        <v>2012.2</v>
      </c>
      <c r="K256" s="4">
        <v>1302.75</v>
      </c>
      <c r="L256" s="2">
        <v>1614314</v>
      </c>
      <c r="M256" s="2">
        <v>2703308179.1999998</v>
      </c>
      <c r="N256">
        <v>60466</v>
      </c>
      <c r="O256" t="s">
        <v>17</v>
      </c>
    </row>
    <row r="257" spans="1:15" x14ac:dyDescent="0.3">
      <c r="A257" s="1">
        <v>46013</v>
      </c>
      <c r="B257" t="s">
        <v>15</v>
      </c>
      <c r="C257" s="4">
        <v>1651.9</v>
      </c>
      <c r="D257" s="4">
        <v>1673.5</v>
      </c>
      <c r="E257" s="4">
        <v>1644</v>
      </c>
      <c r="F257" s="4">
        <v>1642.4</v>
      </c>
      <c r="G257" s="4">
        <v>1665</v>
      </c>
      <c r="H257" s="4">
        <v>1670.3</v>
      </c>
      <c r="I257" s="4">
        <v>1665.51</v>
      </c>
      <c r="J257" s="4">
        <v>2012.2</v>
      </c>
      <c r="K257" s="4">
        <v>1302.75</v>
      </c>
      <c r="L257" s="2">
        <v>1339691</v>
      </c>
      <c r="M257" s="2">
        <v>2231264930</v>
      </c>
      <c r="N257">
        <v>62953</v>
      </c>
      <c r="O257" t="s">
        <v>17</v>
      </c>
    </row>
    <row r="258" spans="1:15" x14ac:dyDescent="0.3">
      <c r="A258" s="1">
        <v>46010</v>
      </c>
      <c r="B258" t="s">
        <v>15</v>
      </c>
      <c r="C258" s="4">
        <v>1675</v>
      </c>
      <c r="D258" s="4">
        <v>1681</v>
      </c>
      <c r="E258" s="4">
        <v>1632.5</v>
      </c>
      <c r="F258" s="4">
        <v>1661.4</v>
      </c>
      <c r="G258" s="4">
        <v>1641.8</v>
      </c>
      <c r="H258" s="4">
        <v>1642.4</v>
      </c>
      <c r="I258" s="4">
        <v>1644.84</v>
      </c>
      <c r="J258" s="4">
        <v>2012.2</v>
      </c>
      <c r="K258" s="4">
        <v>1302.75</v>
      </c>
      <c r="L258" s="2">
        <v>3487150</v>
      </c>
      <c r="M258" s="2">
        <v>5735798131.3999996</v>
      </c>
      <c r="N258">
        <v>105652</v>
      </c>
      <c r="O258" t="s">
        <v>17</v>
      </c>
    </row>
    <row r="259" spans="1:15" x14ac:dyDescent="0.3">
      <c r="A259" s="1">
        <v>46009</v>
      </c>
      <c r="B259" t="s">
        <v>15</v>
      </c>
      <c r="C259" s="4">
        <v>1657</v>
      </c>
      <c r="D259" s="4">
        <v>1673.9</v>
      </c>
      <c r="E259" s="4">
        <v>1651.2</v>
      </c>
      <c r="F259" s="4">
        <v>1655</v>
      </c>
      <c r="G259" s="4">
        <v>1663</v>
      </c>
      <c r="H259" s="4">
        <v>1661.4</v>
      </c>
      <c r="I259" s="4">
        <v>1660.82</v>
      </c>
      <c r="J259" s="4">
        <v>2012.2</v>
      </c>
      <c r="K259" s="4">
        <v>1302.75</v>
      </c>
      <c r="L259" s="2">
        <v>1822056</v>
      </c>
      <c r="M259" s="2">
        <v>3026099482.6999998</v>
      </c>
      <c r="N259">
        <v>94524</v>
      </c>
      <c r="O259" t="s">
        <v>17</v>
      </c>
    </row>
    <row r="260" spans="1:15" x14ac:dyDescent="0.3">
      <c r="A260" s="1">
        <v>46008</v>
      </c>
      <c r="B260" t="s">
        <v>15</v>
      </c>
      <c r="C260" s="4">
        <v>1651</v>
      </c>
      <c r="D260" s="4">
        <v>1664.5</v>
      </c>
      <c r="E260" s="4">
        <v>1646.3</v>
      </c>
      <c r="F260" s="4">
        <v>1651.7</v>
      </c>
      <c r="G260" s="4">
        <v>1655.1</v>
      </c>
      <c r="H260" s="4">
        <v>1655</v>
      </c>
      <c r="I260" s="4">
        <v>1654.82</v>
      </c>
      <c r="J260" s="4">
        <v>2012.2</v>
      </c>
      <c r="K260" s="4">
        <v>1302.75</v>
      </c>
      <c r="L260" s="2">
        <v>1394918</v>
      </c>
      <c r="M260" s="2">
        <v>2308338881.0999999</v>
      </c>
      <c r="N260">
        <v>60273</v>
      </c>
      <c r="O260" t="s">
        <v>17</v>
      </c>
    </row>
    <row r="261" spans="1:15" x14ac:dyDescent="0.3">
      <c r="A261" s="1">
        <v>46007</v>
      </c>
      <c r="B261" t="s">
        <v>15</v>
      </c>
      <c r="C261" s="4">
        <v>1681</v>
      </c>
      <c r="D261" s="4">
        <v>1682</v>
      </c>
      <c r="E261" s="4">
        <v>1645.4</v>
      </c>
      <c r="F261" s="4">
        <v>1684</v>
      </c>
      <c r="G261" s="4">
        <v>1651.8</v>
      </c>
      <c r="H261" s="4">
        <v>1651.7</v>
      </c>
      <c r="I261" s="4">
        <v>1653.45</v>
      </c>
      <c r="J261" s="4">
        <v>2012.2</v>
      </c>
      <c r="K261" s="4">
        <v>1302.75</v>
      </c>
      <c r="L261" s="2">
        <v>1929309</v>
      </c>
      <c r="M261" s="2">
        <v>3190010112.6999998</v>
      </c>
      <c r="N261">
        <v>80374</v>
      </c>
      <c r="O261" t="s">
        <v>17</v>
      </c>
    </row>
    <row r="262" spans="1:15" x14ac:dyDescent="0.3">
      <c r="A262" s="1">
        <v>46006</v>
      </c>
      <c r="B262" t="s">
        <v>15</v>
      </c>
      <c r="C262" s="4">
        <v>1673.2</v>
      </c>
      <c r="D262" s="4">
        <v>1688</v>
      </c>
      <c r="E262" s="4">
        <v>1660</v>
      </c>
      <c r="F262" s="4">
        <v>1673.2</v>
      </c>
      <c r="G262" s="4">
        <v>1686.4</v>
      </c>
      <c r="H262" s="4">
        <v>1684</v>
      </c>
      <c r="I262" s="4">
        <v>1681.83</v>
      </c>
      <c r="J262" s="4">
        <v>2012.2</v>
      </c>
      <c r="K262" s="4">
        <v>1302.75</v>
      </c>
      <c r="L262" s="2">
        <v>1689723</v>
      </c>
      <c r="M262" s="2">
        <v>2841819619.0999999</v>
      </c>
      <c r="N262">
        <v>67813</v>
      </c>
      <c r="O262" t="s">
        <v>17</v>
      </c>
    </row>
    <row r="263" spans="1:15" x14ac:dyDescent="0.3">
      <c r="A263" s="1">
        <v>46003</v>
      </c>
      <c r="B263" t="s">
        <v>15</v>
      </c>
      <c r="C263" s="4">
        <v>1677.4</v>
      </c>
      <c r="D263" s="4">
        <v>1677.9</v>
      </c>
      <c r="E263" s="4">
        <v>1660</v>
      </c>
      <c r="F263" s="4">
        <v>1672.4</v>
      </c>
      <c r="G263" s="4">
        <v>1670</v>
      </c>
      <c r="H263" s="4">
        <v>1673.2</v>
      </c>
      <c r="I263" s="4">
        <v>1669.69</v>
      </c>
      <c r="J263" s="4">
        <v>2012.2</v>
      </c>
      <c r="K263" s="4">
        <v>1302.75</v>
      </c>
      <c r="L263" s="2">
        <v>1284337</v>
      </c>
      <c r="M263" s="2">
        <v>2144444642.2</v>
      </c>
      <c r="N263">
        <v>44240</v>
      </c>
      <c r="O263" t="s">
        <v>17</v>
      </c>
    </row>
    <row r="264" spans="1:15" x14ac:dyDescent="0.3">
      <c r="A264" s="1">
        <v>46002</v>
      </c>
      <c r="B264" t="s">
        <v>15</v>
      </c>
      <c r="C264" s="4">
        <v>1667.5</v>
      </c>
      <c r="D264" s="4">
        <v>1677.4</v>
      </c>
      <c r="E264" s="4">
        <v>1649</v>
      </c>
      <c r="F264" s="4">
        <v>1666</v>
      </c>
      <c r="G264" s="4">
        <v>1672.4</v>
      </c>
      <c r="H264" s="4">
        <v>1672.4</v>
      </c>
      <c r="I264" s="4">
        <v>1666.62</v>
      </c>
      <c r="J264" s="4">
        <v>2012.2</v>
      </c>
      <c r="K264" s="4">
        <v>1302.75</v>
      </c>
      <c r="L264" s="2">
        <v>1408684</v>
      </c>
      <c r="M264" s="2">
        <v>2347743572.8000002</v>
      </c>
      <c r="N264">
        <v>57108</v>
      </c>
      <c r="O264" t="s">
        <v>17</v>
      </c>
    </row>
    <row r="265" spans="1:15" x14ac:dyDescent="0.3">
      <c r="A265" s="1">
        <v>46001</v>
      </c>
      <c r="B265" t="s">
        <v>15</v>
      </c>
      <c r="C265" s="4">
        <v>1663.3</v>
      </c>
      <c r="D265" s="4">
        <v>1671</v>
      </c>
      <c r="E265" s="4">
        <v>1657</v>
      </c>
      <c r="F265" s="4">
        <v>1657.6</v>
      </c>
      <c r="G265" s="4">
        <v>1665.9</v>
      </c>
      <c r="H265" s="4">
        <v>1666</v>
      </c>
      <c r="I265" s="4">
        <v>1664.38</v>
      </c>
      <c r="J265" s="4">
        <v>2012.2</v>
      </c>
      <c r="K265" s="4">
        <v>1302.75</v>
      </c>
      <c r="L265" s="2">
        <v>1482249</v>
      </c>
      <c r="M265" s="2">
        <v>2467027638.0999999</v>
      </c>
      <c r="N265">
        <v>62506</v>
      </c>
      <c r="O265" t="s">
        <v>17</v>
      </c>
    </row>
    <row r="266" spans="1:15" x14ac:dyDescent="0.3">
      <c r="A266" s="1">
        <v>46000</v>
      </c>
      <c r="B266" t="s">
        <v>15</v>
      </c>
      <c r="C266" s="4">
        <v>1687</v>
      </c>
      <c r="D266" s="4">
        <v>1687</v>
      </c>
      <c r="E266" s="4">
        <v>1656.4</v>
      </c>
      <c r="F266" s="4">
        <v>1688.6</v>
      </c>
      <c r="G266" s="4">
        <v>1657.9</v>
      </c>
      <c r="H266" s="4">
        <v>1657.6</v>
      </c>
      <c r="I266" s="4">
        <v>1666.53</v>
      </c>
      <c r="J266" s="4">
        <v>2012.2</v>
      </c>
      <c r="K266" s="4">
        <v>1302.75</v>
      </c>
      <c r="L266" s="2">
        <v>2817704</v>
      </c>
      <c r="M266" s="2">
        <v>4695782243.5</v>
      </c>
      <c r="N266">
        <v>81151</v>
      </c>
      <c r="O266" t="s">
        <v>17</v>
      </c>
    </row>
    <row r="267" spans="1:15" x14ac:dyDescent="0.3">
      <c r="A267" s="1">
        <v>45999</v>
      </c>
      <c r="B267" t="s">
        <v>15</v>
      </c>
      <c r="C267" s="4">
        <v>1683</v>
      </c>
      <c r="D267" s="4">
        <v>1695.4</v>
      </c>
      <c r="E267" s="4">
        <v>1676.9</v>
      </c>
      <c r="F267" s="4">
        <v>1683</v>
      </c>
      <c r="G267" s="4">
        <v>1685</v>
      </c>
      <c r="H267" s="4">
        <v>1688.6</v>
      </c>
      <c r="I267" s="4">
        <v>1688.85</v>
      </c>
      <c r="J267" s="4">
        <v>2012.2</v>
      </c>
      <c r="K267" s="4">
        <v>1302.75</v>
      </c>
      <c r="L267" s="2">
        <v>2702407</v>
      </c>
      <c r="M267" s="2">
        <v>4563966285.6000004</v>
      </c>
      <c r="N267">
        <v>99082</v>
      </c>
      <c r="O267" t="s">
        <v>17</v>
      </c>
    </row>
    <row r="268" spans="1:15" x14ac:dyDescent="0.3">
      <c r="A268" s="1">
        <v>45996</v>
      </c>
      <c r="B268" t="s">
        <v>15</v>
      </c>
      <c r="C268" s="4">
        <v>1662.7</v>
      </c>
      <c r="D268" s="4">
        <v>1691</v>
      </c>
      <c r="E268" s="4">
        <v>1651</v>
      </c>
      <c r="F268" s="4">
        <v>1654.6</v>
      </c>
      <c r="G268" s="4">
        <v>1681</v>
      </c>
      <c r="H268" s="4">
        <v>1683</v>
      </c>
      <c r="I268" s="4">
        <v>1679.98</v>
      </c>
      <c r="J268" s="4">
        <v>2012.2</v>
      </c>
      <c r="K268" s="4">
        <v>1302.75</v>
      </c>
      <c r="L268" s="2">
        <v>3391204</v>
      </c>
      <c r="M268" s="2">
        <v>5697168485.3999996</v>
      </c>
      <c r="N268">
        <v>69175</v>
      </c>
      <c r="O268" t="s">
        <v>17</v>
      </c>
    </row>
    <row r="269" spans="1:15" x14ac:dyDescent="0.3">
      <c r="A269" s="1">
        <v>45995</v>
      </c>
      <c r="B269" t="s">
        <v>15</v>
      </c>
      <c r="C269" s="4">
        <v>1650</v>
      </c>
      <c r="D269" s="4">
        <v>1672</v>
      </c>
      <c r="E269" s="4">
        <v>1645.1</v>
      </c>
      <c r="F269" s="4">
        <v>1640.5</v>
      </c>
      <c r="G269" s="4">
        <v>1655.5</v>
      </c>
      <c r="H269" s="4">
        <v>1654.6</v>
      </c>
      <c r="I269" s="4">
        <v>1658.55</v>
      </c>
      <c r="J269" s="4">
        <v>2012.2</v>
      </c>
      <c r="K269" s="4">
        <v>1302.75</v>
      </c>
      <c r="L269" s="2">
        <v>3935708</v>
      </c>
      <c r="M269" s="2">
        <v>6527574096.3999996</v>
      </c>
      <c r="N269">
        <v>136665</v>
      </c>
      <c r="O269" t="s">
        <v>17</v>
      </c>
    </row>
    <row r="270" spans="1:15" x14ac:dyDescent="0.3">
      <c r="A270" s="1">
        <v>45994</v>
      </c>
      <c r="B270" t="s">
        <v>15</v>
      </c>
      <c r="C270" s="4">
        <v>1635.5</v>
      </c>
      <c r="D270" s="4">
        <v>1654.6</v>
      </c>
      <c r="E270" s="4">
        <v>1628.8</v>
      </c>
      <c r="F270" s="4">
        <v>1635.5</v>
      </c>
      <c r="G270" s="4">
        <v>1639.2</v>
      </c>
      <c r="H270" s="4">
        <v>1640.5</v>
      </c>
      <c r="I270" s="4">
        <v>1638.68</v>
      </c>
      <c r="J270" s="4">
        <v>2012.2</v>
      </c>
      <c r="K270" s="4">
        <v>1302.75</v>
      </c>
      <c r="L270" s="2">
        <v>2371611</v>
      </c>
      <c r="M270" s="2">
        <v>3886315623.5999999</v>
      </c>
      <c r="N270">
        <v>74755</v>
      </c>
      <c r="O270" t="s">
        <v>17</v>
      </c>
    </row>
    <row r="271" spans="1:15" x14ac:dyDescent="0.3">
      <c r="A271" s="1">
        <v>45993</v>
      </c>
      <c r="B271" t="s">
        <v>15</v>
      </c>
      <c r="C271" s="4">
        <v>1651</v>
      </c>
      <c r="D271" s="4">
        <v>1652.9</v>
      </c>
      <c r="E271" s="4">
        <v>1624</v>
      </c>
      <c r="F271" s="4">
        <v>1642.9</v>
      </c>
      <c r="G271" s="4">
        <v>1634.6</v>
      </c>
      <c r="H271" s="4">
        <v>1635.5</v>
      </c>
      <c r="I271" s="4">
        <v>1635.1</v>
      </c>
      <c r="J271" s="4">
        <v>2012.2</v>
      </c>
      <c r="K271" s="4">
        <v>1302.75</v>
      </c>
      <c r="L271" s="2">
        <v>2326220</v>
      </c>
      <c r="M271" s="2">
        <v>3803611581.6999998</v>
      </c>
      <c r="N271">
        <v>77081</v>
      </c>
      <c r="O271" t="s">
        <v>17</v>
      </c>
    </row>
    <row r="272" spans="1:15" x14ac:dyDescent="0.3">
      <c r="A272" s="1">
        <v>45992</v>
      </c>
      <c r="B272" t="s">
        <v>15</v>
      </c>
      <c r="C272" s="4">
        <v>1630</v>
      </c>
      <c r="D272" s="4">
        <v>1646.5</v>
      </c>
      <c r="E272" s="4">
        <v>1628</v>
      </c>
      <c r="F272" s="4">
        <v>1624.2</v>
      </c>
      <c r="G272" s="4">
        <v>1642.5</v>
      </c>
      <c r="H272" s="4">
        <v>1642.9</v>
      </c>
      <c r="I272" s="4">
        <v>1639.51</v>
      </c>
      <c r="J272" s="4">
        <v>2012.2</v>
      </c>
      <c r="K272" s="4">
        <v>1302.75</v>
      </c>
      <c r="L272" s="2">
        <v>2034350</v>
      </c>
      <c r="M272" s="2">
        <v>3335341377.0999999</v>
      </c>
      <c r="N272">
        <v>80611</v>
      </c>
      <c r="O272" t="s">
        <v>17</v>
      </c>
    </row>
    <row r="273" spans="1:15" x14ac:dyDescent="0.3">
      <c r="A273" s="1">
        <v>45989</v>
      </c>
      <c r="B273" t="s">
        <v>15</v>
      </c>
      <c r="C273" s="4">
        <v>1629</v>
      </c>
      <c r="D273" s="4">
        <v>1636.9</v>
      </c>
      <c r="E273" s="4">
        <v>1619</v>
      </c>
      <c r="F273" s="4">
        <v>1629</v>
      </c>
      <c r="G273" s="4">
        <v>1623.8</v>
      </c>
      <c r="H273" s="4">
        <v>1624.2</v>
      </c>
      <c r="I273" s="4">
        <v>1627.54</v>
      </c>
      <c r="J273" s="4">
        <v>2012.2</v>
      </c>
      <c r="K273" s="4">
        <v>1302.75</v>
      </c>
      <c r="L273" s="2">
        <v>1841289</v>
      </c>
      <c r="M273" s="2">
        <v>2996771288.0999999</v>
      </c>
      <c r="N273">
        <v>51177</v>
      </c>
      <c r="O273" t="s">
        <v>17</v>
      </c>
    </row>
    <row r="274" spans="1:15" x14ac:dyDescent="0.3">
      <c r="A274" s="1">
        <v>45988</v>
      </c>
      <c r="B274" t="s">
        <v>15</v>
      </c>
      <c r="C274" s="4">
        <v>1619.1</v>
      </c>
      <c r="D274" s="4">
        <v>1633.2</v>
      </c>
      <c r="E274" s="4">
        <v>1614</v>
      </c>
      <c r="F274" s="4">
        <v>1617.9</v>
      </c>
      <c r="G274" s="4">
        <v>1630.2</v>
      </c>
      <c r="H274" s="4">
        <v>1629</v>
      </c>
      <c r="I274" s="4">
        <v>1625.43</v>
      </c>
      <c r="J274" s="4">
        <v>2012.2</v>
      </c>
      <c r="K274" s="4">
        <v>1302.75</v>
      </c>
      <c r="L274" s="2">
        <v>2106176</v>
      </c>
      <c r="M274" s="2">
        <v>3423437408.0999999</v>
      </c>
      <c r="N274">
        <v>61398</v>
      </c>
      <c r="O274" t="s">
        <v>17</v>
      </c>
    </row>
    <row r="275" spans="1:15" x14ac:dyDescent="0.3">
      <c r="A275" s="1">
        <v>45987</v>
      </c>
      <c r="B275" t="s">
        <v>15</v>
      </c>
      <c r="C275" s="4">
        <v>1601.1</v>
      </c>
      <c r="D275" s="4">
        <v>1627.5</v>
      </c>
      <c r="E275" s="4">
        <v>1601.1</v>
      </c>
      <c r="F275" s="4">
        <v>1601.1</v>
      </c>
      <c r="G275" s="4">
        <v>1620</v>
      </c>
      <c r="H275" s="4">
        <v>1617.9</v>
      </c>
      <c r="I275" s="4">
        <v>1618.84</v>
      </c>
      <c r="J275" s="4">
        <v>2012.2</v>
      </c>
      <c r="K275" s="4">
        <v>1302.75</v>
      </c>
      <c r="L275" s="2">
        <v>1243303</v>
      </c>
      <c r="M275" s="2">
        <v>2012714636.5</v>
      </c>
      <c r="N275">
        <v>71530</v>
      </c>
      <c r="O275" t="s">
        <v>17</v>
      </c>
    </row>
    <row r="276" spans="1:15" x14ac:dyDescent="0.3">
      <c r="A276" s="1">
        <v>45986</v>
      </c>
      <c r="B276" t="s">
        <v>15</v>
      </c>
      <c r="C276" s="4">
        <v>1618.3</v>
      </c>
      <c r="D276" s="4">
        <v>1618.9</v>
      </c>
      <c r="E276" s="4">
        <v>1592.6</v>
      </c>
      <c r="F276" s="4">
        <v>1610.4</v>
      </c>
      <c r="G276" s="4">
        <v>1598.9</v>
      </c>
      <c r="H276" s="4">
        <v>1601.1</v>
      </c>
      <c r="I276" s="4">
        <v>1601.61</v>
      </c>
      <c r="J276" s="4">
        <v>2012.2</v>
      </c>
      <c r="K276" s="4">
        <v>1302.75</v>
      </c>
      <c r="L276" s="2">
        <v>2285950</v>
      </c>
      <c r="M276" s="2">
        <v>3661209695.5</v>
      </c>
      <c r="N276">
        <v>99411</v>
      </c>
      <c r="O276" t="s">
        <v>17</v>
      </c>
    </row>
    <row r="277" spans="1:15" x14ac:dyDescent="0.3">
      <c r="A277" s="1">
        <v>45985</v>
      </c>
      <c r="B277" t="s">
        <v>15</v>
      </c>
      <c r="C277" s="4">
        <v>1614.3</v>
      </c>
      <c r="D277" s="4">
        <v>1640</v>
      </c>
      <c r="E277" s="4">
        <v>1602.9</v>
      </c>
      <c r="F277" s="4">
        <v>1608</v>
      </c>
      <c r="G277" s="4">
        <v>1612</v>
      </c>
      <c r="H277" s="4">
        <v>1610.4</v>
      </c>
      <c r="I277" s="4">
        <v>1617.14</v>
      </c>
      <c r="J277" s="4">
        <v>2012.2</v>
      </c>
      <c r="K277" s="4">
        <v>1302.75</v>
      </c>
      <c r="L277" s="2">
        <v>6392688</v>
      </c>
      <c r="M277" s="2">
        <v>10337878943.4</v>
      </c>
      <c r="N277">
        <v>119732</v>
      </c>
      <c r="O277" t="s">
        <v>17</v>
      </c>
    </row>
    <row r="278" spans="1:15" x14ac:dyDescent="0.3">
      <c r="A278" s="1">
        <v>45982</v>
      </c>
      <c r="B278" t="s">
        <v>15</v>
      </c>
      <c r="C278" s="4">
        <v>1636</v>
      </c>
      <c r="D278" s="4">
        <v>1643.5</v>
      </c>
      <c r="E278" s="4">
        <v>1606</v>
      </c>
      <c r="F278" s="4">
        <v>1645.4</v>
      </c>
      <c r="G278" s="4">
        <v>1608.8</v>
      </c>
      <c r="H278" s="4">
        <v>1608</v>
      </c>
      <c r="I278" s="4">
        <v>1622.45</v>
      </c>
      <c r="J278" s="4">
        <v>2012.2</v>
      </c>
      <c r="K278" s="4">
        <v>1302.75</v>
      </c>
      <c r="L278" s="2">
        <v>2958835</v>
      </c>
      <c r="M278" s="2">
        <v>4800551729.1999998</v>
      </c>
      <c r="N278">
        <v>81557</v>
      </c>
      <c r="O278" t="s">
        <v>17</v>
      </c>
    </row>
    <row r="279" spans="1:15" x14ac:dyDescent="0.3">
      <c r="A279" s="1">
        <v>45981</v>
      </c>
      <c r="B279" t="s">
        <v>15</v>
      </c>
      <c r="C279" s="4">
        <v>1662.6</v>
      </c>
      <c r="D279" s="4">
        <v>1668.4</v>
      </c>
      <c r="E279" s="4">
        <v>1642.6</v>
      </c>
      <c r="F279" s="4">
        <v>1662.6</v>
      </c>
      <c r="G279" s="4">
        <v>1644.4</v>
      </c>
      <c r="H279" s="4">
        <v>1645.4</v>
      </c>
      <c r="I279" s="4">
        <v>1652.84</v>
      </c>
      <c r="J279" s="4">
        <v>2012.2</v>
      </c>
      <c r="K279" s="4">
        <v>1302.75</v>
      </c>
      <c r="L279" s="2">
        <v>2724035</v>
      </c>
      <c r="M279" s="2">
        <v>4502400178.8999996</v>
      </c>
      <c r="N279">
        <v>97466</v>
      </c>
      <c r="O279" t="s">
        <v>17</v>
      </c>
    </row>
    <row r="280" spans="1:15" x14ac:dyDescent="0.3">
      <c r="A280" s="1">
        <v>45980</v>
      </c>
      <c r="B280" t="s">
        <v>15</v>
      </c>
      <c r="C280" s="4">
        <v>1595.3</v>
      </c>
      <c r="D280" s="4">
        <v>1669.5</v>
      </c>
      <c r="E280" s="4">
        <v>1588.6</v>
      </c>
      <c r="F280" s="4">
        <v>1595.2</v>
      </c>
      <c r="G280" s="4">
        <v>1662</v>
      </c>
      <c r="H280" s="4">
        <v>1662.6</v>
      </c>
      <c r="I280" s="4">
        <v>1650.37</v>
      </c>
      <c r="J280" s="4">
        <v>2012.2</v>
      </c>
      <c r="K280" s="4">
        <v>1302.75</v>
      </c>
      <c r="L280" s="2">
        <v>6342672</v>
      </c>
      <c r="M280" s="2">
        <v>10467760788.200001</v>
      </c>
      <c r="N280">
        <v>159231</v>
      </c>
      <c r="O280" t="s">
        <v>17</v>
      </c>
    </row>
    <row r="281" spans="1:15" x14ac:dyDescent="0.3">
      <c r="A281" s="1">
        <v>45979</v>
      </c>
      <c r="B281" t="s">
        <v>15</v>
      </c>
      <c r="C281" s="4">
        <v>1604</v>
      </c>
      <c r="D281" s="4">
        <v>1604</v>
      </c>
      <c r="E281" s="4">
        <v>1590.1</v>
      </c>
      <c r="F281" s="4">
        <v>1606.4</v>
      </c>
      <c r="G281" s="4">
        <v>1592.5</v>
      </c>
      <c r="H281" s="4">
        <v>1595.2</v>
      </c>
      <c r="I281" s="4">
        <v>1595.15</v>
      </c>
      <c r="J281" s="4">
        <v>2012.2</v>
      </c>
      <c r="K281" s="4">
        <v>1302.75</v>
      </c>
      <c r="L281" s="2">
        <v>1640123</v>
      </c>
      <c r="M281" s="2">
        <v>2616243523.6999998</v>
      </c>
      <c r="N281">
        <v>52117</v>
      </c>
      <c r="O281" t="s">
        <v>17</v>
      </c>
    </row>
    <row r="282" spans="1:15" x14ac:dyDescent="0.3">
      <c r="A282" s="1">
        <v>45978</v>
      </c>
      <c r="B282" t="s">
        <v>15</v>
      </c>
      <c r="C282" s="4">
        <v>1594</v>
      </c>
      <c r="D282" s="4">
        <v>1607.7</v>
      </c>
      <c r="E282" s="4">
        <v>1585.5</v>
      </c>
      <c r="F282" s="4">
        <v>1594.6</v>
      </c>
      <c r="G282" s="4">
        <v>1605.5</v>
      </c>
      <c r="H282" s="4">
        <v>1606.4</v>
      </c>
      <c r="I282" s="4">
        <v>1599.95</v>
      </c>
      <c r="J282" s="4">
        <v>2012.2</v>
      </c>
      <c r="K282" s="4">
        <v>1302.75</v>
      </c>
      <c r="L282" s="2">
        <v>2000978</v>
      </c>
      <c r="M282" s="2">
        <v>3201465766.5999999</v>
      </c>
      <c r="N282">
        <v>65072</v>
      </c>
      <c r="O282" t="s">
        <v>17</v>
      </c>
    </row>
    <row r="283" spans="1:15" x14ac:dyDescent="0.3">
      <c r="A283" s="1">
        <v>45975</v>
      </c>
      <c r="B283" t="s">
        <v>15</v>
      </c>
      <c r="C283" s="4">
        <v>1590</v>
      </c>
      <c r="D283" s="4">
        <v>1598</v>
      </c>
      <c r="E283" s="4">
        <v>1574.1</v>
      </c>
      <c r="F283" s="4">
        <v>1598.5</v>
      </c>
      <c r="G283" s="4">
        <v>1596.9</v>
      </c>
      <c r="H283" s="4">
        <v>1594.6</v>
      </c>
      <c r="I283" s="4">
        <v>1588.33</v>
      </c>
      <c r="J283" s="4">
        <v>2012.2</v>
      </c>
      <c r="K283" s="4">
        <v>1302.75</v>
      </c>
      <c r="L283" s="2">
        <v>2543918</v>
      </c>
      <c r="M283" s="2">
        <v>4040586657.3000002</v>
      </c>
      <c r="N283">
        <v>105226</v>
      </c>
      <c r="O283" t="s">
        <v>17</v>
      </c>
    </row>
    <row r="284" spans="1:15" x14ac:dyDescent="0.3">
      <c r="A284" s="1">
        <v>45974</v>
      </c>
      <c r="B284" t="s">
        <v>15</v>
      </c>
      <c r="C284" s="4">
        <v>1599.4</v>
      </c>
      <c r="D284" s="4">
        <v>1605</v>
      </c>
      <c r="E284" s="4">
        <v>1580</v>
      </c>
      <c r="F284" s="4">
        <v>1594</v>
      </c>
      <c r="G284" s="4">
        <v>1597.3</v>
      </c>
      <c r="H284" s="4">
        <v>1598.5</v>
      </c>
      <c r="I284" s="4">
        <v>1596.49</v>
      </c>
      <c r="J284" s="4">
        <v>2012.2</v>
      </c>
      <c r="K284" s="4">
        <v>1302.75</v>
      </c>
      <c r="L284" s="2">
        <v>1944022</v>
      </c>
      <c r="M284" s="2">
        <v>3103616363.0999999</v>
      </c>
      <c r="N284">
        <v>76589</v>
      </c>
      <c r="O284" t="s">
        <v>17</v>
      </c>
    </row>
    <row r="285" spans="1:15" x14ac:dyDescent="0.3">
      <c r="A285" s="1">
        <v>45973</v>
      </c>
      <c r="B285" t="s">
        <v>15</v>
      </c>
      <c r="C285" s="4">
        <v>1575</v>
      </c>
      <c r="D285" s="4">
        <v>1600</v>
      </c>
      <c r="E285" s="4">
        <v>1573.5</v>
      </c>
      <c r="F285" s="4">
        <v>1570</v>
      </c>
      <c r="G285" s="4">
        <v>1593</v>
      </c>
      <c r="H285" s="4">
        <v>1594</v>
      </c>
      <c r="I285" s="4">
        <v>1591.3</v>
      </c>
      <c r="J285" s="4">
        <v>2012.2</v>
      </c>
      <c r="K285" s="4">
        <v>1302.75</v>
      </c>
      <c r="L285" s="2">
        <v>2331564</v>
      </c>
      <c r="M285" s="2">
        <v>3710213658.8000002</v>
      </c>
      <c r="N285">
        <v>113539</v>
      </c>
      <c r="O285" t="s">
        <v>17</v>
      </c>
    </row>
    <row r="286" spans="1:15" x14ac:dyDescent="0.3">
      <c r="A286" s="1">
        <v>45972</v>
      </c>
      <c r="B286" t="s">
        <v>15</v>
      </c>
      <c r="C286" s="4">
        <v>1547.8</v>
      </c>
      <c r="D286" s="4">
        <v>1572.5</v>
      </c>
      <c r="E286" s="4">
        <v>1541.2</v>
      </c>
      <c r="F286" s="4">
        <v>1540.5</v>
      </c>
      <c r="G286" s="4">
        <v>1571.5</v>
      </c>
      <c r="H286" s="4">
        <v>1570</v>
      </c>
      <c r="I286" s="4">
        <v>1558.43</v>
      </c>
      <c r="J286" s="4">
        <v>2012.2</v>
      </c>
      <c r="K286" s="4">
        <v>1302.75</v>
      </c>
      <c r="L286" s="2">
        <v>2270763</v>
      </c>
      <c r="M286" s="2">
        <v>3538816232.9000001</v>
      </c>
      <c r="N286">
        <v>74960</v>
      </c>
      <c r="O286" t="s">
        <v>17</v>
      </c>
    </row>
    <row r="287" spans="1:15" x14ac:dyDescent="0.3">
      <c r="A287" s="1">
        <v>45971</v>
      </c>
      <c r="B287" t="s">
        <v>15</v>
      </c>
      <c r="C287" s="4">
        <v>1518</v>
      </c>
      <c r="D287" s="4">
        <v>1544.9</v>
      </c>
      <c r="E287" s="4">
        <v>1511.4</v>
      </c>
      <c r="F287" s="4">
        <v>1512.4</v>
      </c>
      <c r="G287" s="4">
        <v>1540</v>
      </c>
      <c r="H287" s="4">
        <v>1540.5</v>
      </c>
      <c r="I287" s="4">
        <v>1538.01</v>
      </c>
      <c r="J287" s="4">
        <v>2012.2</v>
      </c>
      <c r="K287" s="4">
        <v>1302.75</v>
      </c>
      <c r="L287" s="2">
        <v>1558896</v>
      </c>
      <c r="M287" s="2">
        <v>2397603291.5999999</v>
      </c>
      <c r="N287">
        <v>79181</v>
      </c>
      <c r="O287" t="s">
        <v>17</v>
      </c>
    </row>
    <row r="288" spans="1:15" x14ac:dyDescent="0.3">
      <c r="A288" s="1">
        <v>45968</v>
      </c>
      <c r="B288" t="s">
        <v>15</v>
      </c>
      <c r="C288" s="4">
        <v>1515.1</v>
      </c>
      <c r="D288" s="4">
        <v>1518.8</v>
      </c>
      <c r="E288" s="4">
        <v>1490.5</v>
      </c>
      <c r="F288" s="4">
        <v>1526.4</v>
      </c>
      <c r="G288" s="4">
        <v>1511</v>
      </c>
      <c r="H288" s="4">
        <v>1512.4</v>
      </c>
      <c r="I288" s="4">
        <v>1508.39</v>
      </c>
      <c r="J288" s="4">
        <v>2012.2</v>
      </c>
      <c r="K288" s="4">
        <v>1302.75</v>
      </c>
      <c r="L288" s="2">
        <v>2238714</v>
      </c>
      <c r="M288" s="2">
        <v>3376849701.4000001</v>
      </c>
      <c r="N288">
        <v>69134</v>
      </c>
      <c r="O288" t="s">
        <v>17</v>
      </c>
    </row>
    <row r="289" spans="1:15" x14ac:dyDescent="0.3">
      <c r="A289" s="1">
        <v>45967</v>
      </c>
      <c r="B289" t="s">
        <v>15</v>
      </c>
      <c r="C289" s="4">
        <v>1529.1</v>
      </c>
      <c r="D289" s="4">
        <v>1531.9</v>
      </c>
      <c r="E289" s="4">
        <v>1514.3</v>
      </c>
      <c r="F289" s="4">
        <v>1529.1</v>
      </c>
      <c r="G289" s="4">
        <v>1527</v>
      </c>
      <c r="H289" s="4">
        <v>1526.4</v>
      </c>
      <c r="I289" s="4">
        <v>1525.7</v>
      </c>
      <c r="J289" s="4">
        <v>2012.2</v>
      </c>
      <c r="K289" s="4">
        <v>1302.75</v>
      </c>
      <c r="L289" s="2">
        <v>2474769</v>
      </c>
      <c r="M289" s="2">
        <v>3775746001.6999998</v>
      </c>
      <c r="N289">
        <v>83301</v>
      </c>
      <c r="O289" t="s">
        <v>17</v>
      </c>
    </row>
    <row r="290" spans="1:15" x14ac:dyDescent="0.3">
      <c r="A290" s="1">
        <v>45965</v>
      </c>
      <c r="B290" t="s">
        <v>15</v>
      </c>
      <c r="C290" s="4">
        <v>1536.4</v>
      </c>
      <c r="D290" s="4">
        <v>1541.9</v>
      </c>
      <c r="E290" s="4">
        <v>1525</v>
      </c>
      <c r="F290" s="4">
        <v>1543.5</v>
      </c>
      <c r="G290" s="4">
        <v>1525</v>
      </c>
      <c r="H290" s="4">
        <v>1529.1</v>
      </c>
      <c r="I290" s="4">
        <v>1530.36</v>
      </c>
      <c r="J290" s="4">
        <v>2012.2</v>
      </c>
      <c r="K290" s="4">
        <v>1302.75</v>
      </c>
      <c r="L290" s="2">
        <v>1666863</v>
      </c>
      <c r="M290" s="2">
        <v>2550892564.3000002</v>
      </c>
      <c r="N290">
        <v>56491</v>
      </c>
      <c r="O290" t="s">
        <v>17</v>
      </c>
    </row>
    <row r="291" spans="1:15" x14ac:dyDescent="0.3">
      <c r="A291" s="1">
        <v>45964</v>
      </c>
      <c r="B291" t="s">
        <v>15</v>
      </c>
      <c r="C291" s="4">
        <v>1540.1</v>
      </c>
      <c r="D291" s="4">
        <v>1549.7</v>
      </c>
      <c r="E291" s="4">
        <v>1528.2</v>
      </c>
      <c r="F291" s="4">
        <v>1541.5</v>
      </c>
      <c r="G291" s="4">
        <v>1544</v>
      </c>
      <c r="H291" s="4">
        <v>1543.5</v>
      </c>
      <c r="I291" s="4">
        <v>1540.77</v>
      </c>
      <c r="J291" s="4">
        <v>2012.2</v>
      </c>
      <c r="K291" s="4">
        <v>1302.75</v>
      </c>
      <c r="L291" s="2">
        <v>2252136</v>
      </c>
      <c r="M291" s="2">
        <v>3470015025.4000001</v>
      </c>
      <c r="N291">
        <v>54640</v>
      </c>
      <c r="O291" t="s">
        <v>17</v>
      </c>
    </row>
    <row r="292" spans="1:15" x14ac:dyDescent="0.3">
      <c r="A292" s="1">
        <v>45961</v>
      </c>
      <c r="B292" t="s">
        <v>15</v>
      </c>
      <c r="C292" s="4">
        <v>1549.8</v>
      </c>
      <c r="D292" s="4">
        <v>1558.2</v>
      </c>
      <c r="E292" s="4">
        <v>1537.6</v>
      </c>
      <c r="F292" s="4">
        <v>1549.8</v>
      </c>
      <c r="G292" s="4">
        <v>1540</v>
      </c>
      <c r="H292" s="4">
        <v>1541.5</v>
      </c>
      <c r="I292" s="4">
        <v>1545.71</v>
      </c>
      <c r="J292" s="4">
        <v>2012.2</v>
      </c>
      <c r="K292" s="4">
        <v>1302.75</v>
      </c>
      <c r="L292" s="2">
        <v>1723467</v>
      </c>
      <c r="M292" s="2">
        <v>2663984409.1999998</v>
      </c>
      <c r="N292">
        <v>58952</v>
      </c>
      <c r="O292" t="s">
        <v>17</v>
      </c>
    </row>
    <row r="293" spans="1:15" x14ac:dyDescent="0.3">
      <c r="A293" s="1">
        <v>45960</v>
      </c>
      <c r="B293" t="s">
        <v>15</v>
      </c>
      <c r="C293" s="4">
        <v>1557.7</v>
      </c>
      <c r="D293" s="4">
        <v>1559.9</v>
      </c>
      <c r="E293" s="4">
        <v>1538.1</v>
      </c>
      <c r="F293" s="4">
        <v>1557.3</v>
      </c>
      <c r="G293" s="4">
        <v>1549.9</v>
      </c>
      <c r="H293" s="4">
        <v>1549.8</v>
      </c>
      <c r="I293" s="4">
        <v>1547.65</v>
      </c>
      <c r="J293" s="4">
        <v>2012.2</v>
      </c>
      <c r="K293" s="4">
        <v>1302.75</v>
      </c>
      <c r="L293" s="2">
        <v>2183395</v>
      </c>
      <c r="M293" s="2">
        <v>3379123069.4000001</v>
      </c>
      <c r="N293">
        <v>70828</v>
      </c>
      <c r="O293" t="s">
        <v>17</v>
      </c>
    </row>
    <row r="294" spans="1:15" x14ac:dyDescent="0.3">
      <c r="A294" s="1">
        <v>45959</v>
      </c>
      <c r="B294" t="s">
        <v>15</v>
      </c>
      <c r="C294" s="4">
        <v>1530</v>
      </c>
      <c r="D294" s="4">
        <v>1559</v>
      </c>
      <c r="E294" s="4">
        <v>1522</v>
      </c>
      <c r="F294" s="4">
        <v>1522.1</v>
      </c>
      <c r="G294" s="4">
        <v>1556.5</v>
      </c>
      <c r="H294" s="4">
        <v>1557.3</v>
      </c>
      <c r="I294" s="4">
        <v>1549.69</v>
      </c>
      <c r="J294" s="4">
        <v>2012.2</v>
      </c>
      <c r="K294" s="4">
        <v>1302.75</v>
      </c>
      <c r="L294" s="2">
        <v>2596355</v>
      </c>
      <c r="M294" s="2">
        <v>4023535238.5999999</v>
      </c>
      <c r="N294">
        <v>71502</v>
      </c>
      <c r="O294" t="s">
        <v>17</v>
      </c>
    </row>
    <row r="295" spans="1:15" x14ac:dyDescent="0.3">
      <c r="A295" s="1">
        <v>45958</v>
      </c>
      <c r="B295" t="s">
        <v>15</v>
      </c>
      <c r="C295" s="4">
        <v>1535</v>
      </c>
      <c r="D295" s="4">
        <v>1542</v>
      </c>
      <c r="E295" s="4">
        <v>1512</v>
      </c>
      <c r="F295" s="4">
        <v>1533.5</v>
      </c>
      <c r="G295" s="4">
        <v>1522</v>
      </c>
      <c r="H295" s="4">
        <v>1522.1</v>
      </c>
      <c r="I295" s="4">
        <v>1522.39</v>
      </c>
      <c r="J295" s="4">
        <v>2012.2</v>
      </c>
      <c r="K295" s="4">
        <v>1302.75</v>
      </c>
      <c r="L295" s="2">
        <v>1936466</v>
      </c>
      <c r="M295" s="2">
        <v>2948058041.5</v>
      </c>
      <c r="N295">
        <v>76051</v>
      </c>
      <c r="O295" t="s">
        <v>17</v>
      </c>
    </row>
    <row r="296" spans="1:15" x14ac:dyDescent="0.3">
      <c r="A296" s="1">
        <v>45957</v>
      </c>
      <c r="B296" t="s">
        <v>15</v>
      </c>
      <c r="C296" s="4">
        <v>1531.4</v>
      </c>
      <c r="D296" s="4">
        <v>1549.5</v>
      </c>
      <c r="E296" s="4">
        <v>1526.8</v>
      </c>
      <c r="F296" s="4">
        <v>1523.8</v>
      </c>
      <c r="G296" s="4">
        <v>1534.5</v>
      </c>
      <c r="H296" s="4">
        <v>1533.5</v>
      </c>
      <c r="I296" s="4">
        <v>1539.22</v>
      </c>
      <c r="J296" s="4">
        <v>2012.2</v>
      </c>
      <c r="K296" s="4">
        <v>1302.75</v>
      </c>
      <c r="L296" s="2">
        <v>1394846</v>
      </c>
      <c r="M296" s="2">
        <v>2146971249.5999999</v>
      </c>
      <c r="N296">
        <v>84284</v>
      </c>
      <c r="O296" t="s">
        <v>17</v>
      </c>
    </row>
    <row r="297" spans="1:15" x14ac:dyDescent="0.3">
      <c r="A297" s="1">
        <v>45954</v>
      </c>
      <c r="B297" t="s">
        <v>15</v>
      </c>
      <c r="C297" s="4">
        <v>1525</v>
      </c>
      <c r="D297" s="4">
        <v>1532.6</v>
      </c>
      <c r="E297" s="4">
        <v>1516.4</v>
      </c>
      <c r="F297" s="4">
        <v>1523.9</v>
      </c>
      <c r="G297" s="4">
        <v>1524.9</v>
      </c>
      <c r="H297" s="4">
        <v>1523.8</v>
      </c>
      <c r="I297" s="4">
        <v>1523.82</v>
      </c>
      <c r="J297" s="4">
        <v>2012.2</v>
      </c>
      <c r="K297" s="4">
        <v>1302.75</v>
      </c>
      <c r="L297" s="2">
        <v>1491451</v>
      </c>
      <c r="M297" s="2">
        <v>2272701215.8000002</v>
      </c>
      <c r="N297">
        <v>54165</v>
      </c>
      <c r="O297" t="s">
        <v>17</v>
      </c>
    </row>
    <row r="298" spans="1:15" x14ac:dyDescent="0.3">
      <c r="A298" s="1">
        <v>45953</v>
      </c>
      <c r="B298" t="s">
        <v>15</v>
      </c>
      <c r="C298" s="4">
        <v>1510</v>
      </c>
      <c r="D298" s="4">
        <v>1547.5</v>
      </c>
      <c r="E298" s="4">
        <v>1505.5</v>
      </c>
      <c r="F298" s="4">
        <v>1486</v>
      </c>
      <c r="G298" s="4">
        <v>1524.9</v>
      </c>
      <c r="H298" s="4">
        <v>1523.9</v>
      </c>
      <c r="I298" s="4">
        <v>1531.37</v>
      </c>
      <c r="J298" s="4">
        <v>2012.2</v>
      </c>
      <c r="K298" s="4">
        <v>1302.75</v>
      </c>
      <c r="L298" s="2">
        <v>5011470</v>
      </c>
      <c r="M298" s="2">
        <v>7674406767.6999998</v>
      </c>
      <c r="N298">
        <v>149624</v>
      </c>
      <c r="O298" t="s">
        <v>17</v>
      </c>
    </row>
    <row r="299" spans="1:15" x14ac:dyDescent="0.3">
      <c r="A299" s="1">
        <v>45951</v>
      </c>
      <c r="B299" t="s">
        <v>15</v>
      </c>
      <c r="C299" s="4">
        <v>1502.7</v>
      </c>
      <c r="D299" s="4">
        <v>1503</v>
      </c>
      <c r="E299" s="4">
        <v>1481</v>
      </c>
      <c r="F299" s="4">
        <v>1495.4</v>
      </c>
      <c r="G299" s="4">
        <v>1486.5</v>
      </c>
      <c r="H299" s="4">
        <v>1486</v>
      </c>
      <c r="I299" s="4">
        <v>1490.39</v>
      </c>
      <c r="J299" s="4">
        <v>2012.2</v>
      </c>
      <c r="K299" s="4">
        <v>1302.75</v>
      </c>
      <c r="L299" s="2">
        <v>274400</v>
      </c>
      <c r="M299" s="2">
        <v>408963318.19999999</v>
      </c>
      <c r="N299">
        <v>10319</v>
      </c>
      <c r="O299" t="s">
        <v>17</v>
      </c>
    </row>
    <row r="300" spans="1:15" x14ac:dyDescent="0.3">
      <c r="A300" s="1">
        <v>45950</v>
      </c>
      <c r="B300" t="s">
        <v>15</v>
      </c>
      <c r="C300" s="4">
        <v>1489.9</v>
      </c>
      <c r="D300" s="4">
        <v>1509.9</v>
      </c>
      <c r="E300" s="4">
        <v>1489.1</v>
      </c>
      <c r="F300" s="4">
        <v>1486.2</v>
      </c>
      <c r="G300" s="4">
        <v>1496</v>
      </c>
      <c r="H300" s="4">
        <v>1495.4</v>
      </c>
      <c r="I300" s="4">
        <v>1498.57</v>
      </c>
      <c r="J300" s="4">
        <v>2012.2</v>
      </c>
      <c r="K300" s="4">
        <v>1302.75</v>
      </c>
      <c r="L300" s="2">
        <v>2354881</v>
      </c>
      <c r="M300" s="2">
        <v>3528962542.6999998</v>
      </c>
      <c r="N300">
        <v>66924</v>
      </c>
      <c r="O300" t="s">
        <v>17</v>
      </c>
    </row>
    <row r="301" spans="1:15" x14ac:dyDescent="0.3">
      <c r="A301" s="1">
        <v>45947</v>
      </c>
      <c r="B301" t="s">
        <v>15</v>
      </c>
      <c r="C301" s="4">
        <v>1499</v>
      </c>
      <c r="D301" s="4">
        <v>1501.3</v>
      </c>
      <c r="E301" s="4">
        <v>1479.2</v>
      </c>
      <c r="F301" s="4">
        <v>1515</v>
      </c>
      <c r="G301" s="4">
        <v>1484.9</v>
      </c>
      <c r="H301" s="4">
        <v>1486.2</v>
      </c>
      <c r="I301" s="4">
        <v>1492.04</v>
      </c>
      <c r="J301" s="4">
        <v>2012.2</v>
      </c>
      <c r="K301" s="4">
        <v>1302.75</v>
      </c>
      <c r="L301" s="2">
        <v>3210161</v>
      </c>
      <c r="M301" s="2">
        <v>4789678562.6000004</v>
      </c>
      <c r="N301">
        <v>104856</v>
      </c>
      <c r="O301" t="s">
        <v>17</v>
      </c>
    </row>
    <row r="302" spans="1:15" x14ac:dyDescent="0.3">
      <c r="A302" s="1">
        <v>45946</v>
      </c>
      <c r="B302" t="s">
        <v>15</v>
      </c>
      <c r="C302" s="4">
        <v>1499.9</v>
      </c>
      <c r="D302" s="4">
        <v>1519.9</v>
      </c>
      <c r="E302" s="4">
        <v>1498</v>
      </c>
      <c r="F302" s="4">
        <v>1495.7</v>
      </c>
      <c r="G302" s="4">
        <v>1514.3</v>
      </c>
      <c r="H302" s="4">
        <v>1515</v>
      </c>
      <c r="I302" s="4">
        <v>1512.81</v>
      </c>
      <c r="J302" s="4">
        <v>2012.2</v>
      </c>
      <c r="K302" s="4">
        <v>1302.75</v>
      </c>
      <c r="L302" s="2">
        <v>2021043</v>
      </c>
      <c r="M302" s="2">
        <v>3057456460.9000001</v>
      </c>
      <c r="N302">
        <v>82924</v>
      </c>
      <c r="O302" t="s">
        <v>17</v>
      </c>
    </row>
    <row r="303" spans="1:15" x14ac:dyDescent="0.3">
      <c r="A303" s="1">
        <v>45945</v>
      </c>
      <c r="B303" t="s">
        <v>15</v>
      </c>
      <c r="C303" s="4">
        <v>1497.9</v>
      </c>
      <c r="D303" s="4">
        <v>1509.4</v>
      </c>
      <c r="E303" s="4">
        <v>1486.1</v>
      </c>
      <c r="F303" s="4">
        <v>1495.4</v>
      </c>
      <c r="G303" s="4">
        <v>1496.1</v>
      </c>
      <c r="H303" s="4">
        <v>1495.7</v>
      </c>
      <c r="I303" s="4">
        <v>1497.08</v>
      </c>
      <c r="J303" s="4">
        <v>2012.2</v>
      </c>
      <c r="K303" s="4">
        <v>1302.75</v>
      </c>
      <c r="L303" s="2">
        <v>1710696</v>
      </c>
      <c r="M303" s="2">
        <v>2561046198.5999999</v>
      </c>
      <c r="N303">
        <v>86922</v>
      </c>
      <c r="O303" t="s">
        <v>17</v>
      </c>
    </row>
    <row r="304" spans="1:15" x14ac:dyDescent="0.3">
      <c r="A304" s="1">
        <v>45944</v>
      </c>
      <c r="B304" t="s">
        <v>15</v>
      </c>
      <c r="C304" s="4">
        <v>1515.4</v>
      </c>
      <c r="D304" s="4">
        <v>1535</v>
      </c>
      <c r="E304" s="4">
        <v>1490.2</v>
      </c>
      <c r="F304" s="4">
        <v>1494.7</v>
      </c>
      <c r="G304" s="4">
        <v>1492</v>
      </c>
      <c r="H304" s="4">
        <v>1495.4</v>
      </c>
      <c r="I304" s="4">
        <v>1509.47</v>
      </c>
      <c r="J304" s="4">
        <v>2012.2</v>
      </c>
      <c r="K304" s="4">
        <v>1302.75</v>
      </c>
      <c r="L304" s="2">
        <v>5802489</v>
      </c>
      <c r="M304" s="2">
        <v>8758711572.1000004</v>
      </c>
      <c r="N304">
        <v>153143</v>
      </c>
      <c r="O304" t="s">
        <v>17</v>
      </c>
    </row>
    <row r="305" spans="1:15" x14ac:dyDescent="0.3">
      <c r="A305" s="1">
        <v>45943</v>
      </c>
      <c r="B305" t="s">
        <v>15</v>
      </c>
      <c r="C305" s="4">
        <v>1490</v>
      </c>
      <c r="D305" s="4">
        <v>1502.2</v>
      </c>
      <c r="E305" s="4">
        <v>1476.5</v>
      </c>
      <c r="F305" s="4">
        <v>1495.5</v>
      </c>
      <c r="G305" s="4">
        <v>1494.1</v>
      </c>
      <c r="H305" s="4">
        <v>1494.7</v>
      </c>
      <c r="I305" s="4">
        <v>1489.55</v>
      </c>
      <c r="J305" s="4">
        <v>2012.2</v>
      </c>
      <c r="K305" s="4">
        <v>1302.75</v>
      </c>
      <c r="L305" s="2">
        <v>1820492</v>
      </c>
      <c r="M305" s="2">
        <v>2711717243.0999999</v>
      </c>
      <c r="N305">
        <v>63174</v>
      </c>
      <c r="O305" t="s">
        <v>17</v>
      </c>
    </row>
    <row r="306" spans="1:15" x14ac:dyDescent="0.3">
      <c r="A306" s="1">
        <v>45940</v>
      </c>
      <c r="B306" t="s">
        <v>15</v>
      </c>
      <c r="C306" s="4">
        <v>1491</v>
      </c>
      <c r="D306" s="4">
        <v>1498.5</v>
      </c>
      <c r="E306" s="4">
        <v>1473.9</v>
      </c>
      <c r="F306" s="4">
        <v>1486.5</v>
      </c>
      <c r="G306" s="4">
        <v>1492.8</v>
      </c>
      <c r="H306" s="4">
        <v>1495.5</v>
      </c>
      <c r="I306" s="4">
        <v>1490.52</v>
      </c>
      <c r="J306" s="4">
        <v>2012.2</v>
      </c>
      <c r="K306" s="4">
        <v>1302.75</v>
      </c>
      <c r="L306" s="2">
        <v>2129445</v>
      </c>
      <c r="M306" s="2">
        <v>3173972712.5999999</v>
      </c>
      <c r="N306">
        <v>93770</v>
      </c>
      <c r="O306" t="s">
        <v>17</v>
      </c>
    </row>
    <row r="307" spans="1:15" x14ac:dyDescent="0.3">
      <c r="A307" s="1">
        <v>45939</v>
      </c>
      <c r="B307" t="s">
        <v>15</v>
      </c>
      <c r="C307" s="4">
        <v>1453.2</v>
      </c>
      <c r="D307" s="4">
        <v>1491.1</v>
      </c>
      <c r="E307" s="4">
        <v>1452.5</v>
      </c>
      <c r="F307" s="4">
        <v>1453.2</v>
      </c>
      <c r="G307" s="4">
        <v>1484.5</v>
      </c>
      <c r="H307" s="4">
        <v>1486.5</v>
      </c>
      <c r="I307" s="4">
        <v>1481.66</v>
      </c>
      <c r="J307" s="4">
        <v>2012.2</v>
      </c>
      <c r="K307" s="4">
        <v>1302.75</v>
      </c>
      <c r="L307" s="2">
        <v>2681316</v>
      </c>
      <c r="M307" s="2">
        <v>3972805972.5</v>
      </c>
      <c r="N307">
        <v>93076</v>
      </c>
      <c r="O307" t="s">
        <v>17</v>
      </c>
    </row>
    <row r="308" spans="1:15" x14ac:dyDescent="0.3">
      <c r="A308" s="1">
        <v>45938</v>
      </c>
      <c r="B308" t="s">
        <v>15</v>
      </c>
      <c r="C308" s="4">
        <v>1433.2</v>
      </c>
      <c r="D308" s="4">
        <v>1458.7</v>
      </c>
      <c r="E308" s="4">
        <v>1427.2</v>
      </c>
      <c r="F308" s="4">
        <v>1433.4</v>
      </c>
      <c r="G308" s="4">
        <v>1452.5</v>
      </c>
      <c r="H308" s="4">
        <v>1453.2</v>
      </c>
      <c r="I308" s="4">
        <v>1449.94</v>
      </c>
      <c r="J308" s="4">
        <v>2012.2</v>
      </c>
      <c r="K308" s="4">
        <v>1302.75</v>
      </c>
      <c r="L308" s="2">
        <v>1735807</v>
      </c>
      <c r="M308" s="2">
        <v>2516818477.1999998</v>
      </c>
      <c r="N308">
        <v>75825</v>
      </c>
      <c r="O308" t="s">
        <v>17</v>
      </c>
    </row>
    <row r="309" spans="1:15" x14ac:dyDescent="0.3">
      <c r="A309" s="1">
        <v>45937</v>
      </c>
      <c r="B309" t="s">
        <v>15</v>
      </c>
      <c r="C309" s="4">
        <v>1422</v>
      </c>
      <c r="D309" s="4">
        <v>1441.9</v>
      </c>
      <c r="E309" s="4">
        <v>1417.2</v>
      </c>
      <c r="F309" s="4">
        <v>1417.7</v>
      </c>
      <c r="G309" s="4">
        <v>1435.5</v>
      </c>
      <c r="H309" s="4">
        <v>1433.4</v>
      </c>
      <c r="I309" s="4">
        <v>1432.33</v>
      </c>
      <c r="J309" s="4">
        <v>2012.2</v>
      </c>
      <c r="K309" s="4">
        <v>1302.75</v>
      </c>
      <c r="L309" s="2">
        <v>1592836</v>
      </c>
      <c r="M309" s="2">
        <v>2281459591.8000002</v>
      </c>
      <c r="N309">
        <v>62701</v>
      </c>
      <c r="O309" t="s">
        <v>17</v>
      </c>
    </row>
    <row r="310" spans="1:15" x14ac:dyDescent="0.3">
      <c r="A310" s="1">
        <v>45936</v>
      </c>
      <c r="B310" t="s">
        <v>15</v>
      </c>
      <c r="C310" s="4">
        <v>1393.5</v>
      </c>
      <c r="D310" s="4">
        <v>1421</v>
      </c>
      <c r="E310" s="4">
        <v>1390.8</v>
      </c>
      <c r="F310" s="4">
        <v>1393.5</v>
      </c>
      <c r="G310" s="4">
        <v>1416.9</v>
      </c>
      <c r="H310" s="4">
        <v>1417.7</v>
      </c>
      <c r="I310" s="4">
        <v>1414.89</v>
      </c>
      <c r="J310" s="4">
        <v>2012.2</v>
      </c>
      <c r="K310" s="4">
        <v>1302.75</v>
      </c>
      <c r="L310" s="2">
        <v>1970901</v>
      </c>
      <c r="M310" s="2">
        <v>2788611506.4000001</v>
      </c>
      <c r="N310">
        <v>80533</v>
      </c>
      <c r="O310" t="s">
        <v>17</v>
      </c>
    </row>
    <row r="311" spans="1:15" x14ac:dyDescent="0.3">
      <c r="A311" s="1">
        <v>45933</v>
      </c>
      <c r="B311" t="s">
        <v>15</v>
      </c>
      <c r="C311" s="4">
        <v>1396.5</v>
      </c>
      <c r="D311" s="4">
        <v>1399.8</v>
      </c>
      <c r="E311" s="4">
        <v>1380.4</v>
      </c>
      <c r="F311" s="4">
        <v>1389.5</v>
      </c>
      <c r="G311" s="4">
        <v>1392.8</v>
      </c>
      <c r="H311" s="4">
        <v>1393.5</v>
      </c>
      <c r="I311" s="4">
        <v>1389.62</v>
      </c>
      <c r="J311" s="4">
        <v>2012.2</v>
      </c>
      <c r="K311" s="4">
        <v>1302.75</v>
      </c>
      <c r="L311" s="2">
        <v>2793839</v>
      </c>
      <c r="M311" s="2">
        <v>3882364004.6999998</v>
      </c>
      <c r="N311">
        <v>83212</v>
      </c>
      <c r="O311" t="s">
        <v>17</v>
      </c>
    </row>
    <row r="312" spans="1:15" x14ac:dyDescent="0.3">
      <c r="A312" s="1">
        <v>45931</v>
      </c>
      <c r="B312" t="s">
        <v>15</v>
      </c>
      <c r="C312" s="4">
        <v>1386.1</v>
      </c>
      <c r="D312" s="4">
        <v>1396.8</v>
      </c>
      <c r="E312" s="4">
        <v>1382</v>
      </c>
      <c r="F312" s="4">
        <v>1385.1</v>
      </c>
      <c r="G312" s="4">
        <v>1391</v>
      </c>
      <c r="H312" s="4">
        <v>1389.5</v>
      </c>
      <c r="I312" s="4">
        <v>1387.87</v>
      </c>
      <c r="J312" s="4">
        <v>2012.2</v>
      </c>
      <c r="K312" s="4">
        <v>1302.75</v>
      </c>
      <c r="L312" s="2">
        <v>2253527</v>
      </c>
      <c r="M312" s="2">
        <v>3127607459.9000001</v>
      </c>
      <c r="N312">
        <v>84091</v>
      </c>
      <c r="O312" t="s">
        <v>17</v>
      </c>
    </row>
    <row r="313" spans="1:15" x14ac:dyDescent="0.3">
      <c r="A313" s="1">
        <v>45930</v>
      </c>
      <c r="B313" t="s">
        <v>15</v>
      </c>
      <c r="C313" s="4">
        <v>1392.1</v>
      </c>
      <c r="D313" s="4">
        <v>1405</v>
      </c>
      <c r="E313" s="4">
        <v>1381.9</v>
      </c>
      <c r="F313" s="4">
        <v>1387.4</v>
      </c>
      <c r="G313" s="4">
        <v>1385.9</v>
      </c>
      <c r="H313" s="4">
        <v>1385.1</v>
      </c>
      <c r="I313" s="4">
        <v>1391.55</v>
      </c>
      <c r="J313" s="4">
        <v>2012.2</v>
      </c>
      <c r="K313" s="4">
        <v>1302.75</v>
      </c>
      <c r="L313" s="2">
        <v>2782077</v>
      </c>
      <c r="M313" s="2">
        <v>3871398044.5999999</v>
      </c>
      <c r="N313">
        <v>102039</v>
      </c>
      <c r="O313" t="s">
        <v>17</v>
      </c>
    </row>
    <row r="314" spans="1:15" x14ac:dyDescent="0.3">
      <c r="A314" s="1">
        <v>45929</v>
      </c>
      <c r="B314" t="s">
        <v>15</v>
      </c>
      <c r="C314" s="4">
        <v>1397.1</v>
      </c>
      <c r="D314" s="4">
        <v>1402.6</v>
      </c>
      <c r="E314" s="4">
        <v>1383</v>
      </c>
      <c r="F314" s="4">
        <v>1395.3</v>
      </c>
      <c r="G314" s="4">
        <v>1388</v>
      </c>
      <c r="H314" s="4">
        <v>1387.4</v>
      </c>
      <c r="I314" s="4">
        <v>1389.77</v>
      </c>
      <c r="J314" s="4">
        <v>2012.2</v>
      </c>
      <c r="K314" s="4">
        <v>1302.75</v>
      </c>
      <c r="L314" s="2">
        <v>2990852</v>
      </c>
      <c r="M314" s="2">
        <v>4156595729.6999998</v>
      </c>
      <c r="N314">
        <v>104613</v>
      </c>
      <c r="O314" t="s">
        <v>17</v>
      </c>
    </row>
    <row r="315" spans="1:15" x14ac:dyDescent="0.3">
      <c r="A315" s="1">
        <v>45926</v>
      </c>
      <c r="B315" t="s">
        <v>15</v>
      </c>
      <c r="C315" s="4">
        <v>1420</v>
      </c>
      <c r="D315" s="4">
        <v>1426.5</v>
      </c>
      <c r="E315" s="4">
        <v>1392</v>
      </c>
      <c r="F315" s="4">
        <v>1423.8</v>
      </c>
      <c r="G315" s="4">
        <v>1395.1</v>
      </c>
      <c r="H315" s="4">
        <v>1395.3</v>
      </c>
      <c r="I315" s="4">
        <v>1399.93</v>
      </c>
      <c r="J315" s="4">
        <v>2012.2</v>
      </c>
      <c r="K315" s="4">
        <v>1302.75</v>
      </c>
      <c r="L315" s="2">
        <v>2568054</v>
      </c>
      <c r="M315" s="2">
        <v>3595094521.8000002</v>
      </c>
      <c r="N315">
        <v>103184</v>
      </c>
      <c r="O315" t="s">
        <v>17</v>
      </c>
    </row>
    <row r="316" spans="1:15" x14ac:dyDescent="0.3">
      <c r="A316" s="1">
        <v>45925</v>
      </c>
      <c r="B316" t="s">
        <v>15</v>
      </c>
      <c r="C316" s="4">
        <v>1440.2</v>
      </c>
      <c r="D316" s="4">
        <v>1442.5</v>
      </c>
      <c r="E316" s="4">
        <v>1416</v>
      </c>
      <c r="F316" s="4">
        <v>1442.3</v>
      </c>
      <c r="G316" s="4">
        <v>1427.4</v>
      </c>
      <c r="H316" s="4">
        <v>1423.8</v>
      </c>
      <c r="I316" s="4">
        <v>1424.63</v>
      </c>
      <c r="J316" s="4">
        <v>2012.2</v>
      </c>
      <c r="K316" s="4">
        <v>1302.75</v>
      </c>
      <c r="L316" s="2">
        <v>2713246</v>
      </c>
      <c r="M316" s="2">
        <v>3865379487.8000002</v>
      </c>
      <c r="N316">
        <v>103007</v>
      </c>
      <c r="O316" t="s">
        <v>17</v>
      </c>
    </row>
    <row r="317" spans="1:15" x14ac:dyDescent="0.3">
      <c r="A317" s="1">
        <v>45924</v>
      </c>
      <c r="B317" t="s">
        <v>15</v>
      </c>
      <c r="C317" s="4">
        <v>1425.1</v>
      </c>
      <c r="D317" s="4">
        <v>1444.7</v>
      </c>
      <c r="E317" s="4">
        <v>1420</v>
      </c>
      <c r="F317" s="4">
        <v>1429.8</v>
      </c>
      <c r="G317" s="4">
        <v>1440.2</v>
      </c>
      <c r="H317" s="4">
        <v>1442.3</v>
      </c>
      <c r="I317" s="4">
        <v>1437.54</v>
      </c>
      <c r="J317" s="4">
        <v>2012.2</v>
      </c>
      <c r="K317" s="4">
        <v>1302.75</v>
      </c>
      <c r="L317" s="2">
        <v>2894044</v>
      </c>
      <c r="M317" s="2">
        <v>4160304912.3000002</v>
      </c>
      <c r="N317">
        <v>117797</v>
      </c>
      <c r="O317" t="s">
        <v>17</v>
      </c>
    </row>
    <row r="318" spans="1:15" x14ac:dyDescent="0.3">
      <c r="A318" s="1">
        <v>45923</v>
      </c>
      <c r="B318" t="s">
        <v>15</v>
      </c>
      <c r="C318" s="4">
        <v>1444.2</v>
      </c>
      <c r="D318" s="4">
        <v>1444.2</v>
      </c>
      <c r="E318" s="4">
        <v>1420.4</v>
      </c>
      <c r="F318" s="4">
        <v>1439.9</v>
      </c>
      <c r="G318" s="4">
        <v>1431.4</v>
      </c>
      <c r="H318" s="4">
        <v>1429.8</v>
      </c>
      <c r="I318" s="4">
        <v>1429.61</v>
      </c>
      <c r="J318" s="4">
        <v>2012.2</v>
      </c>
      <c r="K318" s="4">
        <v>1302.75</v>
      </c>
      <c r="L318" s="2">
        <v>3106480</v>
      </c>
      <c r="M318" s="2">
        <v>4441066491.5</v>
      </c>
      <c r="N318">
        <v>105156</v>
      </c>
      <c r="O318" t="s">
        <v>17</v>
      </c>
    </row>
    <row r="319" spans="1:15" x14ac:dyDescent="0.3">
      <c r="A319" s="1">
        <v>45922</v>
      </c>
      <c r="B319" t="s">
        <v>15</v>
      </c>
      <c r="C319" s="4">
        <v>1423</v>
      </c>
      <c r="D319" s="4">
        <v>1449.2</v>
      </c>
      <c r="E319" s="4">
        <v>1415</v>
      </c>
      <c r="F319" s="4">
        <v>1467.4</v>
      </c>
      <c r="G319" s="4">
        <v>1442</v>
      </c>
      <c r="H319" s="4">
        <v>1439.9</v>
      </c>
      <c r="I319" s="4">
        <v>1438.15</v>
      </c>
      <c r="J319" s="4">
        <v>2012.2</v>
      </c>
      <c r="K319" s="4">
        <v>1302.75</v>
      </c>
      <c r="L319" s="2">
        <v>4457129</v>
      </c>
      <c r="M319" s="2">
        <v>6410038721.6999998</v>
      </c>
      <c r="N319">
        <v>194507</v>
      </c>
      <c r="O319" t="s">
        <v>17</v>
      </c>
    </row>
    <row r="320" spans="1:15" x14ac:dyDescent="0.3">
      <c r="A320" s="1">
        <v>45919</v>
      </c>
      <c r="B320" t="s">
        <v>15</v>
      </c>
      <c r="C320" s="4">
        <v>1493.8</v>
      </c>
      <c r="D320" s="4">
        <v>1493.8</v>
      </c>
      <c r="E320" s="4">
        <v>1464</v>
      </c>
      <c r="F320" s="4">
        <v>1493.8</v>
      </c>
      <c r="G320" s="4">
        <v>1470</v>
      </c>
      <c r="H320" s="4">
        <v>1467.4</v>
      </c>
      <c r="I320" s="4">
        <v>1470.86</v>
      </c>
      <c r="J320" s="4">
        <v>2012.2</v>
      </c>
      <c r="K320" s="4">
        <v>1302.75</v>
      </c>
      <c r="L320" s="2">
        <v>3197957</v>
      </c>
      <c r="M320" s="2">
        <v>4703762937.1000004</v>
      </c>
      <c r="N320">
        <v>76807</v>
      </c>
      <c r="O320" t="s">
        <v>17</v>
      </c>
    </row>
    <row r="321" spans="1:15" x14ac:dyDescent="0.3">
      <c r="A321" s="1">
        <v>45918</v>
      </c>
      <c r="B321" t="s">
        <v>15</v>
      </c>
      <c r="C321" s="4">
        <v>1492.6</v>
      </c>
      <c r="D321" s="4">
        <v>1502.9</v>
      </c>
      <c r="E321" s="4">
        <v>1486.1</v>
      </c>
      <c r="F321" s="4">
        <v>1481.5</v>
      </c>
      <c r="G321" s="4">
        <v>1491.9</v>
      </c>
      <c r="H321" s="4">
        <v>1493.8</v>
      </c>
      <c r="I321" s="4">
        <v>1494.93</v>
      </c>
      <c r="J321" s="4">
        <v>2012.2</v>
      </c>
      <c r="K321" s="4">
        <v>1302.75</v>
      </c>
      <c r="L321" s="2">
        <v>2792406</v>
      </c>
      <c r="M321" s="2">
        <v>4174450282.0999999</v>
      </c>
      <c r="N321">
        <v>85648</v>
      </c>
      <c r="O321" t="s">
        <v>17</v>
      </c>
    </row>
    <row r="322" spans="1:15" x14ac:dyDescent="0.3">
      <c r="A322" s="1">
        <v>45917</v>
      </c>
      <c r="B322" t="s">
        <v>15</v>
      </c>
      <c r="C322" s="4">
        <v>1490.8</v>
      </c>
      <c r="D322" s="4">
        <v>1499</v>
      </c>
      <c r="E322" s="4">
        <v>1475.3</v>
      </c>
      <c r="F322" s="4">
        <v>1483.1</v>
      </c>
      <c r="G322" s="4">
        <v>1480.6</v>
      </c>
      <c r="H322" s="4">
        <v>1481.5</v>
      </c>
      <c r="I322" s="4">
        <v>1486.66</v>
      </c>
      <c r="J322" s="4">
        <v>2012.2</v>
      </c>
      <c r="K322" s="4">
        <v>1302.75</v>
      </c>
      <c r="L322" s="2">
        <v>2656774</v>
      </c>
      <c r="M322" s="2">
        <v>3949730390.5</v>
      </c>
      <c r="N322">
        <v>86652</v>
      </c>
      <c r="O322" t="s">
        <v>17</v>
      </c>
    </row>
    <row r="323" spans="1:15" x14ac:dyDescent="0.3">
      <c r="A323" s="1">
        <v>45916</v>
      </c>
      <c r="B323" t="s">
        <v>15</v>
      </c>
      <c r="C323" s="4">
        <v>1463.9</v>
      </c>
      <c r="D323" s="4">
        <v>1485.2</v>
      </c>
      <c r="E323" s="4">
        <v>1461.1</v>
      </c>
      <c r="F323" s="4">
        <v>1466.5</v>
      </c>
      <c r="G323" s="4">
        <v>1483</v>
      </c>
      <c r="H323" s="4">
        <v>1483.1</v>
      </c>
      <c r="I323" s="4">
        <v>1474.82</v>
      </c>
      <c r="J323" s="4">
        <v>2012.2</v>
      </c>
      <c r="K323" s="4">
        <v>1302.75</v>
      </c>
      <c r="L323" s="2">
        <v>1724524</v>
      </c>
      <c r="M323" s="2">
        <v>2543354258.8000002</v>
      </c>
      <c r="N323">
        <v>50634</v>
      </c>
      <c r="O323" t="s">
        <v>17</v>
      </c>
    </row>
    <row r="324" spans="1:15" x14ac:dyDescent="0.3">
      <c r="A324" s="1">
        <v>45915</v>
      </c>
      <c r="B324" t="s">
        <v>15</v>
      </c>
      <c r="C324" s="4">
        <v>1467.2</v>
      </c>
      <c r="D324" s="4">
        <v>1468.3</v>
      </c>
      <c r="E324" s="4">
        <v>1452</v>
      </c>
      <c r="F324" s="4">
        <v>1467.2</v>
      </c>
      <c r="G324" s="4">
        <v>1465.4</v>
      </c>
      <c r="H324" s="4">
        <v>1466.5</v>
      </c>
      <c r="I324" s="4">
        <v>1461.11</v>
      </c>
      <c r="J324" s="4">
        <v>2012.2</v>
      </c>
      <c r="K324" s="4">
        <v>1302.75</v>
      </c>
      <c r="L324" s="2">
        <v>1725617</v>
      </c>
      <c r="M324" s="2">
        <v>2521324464.3000002</v>
      </c>
      <c r="N324">
        <v>47559</v>
      </c>
      <c r="O324" t="s">
        <v>17</v>
      </c>
    </row>
    <row r="325" spans="1:15" x14ac:dyDescent="0.3">
      <c r="A325" s="1">
        <v>45912</v>
      </c>
      <c r="B325" t="s">
        <v>15</v>
      </c>
      <c r="C325" s="4">
        <v>1475</v>
      </c>
      <c r="D325" s="4">
        <v>1480</v>
      </c>
      <c r="E325" s="4">
        <v>1463</v>
      </c>
      <c r="F325" s="4">
        <v>1467.7</v>
      </c>
      <c r="G325" s="4">
        <v>1466</v>
      </c>
      <c r="H325" s="4">
        <v>1467.2</v>
      </c>
      <c r="I325" s="4">
        <v>1467.45</v>
      </c>
      <c r="J325" s="4">
        <v>2012.2</v>
      </c>
      <c r="K325" s="4">
        <v>1302.75</v>
      </c>
      <c r="L325" s="2">
        <v>2110883</v>
      </c>
      <c r="M325" s="2">
        <v>3097622960.5999999</v>
      </c>
      <c r="N325">
        <v>63606</v>
      </c>
      <c r="O325" t="s">
        <v>17</v>
      </c>
    </row>
    <row r="326" spans="1:15" x14ac:dyDescent="0.3">
      <c r="A326" s="1">
        <v>45911</v>
      </c>
      <c r="B326" t="s">
        <v>15</v>
      </c>
      <c r="C326" s="4">
        <v>1463.9</v>
      </c>
      <c r="D326" s="4">
        <v>1470.4</v>
      </c>
      <c r="E326" s="4">
        <v>1458.3</v>
      </c>
      <c r="F326" s="4">
        <v>1463.9</v>
      </c>
      <c r="G326" s="4">
        <v>1468.3</v>
      </c>
      <c r="H326" s="4">
        <v>1467.7</v>
      </c>
      <c r="I326" s="4">
        <v>1464.18</v>
      </c>
      <c r="J326" s="4">
        <v>2012.2</v>
      </c>
      <c r="K326" s="4">
        <v>1302.75</v>
      </c>
      <c r="L326" s="2">
        <v>1982922</v>
      </c>
      <c r="M326" s="2">
        <v>2903348006.5999999</v>
      </c>
      <c r="N326">
        <v>104762</v>
      </c>
      <c r="O326" t="s">
        <v>17</v>
      </c>
    </row>
    <row r="327" spans="1:15" x14ac:dyDescent="0.3">
      <c r="A327" s="1">
        <v>45910</v>
      </c>
      <c r="B327" t="s">
        <v>15</v>
      </c>
      <c r="C327" s="4">
        <v>1434.9</v>
      </c>
      <c r="D327" s="4">
        <v>1471.9</v>
      </c>
      <c r="E327" s="4">
        <v>1432.1</v>
      </c>
      <c r="F327" s="4">
        <v>1427.1</v>
      </c>
      <c r="G327" s="4">
        <v>1464.2</v>
      </c>
      <c r="H327" s="4">
        <v>1463.9</v>
      </c>
      <c r="I327" s="4">
        <v>1462.85</v>
      </c>
      <c r="J327" s="4">
        <v>2012.2</v>
      </c>
      <c r="K327" s="4">
        <v>1302.75</v>
      </c>
      <c r="L327" s="2">
        <v>3205017</v>
      </c>
      <c r="M327" s="2">
        <v>4688445299.6000004</v>
      </c>
      <c r="N327">
        <v>108930</v>
      </c>
      <c r="O327" t="s">
        <v>17</v>
      </c>
    </row>
    <row r="328" spans="1:15" x14ac:dyDescent="0.3">
      <c r="A328" s="1">
        <v>45909</v>
      </c>
      <c r="B328" t="s">
        <v>15</v>
      </c>
      <c r="C328" s="4">
        <v>1410.2</v>
      </c>
      <c r="D328" s="4">
        <v>1431.8</v>
      </c>
      <c r="E328" s="4">
        <v>1409.1</v>
      </c>
      <c r="F328" s="4">
        <v>1403</v>
      </c>
      <c r="G328" s="4">
        <v>1425</v>
      </c>
      <c r="H328" s="4">
        <v>1427.1</v>
      </c>
      <c r="I328" s="4">
        <v>1424.97</v>
      </c>
      <c r="J328" s="4">
        <v>2012.2</v>
      </c>
      <c r="K328" s="4">
        <v>1302.75</v>
      </c>
      <c r="L328" s="2">
        <v>2906889</v>
      </c>
      <c r="M328" s="2">
        <v>4142226337.0999999</v>
      </c>
      <c r="N328">
        <v>120265</v>
      </c>
      <c r="O328" t="s">
        <v>17</v>
      </c>
    </row>
    <row r="329" spans="1:15" x14ac:dyDescent="0.3">
      <c r="A329" s="1">
        <v>45908</v>
      </c>
      <c r="B329" t="s">
        <v>15</v>
      </c>
      <c r="C329" s="4">
        <v>1423.9</v>
      </c>
      <c r="D329" s="4">
        <v>1428.6</v>
      </c>
      <c r="E329" s="4">
        <v>1401</v>
      </c>
      <c r="F329" s="4">
        <v>1419</v>
      </c>
      <c r="G329" s="4">
        <v>1403.3</v>
      </c>
      <c r="H329" s="4">
        <v>1403</v>
      </c>
      <c r="I329" s="4">
        <v>1412.11</v>
      </c>
      <c r="J329" s="4">
        <v>2012.2</v>
      </c>
      <c r="K329" s="4">
        <v>1302.75</v>
      </c>
      <c r="L329" s="2">
        <v>2929976</v>
      </c>
      <c r="M329" s="2">
        <v>4137443516</v>
      </c>
      <c r="N329">
        <v>82764</v>
      </c>
      <c r="O329" t="s">
        <v>17</v>
      </c>
    </row>
    <row r="330" spans="1:15" x14ac:dyDescent="0.3">
      <c r="A330" s="1">
        <v>45905</v>
      </c>
      <c r="B330" t="s">
        <v>15</v>
      </c>
      <c r="C330" s="4">
        <v>1448</v>
      </c>
      <c r="D330" s="4">
        <v>1452.3</v>
      </c>
      <c r="E330" s="4">
        <v>1402.8</v>
      </c>
      <c r="F330" s="4">
        <v>1443.3</v>
      </c>
      <c r="G330" s="4">
        <v>1420.1</v>
      </c>
      <c r="H330" s="4">
        <v>1419</v>
      </c>
      <c r="I330" s="4">
        <v>1423.2</v>
      </c>
      <c r="J330" s="4">
        <v>2012.2</v>
      </c>
      <c r="K330" s="4">
        <v>1302.75</v>
      </c>
      <c r="L330" s="2">
        <v>3895199</v>
      </c>
      <c r="M330" s="2">
        <v>5543657851.1999998</v>
      </c>
      <c r="N330">
        <v>174752</v>
      </c>
      <c r="O330" t="s">
        <v>17</v>
      </c>
    </row>
    <row r="331" spans="1:15" x14ac:dyDescent="0.3">
      <c r="A331" s="1">
        <v>45904</v>
      </c>
      <c r="B331" t="s">
        <v>15</v>
      </c>
      <c r="C331" s="4">
        <v>1465.1</v>
      </c>
      <c r="D331" s="4">
        <v>1465.9</v>
      </c>
      <c r="E331" s="4">
        <v>1440.9</v>
      </c>
      <c r="F331" s="4">
        <v>1466.1</v>
      </c>
      <c r="G331" s="4">
        <v>1444.2</v>
      </c>
      <c r="H331" s="4">
        <v>1443.3</v>
      </c>
      <c r="I331" s="4">
        <v>1452.76</v>
      </c>
      <c r="J331" s="4">
        <v>2012.2</v>
      </c>
      <c r="K331" s="4">
        <v>1302.75</v>
      </c>
      <c r="L331" s="2">
        <v>2192155</v>
      </c>
      <c r="M331" s="2">
        <v>3184676714.6999998</v>
      </c>
      <c r="N331">
        <v>140871</v>
      </c>
      <c r="O331" t="s">
        <v>17</v>
      </c>
    </row>
    <row r="332" spans="1:15" x14ac:dyDescent="0.3">
      <c r="A332" s="1">
        <v>45903</v>
      </c>
      <c r="B332" t="s">
        <v>15</v>
      </c>
      <c r="C332" s="4">
        <v>1475</v>
      </c>
      <c r="D332" s="4">
        <v>1475</v>
      </c>
      <c r="E332" s="4">
        <v>1452.6</v>
      </c>
      <c r="F332" s="4">
        <v>1465.7</v>
      </c>
      <c r="G332" s="4">
        <v>1465.2</v>
      </c>
      <c r="H332" s="4">
        <v>1466.1</v>
      </c>
      <c r="I332" s="4">
        <v>1460.87</v>
      </c>
      <c r="J332" s="4">
        <v>2012.2</v>
      </c>
      <c r="K332" s="4">
        <v>1302.75</v>
      </c>
      <c r="L332" s="2">
        <v>1800307</v>
      </c>
      <c r="M332" s="2">
        <v>2630020249.1999998</v>
      </c>
      <c r="N332">
        <v>67692</v>
      </c>
      <c r="O332" t="s">
        <v>17</v>
      </c>
    </row>
    <row r="333" spans="1:15" x14ac:dyDescent="0.3">
      <c r="A333" s="1">
        <v>45902</v>
      </c>
      <c r="B333" t="s">
        <v>15</v>
      </c>
      <c r="C333" s="4">
        <v>1469</v>
      </c>
      <c r="D333" s="4">
        <v>1477.4</v>
      </c>
      <c r="E333" s="4">
        <v>1459.7</v>
      </c>
      <c r="F333" s="4">
        <v>1468.4</v>
      </c>
      <c r="G333" s="4">
        <v>1465</v>
      </c>
      <c r="H333" s="4">
        <v>1465.7</v>
      </c>
      <c r="I333" s="4">
        <v>1467.23</v>
      </c>
      <c r="J333" s="4">
        <v>2012.2</v>
      </c>
      <c r="K333" s="4">
        <v>1302.75</v>
      </c>
      <c r="L333" s="2">
        <v>1295198</v>
      </c>
      <c r="M333" s="2">
        <v>1900348772.3</v>
      </c>
      <c r="N333">
        <v>68937</v>
      </c>
      <c r="O333" t="s">
        <v>17</v>
      </c>
    </row>
    <row r="334" spans="1:15" x14ac:dyDescent="0.3">
      <c r="A334" s="1">
        <v>45901</v>
      </c>
      <c r="B334" t="s">
        <v>15</v>
      </c>
      <c r="C334" s="4">
        <v>1446</v>
      </c>
      <c r="D334" s="4">
        <v>1472.5</v>
      </c>
      <c r="E334" s="4">
        <v>1446</v>
      </c>
      <c r="F334" s="4">
        <v>1454.8</v>
      </c>
      <c r="G334" s="4">
        <v>1469</v>
      </c>
      <c r="H334" s="4">
        <v>1468.4</v>
      </c>
      <c r="I334" s="4">
        <v>1466.84</v>
      </c>
      <c r="J334" s="4">
        <v>2012.2</v>
      </c>
      <c r="K334" s="4">
        <v>1302.75</v>
      </c>
      <c r="L334" s="2">
        <v>2105254</v>
      </c>
      <c r="M334" s="2">
        <v>3088075836.5</v>
      </c>
      <c r="N334">
        <v>70246</v>
      </c>
      <c r="O334" t="s">
        <v>17</v>
      </c>
    </row>
    <row r="335" spans="1:15" x14ac:dyDescent="0.3">
      <c r="A335" s="1">
        <v>45898</v>
      </c>
      <c r="B335" t="s">
        <v>15</v>
      </c>
      <c r="C335" s="4">
        <v>1449.8</v>
      </c>
      <c r="D335" s="4">
        <v>1462.6</v>
      </c>
      <c r="E335" s="4">
        <v>1439.2</v>
      </c>
      <c r="F335" s="4">
        <v>1449.8</v>
      </c>
      <c r="G335" s="4">
        <v>1453.7</v>
      </c>
      <c r="H335" s="4">
        <v>1454.8</v>
      </c>
      <c r="I335" s="4">
        <v>1455.83</v>
      </c>
      <c r="J335" s="4">
        <v>2012.2</v>
      </c>
      <c r="K335" s="4">
        <v>1302.75</v>
      </c>
      <c r="L335" s="2">
        <v>3404604</v>
      </c>
      <c r="M335" s="2">
        <v>4956533680.8000002</v>
      </c>
      <c r="N335">
        <v>82963</v>
      </c>
      <c r="O335" t="s">
        <v>17</v>
      </c>
    </row>
    <row r="336" spans="1:15" x14ac:dyDescent="0.3">
      <c r="A336" s="1">
        <v>45897</v>
      </c>
      <c r="B336" t="s">
        <v>15</v>
      </c>
      <c r="C336" s="4">
        <v>1488</v>
      </c>
      <c r="D336" s="4">
        <v>1488</v>
      </c>
      <c r="E336" s="4">
        <v>1446</v>
      </c>
      <c r="F336" s="4">
        <v>1492.8</v>
      </c>
      <c r="G336" s="4">
        <v>1450.2</v>
      </c>
      <c r="H336" s="4">
        <v>1449.8</v>
      </c>
      <c r="I336" s="4">
        <v>1457.19</v>
      </c>
      <c r="J336" s="4">
        <v>2012.2</v>
      </c>
      <c r="K336" s="4">
        <v>1302.75</v>
      </c>
      <c r="L336" s="2">
        <v>4367902</v>
      </c>
      <c r="M336" s="2">
        <v>6364870712.1000004</v>
      </c>
      <c r="N336">
        <v>170218</v>
      </c>
      <c r="O336" t="s">
        <v>17</v>
      </c>
    </row>
    <row r="337" spans="1:15" x14ac:dyDescent="0.3">
      <c r="A337" s="1">
        <v>45895</v>
      </c>
      <c r="B337" t="s">
        <v>15</v>
      </c>
      <c r="C337" s="4">
        <v>1501.9</v>
      </c>
      <c r="D337" s="4">
        <v>1506.5</v>
      </c>
      <c r="E337" s="4">
        <v>1485</v>
      </c>
      <c r="F337" s="4">
        <v>1504.2</v>
      </c>
      <c r="G337" s="4">
        <v>1489.3</v>
      </c>
      <c r="H337" s="4">
        <v>1492.8</v>
      </c>
      <c r="I337" s="4">
        <v>1495.22</v>
      </c>
      <c r="J337" s="4">
        <v>2012.2</v>
      </c>
      <c r="K337" s="4">
        <v>1302.75</v>
      </c>
      <c r="L337" s="2">
        <v>4092265</v>
      </c>
      <c r="M337" s="2">
        <v>6118849339.1999998</v>
      </c>
      <c r="N337">
        <v>90975</v>
      </c>
      <c r="O337" t="s">
        <v>17</v>
      </c>
    </row>
    <row r="338" spans="1:15" x14ac:dyDescent="0.3">
      <c r="A338" s="1">
        <v>45894</v>
      </c>
      <c r="B338" t="s">
        <v>15</v>
      </c>
      <c r="C338" s="4">
        <v>1480</v>
      </c>
      <c r="D338" s="4">
        <v>1509.7</v>
      </c>
      <c r="E338" s="4">
        <v>1476.2</v>
      </c>
      <c r="F338" s="4">
        <v>1466.3</v>
      </c>
      <c r="G338" s="4">
        <v>1505</v>
      </c>
      <c r="H338" s="4">
        <v>1504.2</v>
      </c>
      <c r="I338" s="4">
        <v>1500.79</v>
      </c>
      <c r="J338" s="4">
        <v>2012.2</v>
      </c>
      <c r="K338" s="4">
        <v>1302.75</v>
      </c>
      <c r="L338" s="2">
        <v>2764914</v>
      </c>
      <c r="M338" s="2">
        <v>4149544169.5</v>
      </c>
      <c r="N338">
        <v>131390</v>
      </c>
      <c r="O338" t="s">
        <v>17</v>
      </c>
    </row>
    <row r="339" spans="1:15" x14ac:dyDescent="0.3">
      <c r="A339" s="1">
        <v>45891</v>
      </c>
      <c r="B339" t="s">
        <v>15</v>
      </c>
      <c r="C339" s="4">
        <v>1489.6</v>
      </c>
      <c r="D339" s="4">
        <v>1491.5</v>
      </c>
      <c r="E339" s="4">
        <v>1464</v>
      </c>
      <c r="F339" s="4">
        <v>1493.5</v>
      </c>
      <c r="G339" s="4">
        <v>1467.1</v>
      </c>
      <c r="H339" s="4">
        <v>1466.3</v>
      </c>
      <c r="I339" s="4">
        <v>1470.96</v>
      </c>
      <c r="J339" s="4">
        <v>2012.2</v>
      </c>
      <c r="K339" s="4">
        <v>1302.75</v>
      </c>
      <c r="L339" s="2">
        <v>2802805</v>
      </c>
      <c r="M339" s="2">
        <v>4122818257.0999999</v>
      </c>
      <c r="N339">
        <v>97554</v>
      </c>
      <c r="O339" t="s">
        <v>17</v>
      </c>
    </row>
    <row r="340" spans="1:15" x14ac:dyDescent="0.3">
      <c r="A340" s="1">
        <v>45890</v>
      </c>
      <c r="B340" t="s">
        <v>15</v>
      </c>
      <c r="C340" s="4">
        <v>1500</v>
      </c>
      <c r="D340" s="4">
        <v>1505</v>
      </c>
      <c r="E340" s="4">
        <v>1486.1</v>
      </c>
      <c r="F340" s="4">
        <v>1496</v>
      </c>
      <c r="G340" s="4">
        <v>1495</v>
      </c>
      <c r="H340" s="4">
        <v>1493.5</v>
      </c>
      <c r="I340" s="4">
        <v>1495.28</v>
      </c>
      <c r="J340" s="4">
        <v>2012.2</v>
      </c>
      <c r="K340" s="4">
        <v>1302.75</v>
      </c>
      <c r="L340" s="2">
        <v>2157601</v>
      </c>
      <c r="M340" s="2">
        <v>3226215087.9000001</v>
      </c>
      <c r="N340">
        <v>83784</v>
      </c>
      <c r="O340" t="s">
        <v>17</v>
      </c>
    </row>
    <row r="341" spans="1:15" x14ac:dyDescent="0.3">
      <c r="A341" s="1">
        <v>45889</v>
      </c>
      <c r="B341" t="s">
        <v>15</v>
      </c>
      <c r="C341" s="4">
        <v>1468</v>
      </c>
      <c r="D341" s="4">
        <v>1500.3</v>
      </c>
      <c r="E341" s="4">
        <v>1458</v>
      </c>
      <c r="F341" s="4">
        <v>1476.1</v>
      </c>
      <c r="G341" s="4">
        <v>1496</v>
      </c>
      <c r="H341" s="4">
        <v>1496</v>
      </c>
      <c r="I341" s="4">
        <v>1478.37</v>
      </c>
      <c r="J341" s="4">
        <v>2012.2</v>
      </c>
      <c r="K341" s="4">
        <v>1302.75</v>
      </c>
      <c r="L341" s="2">
        <v>10219330</v>
      </c>
      <c r="M341" s="2">
        <v>15107972962.9</v>
      </c>
      <c r="N341">
        <v>135680</v>
      </c>
      <c r="O341" t="s">
        <v>17</v>
      </c>
    </row>
    <row r="342" spans="1:15" x14ac:dyDescent="0.3">
      <c r="A342" s="1">
        <v>45888</v>
      </c>
      <c r="B342" t="s">
        <v>15</v>
      </c>
      <c r="C342" s="4">
        <v>1476.3</v>
      </c>
      <c r="D342" s="4">
        <v>1482.6</v>
      </c>
      <c r="E342" s="4">
        <v>1469.2</v>
      </c>
      <c r="F342" s="4">
        <v>1485</v>
      </c>
      <c r="G342" s="4">
        <v>1479.7</v>
      </c>
      <c r="H342" s="4">
        <v>1476.1</v>
      </c>
      <c r="I342" s="4">
        <v>1476.27</v>
      </c>
      <c r="J342" s="4">
        <v>2012.2</v>
      </c>
      <c r="K342" s="4">
        <v>1302.75</v>
      </c>
      <c r="L342" s="2">
        <v>2515817</v>
      </c>
      <c r="M342" s="2">
        <v>3714033649</v>
      </c>
      <c r="N342">
        <v>119284</v>
      </c>
      <c r="O342" t="s">
        <v>17</v>
      </c>
    </row>
    <row r="343" spans="1:15" x14ac:dyDescent="0.3">
      <c r="A343" s="1">
        <v>45887</v>
      </c>
      <c r="B343" t="s">
        <v>15</v>
      </c>
      <c r="C343" s="4">
        <v>1498.1</v>
      </c>
      <c r="D343" s="4">
        <v>1501.9</v>
      </c>
      <c r="E343" s="4">
        <v>1475.9</v>
      </c>
      <c r="F343" s="4">
        <v>1489.8</v>
      </c>
      <c r="G343" s="4">
        <v>1481.6</v>
      </c>
      <c r="H343" s="4">
        <v>1485</v>
      </c>
      <c r="I343" s="4">
        <v>1483.48</v>
      </c>
      <c r="J343" s="4">
        <v>2012.2</v>
      </c>
      <c r="K343" s="4">
        <v>1302.75</v>
      </c>
      <c r="L343" s="2">
        <v>2795155</v>
      </c>
      <c r="M343" s="2">
        <v>4146546206.9000001</v>
      </c>
      <c r="N343">
        <v>82653</v>
      </c>
      <c r="O343" t="s">
        <v>17</v>
      </c>
    </row>
    <row r="344" spans="1:15" x14ac:dyDescent="0.3">
      <c r="A344" s="1">
        <v>45883</v>
      </c>
      <c r="B344" t="s">
        <v>15</v>
      </c>
      <c r="C344" s="4">
        <v>1501</v>
      </c>
      <c r="D344" s="4">
        <v>1516.2</v>
      </c>
      <c r="E344" s="4">
        <v>1485.8</v>
      </c>
      <c r="F344" s="4">
        <v>1501.1</v>
      </c>
      <c r="G344" s="4">
        <v>1489</v>
      </c>
      <c r="H344" s="4">
        <v>1489.8</v>
      </c>
      <c r="I344" s="4">
        <v>1501.41</v>
      </c>
      <c r="J344" s="4">
        <v>2012.2</v>
      </c>
      <c r="K344" s="4">
        <v>1302.75</v>
      </c>
      <c r="L344" s="2">
        <v>4227538</v>
      </c>
      <c r="M344" s="2">
        <v>6347285518.5</v>
      </c>
      <c r="N344">
        <v>111160</v>
      </c>
      <c r="O344" t="s">
        <v>17</v>
      </c>
    </row>
    <row r="345" spans="1:15" x14ac:dyDescent="0.3">
      <c r="A345" s="1">
        <v>45882</v>
      </c>
      <c r="B345" t="s">
        <v>15</v>
      </c>
      <c r="C345" s="4">
        <v>1500</v>
      </c>
      <c r="D345" s="4">
        <v>1507.5</v>
      </c>
      <c r="E345" s="4">
        <v>1489</v>
      </c>
      <c r="F345" s="4">
        <v>1499.1</v>
      </c>
      <c r="G345" s="4">
        <v>1498.8</v>
      </c>
      <c r="H345" s="4">
        <v>1501.1</v>
      </c>
      <c r="I345" s="4">
        <v>1500</v>
      </c>
      <c r="J345" s="4">
        <v>2012.2</v>
      </c>
      <c r="K345" s="4">
        <v>1302.75</v>
      </c>
      <c r="L345" s="2">
        <v>2916128</v>
      </c>
      <c r="M345" s="2">
        <v>4374180694.8000002</v>
      </c>
      <c r="N345">
        <v>63563</v>
      </c>
      <c r="O345" t="s">
        <v>17</v>
      </c>
    </row>
    <row r="346" spans="1:15" x14ac:dyDescent="0.3">
      <c r="A346" s="1">
        <v>45881</v>
      </c>
      <c r="B346" t="s">
        <v>15</v>
      </c>
      <c r="C346" s="4">
        <v>1490</v>
      </c>
      <c r="D346" s="4">
        <v>1509.9</v>
      </c>
      <c r="E346" s="4">
        <v>1489</v>
      </c>
      <c r="F346" s="4">
        <v>1488</v>
      </c>
      <c r="G346" s="4">
        <v>1498</v>
      </c>
      <c r="H346" s="4">
        <v>1499.1</v>
      </c>
      <c r="I346" s="4">
        <v>1501.89</v>
      </c>
      <c r="J346" s="4">
        <v>2012.2</v>
      </c>
      <c r="K346" s="4">
        <v>1302.75</v>
      </c>
      <c r="L346" s="2">
        <v>3422656</v>
      </c>
      <c r="M346" s="2">
        <v>5140444209.3999996</v>
      </c>
      <c r="N346">
        <v>120984</v>
      </c>
      <c r="O346" t="s">
        <v>17</v>
      </c>
    </row>
    <row r="347" spans="1:15" x14ac:dyDescent="0.3">
      <c r="A347" s="1">
        <v>45880</v>
      </c>
      <c r="B347" t="s">
        <v>15</v>
      </c>
      <c r="C347" s="4">
        <v>1475</v>
      </c>
      <c r="D347" s="4">
        <v>1531</v>
      </c>
      <c r="E347" s="4">
        <v>1465.6</v>
      </c>
      <c r="F347" s="4">
        <v>1475.7</v>
      </c>
      <c r="G347" s="4">
        <v>1484.1</v>
      </c>
      <c r="H347" s="4">
        <v>1488</v>
      </c>
      <c r="I347" s="4">
        <v>1484.68</v>
      </c>
      <c r="J347" s="4">
        <v>2012.2</v>
      </c>
      <c r="K347" s="4">
        <v>1302.75</v>
      </c>
      <c r="L347" s="2">
        <v>2374556</v>
      </c>
      <c r="M347" s="2">
        <v>3525455889.1999998</v>
      </c>
      <c r="N347">
        <v>92769</v>
      </c>
      <c r="O347" t="s">
        <v>17</v>
      </c>
    </row>
    <row r="348" spans="1:15" x14ac:dyDescent="0.3">
      <c r="A348" s="1">
        <v>45877</v>
      </c>
      <c r="B348" t="s">
        <v>15</v>
      </c>
      <c r="C348" s="4">
        <v>1474.8</v>
      </c>
      <c r="D348" s="4">
        <v>1482.2</v>
      </c>
      <c r="E348" s="4">
        <v>1459</v>
      </c>
      <c r="F348" s="4">
        <v>1475.5</v>
      </c>
      <c r="G348" s="4">
        <v>1476.3</v>
      </c>
      <c r="H348" s="4">
        <v>1475.7</v>
      </c>
      <c r="I348" s="4">
        <v>1473.68</v>
      </c>
      <c r="J348" s="4">
        <v>2012.2</v>
      </c>
      <c r="K348" s="4">
        <v>1302.75</v>
      </c>
      <c r="L348" s="2">
        <v>2815614</v>
      </c>
      <c r="M348" s="2">
        <v>4149299969.9000001</v>
      </c>
      <c r="N348">
        <v>82918</v>
      </c>
      <c r="O348" t="s">
        <v>17</v>
      </c>
    </row>
    <row r="349" spans="1:15" x14ac:dyDescent="0.3">
      <c r="A349" s="1">
        <v>45876</v>
      </c>
      <c r="B349" t="s">
        <v>15</v>
      </c>
      <c r="C349" s="4">
        <v>1458</v>
      </c>
      <c r="D349" s="4">
        <v>1479.2</v>
      </c>
      <c r="E349" s="4">
        <v>1451</v>
      </c>
      <c r="F349" s="4">
        <v>1463.2</v>
      </c>
      <c r="G349" s="4">
        <v>1479.1</v>
      </c>
      <c r="H349" s="4">
        <v>1475.5</v>
      </c>
      <c r="I349" s="4">
        <v>1462.9</v>
      </c>
      <c r="J349" s="4">
        <v>2012.2</v>
      </c>
      <c r="K349" s="4">
        <v>1302.75</v>
      </c>
      <c r="L349" s="2">
        <v>1495363</v>
      </c>
      <c r="M349" s="2">
        <v>2187569625.5</v>
      </c>
      <c r="N349">
        <v>70071</v>
      </c>
      <c r="O349" t="s">
        <v>17</v>
      </c>
    </row>
    <row r="350" spans="1:15" x14ac:dyDescent="0.3">
      <c r="A350" s="1">
        <v>45875</v>
      </c>
      <c r="B350" t="s">
        <v>15</v>
      </c>
      <c r="C350" s="4">
        <v>1480.9</v>
      </c>
      <c r="D350" s="4">
        <v>1483.7</v>
      </c>
      <c r="E350" s="4">
        <v>1456.4</v>
      </c>
      <c r="F350" s="4">
        <v>1482.7</v>
      </c>
      <c r="G350" s="4">
        <v>1459.9</v>
      </c>
      <c r="H350" s="4">
        <v>1463.2</v>
      </c>
      <c r="I350" s="4">
        <v>1465.98</v>
      </c>
      <c r="J350" s="4">
        <v>2012.2</v>
      </c>
      <c r="K350" s="4">
        <v>1302.75</v>
      </c>
      <c r="L350" s="2">
        <v>1735697</v>
      </c>
      <c r="M350" s="2">
        <v>2544501469.1999998</v>
      </c>
      <c r="N350">
        <v>93730</v>
      </c>
      <c r="O350" t="s">
        <v>17</v>
      </c>
    </row>
    <row r="351" spans="1:15" x14ac:dyDescent="0.3">
      <c r="A351" s="1">
        <v>45874</v>
      </c>
      <c r="B351" t="s">
        <v>15</v>
      </c>
      <c r="C351" s="4">
        <v>1479.9</v>
      </c>
      <c r="D351" s="4">
        <v>1485.4</v>
      </c>
      <c r="E351" s="4">
        <v>1471.2</v>
      </c>
      <c r="F351" s="4">
        <v>1474.4</v>
      </c>
      <c r="G351" s="4">
        <v>1480.9</v>
      </c>
      <c r="H351" s="4">
        <v>1482.7</v>
      </c>
      <c r="I351" s="4">
        <v>1480.25</v>
      </c>
      <c r="J351" s="4">
        <v>2012.2</v>
      </c>
      <c r="K351" s="4">
        <v>1302.75</v>
      </c>
      <c r="L351" s="2">
        <v>2614394</v>
      </c>
      <c r="M351" s="2">
        <v>3869964552.0999999</v>
      </c>
      <c r="N351">
        <v>99995</v>
      </c>
      <c r="O351" t="s">
        <v>17</v>
      </c>
    </row>
    <row r="352" spans="1:15" x14ac:dyDescent="0.3">
      <c r="A352" s="1">
        <v>45873</v>
      </c>
      <c r="B352" t="s">
        <v>15</v>
      </c>
      <c r="C352" s="4">
        <v>1452.1</v>
      </c>
      <c r="D352" s="4">
        <v>1475.4</v>
      </c>
      <c r="E352" s="4">
        <v>1440.6</v>
      </c>
      <c r="F352" s="4">
        <v>1452.1</v>
      </c>
      <c r="G352" s="4">
        <v>1470.4</v>
      </c>
      <c r="H352" s="4">
        <v>1474.4</v>
      </c>
      <c r="I352" s="4">
        <v>1460.11</v>
      </c>
      <c r="J352" s="4">
        <v>2012.2</v>
      </c>
      <c r="K352" s="4">
        <v>1302.75</v>
      </c>
      <c r="L352" s="2">
        <v>2384774</v>
      </c>
      <c r="M352" s="2">
        <v>3482029698</v>
      </c>
      <c r="N352">
        <v>89707</v>
      </c>
      <c r="O352" t="s">
        <v>17</v>
      </c>
    </row>
    <row r="353" spans="1:15" x14ac:dyDescent="0.3">
      <c r="A353" s="1">
        <v>45870</v>
      </c>
      <c r="B353" t="s">
        <v>15</v>
      </c>
      <c r="C353" s="4">
        <v>1465</v>
      </c>
      <c r="D353" s="4">
        <v>1466.9</v>
      </c>
      <c r="E353" s="4">
        <v>1450</v>
      </c>
      <c r="F353" s="4">
        <v>1467.9</v>
      </c>
      <c r="G353" s="4">
        <v>1450.2</v>
      </c>
      <c r="H353" s="4">
        <v>1452.1</v>
      </c>
      <c r="I353" s="4">
        <v>1455.75</v>
      </c>
      <c r="J353" s="4">
        <v>2012.2</v>
      </c>
      <c r="K353" s="4">
        <v>1302.75</v>
      </c>
      <c r="L353" s="2">
        <v>2152783</v>
      </c>
      <c r="M353" s="2">
        <v>3133915241.5999999</v>
      </c>
      <c r="N353">
        <v>68532</v>
      </c>
      <c r="O353" t="s">
        <v>17</v>
      </c>
    </row>
    <row r="354" spans="1:15" x14ac:dyDescent="0.3">
      <c r="A354" s="1">
        <v>45869</v>
      </c>
      <c r="B354" t="s">
        <v>15</v>
      </c>
      <c r="C354" s="4">
        <v>1465</v>
      </c>
      <c r="D354" s="4">
        <v>1482.7</v>
      </c>
      <c r="E354" s="4">
        <v>1459.5</v>
      </c>
      <c r="F354" s="4">
        <v>1476.5</v>
      </c>
      <c r="G354" s="4">
        <v>1465.2</v>
      </c>
      <c r="H354" s="4">
        <v>1467.9</v>
      </c>
      <c r="I354" s="4">
        <v>1469.99</v>
      </c>
      <c r="J354" s="4">
        <v>2012.2</v>
      </c>
      <c r="K354" s="4">
        <v>1302.75</v>
      </c>
      <c r="L354" s="2">
        <v>2306285</v>
      </c>
      <c r="M354" s="2">
        <v>3390207270.5</v>
      </c>
      <c r="N354">
        <v>85966</v>
      </c>
      <c r="O354" t="s">
        <v>17</v>
      </c>
    </row>
    <row r="355" spans="1:15" x14ac:dyDescent="0.3">
      <c r="A355" s="1">
        <v>45868</v>
      </c>
      <c r="B355" t="s">
        <v>15</v>
      </c>
      <c r="C355" s="4">
        <v>1480.5</v>
      </c>
      <c r="D355" s="4">
        <v>1484.3</v>
      </c>
      <c r="E355" s="4">
        <v>1468.8</v>
      </c>
      <c r="F355" s="4">
        <v>1472.4</v>
      </c>
      <c r="G355" s="4">
        <v>1478</v>
      </c>
      <c r="H355" s="4">
        <v>1476.5</v>
      </c>
      <c r="I355" s="4">
        <v>1474.63</v>
      </c>
      <c r="J355" s="4">
        <v>2012.2</v>
      </c>
      <c r="K355" s="4">
        <v>1302.75</v>
      </c>
      <c r="L355" s="2">
        <v>1642426</v>
      </c>
      <c r="M355" s="2">
        <v>2421970361.6999998</v>
      </c>
      <c r="N355">
        <v>67844</v>
      </c>
      <c r="O355" t="s">
        <v>17</v>
      </c>
    </row>
    <row r="356" spans="1:15" x14ac:dyDescent="0.3">
      <c r="A356" s="1">
        <v>45867</v>
      </c>
      <c r="B356" t="s">
        <v>15</v>
      </c>
      <c r="C356" s="4">
        <v>1466.1</v>
      </c>
      <c r="D356" s="4">
        <v>1477.5</v>
      </c>
      <c r="E356" s="4">
        <v>1461</v>
      </c>
      <c r="F356" s="4">
        <v>1466.1</v>
      </c>
      <c r="G356" s="4">
        <v>1475</v>
      </c>
      <c r="H356" s="4">
        <v>1472.4</v>
      </c>
      <c r="I356" s="4">
        <v>1470</v>
      </c>
      <c r="J356" s="4">
        <v>2012.2</v>
      </c>
      <c r="K356" s="4">
        <v>1302.75</v>
      </c>
      <c r="L356" s="2">
        <v>6223556</v>
      </c>
      <c r="M356" s="2">
        <v>9148599091.1000004</v>
      </c>
      <c r="N356">
        <v>120183</v>
      </c>
      <c r="O356" t="s">
        <v>17</v>
      </c>
    </row>
    <row r="357" spans="1:15" x14ac:dyDescent="0.3">
      <c r="A357" s="1">
        <v>45866</v>
      </c>
      <c r="B357" t="s">
        <v>15</v>
      </c>
      <c r="C357" s="4">
        <v>1490.1</v>
      </c>
      <c r="D357" s="4">
        <v>1494.2</v>
      </c>
      <c r="E357" s="4">
        <v>1463.5</v>
      </c>
      <c r="F357" s="4">
        <v>1490.1</v>
      </c>
      <c r="G357" s="4">
        <v>1468</v>
      </c>
      <c r="H357" s="4">
        <v>1466.1</v>
      </c>
      <c r="I357" s="4">
        <v>1474.52</v>
      </c>
      <c r="J357" s="4">
        <v>2012.2</v>
      </c>
      <c r="K357" s="4">
        <v>1302.75</v>
      </c>
      <c r="L357" s="2">
        <v>4404841</v>
      </c>
      <c r="M357" s="2">
        <v>6495043431.3000002</v>
      </c>
      <c r="N357">
        <v>158378</v>
      </c>
      <c r="O357" t="s">
        <v>17</v>
      </c>
    </row>
    <row r="358" spans="1:15" x14ac:dyDescent="0.3">
      <c r="A358" s="1">
        <v>45863</v>
      </c>
      <c r="B358" t="s">
        <v>15</v>
      </c>
      <c r="C358" s="4">
        <v>1501.1</v>
      </c>
      <c r="D358" s="4">
        <v>1512.2</v>
      </c>
      <c r="E358" s="4">
        <v>1486.6</v>
      </c>
      <c r="F358" s="4">
        <v>1507.2</v>
      </c>
      <c r="G358" s="4">
        <v>1490</v>
      </c>
      <c r="H358" s="4">
        <v>1490.1</v>
      </c>
      <c r="I358" s="4">
        <v>1499.87</v>
      </c>
      <c r="J358" s="4">
        <v>2012.2</v>
      </c>
      <c r="K358" s="4">
        <v>1302.75</v>
      </c>
      <c r="L358" s="2">
        <v>2733655</v>
      </c>
      <c r="M358" s="2">
        <v>4100140037.4000001</v>
      </c>
      <c r="N358">
        <v>100304</v>
      </c>
      <c r="O358" t="s">
        <v>17</v>
      </c>
    </row>
    <row r="359" spans="1:15" x14ac:dyDescent="0.3">
      <c r="A359" s="1">
        <v>45862</v>
      </c>
      <c r="B359" t="s">
        <v>15</v>
      </c>
      <c r="C359" s="4">
        <v>1530</v>
      </c>
      <c r="D359" s="4">
        <v>1537.9</v>
      </c>
      <c r="E359" s="4">
        <v>1501.6</v>
      </c>
      <c r="F359" s="4">
        <v>1529.8</v>
      </c>
      <c r="G359" s="4">
        <v>1510.1</v>
      </c>
      <c r="H359" s="4">
        <v>1507.2</v>
      </c>
      <c r="I359" s="4">
        <v>1515.11</v>
      </c>
      <c r="J359" s="4">
        <v>2012.2</v>
      </c>
      <c r="K359" s="4">
        <v>1302.75</v>
      </c>
      <c r="L359" s="2">
        <v>4654421</v>
      </c>
      <c r="M359" s="2">
        <v>7051940202.5</v>
      </c>
      <c r="N359">
        <v>99951</v>
      </c>
      <c r="O359" t="s">
        <v>17</v>
      </c>
    </row>
    <row r="360" spans="1:15" x14ac:dyDescent="0.3">
      <c r="A360" s="1">
        <v>45861</v>
      </c>
      <c r="B360" t="s">
        <v>15</v>
      </c>
      <c r="C360" s="4">
        <v>1524.1</v>
      </c>
      <c r="D360" s="4">
        <v>1536</v>
      </c>
      <c r="E360" s="4">
        <v>1518</v>
      </c>
      <c r="F360" s="4">
        <v>1520.1</v>
      </c>
      <c r="G360" s="4">
        <v>1528.8</v>
      </c>
      <c r="H360" s="4">
        <v>1529.8</v>
      </c>
      <c r="I360" s="4">
        <v>1527.16</v>
      </c>
      <c r="J360" s="4">
        <v>2012.2</v>
      </c>
      <c r="K360" s="4">
        <v>1302.75</v>
      </c>
      <c r="L360" s="2">
        <v>3471536</v>
      </c>
      <c r="M360" s="2">
        <v>5301591458.1999998</v>
      </c>
      <c r="N360">
        <v>75211</v>
      </c>
      <c r="O360" t="s">
        <v>17</v>
      </c>
    </row>
    <row r="361" spans="1:15" x14ac:dyDescent="0.3">
      <c r="A361" s="1">
        <v>45860</v>
      </c>
      <c r="B361" t="s">
        <v>15</v>
      </c>
      <c r="C361" s="4">
        <v>1533.1</v>
      </c>
      <c r="D361" s="4">
        <v>1539.8</v>
      </c>
      <c r="E361" s="4">
        <v>1518.3</v>
      </c>
      <c r="F361" s="4">
        <v>1530.4</v>
      </c>
      <c r="G361" s="4">
        <v>1520.5</v>
      </c>
      <c r="H361" s="4">
        <v>1520.1</v>
      </c>
      <c r="I361" s="4">
        <v>1528.68</v>
      </c>
      <c r="J361" s="4">
        <v>2012.2</v>
      </c>
      <c r="K361" s="4">
        <v>1302.75</v>
      </c>
      <c r="L361" s="2">
        <v>3218227</v>
      </c>
      <c r="M361" s="2">
        <v>4919633245</v>
      </c>
      <c r="N361">
        <v>72081</v>
      </c>
      <c r="O361" t="s">
        <v>17</v>
      </c>
    </row>
    <row r="362" spans="1:15" x14ac:dyDescent="0.3">
      <c r="A362" s="1">
        <v>45859</v>
      </c>
      <c r="B362" t="s">
        <v>15</v>
      </c>
      <c r="C362" s="4">
        <v>1548.8</v>
      </c>
      <c r="D362" s="4">
        <v>1550.7</v>
      </c>
      <c r="E362" s="4">
        <v>1526</v>
      </c>
      <c r="F362" s="4">
        <v>1548.8</v>
      </c>
      <c r="G362" s="4">
        <v>1530.8</v>
      </c>
      <c r="H362" s="4">
        <v>1530.4</v>
      </c>
      <c r="I362" s="4">
        <v>1532.77</v>
      </c>
      <c r="J362" s="4">
        <v>2012.2</v>
      </c>
      <c r="K362" s="4">
        <v>1302.75</v>
      </c>
      <c r="L362" s="2">
        <v>3368842</v>
      </c>
      <c r="M362" s="2">
        <v>5163643439.5</v>
      </c>
      <c r="N362">
        <v>90546</v>
      </c>
      <c r="O362" t="s">
        <v>17</v>
      </c>
    </row>
    <row r="363" spans="1:15" x14ac:dyDescent="0.3">
      <c r="A363" s="1">
        <v>45856</v>
      </c>
      <c r="B363" t="s">
        <v>15</v>
      </c>
      <c r="C363" s="4">
        <v>1544</v>
      </c>
      <c r="D363" s="4">
        <v>1550</v>
      </c>
      <c r="E363" s="4">
        <v>1530</v>
      </c>
      <c r="F363" s="4">
        <v>1543.9</v>
      </c>
      <c r="G363" s="4">
        <v>1549.1</v>
      </c>
      <c r="H363" s="4">
        <v>1548.8</v>
      </c>
      <c r="I363" s="4">
        <v>1541.04</v>
      </c>
      <c r="J363" s="4">
        <v>2012.2</v>
      </c>
      <c r="K363" s="4">
        <v>1302.75</v>
      </c>
      <c r="L363" s="2">
        <v>3902458</v>
      </c>
      <c r="M363" s="2">
        <v>6013841093.8000002</v>
      </c>
      <c r="N363">
        <v>88894</v>
      </c>
      <c r="O363" t="s">
        <v>17</v>
      </c>
    </row>
    <row r="364" spans="1:15" x14ac:dyDescent="0.3">
      <c r="A364" s="1">
        <v>45855</v>
      </c>
      <c r="B364" t="s">
        <v>15</v>
      </c>
      <c r="C364" s="4">
        <v>1563.6</v>
      </c>
      <c r="D364" s="4">
        <v>1566.8</v>
      </c>
      <c r="E364" s="4">
        <v>1542.4</v>
      </c>
      <c r="F364" s="4">
        <v>1562.8</v>
      </c>
      <c r="G364" s="4">
        <v>1544.2</v>
      </c>
      <c r="H364" s="4">
        <v>1543.9</v>
      </c>
      <c r="I364" s="4">
        <v>1555.4</v>
      </c>
      <c r="J364" s="4">
        <v>2012.2</v>
      </c>
      <c r="K364" s="4">
        <v>1302.75</v>
      </c>
      <c r="L364" s="2">
        <v>4966082</v>
      </c>
      <c r="M364" s="2">
        <v>7724220966.6999998</v>
      </c>
      <c r="N364">
        <v>127217</v>
      </c>
      <c r="O364" t="s">
        <v>17</v>
      </c>
    </row>
    <row r="365" spans="1:15" x14ac:dyDescent="0.3">
      <c r="A365" s="1">
        <v>45854</v>
      </c>
      <c r="B365" t="s">
        <v>15</v>
      </c>
      <c r="C365" s="4">
        <v>1566.4</v>
      </c>
      <c r="D365" s="4">
        <v>1574</v>
      </c>
      <c r="E365" s="4">
        <v>1560</v>
      </c>
      <c r="F365" s="4">
        <v>1566.4</v>
      </c>
      <c r="G365" s="4">
        <v>1562</v>
      </c>
      <c r="H365" s="4">
        <v>1562.8</v>
      </c>
      <c r="I365" s="4">
        <v>1567.13</v>
      </c>
      <c r="J365" s="4">
        <v>2012.2</v>
      </c>
      <c r="K365" s="4">
        <v>1302.75</v>
      </c>
      <c r="L365" s="2">
        <v>5218099</v>
      </c>
      <c r="M365" s="2">
        <v>8177462798.5</v>
      </c>
      <c r="N365">
        <v>98177</v>
      </c>
      <c r="O365" t="s">
        <v>17</v>
      </c>
    </row>
    <row r="366" spans="1:15" x14ac:dyDescent="0.3">
      <c r="A366" s="1">
        <v>45853</v>
      </c>
      <c r="B366" t="s">
        <v>15</v>
      </c>
      <c r="C366" s="4">
        <v>1590</v>
      </c>
      <c r="D366" s="4">
        <v>1621.4</v>
      </c>
      <c r="E366" s="4">
        <v>1550</v>
      </c>
      <c r="F366" s="4">
        <v>1619.8</v>
      </c>
      <c r="G366" s="4">
        <v>1567</v>
      </c>
      <c r="H366" s="4">
        <v>1566.4</v>
      </c>
      <c r="I366" s="4">
        <v>1573.16</v>
      </c>
      <c r="J366" s="4">
        <v>2012.2</v>
      </c>
      <c r="K366" s="4">
        <v>1302.75</v>
      </c>
      <c r="L366" s="2">
        <v>14685607</v>
      </c>
      <c r="M366" s="2">
        <v>23102790220.900002</v>
      </c>
      <c r="N366">
        <v>326840</v>
      </c>
      <c r="O366" t="s">
        <v>17</v>
      </c>
    </row>
    <row r="367" spans="1:15" x14ac:dyDescent="0.3">
      <c r="A367" s="1">
        <v>45852</v>
      </c>
      <c r="B367" t="s">
        <v>15</v>
      </c>
      <c r="C367" s="4">
        <v>1640</v>
      </c>
      <c r="D367" s="4">
        <v>1642.4</v>
      </c>
      <c r="E367" s="4">
        <v>1607</v>
      </c>
      <c r="F367" s="4">
        <v>1638.3</v>
      </c>
      <c r="G367" s="4">
        <v>1613.5</v>
      </c>
      <c r="H367" s="4">
        <v>1619.8</v>
      </c>
      <c r="I367" s="4">
        <v>1617.76</v>
      </c>
      <c r="J367" s="4">
        <v>2012.2</v>
      </c>
      <c r="K367" s="4">
        <v>1302.75</v>
      </c>
      <c r="L367" s="2">
        <v>3334703</v>
      </c>
      <c r="M367" s="2">
        <v>5394743355</v>
      </c>
      <c r="N367">
        <v>100025</v>
      </c>
      <c r="O367" t="s">
        <v>17</v>
      </c>
    </row>
    <row r="368" spans="1:15" x14ac:dyDescent="0.3">
      <c r="A368" s="1">
        <v>45849</v>
      </c>
      <c r="B368" t="s">
        <v>15</v>
      </c>
      <c r="C368" s="4">
        <v>1643.2</v>
      </c>
      <c r="D368" s="4">
        <v>1655.5</v>
      </c>
      <c r="E368" s="4">
        <v>1630</v>
      </c>
      <c r="F368" s="4">
        <v>1663.7</v>
      </c>
      <c r="G368" s="4">
        <v>1633.3</v>
      </c>
      <c r="H368" s="4">
        <v>1638.3</v>
      </c>
      <c r="I368" s="4">
        <v>1640.55</v>
      </c>
      <c r="J368" s="4">
        <v>2012.2</v>
      </c>
      <c r="K368" s="4">
        <v>1302.75</v>
      </c>
      <c r="L368" s="2">
        <v>2548153</v>
      </c>
      <c r="M368" s="2">
        <v>4180370504.4000001</v>
      </c>
      <c r="N368">
        <v>91088</v>
      </c>
      <c r="O368" t="s">
        <v>17</v>
      </c>
    </row>
    <row r="369" spans="1:15" x14ac:dyDescent="0.3">
      <c r="A369" s="1">
        <v>45848</v>
      </c>
      <c r="B369" t="s">
        <v>15</v>
      </c>
      <c r="C369" s="4">
        <v>1675</v>
      </c>
      <c r="D369" s="4">
        <v>1679.9</v>
      </c>
      <c r="E369" s="4">
        <v>1649</v>
      </c>
      <c r="F369" s="4">
        <v>1674</v>
      </c>
      <c r="G369" s="4">
        <v>1660.1</v>
      </c>
      <c r="H369" s="4">
        <v>1663.7</v>
      </c>
      <c r="I369" s="4">
        <v>1661.89</v>
      </c>
      <c r="J369" s="4">
        <v>2012.2</v>
      </c>
      <c r="K369" s="4">
        <v>1302.75</v>
      </c>
      <c r="L369" s="2">
        <v>2740853</v>
      </c>
      <c r="M369" s="2">
        <v>4554994008.6999998</v>
      </c>
      <c r="N369">
        <v>87108</v>
      </c>
      <c r="O369" t="s">
        <v>17</v>
      </c>
    </row>
    <row r="370" spans="1:15" x14ac:dyDescent="0.3">
      <c r="A370" s="1">
        <v>45847</v>
      </c>
      <c r="B370" t="s">
        <v>15</v>
      </c>
      <c r="C370" s="4">
        <v>1710</v>
      </c>
      <c r="D370" s="4">
        <v>1714.3</v>
      </c>
      <c r="E370" s="4">
        <v>1671</v>
      </c>
      <c r="F370" s="4">
        <v>1708.1</v>
      </c>
      <c r="G370" s="4">
        <v>1673</v>
      </c>
      <c r="H370" s="4">
        <v>1674</v>
      </c>
      <c r="I370" s="4">
        <v>1680.92</v>
      </c>
      <c r="J370" s="4">
        <v>2012.2</v>
      </c>
      <c r="K370" s="4">
        <v>1302.75</v>
      </c>
      <c r="L370" s="2">
        <v>2894808</v>
      </c>
      <c r="M370" s="2">
        <v>4865926573.8000002</v>
      </c>
      <c r="N370">
        <v>107899</v>
      </c>
      <c r="O370" t="s">
        <v>17</v>
      </c>
    </row>
    <row r="371" spans="1:15" x14ac:dyDescent="0.3">
      <c r="A371" s="1">
        <v>45846</v>
      </c>
      <c r="B371" t="s">
        <v>15</v>
      </c>
      <c r="C371" s="4">
        <v>1700</v>
      </c>
      <c r="D371" s="4">
        <v>1718.9</v>
      </c>
      <c r="E371" s="4">
        <v>1687.5</v>
      </c>
      <c r="F371" s="4">
        <v>1710.4</v>
      </c>
      <c r="G371" s="4">
        <v>1700.1</v>
      </c>
      <c r="H371" s="4">
        <v>1708.1</v>
      </c>
      <c r="I371" s="4">
        <v>1704.55</v>
      </c>
      <c r="J371" s="4">
        <v>2012.2</v>
      </c>
      <c r="K371" s="4">
        <v>1302.75</v>
      </c>
      <c r="L371" s="2">
        <v>2139193</v>
      </c>
      <c r="M371" s="2">
        <v>3646356920.9000001</v>
      </c>
      <c r="N371">
        <v>78574</v>
      </c>
      <c r="O371" t="s">
        <v>17</v>
      </c>
    </row>
    <row r="372" spans="1:15" x14ac:dyDescent="0.3">
      <c r="A372" s="1">
        <v>45845</v>
      </c>
      <c r="B372" t="s">
        <v>15</v>
      </c>
      <c r="C372" s="4">
        <v>1725.5</v>
      </c>
      <c r="D372" s="4">
        <v>1725.5</v>
      </c>
      <c r="E372" s="4">
        <v>1703.3</v>
      </c>
      <c r="F372" s="4">
        <v>1725.9</v>
      </c>
      <c r="G372" s="4">
        <v>1707</v>
      </c>
      <c r="H372" s="4">
        <v>1710.4</v>
      </c>
      <c r="I372" s="4">
        <v>1711.09</v>
      </c>
      <c r="J372" s="4">
        <v>2012.2</v>
      </c>
      <c r="K372" s="4">
        <v>1302.75</v>
      </c>
      <c r="L372" s="2">
        <v>1366412</v>
      </c>
      <c r="M372" s="2">
        <v>2338060639.9000001</v>
      </c>
      <c r="N372">
        <v>56478</v>
      </c>
      <c r="O372" t="s">
        <v>17</v>
      </c>
    </row>
    <row r="373" spans="1:15" x14ac:dyDescent="0.3">
      <c r="A373" s="1">
        <v>45842</v>
      </c>
      <c r="B373" t="s">
        <v>15</v>
      </c>
      <c r="C373" s="4">
        <v>1715</v>
      </c>
      <c r="D373" s="4">
        <v>1729</v>
      </c>
      <c r="E373" s="4">
        <v>1706.2</v>
      </c>
      <c r="F373" s="4">
        <v>1711.9</v>
      </c>
      <c r="G373" s="4">
        <v>1725.9</v>
      </c>
      <c r="H373" s="4">
        <v>1725.9</v>
      </c>
      <c r="I373" s="4">
        <v>1719.03</v>
      </c>
      <c r="J373" s="4">
        <v>2012.2</v>
      </c>
      <c r="K373" s="4">
        <v>1302.75</v>
      </c>
      <c r="L373" s="2">
        <v>768500</v>
      </c>
      <c r="M373" s="2">
        <v>1321075472.4000001</v>
      </c>
      <c r="N373">
        <v>30997</v>
      </c>
      <c r="O373" t="s">
        <v>17</v>
      </c>
    </row>
    <row r="374" spans="1:15" x14ac:dyDescent="0.3">
      <c r="A374" s="1">
        <v>45841</v>
      </c>
      <c r="B374" t="s">
        <v>15</v>
      </c>
      <c r="C374" s="4">
        <v>1716</v>
      </c>
      <c r="D374" s="4">
        <v>1730.5</v>
      </c>
      <c r="E374" s="4">
        <v>1706.5</v>
      </c>
      <c r="F374" s="4">
        <v>1718.6</v>
      </c>
      <c r="G374" s="4">
        <v>1710</v>
      </c>
      <c r="H374" s="4">
        <v>1711.9</v>
      </c>
      <c r="I374" s="4">
        <v>1718.24</v>
      </c>
      <c r="J374" s="4">
        <v>2012.2</v>
      </c>
      <c r="K374" s="4">
        <v>1302.75</v>
      </c>
      <c r="L374" s="2">
        <v>1839063</v>
      </c>
      <c r="M374" s="2">
        <v>3159957227.3000002</v>
      </c>
      <c r="N374">
        <v>75766</v>
      </c>
      <c r="O374" t="s">
        <v>17</v>
      </c>
    </row>
    <row r="375" spans="1:15" x14ac:dyDescent="0.3">
      <c r="A375" s="1">
        <v>45840</v>
      </c>
      <c r="B375" t="s">
        <v>15</v>
      </c>
      <c r="C375" s="4">
        <v>1722</v>
      </c>
      <c r="D375" s="4">
        <v>1738.5</v>
      </c>
      <c r="E375" s="4">
        <v>1711</v>
      </c>
      <c r="F375" s="4">
        <v>1718.3</v>
      </c>
      <c r="G375" s="4">
        <v>1715</v>
      </c>
      <c r="H375" s="4">
        <v>1718.6</v>
      </c>
      <c r="I375" s="4">
        <v>1721.52</v>
      </c>
      <c r="J375" s="4">
        <v>2012.2</v>
      </c>
      <c r="K375" s="4">
        <v>1302.75</v>
      </c>
      <c r="L375" s="2">
        <v>2069447</v>
      </c>
      <c r="M375" s="2">
        <v>3562584157.8000002</v>
      </c>
      <c r="N375">
        <v>80448</v>
      </c>
      <c r="O375" t="s">
        <v>17</v>
      </c>
    </row>
    <row r="376" spans="1:15" x14ac:dyDescent="0.3">
      <c r="A376" s="1">
        <v>45839</v>
      </c>
      <c r="B376" t="s">
        <v>15</v>
      </c>
      <c r="C376" s="4">
        <v>1728.6</v>
      </c>
      <c r="D376" s="4">
        <v>1745</v>
      </c>
      <c r="E376" s="4">
        <v>1714</v>
      </c>
      <c r="F376" s="4">
        <v>1728.6</v>
      </c>
      <c r="G376" s="4">
        <v>1718</v>
      </c>
      <c r="H376" s="4">
        <v>1718.3</v>
      </c>
      <c r="I376" s="4">
        <v>1724.9</v>
      </c>
      <c r="J376" s="4">
        <v>2012.2</v>
      </c>
      <c r="K376" s="4">
        <v>1302.75</v>
      </c>
      <c r="L376" s="2">
        <v>1639826</v>
      </c>
      <c r="M376" s="2">
        <v>2828538647.3000002</v>
      </c>
      <c r="N376">
        <v>87719</v>
      </c>
      <c r="O376" t="s">
        <v>17</v>
      </c>
    </row>
    <row r="377" spans="1:15" x14ac:dyDescent="0.3">
      <c r="A377" s="1">
        <v>45838</v>
      </c>
      <c r="B377" t="s">
        <v>15</v>
      </c>
      <c r="C377" s="4">
        <v>1725</v>
      </c>
      <c r="D377" s="4">
        <v>1734.8</v>
      </c>
      <c r="E377" s="4">
        <v>1713.3</v>
      </c>
      <c r="F377" s="4">
        <v>1723.3</v>
      </c>
      <c r="G377" s="4">
        <v>1732</v>
      </c>
      <c r="H377" s="4">
        <v>1728.6</v>
      </c>
      <c r="I377" s="4">
        <v>1725.82</v>
      </c>
      <c r="J377" s="4">
        <v>2012.2</v>
      </c>
      <c r="K377" s="4">
        <v>1302.75</v>
      </c>
      <c r="L377" s="2">
        <v>1855229</v>
      </c>
      <c r="M377" s="2">
        <v>3201797967</v>
      </c>
      <c r="N377">
        <v>79062</v>
      </c>
      <c r="O377" t="s">
        <v>17</v>
      </c>
    </row>
    <row r="378" spans="1:15" x14ac:dyDescent="0.3">
      <c r="A378" s="1">
        <v>45835</v>
      </c>
      <c r="B378" t="s">
        <v>15</v>
      </c>
      <c r="C378" s="4">
        <v>1735</v>
      </c>
      <c r="D378" s="4">
        <v>1752.5</v>
      </c>
      <c r="E378" s="4">
        <v>1710.8</v>
      </c>
      <c r="F378" s="4">
        <v>1724.1</v>
      </c>
      <c r="G378" s="4">
        <v>1728.7</v>
      </c>
      <c r="H378" s="4">
        <v>1723.3</v>
      </c>
      <c r="I378" s="4">
        <v>1725.28</v>
      </c>
      <c r="J378" s="4">
        <v>2012.2</v>
      </c>
      <c r="K378" s="4">
        <v>1302.75</v>
      </c>
      <c r="L378" s="2">
        <v>6478283</v>
      </c>
      <c r="M378" s="2">
        <v>11176867159.6</v>
      </c>
      <c r="N378">
        <v>150371</v>
      </c>
      <c r="O378" t="s">
        <v>17</v>
      </c>
    </row>
    <row r="379" spans="1:15" x14ac:dyDescent="0.3">
      <c r="A379" s="1">
        <v>45834</v>
      </c>
      <c r="B379" t="s">
        <v>15</v>
      </c>
      <c r="C379" s="4">
        <v>1710</v>
      </c>
      <c r="D379" s="4">
        <v>1726.9</v>
      </c>
      <c r="E379" s="4">
        <v>1702.7</v>
      </c>
      <c r="F379" s="4">
        <v>1717.1</v>
      </c>
      <c r="G379" s="4">
        <v>1722</v>
      </c>
      <c r="H379" s="4">
        <v>1724.1</v>
      </c>
      <c r="I379" s="4">
        <v>1719.14</v>
      </c>
      <c r="J379" s="4">
        <v>2012.2</v>
      </c>
      <c r="K379" s="4">
        <v>1302.75</v>
      </c>
      <c r="L379" s="2">
        <v>2971055</v>
      </c>
      <c r="M379" s="2">
        <v>5107646173.3999996</v>
      </c>
      <c r="N379">
        <v>109096</v>
      </c>
      <c r="O379" t="s">
        <v>17</v>
      </c>
    </row>
    <row r="380" spans="1:15" x14ac:dyDescent="0.3">
      <c r="A380" s="1">
        <v>45833</v>
      </c>
      <c r="B380" t="s">
        <v>15</v>
      </c>
      <c r="C380" s="4">
        <v>1702</v>
      </c>
      <c r="D380" s="4">
        <v>1720.7</v>
      </c>
      <c r="E380" s="4">
        <v>1701</v>
      </c>
      <c r="F380" s="4">
        <v>1691.8</v>
      </c>
      <c r="G380" s="4">
        <v>1713.9</v>
      </c>
      <c r="H380" s="4">
        <v>1717.1</v>
      </c>
      <c r="I380" s="4">
        <v>1714.03</v>
      </c>
      <c r="J380" s="4">
        <v>2012.2</v>
      </c>
      <c r="K380" s="4">
        <v>1302.75</v>
      </c>
      <c r="L380" s="2">
        <v>1307518</v>
      </c>
      <c r="M380" s="2">
        <v>2241127887.5</v>
      </c>
      <c r="N380">
        <v>67381</v>
      </c>
      <c r="O380" t="s">
        <v>17</v>
      </c>
    </row>
    <row r="381" spans="1:15" x14ac:dyDescent="0.3">
      <c r="A381" s="1">
        <v>45832</v>
      </c>
      <c r="B381" t="s">
        <v>15</v>
      </c>
      <c r="C381" s="4">
        <v>1719.9</v>
      </c>
      <c r="D381" s="4">
        <v>1732.6</v>
      </c>
      <c r="E381" s="4">
        <v>1689.2</v>
      </c>
      <c r="F381" s="4">
        <v>1703.2</v>
      </c>
      <c r="G381" s="4">
        <v>1691</v>
      </c>
      <c r="H381" s="4">
        <v>1691.8</v>
      </c>
      <c r="I381" s="4">
        <v>1704.45</v>
      </c>
      <c r="J381" s="4">
        <v>2012.2</v>
      </c>
      <c r="K381" s="4">
        <v>1302.75</v>
      </c>
      <c r="L381" s="2">
        <v>3601071</v>
      </c>
      <c r="M381" s="2">
        <v>6137832585.5</v>
      </c>
      <c r="N381">
        <v>131869</v>
      </c>
      <c r="O381" t="s">
        <v>17</v>
      </c>
    </row>
    <row r="382" spans="1:15" x14ac:dyDescent="0.3">
      <c r="A382" s="1">
        <v>45831</v>
      </c>
      <c r="B382" t="s">
        <v>15</v>
      </c>
      <c r="C382" s="4">
        <v>1729.2</v>
      </c>
      <c r="D382" s="4">
        <v>1729.8</v>
      </c>
      <c r="E382" s="4">
        <v>1699.2</v>
      </c>
      <c r="F382" s="4">
        <v>1739.9</v>
      </c>
      <c r="G382" s="4">
        <v>1699.9</v>
      </c>
      <c r="H382" s="4">
        <v>1703.2</v>
      </c>
      <c r="I382" s="4">
        <v>1709.85</v>
      </c>
      <c r="J382" s="4">
        <v>2012.2</v>
      </c>
      <c r="K382" s="4">
        <v>1302.75</v>
      </c>
      <c r="L382" s="2">
        <v>2221446</v>
      </c>
      <c r="M382" s="2">
        <v>3798348110</v>
      </c>
      <c r="N382">
        <v>78517</v>
      </c>
      <c r="O382" t="s">
        <v>17</v>
      </c>
    </row>
    <row r="383" spans="1:15" x14ac:dyDescent="0.3">
      <c r="A383" s="1">
        <v>45828</v>
      </c>
      <c r="B383" t="s">
        <v>15</v>
      </c>
      <c r="C383" s="4">
        <v>1713.9</v>
      </c>
      <c r="D383" s="4">
        <v>1742.6</v>
      </c>
      <c r="E383" s="4">
        <v>1709.1</v>
      </c>
      <c r="F383" s="4">
        <v>1713.9</v>
      </c>
      <c r="G383" s="4">
        <v>1736.9</v>
      </c>
      <c r="H383" s="4">
        <v>1739.9</v>
      </c>
      <c r="I383" s="4">
        <v>1735.97</v>
      </c>
      <c r="J383" s="4">
        <v>2012.2</v>
      </c>
      <c r="K383" s="4">
        <v>1302.75</v>
      </c>
      <c r="L383" s="2">
        <v>2719770</v>
      </c>
      <c r="M383" s="2">
        <v>4721430011.8000002</v>
      </c>
      <c r="N383">
        <v>77792</v>
      </c>
      <c r="O383" t="s">
        <v>17</v>
      </c>
    </row>
    <row r="384" spans="1:15" x14ac:dyDescent="0.3">
      <c r="A384" s="1">
        <v>45827</v>
      </c>
      <c r="B384" t="s">
        <v>15</v>
      </c>
      <c r="C384" s="4">
        <v>1719.7</v>
      </c>
      <c r="D384" s="4">
        <v>1719.7</v>
      </c>
      <c r="E384" s="4">
        <v>1697.2</v>
      </c>
      <c r="F384" s="4">
        <v>1715.9</v>
      </c>
      <c r="G384" s="4">
        <v>1706.8</v>
      </c>
      <c r="H384" s="4">
        <v>1713.9</v>
      </c>
      <c r="I384" s="4">
        <v>1707.25</v>
      </c>
      <c r="J384" s="4">
        <v>2012.2</v>
      </c>
      <c r="K384" s="4">
        <v>1302.75</v>
      </c>
      <c r="L384" s="2">
        <v>2514527</v>
      </c>
      <c r="M384" s="2">
        <v>4292931949</v>
      </c>
      <c r="N384">
        <v>110611</v>
      </c>
      <c r="O384" t="s">
        <v>17</v>
      </c>
    </row>
    <row r="385" spans="1:15" x14ac:dyDescent="0.3">
      <c r="A385" s="1">
        <v>45826</v>
      </c>
      <c r="B385" t="s">
        <v>15</v>
      </c>
      <c r="C385" s="4">
        <v>1727.9</v>
      </c>
      <c r="D385" s="4">
        <v>1745</v>
      </c>
      <c r="E385" s="4">
        <v>1710</v>
      </c>
      <c r="F385" s="4">
        <v>1729.6</v>
      </c>
      <c r="G385" s="4">
        <v>1719.7</v>
      </c>
      <c r="H385" s="4">
        <v>1715.9</v>
      </c>
      <c r="I385" s="4">
        <v>1720.55</v>
      </c>
      <c r="J385" s="4">
        <v>2012.2</v>
      </c>
      <c r="K385" s="4">
        <v>1302.75</v>
      </c>
      <c r="L385" s="2">
        <v>1794428</v>
      </c>
      <c r="M385" s="2">
        <v>3087397101</v>
      </c>
      <c r="N385">
        <v>73006</v>
      </c>
      <c r="O385" t="s">
        <v>17</v>
      </c>
    </row>
    <row r="386" spans="1:15" x14ac:dyDescent="0.3">
      <c r="A386" s="1">
        <v>45825</v>
      </c>
      <c r="B386" t="s">
        <v>15</v>
      </c>
      <c r="C386" s="4">
        <v>1728</v>
      </c>
      <c r="D386" s="4">
        <v>1738.8</v>
      </c>
      <c r="E386" s="4">
        <v>1720</v>
      </c>
      <c r="F386" s="4">
        <v>1723</v>
      </c>
      <c r="G386" s="4">
        <v>1728</v>
      </c>
      <c r="H386" s="4">
        <v>1729.6</v>
      </c>
      <c r="I386" s="4">
        <v>1731.35</v>
      </c>
      <c r="J386" s="4">
        <v>2012.2</v>
      </c>
      <c r="K386" s="4">
        <v>1302.75</v>
      </c>
      <c r="L386" s="2">
        <v>1777245</v>
      </c>
      <c r="M386" s="2">
        <v>3077026497.5</v>
      </c>
      <c r="N386">
        <v>89362</v>
      </c>
      <c r="O386" t="s">
        <v>17</v>
      </c>
    </row>
    <row r="387" spans="1:15" x14ac:dyDescent="0.3">
      <c r="A387" s="1">
        <v>45824</v>
      </c>
      <c r="B387" t="s">
        <v>15</v>
      </c>
      <c r="C387" s="4">
        <v>1692</v>
      </c>
      <c r="D387" s="4">
        <v>1729.4</v>
      </c>
      <c r="E387" s="4">
        <v>1683.4</v>
      </c>
      <c r="F387" s="4">
        <v>1695.3</v>
      </c>
      <c r="G387" s="4">
        <v>1722</v>
      </c>
      <c r="H387" s="4">
        <v>1723</v>
      </c>
      <c r="I387" s="4">
        <v>1719.53</v>
      </c>
      <c r="J387" s="4">
        <v>2012.2</v>
      </c>
      <c r="K387" s="4">
        <v>1302.75</v>
      </c>
      <c r="L387" s="2">
        <v>2116100</v>
      </c>
      <c r="M387" s="2">
        <v>3638696112.5</v>
      </c>
      <c r="N387">
        <v>80549</v>
      </c>
      <c r="O387" t="s">
        <v>17</v>
      </c>
    </row>
    <row r="388" spans="1:15" x14ac:dyDescent="0.3">
      <c r="A388" s="1">
        <v>45821</v>
      </c>
      <c r="B388" t="s">
        <v>15</v>
      </c>
      <c r="C388" s="4">
        <v>1666</v>
      </c>
      <c r="D388" s="4">
        <v>1711</v>
      </c>
      <c r="E388" s="4">
        <v>1664.6</v>
      </c>
      <c r="F388" s="4">
        <v>1701.2</v>
      </c>
      <c r="G388" s="4">
        <v>1697.4</v>
      </c>
      <c r="H388" s="4">
        <v>1695.3</v>
      </c>
      <c r="I388" s="4">
        <v>1693.86</v>
      </c>
      <c r="J388" s="4">
        <v>2012.2</v>
      </c>
      <c r="K388" s="4">
        <v>1302.75</v>
      </c>
      <c r="L388" s="2">
        <v>1988422</v>
      </c>
      <c r="M388" s="2">
        <v>3368100354.5</v>
      </c>
      <c r="N388">
        <v>73815</v>
      </c>
      <c r="O388" t="s">
        <v>17</v>
      </c>
    </row>
    <row r="389" spans="1:15" x14ac:dyDescent="0.3">
      <c r="A389" s="1">
        <v>45820</v>
      </c>
      <c r="B389" t="s">
        <v>15</v>
      </c>
      <c r="C389" s="4">
        <v>1725</v>
      </c>
      <c r="D389" s="4">
        <v>1726</v>
      </c>
      <c r="E389" s="4">
        <v>1695</v>
      </c>
      <c r="F389" s="4">
        <v>1721.9</v>
      </c>
      <c r="G389" s="4">
        <v>1702.4</v>
      </c>
      <c r="H389" s="4">
        <v>1701.2</v>
      </c>
      <c r="I389" s="4">
        <v>1706.01</v>
      </c>
      <c r="J389" s="4">
        <v>2012.2</v>
      </c>
      <c r="K389" s="4">
        <v>1302.75</v>
      </c>
      <c r="L389" s="2">
        <v>3607962</v>
      </c>
      <c r="M389" s="2">
        <v>6155229559.8999996</v>
      </c>
      <c r="N389">
        <v>139910</v>
      </c>
      <c r="O389" t="s">
        <v>17</v>
      </c>
    </row>
    <row r="390" spans="1:15" x14ac:dyDescent="0.3">
      <c r="A390" s="1">
        <v>45819</v>
      </c>
      <c r="B390" t="s">
        <v>15</v>
      </c>
      <c r="C390" s="4">
        <v>1676</v>
      </c>
      <c r="D390" s="4">
        <v>1725.4</v>
      </c>
      <c r="E390" s="4">
        <v>1666</v>
      </c>
      <c r="F390" s="4">
        <v>1668.1</v>
      </c>
      <c r="G390" s="4">
        <v>1721.3</v>
      </c>
      <c r="H390" s="4">
        <v>1721.9</v>
      </c>
      <c r="I390" s="4">
        <v>1707.99</v>
      </c>
      <c r="J390" s="4">
        <v>2012.2</v>
      </c>
      <c r="K390" s="4">
        <v>1302.75</v>
      </c>
      <c r="L390" s="2">
        <v>5085821</v>
      </c>
      <c r="M390" s="2">
        <v>8686517262.7000008</v>
      </c>
      <c r="N390">
        <v>151276</v>
      </c>
      <c r="O390" t="s">
        <v>17</v>
      </c>
    </row>
    <row r="391" spans="1:15" x14ac:dyDescent="0.3">
      <c r="A391" s="1">
        <v>45818</v>
      </c>
      <c r="B391" t="s">
        <v>15</v>
      </c>
      <c r="C391" s="4">
        <v>1653.3</v>
      </c>
      <c r="D391" s="4">
        <v>1684.9</v>
      </c>
      <c r="E391" s="4">
        <v>1649</v>
      </c>
      <c r="F391" s="4">
        <v>1648.3</v>
      </c>
      <c r="G391" s="4">
        <v>1670.7</v>
      </c>
      <c r="H391" s="4">
        <v>1668.1</v>
      </c>
      <c r="I391" s="4">
        <v>1671.68</v>
      </c>
      <c r="J391" s="4">
        <v>2012.2</v>
      </c>
      <c r="K391" s="4">
        <v>1302.75</v>
      </c>
      <c r="L391" s="2">
        <v>3055223</v>
      </c>
      <c r="M391" s="2">
        <v>5107346354.5</v>
      </c>
      <c r="N391">
        <v>117723</v>
      </c>
      <c r="O391" t="s">
        <v>17</v>
      </c>
    </row>
    <row r="392" spans="1:15" x14ac:dyDescent="0.3">
      <c r="A392" s="1">
        <v>45817</v>
      </c>
      <c r="B392" t="s">
        <v>15</v>
      </c>
      <c r="C392" s="4">
        <v>1648</v>
      </c>
      <c r="D392" s="4">
        <v>1658</v>
      </c>
      <c r="E392" s="4">
        <v>1639</v>
      </c>
      <c r="F392" s="4">
        <v>1637.7</v>
      </c>
      <c r="G392" s="4">
        <v>1648.5</v>
      </c>
      <c r="H392" s="4">
        <v>1648.3</v>
      </c>
      <c r="I392" s="4">
        <v>1650.6</v>
      </c>
      <c r="J392" s="4">
        <v>2012.2</v>
      </c>
      <c r="K392" s="4">
        <v>1302.75</v>
      </c>
      <c r="L392" s="2">
        <v>1299786</v>
      </c>
      <c r="M392" s="2">
        <v>2145421805</v>
      </c>
      <c r="N392">
        <v>78967</v>
      </c>
      <c r="O392" t="s">
        <v>17</v>
      </c>
    </row>
    <row r="393" spans="1:15" x14ac:dyDescent="0.3">
      <c r="A393" s="1">
        <v>45814</v>
      </c>
      <c r="B393" t="s">
        <v>15</v>
      </c>
      <c r="C393" s="4">
        <v>1631.2</v>
      </c>
      <c r="D393" s="4">
        <v>1639.8</v>
      </c>
      <c r="E393" s="4">
        <v>1622</v>
      </c>
      <c r="F393" s="4">
        <v>1632.4</v>
      </c>
      <c r="G393" s="4">
        <v>1638</v>
      </c>
      <c r="H393" s="4">
        <v>1637.7</v>
      </c>
      <c r="I393" s="4">
        <v>1633.47</v>
      </c>
      <c r="J393" s="4">
        <v>2012.2</v>
      </c>
      <c r="K393" s="4">
        <v>1235</v>
      </c>
      <c r="L393" s="2">
        <v>1261281</v>
      </c>
      <c r="M393" s="2">
        <v>2060270888.7</v>
      </c>
      <c r="N393">
        <v>46092</v>
      </c>
      <c r="O393" t="s">
        <v>17</v>
      </c>
    </row>
    <row r="394" spans="1:15" x14ac:dyDescent="0.3">
      <c r="A394" s="1">
        <v>45813</v>
      </c>
      <c r="B394" t="s">
        <v>15</v>
      </c>
      <c r="C394" s="4">
        <v>1634.9</v>
      </c>
      <c r="D394" s="4">
        <v>1653.9</v>
      </c>
      <c r="E394" s="4">
        <v>1624.6</v>
      </c>
      <c r="F394" s="4">
        <v>1626.1</v>
      </c>
      <c r="G394" s="4">
        <v>1632.3</v>
      </c>
      <c r="H394" s="4">
        <v>1632.4</v>
      </c>
      <c r="I394" s="4">
        <v>1634.36</v>
      </c>
      <c r="J394" s="4">
        <v>2012.2</v>
      </c>
      <c r="K394" s="4">
        <v>1235</v>
      </c>
      <c r="L394" s="2">
        <v>1409322</v>
      </c>
      <c r="M394" s="2">
        <v>2303345799.8000002</v>
      </c>
      <c r="N394">
        <v>67216</v>
      </c>
      <c r="O394" t="s">
        <v>17</v>
      </c>
    </row>
    <row r="395" spans="1:15" x14ac:dyDescent="0.3">
      <c r="A395" s="1">
        <v>45812</v>
      </c>
      <c r="B395" t="s">
        <v>15</v>
      </c>
      <c r="C395" s="4">
        <v>1631</v>
      </c>
      <c r="D395" s="4">
        <v>1644.6</v>
      </c>
      <c r="E395" s="4">
        <v>1622.2</v>
      </c>
      <c r="F395" s="4">
        <v>1630.4</v>
      </c>
      <c r="G395" s="4">
        <v>1625.4</v>
      </c>
      <c r="H395" s="4">
        <v>1626.1</v>
      </c>
      <c r="I395" s="4">
        <v>1631.91</v>
      </c>
      <c r="J395" s="4">
        <v>2012.2</v>
      </c>
      <c r="K395" s="4">
        <v>1235</v>
      </c>
      <c r="L395" s="2">
        <v>1659720</v>
      </c>
      <c r="M395" s="2">
        <v>2708512287.0999999</v>
      </c>
      <c r="N395">
        <v>70129</v>
      </c>
      <c r="O395" t="s">
        <v>17</v>
      </c>
    </row>
    <row r="396" spans="1:15" x14ac:dyDescent="0.3">
      <c r="A396" s="1">
        <v>45811</v>
      </c>
      <c r="B396" t="s">
        <v>15</v>
      </c>
      <c r="C396" s="4">
        <v>1646.9</v>
      </c>
      <c r="D396" s="4">
        <v>1651.7</v>
      </c>
      <c r="E396" s="4">
        <v>1617</v>
      </c>
      <c r="F396" s="4">
        <v>1631.5</v>
      </c>
      <c r="G396" s="4">
        <v>1630.5</v>
      </c>
      <c r="H396" s="4">
        <v>1630.4</v>
      </c>
      <c r="I396" s="4">
        <v>1631.03</v>
      </c>
      <c r="J396" s="4">
        <v>2012.2</v>
      </c>
      <c r="K396" s="4">
        <v>1235</v>
      </c>
      <c r="L396" s="2">
        <v>2380133</v>
      </c>
      <c r="M396" s="2">
        <v>3882076505</v>
      </c>
      <c r="N396">
        <v>117240</v>
      </c>
      <c r="O396" t="s">
        <v>17</v>
      </c>
    </row>
    <row r="397" spans="1:15" x14ac:dyDescent="0.3">
      <c r="A397" s="1">
        <v>45810</v>
      </c>
      <c r="B397" t="s">
        <v>15</v>
      </c>
      <c r="C397" s="4">
        <v>1625.1</v>
      </c>
      <c r="D397" s="4">
        <v>1635.2</v>
      </c>
      <c r="E397" s="4">
        <v>1605.7</v>
      </c>
      <c r="F397" s="4">
        <v>1636.6</v>
      </c>
      <c r="G397" s="4">
        <v>1628</v>
      </c>
      <c r="H397" s="4">
        <v>1631.5</v>
      </c>
      <c r="I397" s="4">
        <v>1624.66</v>
      </c>
      <c r="J397" s="4">
        <v>2012.2</v>
      </c>
      <c r="K397" s="4">
        <v>1235</v>
      </c>
      <c r="L397" s="2">
        <v>1883100</v>
      </c>
      <c r="M397" s="2">
        <v>3059394023.0999999</v>
      </c>
      <c r="N397">
        <v>87270</v>
      </c>
      <c r="O397" t="s">
        <v>17</v>
      </c>
    </row>
    <row r="398" spans="1:15" x14ac:dyDescent="0.3">
      <c r="A398" s="1">
        <v>45807</v>
      </c>
      <c r="B398" t="s">
        <v>15</v>
      </c>
      <c r="C398" s="4">
        <v>1664.7</v>
      </c>
      <c r="D398" s="4">
        <v>1664.7</v>
      </c>
      <c r="E398" s="4">
        <v>1627.3</v>
      </c>
      <c r="F398" s="4">
        <v>1664.7</v>
      </c>
      <c r="G398" s="4">
        <v>1631.5</v>
      </c>
      <c r="H398" s="4">
        <v>1636.6</v>
      </c>
      <c r="I398" s="4">
        <v>1640.93</v>
      </c>
      <c r="J398" s="4">
        <v>2012.2</v>
      </c>
      <c r="K398" s="4">
        <v>1235</v>
      </c>
      <c r="L398" s="2">
        <v>4408910</v>
      </c>
      <c r="M398" s="2">
        <v>7234713454</v>
      </c>
      <c r="N398">
        <v>100975</v>
      </c>
      <c r="O398" t="s">
        <v>17</v>
      </c>
    </row>
    <row r="399" spans="1:15" x14ac:dyDescent="0.3">
      <c r="A399" s="1">
        <v>45806</v>
      </c>
      <c r="B399" t="s">
        <v>15</v>
      </c>
      <c r="C399" s="4">
        <v>1670</v>
      </c>
      <c r="D399" s="4">
        <v>1675.5</v>
      </c>
      <c r="E399" s="4">
        <v>1655.6</v>
      </c>
      <c r="F399" s="4">
        <v>1657.3</v>
      </c>
      <c r="G399" s="4">
        <v>1665.5</v>
      </c>
      <c r="H399" s="4">
        <v>1664.7</v>
      </c>
      <c r="I399" s="4">
        <v>1663.36</v>
      </c>
      <c r="J399" s="4">
        <v>2012.2</v>
      </c>
      <c r="K399" s="4">
        <v>1235</v>
      </c>
      <c r="L399" s="2">
        <v>2374051</v>
      </c>
      <c r="M399" s="2">
        <v>3948895883.1999998</v>
      </c>
      <c r="N399">
        <v>81223</v>
      </c>
      <c r="O399" t="s">
        <v>17</v>
      </c>
    </row>
    <row r="400" spans="1:15" x14ac:dyDescent="0.3">
      <c r="A400" s="1">
        <v>45805</v>
      </c>
      <c r="B400" t="s">
        <v>15</v>
      </c>
      <c r="C400" s="4">
        <v>1664</v>
      </c>
      <c r="D400" s="4">
        <v>1666.8</v>
      </c>
      <c r="E400" s="4">
        <v>1647</v>
      </c>
      <c r="F400" s="4">
        <v>1652.1</v>
      </c>
      <c r="G400" s="4">
        <v>1660</v>
      </c>
      <c r="H400" s="4">
        <v>1657.3</v>
      </c>
      <c r="I400" s="4">
        <v>1654.59</v>
      </c>
      <c r="J400" s="4">
        <v>2012.2</v>
      </c>
      <c r="K400" s="4">
        <v>1235</v>
      </c>
      <c r="L400" s="2">
        <v>1775441</v>
      </c>
      <c r="M400" s="2">
        <v>2937633522.5</v>
      </c>
      <c r="N400">
        <v>59437</v>
      </c>
      <c r="O400" t="s">
        <v>17</v>
      </c>
    </row>
    <row r="401" spans="1:15" x14ac:dyDescent="0.3">
      <c r="A401" s="1">
        <v>45804</v>
      </c>
      <c r="B401" t="s">
        <v>15</v>
      </c>
      <c r="C401" s="4">
        <v>1673.8</v>
      </c>
      <c r="D401" s="4">
        <v>1675.5</v>
      </c>
      <c r="E401" s="4">
        <v>1641.5</v>
      </c>
      <c r="F401" s="4">
        <v>1673.6</v>
      </c>
      <c r="G401" s="4">
        <v>1654.9</v>
      </c>
      <c r="H401" s="4">
        <v>1652.1</v>
      </c>
      <c r="I401" s="4">
        <v>1654.27</v>
      </c>
      <c r="J401" s="4">
        <v>2012.2</v>
      </c>
      <c r="K401" s="4">
        <v>1235</v>
      </c>
      <c r="L401" s="2">
        <v>2740015</v>
      </c>
      <c r="M401" s="2">
        <v>4532722727.3000002</v>
      </c>
      <c r="N401">
        <v>97349</v>
      </c>
      <c r="O401" t="s">
        <v>17</v>
      </c>
    </row>
    <row r="402" spans="1:15" x14ac:dyDescent="0.3">
      <c r="A402" s="1">
        <v>45803</v>
      </c>
      <c r="B402" t="s">
        <v>15</v>
      </c>
      <c r="C402" s="4">
        <v>1652.4</v>
      </c>
      <c r="D402" s="4">
        <v>1675.8</v>
      </c>
      <c r="E402" s="4">
        <v>1645.6</v>
      </c>
      <c r="F402" s="4">
        <v>1648.2</v>
      </c>
      <c r="G402" s="4">
        <v>1673.8</v>
      </c>
      <c r="H402" s="4">
        <v>1673.6</v>
      </c>
      <c r="I402" s="4">
        <v>1669.56</v>
      </c>
      <c r="J402" s="4">
        <v>2012.2</v>
      </c>
      <c r="K402" s="4">
        <v>1235</v>
      </c>
      <c r="L402" s="2">
        <v>1078813</v>
      </c>
      <c r="M402" s="2">
        <v>1801147339.4000001</v>
      </c>
      <c r="N402">
        <v>46732</v>
      </c>
      <c r="O402" t="s">
        <v>17</v>
      </c>
    </row>
    <row r="403" spans="1:15" x14ac:dyDescent="0.3">
      <c r="A403" s="1">
        <v>45800</v>
      </c>
      <c r="B403" t="s">
        <v>15</v>
      </c>
      <c r="C403" s="4">
        <v>1633</v>
      </c>
      <c r="D403" s="4">
        <v>1670.8</v>
      </c>
      <c r="E403" s="4">
        <v>1622.5</v>
      </c>
      <c r="F403" s="4">
        <v>1633</v>
      </c>
      <c r="G403" s="4">
        <v>1649.5</v>
      </c>
      <c r="H403" s="4">
        <v>1648.2</v>
      </c>
      <c r="I403" s="4">
        <v>1655.65</v>
      </c>
      <c r="J403" s="4">
        <v>2012.2</v>
      </c>
      <c r="K403" s="4">
        <v>1235</v>
      </c>
      <c r="L403" s="2">
        <v>1459454</v>
      </c>
      <c r="M403" s="2">
        <v>2416346063.5999999</v>
      </c>
      <c r="N403">
        <v>52849</v>
      </c>
      <c r="O403" t="s">
        <v>17</v>
      </c>
    </row>
    <row r="404" spans="1:15" x14ac:dyDescent="0.3">
      <c r="A404" s="1">
        <v>45799</v>
      </c>
      <c r="B404" t="s">
        <v>15</v>
      </c>
      <c r="C404" s="4">
        <v>1638.4</v>
      </c>
      <c r="D404" s="4">
        <v>1640.7</v>
      </c>
      <c r="E404" s="4">
        <v>1614</v>
      </c>
      <c r="F404" s="4">
        <v>1652</v>
      </c>
      <c r="G404" s="4">
        <v>1640</v>
      </c>
      <c r="H404" s="4">
        <v>1633</v>
      </c>
      <c r="I404" s="4">
        <v>1629.6</v>
      </c>
      <c r="J404" s="4">
        <v>2012.2</v>
      </c>
      <c r="K404" s="4">
        <v>1235</v>
      </c>
      <c r="L404" s="2">
        <v>2202093</v>
      </c>
      <c r="M404" s="2">
        <v>3588534592.5</v>
      </c>
      <c r="N404">
        <v>87046</v>
      </c>
      <c r="O404" t="s">
        <v>17</v>
      </c>
    </row>
    <row r="405" spans="1:15" x14ac:dyDescent="0.3">
      <c r="A405" s="1">
        <v>45798</v>
      </c>
      <c r="B405" t="s">
        <v>15</v>
      </c>
      <c r="C405" s="4">
        <v>1645</v>
      </c>
      <c r="D405" s="4">
        <v>1657.5</v>
      </c>
      <c r="E405" s="4">
        <v>1628.4</v>
      </c>
      <c r="F405" s="4">
        <v>1638.3</v>
      </c>
      <c r="G405" s="4">
        <v>1649</v>
      </c>
      <c r="H405" s="4">
        <v>1652</v>
      </c>
      <c r="I405" s="4">
        <v>1648.03</v>
      </c>
      <c r="J405" s="4">
        <v>2012.2</v>
      </c>
      <c r="K405" s="4">
        <v>1235</v>
      </c>
      <c r="L405" s="2">
        <v>1420835</v>
      </c>
      <c r="M405" s="2">
        <v>2341573076.5</v>
      </c>
      <c r="N405">
        <v>51082</v>
      </c>
      <c r="O405" t="s">
        <v>17</v>
      </c>
    </row>
    <row r="406" spans="1:15" x14ac:dyDescent="0.3">
      <c r="A406" s="1">
        <v>45797</v>
      </c>
      <c r="B406" t="s">
        <v>15</v>
      </c>
      <c r="C406" s="4">
        <v>1660.8</v>
      </c>
      <c r="D406" s="4">
        <v>1666</v>
      </c>
      <c r="E406" s="4">
        <v>1636.4</v>
      </c>
      <c r="F406" s="4">
        <v>1649.6</v>
      </c>
      <c r="G406" s="4">
        <v>1640</v>
      </c>
      <c r="H406" s="4">
        <v>1638.3</v>
      </c>
      <c r="I406" s="4">
        <v>1645.92</v>
      </c>
      <c r="J406" s="4">
        <v>2012.2</v>
      </c>
      <c r="K406" s="4">
        <v>1235</v>
      </c>
      <c r="L406" s="2">
        <v>2421580</v>
      </c>
      <c r="M406" s="2">
        <v>3985723342.6999998</v>
      </c>
      <c r="N406">
        <v>80612</v>
      </c>
      <c r="O406" t="s">
        <v>17</v>
      </c>
    </row>
    <row r="407" spans="1:15" x14ac:dyDescent="0.3">
      <c r="A407" s="1">
        <v>45796</v>
      </c>
      <c r="B407" t="s">
        <v>15</v>
      </c>
      <c r="C407" s="4">
        <v>1661</v>
      </c>
      <c r="D407" s="4">
        <v>1664</v>
      </c>
      <c r="E407" s="4">
        <v>1638.1</v>
      </c>
      <c r="F407" s="4">
        <v>1659.9</v>
      </c>
      <c r="G407" s="4">
        <v>1651</v>
      </c>
      <c r="H407" s="4">
        <v>1649.6</v>
      </c>
      <c r="I407" s="4">
        <v>1648.41</v>
      </c>
      <c r="J407" s="4">
        <v>2012.2</v>
      </c>
      <c r="K407" s="4">
        <v>1235</v>
      </c>
      <c r="L407" s="2">
        <v>1642018</v>
      </c>
      <c r="M407" s="2">
        <v>2706723262.1999998</v>
      </c>
      <c r="N407">
        <v>91252</v>
      </c>
      <c r="O407" t="s">
        <v>17</v>
      </c>
    </row>
    <row r="408" spans="1:15" x14ac:dyDescent="0.3">
      <c r="A408" s="1">
        <v>45793</v>
      </c>
      <c r="B408" t="s">
        <v>15</v>
      </c>
      <c r="C408" s="4">
        <v>1691.9</v>
      </c>
      <c r="D408" s="4">
        <v>1693.5</v>
      </c>
      <c r="E408" s="4">
        <v>1658</v>
      </c>
      <c r="F408" s="4">
        <v>1696</v>
      </c>
      <c r="G408" s="4">
        <v>1661</v>
      </c>
      <c r="H408" s="4">
        <v>1659.9</v>
      </c>
      <c r="I408" s="4">
        <v>1667.09</v>
      </c>
      <c r="J408" s="4">
        <v>2012.2</v>
      </c>
      <c r="K408" s="4">
        <v>1235</v>
      </c>
      <c r="L408" s="2">
        <v>2586263</v>
      </c>
      <c r="M408" s="2">
        <v>4311543189.1999998</v>
      </c>
      <c r="N408">
        <v>99649</v>
      </c>
      <c r="O408" t="s">
        <v>17</v>
      </c>
    </row>
    <row r="409" spans="1:15" x14ac:dyDescent="0.3">
      <c r="A409" s="1">
        <v>45792</v>
      </c>
      <c r="B409" t="s">
        <v>15</v>
      </c>
      <c r="C409" s="4">
        <v>1650</v>
      </c>
      <c r="D409" s="4">
        <v>1702.6</v>
      </c>
      <c r="E409" s="4">
        <v>1625</v>
      </c>
      <c r="F409" s="4">
        <v>1637.7</v>
      </c>
      <c r="G409" s="4">
        <v>1692</v>
      </c>
      <c r="H409" s="4">
        <v>1696</v>
      </c>
      <c r="I409" s="4">
        <v>1671.48</v>
      </c>
      <c r="J409" s="4">
        <v>2012.2</v>
      </c>
      <c r="K409" s="4">
        <v>1235</v>
      </c>
      <c r="L409" s="2">
        <v>4961582</v>
      </c>
      <c r="M409" s="2">
        <v>8293207213.5</v>
      </c>
      <c r="N409">
        <v>184925</v>
      </c>
      <c r="O409" t="s">
        <v>17</v>
      </c>
    </row>
    <row r="410" spans="1:15" x14ac:dyDescent="0.3">
      <c r="A410" s="1">
        <v>45791</v>
      </c>
      <c r="B410" t="s">
        <v>15</v>
      </c>
      <c r="C410" s="4">
        <v>1630</v>
      </c>
      <c r="D410" s="4">
        <v>1642.3</v>
      </c>
      <c r="E410" s="4">
        <v>1617</v>
      </c>
      <c r="F410" s="4">
        <v>1619.6</v>
      </c>
      <c r="G410" s="4">
        <v>1641.3</v>
      </c>
      <c r="H410" s="4">
        <v>1637.7</v>
      </c>
      <c r="I410" s="4">
        <v>1632.79</v>
      </c>
      <c r="J410" s="4">
        <v>2012.2</v>
      </c>
      <c r="K410" s="4">
        <v>1235</v>
      </c>
      <c r="L410" s="2">
        <v>1569126</v>
      </c>
      <c r="M410" s="2">
        <v>2562050834.0999999</v>
      </c>
      <c r="N410">
        <v>83272</v>
      </c>
      <c r="O410" t="s">
        <v>17</v>
      </c>
    </row>
    <row r="411" spans="1:15" x14ac:dyDescent="0.3">
      <c r="A411" s="1">
        <v>45790</v>
      </c>
      <c r="B411" t="s">
        <v>15</v>
      </c>
      <c r="C411" s="4">
        <v>1685</v>
      </c>
      <c r="D411" s="4">
        <v>1688.1</v>
      </c>
      <c r="E411" s="4">
        <v>1615.2</v>
      </c>
      <c r="F411" s="4">
        <v>1670.3</v>
      </c>
      <c r="G411" s="4">
        <v>1619.9</v>
      </c>
      <c r="H411" s="4">
        <v>1619.6</v>
      </c>
      <c r="I411" s="4">
        <v>1632.9</v>
      </c>
      <c r="J411" s="4">
        <v>2012.2</v>
      </c>
      <c r="K411" s="4">
        <v>1235</v>
      </c>
      <c r="L411" s="2">
        <v>3118470</v>
      </c>
      <c r="M411" s="2">
        <v>5092158125.3000002</v>
      </c>
      <c r="N411">
        <v>119292</v>
      </c>
      <c r="O411" t="s">
        <v>17</v>
      </c>
    </row>
    <row r="412" spans="1:15" x14ac:dyDescent="0.3">
      <c r="A412" s="1">
        <v>45789</v>
      </c>
      <c r="B412" t="s">
        <v>15</v>
      </c>
      <c r="C412" s="4">
        <v>1598.8</v>
      </c>
      <c r="D412" s="4">
        <v>1675</v>
      </c>
      <c r="E412" s="4">
        <v>1594</v>
      </c>
      <c r="F412" s="4">
        <v>1569.4</v>
      </c>
      <c r="G412" s="4">
        <v>1663</v>
      </c>
      <c r="H412" s="4">
        <v>1670.3</v>
      </c>
      <c r="I412" s="4">
        <v>1651.26</v>
      </c>
      <c r="J412" s="4">
        <v>2012.2</v>
      </c>
      <c r="K412" s="4">
        <v>1235</v>
      </c>
      <c r="L412" s="2">
        <v>4028207</v>
      </c>
      <c r="M412" s="2">
        <v>6651610416</v>
      </c>
      <c r="N412">
        <v>133071</v>
      </c>
      <c r="O412" t="s">
        <v>17</v>
      </c>
    </row>
    <row r="413" spans="1:15" x14ac:dyDescent="0.3">
      <c r="A413" s="1">
        <v>45786</v>
      </c>
      <c r="B413" t="s">
        <v>15</v>
      </c>
      <c r="C413" s="4">
        <v>1566</v>
      </c>
      <c r="D413" s="4">
        <v>1577.7</v>
      </c>
      <c r="E413" s="4">
        <v>1557.3</v>
      </c>
      <c r="F413" s="4">
        <v>1580.7</v>
      </c>
      <c r="G413" s="4">
        <v>1572.5</v>
      </c>
      <c r="H413" s="4">
        <v>1569.4</v>
      </c>
      <c r="I413" s="4">
        <v>1569.43</v>
      </c>
      <c r="J413" s="4">
        <v>2012.2</v>
      </c>
      <c r="K413" s="4">
        <v>1235</v>
      </c>
      <c r="L413" s="2">
        <v>2035161</v>
      </c>
      <c r="M413" s="2">
        <v>3194047826.0999999</v>
      </c>
      <c r="N413">
        <v>85397</v>
      </c>
      <c r="O413" t="s">
        <v>17</v>
      </c>
    </row>
    <row r="414" spans="1:15" x14ac:dyDescent="0.3">
      <c r="A414" s="1">
        <v>45785</v>
      </c>
      <c r="B414" t="s">
        <v>15</v>
      </c>
      <c r="C414" s="4">
        <v>1561.9</v>
      </c>
      <c r="D414" s="4">
        <v>1598</v>
      </c>
      <c r="E414" s="4">
        <v>1555.8</v>
      </c>
      <c r="F414" s="4">
        <v>1563.3</v>
      </c>
      <c r="G414" s="4">
        <v>1572.1</v>
      </c>
      <c r="H414" s="4">
        <v>1580.7</v>
      </c>
      <c r="I414" s="4">
        <v>1581.65</v>
      </c>
      <c r="J414" s="4">
        <v>2012.2</v>
      </c>
      <c r="K414" s="4">
        <v>1235</v>
      </c>
      <c r="L414" s="2">
        <v>2789018</v>
      </c>
      <c r="M414" s="2">
        <v>4411248439</v>
      </c>
      <c r="N414">
        <v>98946</v>
      </c>
      <c r="O414" t="s">
        <v>17</v>
      </c>
    </row>
    <row r="415" spans="1:15" x14ac:dyDescent="0.3">
      <c r="A415" s="1">
        <v>45784</v>
      </c>
      <c r="B415" t="s">
        <v>15</v>
      </c>
      <c r="C415" s="4">
        <v>1552</v>
      </c>
      <c r="D415" s="4">
        <v>1578.4</v>
      </c>
      <c r="E415" s="4">
        <v>1545</v>
      </c>
      <c r="F415" s="4">
        <v>1579.1</v>
      </c>
      <c r="G415" s="4">
        <v>1565.3</v>
      </c>
      <c r="H415" s="4">
        <v>1563.3</v>
      </c>
      <c r="I415" s="4">
        <v>1562.62</v>
      </c>
      <c r="J415" s="4">
        <v>2012.2</v>
      </c>
      <c r="K415" s="4">
        <v>1235</v>
      </c>
      <c r="L415" s="2">
        <v>5469936</v>
      </c>
      <c r="M415" s="2">
        <v>8547406780.5</v>
      </c>
      <c r="N415">
        <v>128223</v>
      </c>
      <c r="O415" t="s">
        <v>17</v>
      </c>
    </row>
    <row r="416" spans="1:15" x14ac:dyDescent="0.3">
      <c r="A416" s="1">
        <v>45783</v>
      </c>
      <c r="B416" t="s">
        <v>15</v>
      </c>
      <c r="C416" s="4">
        <v>1576.8</v>
      </c>
      <c r="D416" s="4">
        <v>1583.8</v>
      </c>
      <c r="E416" s="4">
        <v>1565.1</v>
      </c>
      <c r="F416" s="4">
        <v>1568.6</v>
      </c>
      <c r="G416" s="4">
        <v>1570</v>
      </c>
      <c r="H416" s="4">
        <v>1579.1</v>
      </c>
      <c r="I416" s="4">
        <v>1575.07</v>
      </c>
      <c r="J416" s="4">
        <v>2012.2</v>
      </c>
      <c r="K416" s="4">
        <v>1235</v>
      </c>
      <c r="L416" s="2">
        <v>2055057</v>
      </c>
      <c r="M416" s="2">
        <v>3236859717.5999999</v>
      </c>
      <c r="N416">
        <v>86060</v>
      </c>
      <c r="O416" t="s">
        <v>17</v>
      </c>
    </row>
    <row r="417" spans="1:15" x14ac:dyDescent="0.3">
      <c r="A417" s="1">
        <v>45782</v>
      </c>
      <c r="B417" t="s">
        <v>15</v>
      </c>
      <c r="C417" s="4">
        <v>1580</v>
      </c>
      <c r="D417" s="4">
        <v>1597.7</v>
      </c>
      <c r="E417" s="4">
        <v>1563.3</v>
      </c>
      <c r="F417" s="4">
        <v>1576.5</v>
      </c>
      <c r="G417" s="4">
        <v>1569</v>
      </c>
      <c r="H417" s="4">
        <v>1568.6</v>
      </c>
      <c r="I417" s="4">
        <v>1577.67</v>
      </c>
      <c r="J417" s="4">
        <v>2012.2</v>
      </c>
      <c r="K417" s="4">
        <v>1235</v>
      </c>
      <c r="L417" s="2">
        <v>1012225</v>
      </c>
      <c r="M417" s="2">
        <v>1596953874.3</v>
      </c>
      <c r="N417">
        <v>59357</v>
      </c>
      <c r="O417" t="s">
        <v>17</v>
      </c>
    </row>
    <row r="418" spans="1:15" x14ac:dyDescent="0.3">
      <c r="A418" s="1">
        <v>45779</v>
      </c>
      <c r="B418" t="s">
        <v>15</v>
      </c>
      <c r="C418" s="4">
        <v>1567</v>
      </c>
      <c r="D418" s="4">
        <v>1581</v>
      </c>
      <c r="E418" s="4">
        <v>1557.1</v>
      </c>
      <c r="F418" s="4">
        <v>1567.5</v>
      </c>
      <c r="G418" s="4">
        <v>1572.4</v>
      </c>
      <c r="H418" s="4">
        <v>1576.5</v>
      </c>
      <c r="I418" s="4">
        <v>1573.44</v>
      </c>
      <c r="J418" s="4">
        <v>2012.2</v>
      </c>
      <c r="K418" s="4">
        <v>1235</v>
      </c>
      <c r="L418" s="2">
        <v>1895904</v>
      </c>
      <c r="M418" s="2">
        <v>2983089247.1999998</v>
      </c>
      <c r="N418">
        <v>93227</v>
      </c>
      <c r="O418" t="s">
        <v>17</v>
      </c>
    </row>
    <row r="419" spans="1:15" x14ac:dyDescent="0.3">
      <c r="A419" s="1">
        <v>45777</v>
      </c>
      <c r="B419" t="s">
        <v>15</v>
      </c>
      <c r="C419" s="4">
        <v>1571</v>
      </c>
      <c r="D419" s="4">
        <v>1587.9</v>
      </c>
      <c r="E419" s="4">
        <v>1554</v>
      </c>
      <c r="F419" s="4">
        <v>1569</v>
      </c>
      <c r="G419" s="4">
        <v>1556.5</v>
      </c>
      <c r="H419" s="4">
        <v>1567.5</v>
      </c>
      <c r="I419" s="4">
        <v>1569.92</v>
      </c>
      <c r="J419" s="4">
        <v>2012.2</v>
      </c>
      <c r="K419" s="4">
        <v>1235</v>
      </c>
      <c r="L419" s="2">
        <v>3682256</v>
      </c>
      <c r="M419" s="2">
        <v>5780840520.3000002</v>
      </c>
      <c r="N419">
        <v>129457</v>
      </c>
      <c r="O419" t="s">
        <v>17</v>
      </c>
    </row>
    <row r="420" spans="1:15" x14ac:dyDescent="0.3">
      <c r="A420" s="1">
        <v>45776</v>
      </c>
      <c r="B420" t="s">
        <v>15</v>
      </c>
      <c r="C420" s="4">
        <v>1555</v>
      </c>
      <c r="D420" s="4">
        <v>1580.8</v>
      </c>
      <c r="E420" s="4">
        <v>1548.1</v>
      </c>
      <c r="F420" s="4">
        <v>1549.3</v>
      </c>
      <c r="G420" s="4">
        <v>1570</v>
      </c>
      <c r="H420" s="4">
        <v>1569</v>
      </c>
      <c r="I420" s="4">
        <v>1564.53</v>
      </c>
      <c r="J420" s="4">
        <v>2012.2</v>
      </c>
      <c r="K420" s="4">
        <v>1235</v>
      </c>
      <c r="L420" s="2">
        <v>2231069</v>
      </c>
      <c r="M420" s="2">
        <v>3490564859.9000001</v>
      </c>
      <c r="N420">
        <v>89109</v>
      </c>
      <c r="O420" t="s">
        <v>17</v>
      </c>
    </row>
    <row r="421" spans="1:15" x14ac:dyDescent="0.3">
      <c r="A421" s="1">
        <v>45775</v>
      </c>
      <c r="B421" t="s">
        <v>15</v>
      </c>
      <c r="C421" s="4">
        <v>1565</v>
      </c>
      <c r="D421" s="4">
        <v>1569.4</v>
      </c>
      <c r="E421" s="4">
        <v>1537.1</v>
      </c>
      <c r="F421" s="4">
        <v>1578.2</v>
      </c>
      <c r="G421" s="4">
        <v>1550</v>
      </c>
      <c r="H421" s="4">
        <v>1549.3</v>
      </c>
      <c r="I421" s="4">
        <v>1548.84</v>
      </c>
      <c r="J421" s="4">
        <v>2012.2</v>
      </c>
      <c r="K421" s="4">
        <v>1235</v>
      </c>
      <c r="L421" s="2">
        <v>2618810</v>
      </c>
      <c r="M421" s="2">
        <v>4056115149.6999998</v>
      </c>
      <c r="N421">
        <v>107060</v>
      </c>
      <c r="O421" t="s">
        <v>17</v>
      </c>
    </row>
    <row r="422" spans="1:15" x14ac:dyDescent="0.3">
      <c r="A422" s="1">
        <v>45772</v>
      </c>
      <c r="B422" t="s">
        <v>15</v>
      </c>
      <c r="C422" s="4">
        <v>1590</v>
      </c>
      <c r="D422" s="4">
        <v>1618</v>
      </c>
      <c r="E422" s="4">
        <v>1568.1</v>
      </c>
      <c r="F422" s="4">
        <v>1586.7</v>
      </c>
      <c r="G422" s="4">
        <v>1576.4</v>
      </c>
      <c r="H422" s="4">
        <v>1578.2</v>
      </c>
      <c r="I422" s="4">
        <v>1583.92</v>
      </c>
      <c r="J422" s="4">
        <v>2012.2</v>
      </c>
      <c r="K422" s="4">
        <v>1235</v>
      </c>
      <c r="L422" s="2">
        <v>3800415</v>
      </c>
      <c r="M422" s="2">
        <v>6019563732.6000004</v>
      </c>
      <c r="N422">
        <v>118647</v>
      </c>
      <c r="O422" t="s">
        <v>17</v>
      </c>
    </row>
    <row r="423" spans="1:15" x14ac:dyDescent="0.3">
      <c r="A423" s="1">
        <v>45771</v>
      </c>
      <c r="B423" t="s">
        <v>15</v>
      </c>
      <c r="C423" s="4">
        <v>1595</v>
      </c>
      <c r="D423" s="4">
        <v>1603.3</v>
      </c>
      <c r="E423" s="4">
        <v>1576.1</v>
      </c>
      <c r="F423" s="4">
        <v>1594</v>
      </c>
      <c r="G423" s="4">
        <v>1590.3</v>
      </c>
      <c r="H423" s="4">
        <v>1586.7</v>
      </c>
      <c r="I423" s="4">
        <v>1587.95</v>
      </c>
      <c r="J423" s="4">
        <v>2012.2</v>
      </c>
      <c r="K423" s="4">
        <v>1235</v>
      </c>
      <c r="L423" s="2">
        <v>3193118</v>
      </c>
      <c r="M423" s="2">
        <v>5070521059.3000002</v>
      </c>
      <c r="N423">
        <v>123766</v>
      </c>
      <c r="O423" t="s">
        <v>17</v>
      </c>
    </row>
    <row r="424" spans="1:15" x14ac:dyDescent="0.3">
      <c r="A424" s="1">
        <v>45770</v>
      </c>
      <c r="B424" t="s">
        <v>15</v>
      </c>
      <c r="C424" s="4">
        <v>1555</v>
      </c>
      <c r="D424" s="4">
        <v>1600</v>
      </c>
      <c r="E424" s="4">
        <v>1543.7</v>
      </c>
      <c r="F424" s="4">
        <v>1479.9</v>
      </c>
      <c r="G424" s="4">
        <v>1594.4</v>
      </c>
      <c r="H424" s="4">
        <v>1594</v>
      </c>
      <c r="I424" s="4">
        <v>1583.28</v>
      </c>
      <c r="J424" s="4">
        <v>2012.2</v>
      </c>
      <c r="K424" s="4">
        <v>1235</v>
      </c>
      <c r="L424" s="2">
        <v>13293318</v>
      </c>
      <c r="M424" s="2">
        <v>21046993578.599998</v>
      </c>
      <c r="N424">
        <v>329993</v>
      </c>
      <c r="O424" t="s">
        <v>17</v>
      </c>
    </row>
    <row r="425" spans="1:15" x14ac:dyDescent="0.3">
      <c r="A425" s="1">
        <v>45769</v>
      </c>
      <c r="B425" t="s">
        <v>15</v>
      </c>
      <c r="C425" s="4">
        <v>1490</v>
      </c>
      <c r="D425" s="4">
        <v>1499.9</v>
      </c>
      <c r="E425" s="4">
        <v>1464.5</v>
      </c>
      <c r="F425" s="4">
        <v>1482</v>
      </c>
      <c r="G425" s="4">
        <v>1485.9</v>
      </c>
      <c r="H425" s="4">
        <v>1479.9</v>
      </c>
      <c r="I425" s="4">
        <v>1480.59</v>
      </c>
      <c r="J425" s="4">
        <v>2012.2</v>
      </c>
      <c r="K425" s="4">
        <v>1235</v>
      </c>
      <c r="L425" s="2">
        <v>2608145</v>
      </c>
      <c r="M425" s="2">
        <v>3861596452.8000002</v>
      </c>
      <c r="N425">
        <v>95264</v>
      </c>
      <c r="O425" t="s">
        <v>17</v>
      </c>
    </row>
    <row r="426" spans="1:15" x14ac:dyDescent="0.3">
      <c r="A426" s="1">
        <v>45768</v>
      </c>
      <c r="B426" t="s">
        <v>15</v>
      </c>
      <c r="C426" s="4">
        <v>1435</v>
      </c>
      <c r="D426" s="4">
        <v>1499</v>
      </c>
      <c r="E426" s="4">
        <v>1430</v>
      </c>
      <c r="F426" s="4">
        <v>1438</v>
      </c>
      <c r="G426" s="4">
        <v>1478</v>
      </c>
      <c r="H426" s="4">
        <v>1482</v>
      </c>
      <c r="I426" s="4">
        <v>1473.95</v>
      </c>
      <c r="J426" s="4">
        <v>2012.2</v>
      </c>
      <c r="K426" s="4">
        <v>1235</v>
      </c>
      <c r="L426" s="2">
        <v>2840104</v>
      </c>
      <c r="M426" s="2">
        <v>4186173438.5999999</v>
      </c>
      <c r="N426">
        <v>97809</v>
      </c>
      <c r="O426" t="s">
        <v>17</v>
      </c>
    </row>
    <row r="427" spans="1:15" x14ac:dyDescent="0.3">
      <c r="A427" s="1">
        <v>45764</v>
      </c>
      <c r="B427" t="s">
        <v>15</v>
      </c>
      <c r="C427" s="4">
        <v>1420</v>
      </c>
      <c r="D427" s="4">
        <v>1442.1</v>
      </c>
      <c r="E427" s="4">
        <v>1384</v>
      </c>
      <c r="F427" s="4">
        <v>1431.7</v>
      </c>
      <c r="G427" s="4">
        <v>1439</v>
      </c>
      <c r="H427" s="4">
        <v>1438</v>
      </c>
      <c r="I427" s="4">
        <v>1409.58</v>
      </c>
      <c r="J427" s="4">
        <v>2012.2</v>
      </c>
      <c r="K427" s="4">
        <v>1235</v>
      </c>
      <c r="L427" s="2">
        <v>3549969</v>
      </c>
      <c r="M427" s="2">
        <v>5003973557.1999998</v>
      </c>
      <c r="N427">
        <v>168356</v>
      </c>
      <c r="O427" t="s">
        <v>17</v>
      </c>
    </row>
    <row r="428" spans="1:15" x14ac:dyDescent="0.3">
      <c r="A428" s="1">
        <v>45763</v>
      </c>
      <c r="B428" t="s">
        <v>15</v>
      </c>
      <c r="C428" s="4">
        <v>1415</v>
      </c>
      <c r="D428" s="4">
        <v>1436.1</v>
      </c>
      <c r="E428" s="4">
        <v>1405.5</v>
      </c>
      <c r="F428" s="4">
        <v>1426.5</v>
      </c>
      <c r="G428" s="4">
        <v>1434</v>
      </c>
      <c r="H428" s="4">
        <v>1431.7</v>
      </c>
      <c r="I428" s="4">
        <v>1424.34</v>
      </c>
      <c r="J428" s="4">
        <v>2012.2</v>
      </c>
      <c r="K428" s="4">
        <v>1235</v>
      </c>
      <c r="L428" s="2">
        <v>2553111</v>
      </c>
      <c r="M428" s="2">
        <v>3636487592.8000002</v>
      </c>
      <c r="N428">
        <v>93892</v>
      </c>
      <c r="O428" t="s">
        <v>17</v>
      </c>
    </row>
    <row r="429" spans="1:15" x14ac:dyDescent="0.3">
      <c r="A429" s="1">
        <v>45762</v>
      </c>
      <c r="B429" t="s">
        <v>15</v>
      </c>
      <c r="C429" s="4">
        <v>1420</v>
      </c>
      <c r="D429" s="4">
        <v>1428.8</v>
      </c>
      <c r="E429" s="4">
        <v>1406</v>
      </c>
      <c r="F429" s="4">
        <v>1390.55</v>
      </c>
      <c r="G429" s="4">
        <v>1426</v>
      </c>
      <c r="H429" s="4">
        <v>1426.5</v>
      </c>
      <c r="I429" s="4">
        <v>1420.09</v>
      </c>
      <c r="J429" s="4">
        <v>2012.2</v>
      </c>
      <c r="K429" s="4">
        <v>1235</v>
      </c>
      <c r="L429" s="2">
        <v>3265147</v>
      </c>
      <c r="M429" s="2">
        <v>4636787070.1000004</v>
      </c>
      <c r="N429">
        <v>94027</v>
      </c>
      <c r="O429" t="s">
        <v>17</v>
      </c>
    </row>
    <row r="430" spans="1:15" x14ac:dyDescent="0.3">
      <c r="A430" s="1">
        <v>45758</v>
      </c>
      <c r="B430" t="s">
        <v>15</v>
      </c>
      <c r="C430" s="4">
        <v>1360</v>
      </c>
      <c r="D430" s="4">
        <v>1425</v>
      </c>
      <c r="E430" s="4">
        <v>1360</v>
      </c>
      <c r="F430" s="4">
        <v>1380</v>
      </c>
      <c r="G430" s="4">
        <v>1393.5</v>
      </c>
      <c r="H430" s="4">
        <v>1390.55</v>
      </c>
      <c r="I430" s="4">
        <v>1399.73</v>
      </c>
      <c r="J430" s="4">
        <v>2012.2</v>
      </c>
      <c r="K430" s="4">
        <v>1235</v>
      </c>
      <c r="L430" s="2">
        <v>4859622</v>
      </c>
      <c r="M430" s="2">
        <v>6802145997.6000004</v>
      </c>
      <c r="N430">
        <v>185045</v>
      </c>
      <c r="O430" t="s">
        <v>17</v>
      </c>
    </row>
    <row r="431" spans="1:15" x14ac:dyDescent="0.3">
      <c r="A431" s="1">
        <v>45756</v>
      </c>
      <c r="B431" t="s">
        <v>15</v>
      </c>
      <c r="C431" s="4">
        <v>1380.65</v>
      </c>
      <c r="D431" s="4">
        <v>1388.7</v>
      </c>
      <c r="E431" s="4">
        <v>1357.05</v>
      </c>
      <c r="F431" s="4">
        <v>1403.35</v>
      </c>
      <c r="G431" s="4">
        <v>1380.7</v>
      </c>
      <c r="H431" s="4">
        <v>1380</v>
      </c>
      <c r="I431" s="4">
        <v>1377.67</v>
      </c>
      <c r="J431" s="4">
        <v>2012.2</v>
      </c>
      <c r="K431" s="4">
        <v>1235</v>
      </c>
      <c r="L431" s="2">
        <v>3306801</v>
      </c>
      <c r="M431" s="2">
        <v>4555685085.3500004</v>
      </c>
      <c r="N431">
        <v>135840</v>
      </c>
      <c r="O431" t="s">
        <v>17</v>
      </c>
    </row>
    <row r="432" spans="1:15" x14ac:dyDescent="0.3">
      <c r="A432" s="1">
        <v>45755</v>
      </c>
      <c r="B432" t="s">
        <v>15</v>
      </c>
      <c r="C432" s="4">
        <v>1380</v>
      </c>
      <c r="D432" s="4">
        <v>1424.25</v>
      </c>
      <c r="E432" s="4">
        <v>1372</v>
      </c>
      <c r="F432" s="4">
        <v>1374.1</v>
      </c>
      <c r="G432" s="4">
        <v>1402.9</v>
      </c>
      <c r="H432" s="4">
        <v>1403.35</v>
      </c>
      <c r="I432" s="4">
        <v>1396.09</v>
      </c>
      <c r="J432" s="4">
        <v>2012.2</v>
      </c>
      <c r="K432" s="4">
        <v>1235</v>
      </c>
      <c r="L432" s="2">
        <v>3938359</v>
      </c>
      <c r="M432" s="2">
        <v>5498293565.6000004</v>
      </c>
      <c r="N432">
        <v>147712</v>
      </c>
      <c r="O432" t="s">
        <v>17</v>
      </c>
    </row>
    <row r="433" spans="1:15" x14ac:dyDescent="0.3">
      <c r="A433" s="1">
        <v>45754</v>
      </c>
      <c r="B433" t="s">
        <v>15</v>
      </c>
      <c r="C433" s="4">
        <v>1345</v>
      </c>
      <c r="D433" s="4">
        <v>1383.75</v>
      </c>
      <c r="E433" s="4">
        <v>1302.75</v>
      </c>
      <c r="F433" s="4">
        <v>1422.1</v>
      </c>
      <c r="G433" s="4">
        <v>1377.95</v>
      </c>
      <c r="H433" s="4">
        <v>1374.1</v>
      </c>
      <c r="I433" s="4">
        <v>1341.53</v>
      </c>
      <c r="J433" s="4">
        <v>2012.2</v>
      </c>
      <c r="K433" s="4">
        <v>1235</v>
      </c>
      <c r="L433" s="2">
        <v>6484139</v>
      </c>
      <c r="M433" s="2">
        <v>8698642588.8500004</v>
      </c>
      <c r="N433">
        <v>266089</v>
      </c>
      <c r="O433" t="s">
        <v>17</v>
      </c>
    </row>
    <row r="434" spans="1:15" x14ac:dyDescent="0.3">
      <c r="A434" s="1">
        <v>45751</v>
      </c>
      <c r="B434" t="s">
        <v>15</v>
      </c>
      <c r="C434" s="4">
        <v>1449</v>
      </c>
      <c r="D434" s="4">
        <v>1456.2</v>
      </c>
      <c r="E434" s="4">
        <v>1419.1</v>
      </c>
      <c r="F434" s="4">
        <v>1470.1</v>
      </c>
      <c r="G434" s="4">
        <v>1427</v>
      </c>
      <c r="H434" s="4">
        <v>1422.1</v>
      </c>
      <c r="I434" s="4">
        <v>1433.64</v>
      </c>
      <c r="J434" s="4">
        <v>2012.2</v>
      </c>
      <c r="K434" s="4">
        <v>1235</v>
      </c>
      <c r="L434" s="2">
        <v>4421312</v>
      </c>
      <c r="M434" s="2">
        <v>6338587669.1999998</v>
      </c>
      <c r="N434">
        <v>196195</v>
      </c>
      <c r="O434" t="s">
        <v>17</v>
      </c>
    </row>
    <row r="435" spans="1:15" x14ac:dyDescent="0.3">
      <c r="A435" s="1">
        <v>45750</v>
      </c>
      <c r="B435" t="s">
        <v>15</v>
      </c>
      <c r="C435" s="4">
        <v>1500</v>
      </c>
      <c r="D435" s="4">
        <v>1500</v>
      </c>
      <c r="E435" s="4">
        <v>1465</v>
      </c>
      <c r="F435" s="4">
        <v>1527.55</v>
      </c>
      <c r="G435" s="4">
        <v>1468.4</v>
      </c>
      <c r="H435" s="4">
        <v>1470.1</v>
      </c>
      <c r="I435" s="4">
        <v>1477.26</v>
      </c>
      <c r="J435" s="4">
        <v>2012.2</v>
      </c>
      <c r="K435" s="4">
        <v>1235</v>
      </c>
      <c r="L435" s="2">
        <v>3966161</v>
      </c>
      <c r="M435" s="2">
        <v>5859047298.6999998</v>
      </c>
      <c r="N435">
        <v>214252</v>
      </c>
      <c r="O435" t="s">
        <v>17</v>
      </c>
    </row>
    <row r="436" spans="1:15" x14ac:dyDescent="0.3">
      <c r="A436" s="1">
        <v>45749</v>
      </c>
      <c r="B436" t="s">
        <v>15</v>
      </c>
      <c r="C436" s="4">
        <v>1515</v>
      </c>
      <c r="D436" s="4">
        <v>1538.55</v>
      </c>
      <c r="E436" s="4">
        <v>1506.4</v>
      </c>
      <c r="F436" s="4">
        <v>1530.35</v>
      </c>
      <c r="G436" s="4">
        <v>1531</v>
      </c>
      <c r="H436" s="4">
        <v>1527.55</v>
      </c>
      <c r="I436" s="4">
        <v>1524.27</v>
      </c>
      <c r="J436" s="4">
        <v>2012.2</v>
      </c>
      <c r="K436" s="4">
        <v>1235</v>
      </c>
      <c r="L436" s="2">
        <v>3167863</v>
      </c>
      <c r="M436" s="2">
        <v>4828663976.3999996</v>
      </c>
      <c r="N436">
        <v>108710</v>
      </c>
      <c r="O436" t="s">
        <v>17</v>
      </c>
    </row>
    <row r="437" spans="1:15" x14ac:dyDescent="0.3">
      <c r="A437" s="1">
        <v>45748</v>
      </c>
      <c r="B437" t="s">
        <v>15</v>
      </c>
      <c r="C437" s="4">
        <v>1577</v>
      </c>
      <c r="D437" s="4">
        <v>1585</v>
      </c>
      <c r="E437" s="4">
        <v>1526.1</v>
      </c>
      <c r="F437" s="4">
        <v>1592.5</v>
      </c>
      <c r="G437" s="4">
        <v>1534.5</v>
      </c>
      <c r="H437" s="4">
        <v>1530.35</v>
      </c>
      <c r="I437" s="4">
        <v>1549.26</v>
      </c>
      <c r="J437" s="4">
        <v>2012.2</v>
      </c>
      <c r="K437" s="4">
        <v>1235</v>
      </c>
      <c r="L437" s="2">
        <v>4126827</v>
      </c>
      <c r="M437" s="2">
        <v>6393517652.3500004</v>
      </c>
      <c r="N437">
        <v>191916</v>
      </c>
      <c r="O437" t="s">
        <v>17</v>
      </c>
    </row>
    <row r="438" spans="1:15" x14ac:dyDescent="0.3">
      <c r="A438" s="1">
        <v>45744</v>
      </c>
      <c r="B438" t="s">
        <v>15</v>
      </c>
      <c r="C438" s="4">
        <v>1616.1</v>
      </c>
      <c r="D438" s="4">
        <v>1625.55</v>
      </c>
      <c r="E438" s="4">
        <v>1581.6</v>
      </c>
      <c r="F438" s="4">
        <v>1630.15</v>
      </c>
      <c r="G438" s="4">
        <v>1591</v>
      </c>
      <c r="H438" s="4">
        <v>1592.5</v>
      </c>
      <c r="I438" s="4">
        <v>1603.17</v>
      </c>
      <c r="J438" s="4">
        <v>2012.2</v>
      </c>
      <c r="K438" s="4">
        <v>1235</v>
      </c>
      <c r="L438" s="2">
        <v>2211077</v>
      </c>
      <c r="M438" s="2">
        <v>3544737955.4499998</v>
      </c>
      <c r="N438">
        <v>80891</v>
      </c>
      <c r="O438" t="s">
        <v>17</v>
      </c>
    </row>
    <row r="439" spans="1:15" x14ac:dyDescent="0.3">
      <c r="A439" s="1">
        <v>45743</v>
      </c>
      <c r="B439" t="s">
        <v>15</v>
      </c>
      <c r="C439" s="4">
        <v>1625.65</v>
      </c>
      <c r="D439" s="4">
        <v>1645</v>
      </c>
      <c r="E439" s="4">
        <v>1613.55</v>
      </c>
      <c r="F439" s="4">
        <v>1633.4</v>
      </c>
      <c r="G439" s="4">
        <v>1637.25</v>
      </c>
      <c r="H439" s="4">
        <v>1630.15</v>
      </c>
      <c r="I439" s="4">
        <v>1626.44</v>
      </c>
      <c r="J439" s="4">
        <v>2012.2</v>
      </c>
      <c r="K439" s="4">
        <v>1235</v>
      </c>
      <c r="L439" s="2">
        <v>3383080</v>
      </c>
      <c r="M439" s="2">
        <v>5502369601.75</v>
      </c>
      <c r="N439">
        <v>112017</v>
      </c>
      <c r="O439" t="s">
        <v>17</v>
      </c>
    </row>
    <row r="440" spans="1:15" x14ac:dyDescent="0.3">
      <c r="A440" s="1">
        <v>45742</v>
      </c>
      <c r="B440" t="s">
        <v>15</v>
      </c>
      <c r="C440" s="4">
        <v>1624.9</v>
      </c>
      <c r="D440" s="4">
        <v>1644.95</v>
      </c>
      <c r="E440" s="4">
        <v>1622</v>
      </c>
      <c r="F440" s="4">
        <v>1624.9</v>
      </c>
      <c r="G440" s="4">
        <v>1625.65</v>
      </c>
      <c r="H440" s="4">
        <v>1633.4</v>
      </c>
      <c r="I440" s="4">
        <v>1634.48</v>
      </c>
      <c r="J440" s="4">
        <v>2012.2</v>
      </c>
      <c r="K440" s="4">
        <v>1235</v>
      </c>
      <c r="L440" s="2">
        <v>3096513</v>
      </c>
      <c r="M440" s="2">
        <v>5061183927.4499998</v>
      </c>
      <c r="N440">
        <v>106271</v>
      </c>
      <c r="O440" t="s">
        <v>17</v>
      </c>
    </row>
    <row r="441" spans="1:15" x14ac:dyDescent="0.3">
      <c r="A441" s="1">
        <v>45741</v>
      </c>
      <c r="B441" t="s">
        <v>15</v>
      </c>
      <c r="C441" s="4">
        <v>1622</v>
      </c>
      <c r="D441" s="4">
        <v>1658.95</v>
      </c>
      <c r="E441" s="4">
        <v>1618.95</v>
      </c>
      <c r="F441" s="4">
        <v>1604.15</v>
      </c>
      <c r="G441" s="4">
        <v>1621.05</v>
      </c>
      <c r="H441" s="4">
        <v>1624.9</v>
      </c>
      <c r="I441" s="4">
        <v>1633.44</v>
      </c>
      <c r="J441" s="4">
        <v>2012.2</v>
      </c>
      <c r="K441" s="4">
        <v>1235</v>
      </c>
      <c r="L441" s="2">
        <v>4906013</v>
      </c>
      <c r="M441" s="2">
        <v>8013690211.6499996</v>
      </c>
      <c r="N441">
        <v>175718</v>
      </c>
      <c r="O441" t="s">
        <v>17</v>
      </c>
    </row>
    <row r="442" spans="1:15" x14ac:dyDescent="0.3">
      <c r="A442" s="1">
        <v>45740</v>
      </c>
      <c r="B442" t="s">
        <v>15</v>
      </c>
      <c r="C442" s="4">
        <v>1591</v>
      </c>
      <c r="D442" s="4">
        <v>1610.9</v>
      </c>
      <c r="E442" s="4">
        <v>1560</v>
      </c>
      <c r="F442" s="4">
        <v>1566.7</v>
      </c>
      <c r="G442" s="4">
        <v>1602.85</v>
      </c>
      <c r="H442" s="4">
        <v>1604.15</v>
      </c>
      <c r="I442" s="4">
        <v>1590.29</v>
      </c>
      <c r="J442" s="4">
        <v>2012.2</v>
      </c>
      <c r="K442" s="4">
        <v>1235</v>
      </c>
      <c r="L442" s="2">
        <v>2487843</v>
      </c>
      <c r="M442" s="2">
        <v>3956391435.8000002</v>
      </c>
      <c r="N442">
        <v>100840</v>
      </c>
      <c r="O442" t="s">
        <v>17</v>
      </c>
    </row>
    <row r="443" spans="1:15" x14ac:dyDescent="0.3">
      <c r="A443" s="1">
        <v>45737</v>
      </c>
      <c r="B443" t="s">
        <v>15</v>
      </c>
      <c r="C443" s="4">
        <v>1535.1</v>
      </c>
      <c r="D443" s="4">
        <v>1592.05</v>
      </c>
      <c r="E443" s="4">
        <v>1521.5</v>
      </c>
      <c r="F443" s="4">
        <v>1562</v>
      </c>
      <c r="G443" s="4">
        <v>1565</v>
      </c>
      <c r="H443" s="4">
        <v>1566.7</v>
      </c>
      <c r="I443" s="4">
        <v>1567.64</v>
      </c>
      <c r="J443" s="4">
        <v>2012.2</v>
      </c>
      <c r="K443" s="4">
        <v>1235</v>
      </c>
      <c r="L443" s="2">
        <v>8109210</v>
      </c>
      <c r="M443" s="2">
        <v>12712307970.700001</v>
      </c>
      <c r="N443">
        <v>157465</v>
      </c>
      <c r="O443" t="s">
        <v>17</v>
      </c>
    </row>
    <row r="444" spans="1:15" x14ac:dyDescent="0.3">
      <c r="A444" s="1">
        <v>45736</v>
      </c>
      <c r="B444" t="s">
        <v>15</v>
      </c>
      <c r="C444" s="4">
        <v>1547.85</v>
      </c>
      <c r="D444" s="4">
        <v>1582.1</v>
      </c>
      <c r="E444" s="4">
        <v>1547.05</v>
      </c>
      <c r="F444" s="4">
        <v>1544.45</v>
      </c>
      <c r="G444" s="4">
        <v>1555</v>
      </c>
      <c r="H444" s="4">
        <v>1562</v>
      </c>
      <c r="I444" s="4">
        <v>1568.78</v>
      </c>
      <c r="J444" s="4">
        <v>2012.2</v>
      </c>
      <c r="K444" s="4">
        <v>1235</v>
      </c>
      <c r="L444" s="2">
        <v>4608677</v>
      </c>
      <c r="M444" s="2">
        <v>7229982395.5</v>
      </c>
      <c r="N444">
        <v>183935</v>
      </c>
      <c r="O444" t="s">
        <v>17</v>
      </c>
    </row>
    <row r="445" spans="1:15" x14ac:dyDescent="0.3">
      <c r="A445" s="1">
        <v>45735</v>
      </c>
      <c r="B445" t="s">
        <v>15</v>
      </c>
      <c r="C445" s="4">
        <v>1558.5</v>
      </c>
      <c r="D445" s="4">
        <v>1561.35</v>
      </c>
      <c r="E445" s="4">
        <v>1525.1</v>
      </c>
      <c r="F445" s="4">
        <v>1558.2</v>
      </c>
      <c r="G445" s="4">
        <v>1547</v>
      </c>
      <c r="H445" s="4">
        <v>1544.45</v>
      </c>
      <c r="I445" s="4">
        <v>1536.19</v>
      </c>
      <c r="J445" s="4">
        <v>2012.2</v>
      </c>
      <c r="K445" s="4">
        <v>1235</v>
      </c>
      <c r="L445" s="2">
        <v>4522829</v>
      </c>
      <c r="M445" s="2">
        <v>6947916763.1000004</v>
      </c>
      <c r="N445">
        <v>163793</v>
      </c>
      <c r="O445" t="s">
        <v>17</v>
      </c>
    </row>
    <row r="446" spans="1:15" x14ac:dyDescent="0.3">
      <c r="A446" s="1">
        <v>45734</v>
      </c>
      <c r="B446" t="s">
        <v>15</v>
      </c>
      <c r="C446" s="4">
        <v>1545.15</v>
      </c>
      <c r="D446" s="4">
        <v>1560.95</v>
      </c>
      <c r="E446" s="4">
        <v>1530.65</v>
      </c>
      <c r="F446" s="4">
        <v>1545.15</v>
      </c>
      <c r="G446" s="4">
        <v>1560.95</v>
      </c>
      <c r="H446" s="4">
        <v>1558.2</v>
      </c>
      <c r="I446" s="4">
        <v>1553.11</v>
      </c>
      <c r="J446" s="4">
        <v>2012.2</v>
      </c>
      <c r="K446" s="4">
        <v>1235</v>
      </c>
      <c r="L446" s="2">
        <v>2930865</v>
      </c>
      <c r="M446" s="2">
        <v>4551948771.1499996</v>
      </c>
      <c r="N446">
        <v>110392</v>
      </c>
      <c r="O446" t="s">
        <v>17</v>
      </c>
    </row>
    <row r="447" spans="1:15" x14ac:dyDescent="0.3">
      <c r="A447" s="1">
        <v>45733</v>
      </c>
      <c r="B447" t="s">
        <v>15</v>
      </c>
      <c r="C447" s="4">
        <v>1528</v>
      </c>
      <c r="D447" s="4">
        <v>1547.55</v>
      </c>
      <c r="E447" s="4">
        <v>1519.05</v>
      </c>
      <c r="F447" s="4">
        <v>1534.75</v>
      </c>
      <c r="G447" s="4">
        <v>1545</v>
      </c>
      <c r="H447" s="4">
        <v>1545.15</v>
      </c>
      <c r="I447" s="4">
        <v>1532.81</v>
      </c>
      <c r="J447" s="4">
        <v>2012.2</v>
      </c>
      <c r="K447" s="4">
        <v>1235</v>
      </c>
      <c r="L447" s="2">
        <v>2029100</v>
      </c>
      <c r="M447" s="2">
        <v>3110221525.1999998</v>
      </c>
      <c r="N447">
        <v>102852</v>
      </c>
      <c r="O447" t="s">
        <v>17</v>
      </c>
    </row>
    <row r="448" spans="1:15" x14ac:dyDescent="0.3">
      <c r="A448" s="1">
        <v>45729</v>
      </c>
      <c r="B448" t="s">
        <v>15</v>
      </c>
      <c r="C448" s="4">
        <v>1540.6</v>
      </c>
      <c r="D448" s="4">
        <v>1547.95</v>
      </c>
      <c r="E448" s="4">
        <v>1529.15</v>
      </c>
      <c r="F448" s="4">
        <v>1540.6</v>
      </c>
      <c r="G448" s="4">
        <v>1532</v>
      </c>
      <c r="H448" s="4">
        <v>1534.75</v>
      </c>
      <c r="I448" s="4">
        <v>1536.04</v>
      </c>
      <c r="J448" s="4">
        <v>2012.2</v>
      </c>
      <c r="K448" s="4">
        <v>1235</v>
      </c>
      <c r="L448" s="2">
        <v>1983351</v>
      </c>
      <c r="M448" s="2">
        <v>3046509090.1999998</v>
      </c>
      <c r="N448">
        <v>109012</v>
      </c>
      <c r="O448" t="s">
        <v>17</v>
      </c>
    </row>
    <row r="449" spans="1:15" x14ac:dyDescent="0.3">
      <c r="A449" s="1">
        <v>45728</v>
      </c>
      <c r="B449" t="s">
        <v>15</v>
      </c>
      <c r="C449" s="4">
        <v>1556</v>
      </c>
      <c r="D449" s="4">
        <v>1565</v>
      </c>
      <c r="E449" s="4">
        <v>1507.1</v>
      </c>
      <c r="F449" s="4">
        <v>1567.85</v>
      </c>
      <c r="G449" s="4">
        <v>1537.6</v>
      </c>
      <c r="H449" s="4">
        <v>1540.6</v>
      </c>
      <c r="I449" s="4">
        <v>1526.42</v>
      </c>
      <c r="J449" s="4">
        <v>2012.2</v>
      </c>
      <c r="K449" s="4">
        <v>1235</v>
      </c>
      <c r="L449" s="2">
        <v>3113860</v>
      </c>
      <c r="M449" s="2">
        <v>4753043277.8999996</v>
      </c>
      <c r="N449">
        <v>127422</v>
      </c>
      <c r="O449" t="s">
        <v>17</v>
      </c>
    </row>
    <row r="450" spans="1:15" x14ac:dyDescent="0.3">
      <c r="A450" s="1">
        <v>45727</v>
      </c>
      <c r="B450" t="s">
        <v>15</v>
      </c>
      <c r="C450" s="4">
        <v>1529.95</v>
      </c>
      <c r="D450" s="4">
        <v>1573.95</v>
      </c>
      <c r="E450" s="4">
        <v>1522.6</v>
      </c>
      <c r="F450" s="4">
        <v>1549.3</v>
      </c>
      <c r="G450" s="4">
        <v>1567</v>
      </c>
      <c r="H450" s="4">
        <v>1567.85</v>
      </c>
      <c r="I450" s="4">
        <v>1553.21</v>
      </c>
      <c r="J450" s="4">
        <v>2012.2</v>
      </c>
      <c r="K450" s="4">
        <v>1235</v>
      </c>
      <c r="L450" s="2">
        <v>1846190</v>
      </c>
      <c r="M450" s="2">
        <v>2867523976</v>
      </c>
      <c r="N450">
        <v>116653</v>
      </c>
      <c r="O450" t="s">
        <v>17</v>
      </c>
    </row>
    <row r="451" spans="1:15" x14ac:dyDescent="0.3">
      <c r="A451" s="1">
        <v>45726</v>
      </c>
      <c r="B451" t="s">
        <v>15</v>
      </c>
      <c r="C451" s="4">
        <v>1557</v>
      </c>
      <c r="D451" s="4">
        <v>1572.45</v>
      </c>
      <c r="E451" s="4">
        <v>1547</v>
      </c>
      <c r="F451" s="4">
        <v>1557.95</v>
      </c>
      <c r="G451" s="4">
        <v>1549.8</v>
      </c>
      <c r="H451" s="4">
        <v>1549.3</v>
      </c>
      <c r="I451" s="4">
        <v>1558.35</v>
      </c>
      <c r="J451" s="4">
        <v>2012.2</v>
      </c>
      <c r="K451" s="4">
        <v>1235</v>
      </c>
      <c r="L451" s="2">
        <v>1855766</v>
      </c>
      <c r="M451" s="2">
        <v>2891926346.0999999</v>
      </c>
      <c r="N451">
        <v>111573</v>
      </c>
      <c r="O451" t="s">
        <v>17</v>
      </c>
    </row>
    <row r="452" spans="1:15" x14ac:dyDescent="0.3">
      <c r="A452" s="1">
        <v>45723</v>
      </c>
      <c r="B452" t="s">
        <v>15</v>
      </c>
      <c r="C452" s="4">
        <v>1582.65</v>
      </c>
      <c r="D452" s="4">
        <v>1587</v>
      </c>
      <c r="E452" s="4">
        <v>1555.6</v>
      </c>
      <c r="F452" s="4">
        <v>1585.45</v>
      </c>
      <c r="G452" s="4">
        <v>1558.6</v>
      </c>
      <c r="H452" s="4">
        <v>1557.95</v>
      </c>
      <c r="I452" s="4">
        <v>1564.26</v>
      </c>
      <c r="J452" s="4">
        <v>2012.2</v>
      </c>
      <c r="K452" s="4">
        <v>1235</v>
      </c>
      <c r="L452" s="2">
        <v>2091986</v>
      </c>
      <c r="M452" s="2">
        <v>3272406893.8499999</v>
      </c>
      <c r="N452">
        <v>117645</v>
      </c>
      <c r="O452" t="s">
        <v>17</v>
      </c>
    </row>
    <row r="453" spans="1:15" x14ac:dyDescent="0.3">
      <c r="A453" s="1">
        <v>45722</v>
      </c>
      <c r="B453" t="s">
        <v>15</v>
      </c>
      <c r="C453" s="4">
        <v>1580</v>
      </c>
      <c r="D453" s="4">
        <v>1594.7</v>
      </c>
      <c r="E453" s="4">
        <v>1575.15</v>
      </c>
      <c r="F453" s="4">
        <v>1572.95</v>
      </c>
      <c r="G453" s="4">
        <v>1582.65</v>
      </c>
      <c r="H453" s="4">
        <v>1585.45</v>
      </c>
      <c r="I453" s="4">
        <v>1584.44</v>
      </c>
      <c r="J453" s="4">
        <v>2012.2</v>
      </c>
      <c r="K453" s="4">
        <v>1235</v>
      </c>
      <c r="L453" s="2">
        <v>2011489</v>
      </c>
      <c r="M453" s="2">
        <v>3187093190.9499998</v>
      </c>
      <c r="N453">
        <v>107474</v>
      </c>
      <c r="O453" t="s">
        <v>17</v>
      </c>
    </row>
    <row r="454" spans="1:15" x14ac:dyDescent="0.3">
      <c r="A454" s="1">
        <v>45721</v>
      </c>
      <c r="B454" t="s">
        <v>15</v>
      </c>
      <c r="C454" s="4">
        <v>1532</v>
      </c>
      <c r="D454" s="4">
        <v>1581.4</v>
      </c>
      <c r="E454" s="4">
        <v>1531.05</v>
      </c>
      <c r="F454" s="4">
        <v>1535.5</v>
      </c>
      <c r="G454" s="4">
        <v>1573</v>
      </c>
      <c r="H454" s="4">
        <v>1572.95</v>
      </c>
      <c r="I454" s="4">
        <v>1569.69</v>
      </c>
      <c r="J454" s="4">
        <v>2012.2</v>
      </c>
      <c r="K454" s="4">
        <v>1235</v>
      </c>
      <c r="L454" s="2">
        <v>3112003</v>
      </c>
      <c r="M454" s="2">
        <v>4884879584.8000002</v>
      </c>
      <c r="N454">
        <v>132849</v>
      </c>
      <c r="O454" t="s">
        <v>17</v>
      </c>
    </row>
    <row r="455" spans="1:15" x14ac:dyDescent="0.3">
      <c r="A455" s="1">
        <v>45720</v>
      </c>
      <c r="B455" t="s">
        <v>15</v>
      </c>
      <c r="C455" s="4">
        <v>1560</v>
      </c>
      <c r="D455" s="4">
        <v>1560</v>
      </c>
      <c r="E455" s="4">
        <v>1523</v>
      </c>
      <c r="F455" s="4">
        <v>1572.4</v>
      </c>
      <c r="G455" s="4">
        <v>1536.5</v>
      </c>
      <c r="H455" s="4">
        <v>1535.5</v>
      </c>
      <c r="I455" s="4">
        <v>1539.73</v>
      </c>
      <c r="J455" s="4">
        <v>2012.2</v>
      </c>
      <c r="K455" s="4">
        <v>1235</v>
      </c>
      <c r="L455" s="2">
        <v>3246644</v>
      </c>
      <c r="M455" s="2">
        <v>4998968940.1999998</v>
      </c>
      <c r="N455">
        <v>143743</v>
      </c>
      <c r="O455" t="s">
        <v>17</v>
      </c>
    </row>
    <row r="456" spans="1:15" x14ac:dyDescent="0.3">
      <c r="A456" s="1">
        <v>45719</v>
      </c>
      <c r="B456" t="s">
        <v>15</v>
      </c>
      <c r="C456" s="4">
        <v>1575.05</v>
      </c>
      <c r="D456" s="4">
        <v>1603.4</v>
      </c>
      <c r="E456" s="4">
        <v>1568.45</v>
      </c>
      <c r="F456" s="4">
        <v>1575.05</v>
      </c>
      <c r="G456" s="4">
        <v>1573.8</v>
      </c>
      <c r="H456" s="4">
        <v>1572.4</v>
      </c>
      <c r="I456" s="4">
        <v>1579.48</v>
      </c>
      <c r="J456" s="4">
        <v>2012.2</v>
      </c>
      <c r="K456" s="4">
        <v>1235</v>
      </c>
      <c r="L456" s="2">
        <v>1784684</v>
      </c>
      <c r="M456" s="2">
        <v>2818878989.6999998</v>
      </c>
      <c r="N456">
        <v>113522</v>
      </c>
      <c r="O456" t="s">
        <v>17</v>
      </c>
    </row>
    <row r="457" spans="1:15" x14ac:dyDescent="0.3">
      <c r="A457" s="1">
        <v>45716</v>
      </c>
      <c r="B457" t="s">
        <v>15</v>
      </c>
      <c r="C457" s="4">
        <v>1612</v>
      </c>
      <c r="D457" s="4">
        <v>1614.95</v>
      </c>
      <c r="E457" s="4">
        <v>1562.45</v>
      </c>
      <c r="F457" s="4">
        <v>1629.2</v>
      </c>
      <c r="G457" s="4">
        <v>1576.7</v>
      </c>
      <c r="H457" s="4">
        <v>1575.05</v>
      </c>
      <c r="I457" s="4">
        <v>1574.6</v>
      </c>
      <c r="J457" s="4">
        <v>2012.2</v>
      </c>
      <c r="K457" s="4">
        <v>1235</v>
      </c>
      <c r="L457" s="2">
        <v>4910121</v>
      </c>
      <c r="M457" s="2">
        <v>7731460507.5</v>
      </c>
      <c r="N457">
        <v>257806</v>
      </c>
      <c r="O457" t="s">
        <v>17</v>
      </c>
    </row>
    <row r="458" spans="1:15" x14ac:dyDescent="0.3">
      <c r="A458" s="1">
        <v>45715</v>
      </c>
      <c r="B458" t="s">
        <v>15</v>
      </c>
      <c r="C458" s="4">
        <v>1620</v>
      </c>
      <c r="D458" s="4">
        <v>1660</v>
      </c>
      <c r="E458" s="4">
        <v>1615.2</v>
      </c>
      <c r="F458" s="4">
        <v>1636.1</v>
      </c>
      <c r="G458" s="4">
        <v>1621</v>
      </c>
      <c r="H458" s="4">
        <v>1629.2</v>
      </c>
      <c r="I458" s="4">
        <v>1626.13</v>
      </c>
      <c r="J458" s="4">
        <v>2012.2</v>
      </c>
      <c r="K458" s="4">
        <v>1235</v>
      </c>
      <c r="L458" s="2">
        <v>2266866</v>
      </c>
      <c r="M458" s="2">
        <v>3686219278</v>
      </c>
      <c r="N458">
        <v>123330</v>
      </c>
      <c r="O458" t="s">
        <v>17</v>
      </c>
    </row>
    <row r="459" spans="1:15" x14ac:dyDescent="0.3">
      <c r="A459" s="1">
        <v>45713</v>
      </c>
      <c r="B459" t="s">
        <v>15</v>
      </c>
      <c r="C459" s="4">
        <v>1636</v>
      </c>
      <c r="D459" s="4">
        <v>1651.95</v>
      </c>
      <c r="E459" s="4">
        <v>1631.25</v>
      </c>
      <c r="F459" s="4">
        <v>1644.05</v>
      </c>
      <c r="G459" s="4">
        <v>1635.1</v>
      </c>
      <c r="H459" s="4">
        <v>1636.1</v>
      </c>
      <c r="I459" s="4">
        <v>1640.84</v>
      </c>
      <c r="J459" s="4">
        <v>2012.2</v>
      </c>
      <c r="K459" s="4">
        <v>1235</v>
      </c>
      <c r="L459" s="2">
        <v>1951519</v>
      </c>
      <c r="M459" s="2">
        <v>3202123013.9000001</v>
      </c>
      <c r="N459">
        <v>102638</v>
      </c>
      <c r="O459" t="s">
        <v>17</v>
      </c>
    </row>
    <row r="460" spans="1:15" x14ac:dyDescent="0.3">
      <c r="A460" s="1">
        <v>45712</v>
      </c>
      <c r="B460" t="s">
        <v>15</v>
      </c>
      <c r="C460" s="4">
        <v>1685</v>
      </c>
      <c r="D460" s="4">
        <v>1690</v>
      </c>
      <c r="E460" s="4">
        <v>1637.6</v>
      </c>
      <c r="F460" s="4">
        <v>1700.7</v>
      </c>
      <c r="G460" s="4">
        <v>1642.75</v>
      </c>
      <c r="H460" s="4">
        <v>1644.05</v>
      </c>
      <c r="I460" s="4">
        <v>1649.63</v>
      </c>
      <c r="J460" s="4">
        <v>2012.2</v>
      </c>
      <c r="K460" s="4">
        <v>1235</v>
      </c>
      <c r="L460" s="2">
        <v>4455420</v>
      </c>
      <c r="M460" s="2">
        <v>7349803888.0500002</v>
      </c>
      <c r="N460">
        <v>253025</v>
      </c>
      <c r="O460" t="s">
        <v>17</v>
      </c>
    </row>
    <row r="461" spans="1:15" x14ac:dyDescent="0.3">
      <c r="A461" s="1">
        <v>45709</v>
      </c>
      <c r="B461" t="s">
        <v>15</v>
      </c>
      <c r="C461" s="4">
        <v>1690</v>
      </c>
      <c r="D461" s="4">
        <v>1704.15</v>
      </c>
      <c r="E461" s="4">
        <v>1685.15</v>
      </c>
      <c r="F461" s="4">
        <v>1687.55</v>
      </c>
      <c r="G461" s="4">
        <v>1695.65</v>
      </c>
      <c r="H461" s="4">
        <v>1700.7</v>
      </c>
      <c r="I461" s="4">
        <v>1696.62</v>
      </c>
      <c r="J461" s="4">
        <v>2012.2</v>
      </c>
      <c r="K461" s="4">
        <v>1235</v>
      </c>
      <c r="L461" s="2">
        <v>1222563</v>
      </c>
      <c r="M461" s="2">
        <v>2074229080.55</v>
      </c>
      <c r="N461">
        <v>113308</v>
      </c>
      <c r="O461" t="s">
        <v>17</v>
      </c>
    </row>
    <row r="462" spans="1:15" x14ac:dyDescent="0.3">
      <c r="A462" s="1">
        <v>45708</v>
      </c>
      <c r="B462" t="s">
        <v>15</v>
      </c>
      <c r="C462" s="4">
        <v>1705.2</v>
      </c>
      <c r="D462" s="4">
        <v>1714.55</v>
      </c>
      <c r="E462" s="4">
        <v>1683.55</v>
      </c>
      <c r="F462" s="4">
        <v>1712.3</v>
      </c>
      <c r="G462" s="4">
        <v>1690.9</v>
      </c>
      <c r="H462" s="4">
        <v>1687.55</v>
      </c>
      <c r="I462" s="4">
        <v>1696.15</v>
      </c>
      <c r="J462" s="4">
        <v>2012.2</v>
      </c>
      <c r="K462" s="4">
        <v>1235</v>
      </c>
      <c r="L462" s="2">
        <v>1681532</v>
      </c>
      <c r="M462" s="2">
        <v>2852128062.3499999</v>
      </c>
      <c r="N462">
        <v>127006</v>
      </c>
      <c r="O462" t="s">
        <v>17</v>
      </c>
    </row>
    <row r="463" spans="1:15" x14ac:dyDescent="0.3">
      <c r="A463" s="1">
        <v>45707</v>
      </c>
      <c r="B463" t="s">
        <v>15</v>
      </c>
      <c r="C463" s="4">
        <v>1723.2</v>
      </c>
      <c r="D463" s="4">
        <v>1731.6</v>
      </c>
      <c r="E463" s="4">
        <v>1703.45</v>
      </c>
      <c r="F463" s="4">
        <v>1725.5</v>
      </c>
      <c r="G463" s="4">
        <v>1710</v>
      </c>
      <c r="H463" s="4">
        <v>1712.3</v>
      </c>
      <c r="I463" s="4">
        <v>1714.19</v>
      </c>
      <c r="J463" s="4">
        <v>2012.2</v>
      </c>
      <c r="K463" s="4">
        <v>1235</v>
      </c>
      <c r="L463" s="2">
        <v>1294110</v>
      </c>
      <c r="M463" s="2">
        <v>2218347233.6500001</v>
      </c>
      <c r="N463">
        <v>76094</v>
      </c>
      <c r="O463" t="s">
        <v>17</v>
      </c>
    </row>
    <row r="464" spans="1:15" x14ac:dyDescent="0.3">
      <c r="A464" s="1">
        <v>45706</v>
      </c>
      <c r="B464" t="s">
        <v>15</v>
      </c>
      <c r="C464" s="4">
        <v>1706</v>
      </c>
      <c r="D464" s="4">
        <v>1728.5</v>
      </c>
      <c r="E464" s="4">
        <v>1701.25</v>
      </c>
      <c r="F464" s="4">
        <v>1709.9</v>
      </c>
      <c r="G464" s="4">
        <v>1725</v>
      </c>
      <c r="H464" s="4">
        <v>1725.5</v>
      </c>
      <c r="I464" s="4">
        <v>1719.23</v>
      </c>
      <c r="J464" s="4">
        <v>2012.2</v>
      </c>
      <c r="K464" s="4">
        <v>1235</v>
      </c>
      <c r="L464" s="2">
        <v>1511900</v>
      </c>
      <c r="M464" s="2">
        <v>2599301789.5999999</v>
      </c>
      <c r="N464">
        <v>81098</v>
      </c>
      <c r="O464" t="s">
        <v>17</v>
      </c>
    </row>
    <row r="465" spans="1:15" x14ac:dyDescent="0.3">
      <c r="A465" s="1">
        <v>45705</v>
      </c>
      <c r="B465" t="s">
        <v>15</v>
      </c>
      <c r="C465" s="4">
        <v>1711.25</v>
      </c>
      <c r="D465" s="4">
        <v>1720.15</v>
      </c>
      <c r="E465" s="4">
        <v>1694.1</v>
      </c>
      <c r="F465" s="4">
        <v>1711.25</v>
      </c>
      <c r="G465" s="4">
        <v>1709.6</v>
      </c>
      <c r="H465" s="4">
        <v>1709.9</v>
      </c>
      <c r="I465" s="4">
        <v>1707.8</v>
      </c>
      <c r="J465" s="4">
        <v>2012.2</v>
      </c>
      <c r="K465" s="4">
        <v>1235</v>
      </c>
      <c r="L465" s="2">
        <v>1127023</v>
      </c>
      <c r="M465" s="2">
        <v>1924733916.9000001</v>
      </c>
      <c r="N465">
        <v>126871</v>
      </c>
      <c r="O465" t="s">
        <v>17</v>
      </c>
    </row>
    <row r="466" spans="1:15" x14ac:dyDescent="0.3">
      <c r="A466" s="1">
        <v>45702</v>
      </c>
      <c r="B466" t="s">
        <v>15</v>
      </c>
      <c r="C466" s="4">
        <v>1711</v>
      </c>
      <c r="D466" s="4">
        <v>1723.4</v>
      </c>
      <c r="E466" s="4">
        <v>1699.95</v>
      </c>
      <c r="F466" s="4">
        <v>1703.1</v>
      </c>
      <c r="G466" s="4">
        <v>1711.6</v>
      </c>
      <c r="H466" s="4">
        <v>1711.25</v>
      </c>
      <c r="I466" s="4">
        <v>1709.15</v>
      </c>
      <c r="J466" s="4">
        <v>2012.2</v>
      </c>
      <c r="K466" s="4">
        <v>1235</v>
      </c>
      <c r="L466" s="2">
        <v>1460459</v>
      </c>
      <c r="M466" s="2">
        <v>2496148466.25</v>
      </c>
      <c r="N466">
        <v>80952</v>
      </c>
      <c r="O466" t="s">
        <v>17</v>
      </c>
    </row>
    <row r="467" spans="1:15" x14ac:dyDescent="0.3">
      <c r="A467" s="1">
        <v>45701</v>
      </c>
      <c r="B467" t="s">
        <v>15</v>
      </c>
      <c r="C467" s="4">
        <v>1712</v>
      </c>
      <c r="D467" s="4">
        <v>1729.95</v>
      </c>
      <c r="E467" s="4">
        <v>1700.25</v>
      </c>
      <c r="F467" s="4">
        <v>1717.3</v>
      </c>
      <c r="G467" s="4">
        <v>1704.8</v>
      </c>
      <c r="H467" s="4">
        <v>1703.1</v>
      </c>
      <c r="I467" s="4">
        <v>1712.75</v>
      </c>
      <c r="J467" s="4">
        <v>2012.2</v>
      </c>
      <c r="K467" s="4">
        <v>1235</v>
      </c>
      <c r="L467" s="2">
        <v>1838463</v>
      </c>
      <c r="M467" s="2">
        <v>3148828257.8499999</v>
      </c>
      <c r="N467">
        <v>91677</v>
      </c>
      <c r="O467" t="s">
        <v>17</v>
      </c>
    </row>
    <row r="468" spans="1:15" x14ac:dyDescent="0.3">
      <c r="A468" s="1">
        <v>45700</v>
      </c>
      <c r="B468" t="s">
        <v>15</v>
      </c>
      <c r="C468" s="4">
        <v>1723.9</v>
      </c>
      <c r="D468" s="4">
        <v>1742.4</v>
      </c>
      <c r="E468" s="4">
        <v>1699.15</v>
      </c>
      <c r="F468" s="4">
        <v>1723.2</v>
      </c>
      <c r="G468" s="4">
        <v>1716.05</v>
      </c>
      <c r="H468" s="4">
        <v>1717.3</v>
      </c>
      <c r="I468" s="4">
        <v>1717.61</v>
      </c>
      <c r="J468" s="4">
        <v>2012.2</v>
      </c>
      <c r="K468" s="4">
        <v>1235</v>
      </c>
      <c r="L468" s="2">
        <v>2214307</v>
      </c>
      <c r="M468" s="2">
        <v>3803306655.25</v>
      </c>
      <c r="N468">
        <v>142727</v>
      </c>
      <c r="O468" t="s">
        <v>17</v>
      </c>
    </row>
    <row r="469" spans="1:15" x14ac:dyDescent="0.3">
      <c r="A469" s="1">
        <v>45699</v>
      </c>
      <c r="B469" t="s">
        <v>15</v>
      </c>
      <c r="C469" s="4">
        <v>1742.8</v>
      </c>
      <c r="D469" s="4">
        <v>1749</v>
      </c>
      <c r="E469" s="4">
        <v>1715</v>
      </c>
      <c r="F469" s="4">
        <v>1733.85</v>
      </c>
      <c r="G469" s="4">
        <v>1723.9</v>
      </c>
      <c r="H469" s="4">
        <v>1723.2</v>
      </c>
      <c r="I469" s="4">
        <v>1732.76</v>
      </c>
      <c r="J469" s="4">
        <v>2012.2</v>
      </c>
      <c r="K469" s="4">
        <v>1235</v>
      </c>
      <c r="L469" s="2">
        <v>1702553</v>
      </c>
      <c r="M469" s="2">
        <v>2950109312.0500002</v>
      </c>
      <c r="N469">
        <v>90830</v>
      </c>
      <c r="O469" t="s">
        <v>17</v>
      </c>
    </row>
    <row r="470" spans="1:15" x14ac:dyDescent="0.3">
      <c r="A470" s="1">
        <v>45698</v>
      </c>
      <c r="B470" t="s">
        <v>15</v>
      </c>
      <c r="C470" s="4">
        <v>1723.95</v>
      </c>
      <c r="D470" s="4">
        <v>1740</v>
      </c>
      <c r="E470" s="4">
        <v>1712.1</v>
      </c>
      <c r="F470" s="4">
        <v>1725.65</v>
      </c>
      <c r="G470" s="4">
        <v>1734</v>
      </c>
      <c r="H470" s="4">
        <v>1733.85</v>
      </c>
      <c r="I470" s="4">
        <v>1728.54</v>
      </c>
      <c r="J470" s="4">
        <v>2012.2</v>
      </c>
      <c r="K470" s="4">
        <v>1235</v>
      </c>
      <c r="L470" s="2">
        <v>1823071</v>
      </c>
      <c r="M470" s="2">
        <v>3151248711.6999998</v>
      </c>
      <c r="N470">
        <v>68108</v>
      </c>
      <c r="O470" t="s">
        <v>17</v>
      </c>
    </row>
    <row r="471" spans="1:15" x14ac:dyDescent="0.3">
      <c r="A471" s="1">
        <v>45695</v>
      </c>
      <c r="B471" t="s">
        <v>15</v>
      </c>
      <c r="C471" s="4">
        <v>1723.15</v>
      </c>
      <c r="D471" s="4">
        <v>1731</v>
      </c>
      <c r="E471" s="4">
        <v>1700.65</v>
      </c>
      <c r="F471" s="4">
        <v>1723.5</v>
      </c>
      <c r="G471" s="4">
        <v>1724</v>
      </c>
      <c r="H471" s="4">
        <v>1725.65</v>
      </c>
      <c r="I471" s="4">
        <v>1720.82</v>
      </c>
      <c r="J471" s="4">
        <v>2012.2</v>
      </c>
      <c r="K471" s="4">
        <v>1235</v>
      </c>
      <c r="L471" s="2">
        <v>2428098</v>
      </c>
      <c r="M471" s="2">
        <v>4178325236.5</v>
      </c>
      <c r="N471">
        <v>76538</v>
      </c>
      <c r="O471" t="s">
        <v>17</v>
      </c>
    </row>
    <row r="472" spans="1:15" x14ac:dyDescent="0.3">
      <c r="A472" s="1">
        <v>45694</v>
      </c>
      <c r="B472" t="s">
        <v>15</v>
      </c>
      <c r="C472" s="4">
        <v>1723.85</v>
      </c>
      <c r="D472" s="4">
        <v>1728.45</v>
      </c>
      <c r="E472" s="4">
        <v>1712.85</v>
      </c>
      <c r="F472" s="4">
        <v>1712.85</v>
      </c>
      <c r="G472" s="4">
        <v>1724.1</v>
      </c>
      <c r="H472" s="4">
        <v>1723.5</v>
      </c>
      <c r="I472" s="4">
        <v>1719.71</v>
      </c>
      <c r="J472" s="4">
        <v>2012.2</v>
      </c>
      <c r="K472" s="4">
        <v>1235</v>
      </c>
      <c r="L472" s="2">
        <v>2057798</v>
      </c>
      <c r="M472" s="2">
        <v>3538821096.4000001</v>
      </c>
      <c r="N472">
        <v>135442</v>
      </c>
      <c r="O472" t="s">
        <v>17</v>
      </c>
    </row>
    <row r="473" spans="1:15" x14ac:dyDescent="0.3">
      <c r="A473" s="1">
        <v>45693</v>
      </c>
      <c r="B473" t="s">
        <v>15</v>
      </c>
      <c r="C473" s="4">
        <v>1730</v>
      </c>
      <c r="D473" s="4">
        <v>1746.8</v>
      </c>
      <c r="E473" s="4">
        <v>1710</v>
      </c>
      <c r="F473" s="4">
        <v>1732.55</v>
      </c>
      <c r="G473" s="4">
        <v>1712</v>
      </c>
      <c r="H473" s="4">
        <v>1712.85</v>
      </c>
      <c r="I473" s="4">
        <v>1718.44</v>
      </c>
      <c r="J473" s="4">
        <v>2012.2</v>
      </c>
      <c r="K473" s="4">
        <v>1235</v>
      </c>
      <c r="L473" s="2">
        <v>2681942</v>
      </c>
      <c r="M473" s="2">
        <v>4608759100.8500004</v>
      </c>
      <c r="N473">
        <v>106585</v>
      </c>
      <c r="O473" t="s">
        <v>17</v>
      </c>
    </row>
    <row r="474" spans="1:15" x14ac:dyDescent="0.3">
      <c r="A474" s="1">
        <v>45692</v>
      </c>
      <c r="B474" t="s">
        <v>15</v>
      </c>
      <c r="C474" s="4">
        <v>1695.1</v>
      </c>
      <c r="D474" s="4">
        <v>1735.9</v>
      </c>
      <c r="E474" s="4">
        <v>1692.05</v>
      </c>
      <c r="F474" s="4">
        <v>1692</v>
      </c>
      <c r="G474" s="4">
        <v>1732.45</v>
      </c>
      <c r="H474" s="4">
        <v>1732.55</v>
      </c>
      <c r="I474" s="4">
        <v>1712.68</v>
      </c>
      <c r="J474" s="4">
        <v>2012.2</v>
      </c>
      <c r="K474" s="4">
        <v>1235</v>
      </c>
      <c r="L474" s="2">
        <v>3647768</v>
      </c>
      <c r="M474" s="2">
        <v>6247459080.8999996</v>
      </c>
      <c r="N474">
        <v>159207</v>
      </c>
      <c r="O474" t="s">
        <v>17</v>
      </c>
    </row>
    <row r="475" spans="1:15" x14ac:dyDescent="0.3">
      <c r="A475" s="1">
        <v>45691</v>
      </c>
      <c r="B475" t="s">
        <v>15</v>
      </c>
      <c r="C475" s="4">
        <v>1665</v>
      </c>
      <c r="D475" s="4">
        <v>1700.6</v>
      </c>
      <c r="E475" s="4">
        <v>1661.5</v>
      </c>
      <c r="F475" s="4">
        <v>1694</v>
      </c>
      <c r="G475" s="4">
        <v>1693</v>
      </c>
      <c r="H475" s="4">
        <v>1692</v>
      </c>
      <c r="I475" s="4">
        <v>1686.67</v>
      </c>
      <c r="J475" s="4">
        <v>2012.2</v>
      </c>
      <c r="K475" s="4">
        <v>1235</v>
      </c>
      <c r="L475" s="2">
        <v>2659929</v>
      </c>
      <c r="M475" s="2">
        <v>4486418428.4499998</v>
      </c>
      <c r="N475">
        <v>150634</v>
      </c>
      <c r="O475" t="s">
        <v>17</v>
      </c>
    </row>
    <row r="476" spans="1:15" x14ac:dyDescent="0.3">
      <c r="A476" s="1">
        <v>45689</v>
      </c>
      <c r="B476" t="s">
        <v>15</v>
      </c>
      <c r="C476" s="4">
        <v>1726</v>
      </c>
      <c r="D476" s="4">
        <v>1731.95</v>
      </c>
      <c r="E476" s="4">
        <v>1688</v>
      </c>
      <c r="F476" s="4">
        <v>1725.45</v>
      </c>
      <c r="G476" s="4">
        <v>1694.7</v>
      </c>
      <c r="H476" s="4">
        <v>1694</v>
      </c>
      <c r="I476" s="4">
        <v>1704.35</v>
      </c>
      <c r="J476" s="4">
        <v>2012.2</v>
      </c>
      <c r="K476" s="4">
        <v>1235</v>
      </c>
      <c r="L476" s="2">
        <v>569018</v>
      </c>
      <c r="M476" s="2">
        <v>969808246.14999998</v>
      </c>
      <c r="N476">
        <v>39652</v>
      </c>
      <c r="O476" t="s">
        <v>17</v>
      </c>
    </row>
    <row r="477" spans="1:15" x14ac:dyDescent="0.3">
      <c r="A477" s="1">
        <v>45688</v>
      </c>
      <c r="B477" t="s">
        <v>15</v>
      </c>
      <c r="C477" s="4">
        <v>1709.05</v>
      </c>
      <c r="D477" s="4">
        <v>1738.2</v>
      </c>
      <c r="E477" s="4">
        <v>1709.05</v>
      </c>
      <c r="F477" s="4">
        <v>1713.1</v>
      </c>
      <c r="G477" s="4">
        <v>1730</v>
      </c>
      <c r="H477" s="4">
        <v>1725.45</v>
      </c>
      <c r="I477" s="4">
        <v>1724.09</v>
      </c>
      <c r="J477" s="4">
        <v>2012.2</v>
      </c>
      <c r="K477" s="4">
        <v>1235</v>
      </c>
      <c r="L477" s="2">
        <v>2033832</v>
      </c>
      <c r="M477" s="2">
        <v>3506506163.3000002</v>
      </c>
      <c r="N477">
        <v>79215</v>
      </c>
      <c r="O477" t="s">
        <v>17</v>
      </c>
    </row>
    <row r="478" spans="1:15" x14ac:dyDescent="0.3">
      <c r="A478" s="1">
        <v>45687</v>
      </c>
      <c r="B478" t="s">
        <v>15</v>
      </c>
      <c r="C478" s="4">
        <v>1722</v>
      </c>
      <c r="D478" s="4">
        <v>1732.95</v>
      </c>
      <c r="E478" s="4">
        <v>1697.85</v>
      </c>
      <c r="F478" s="4">
        <v>1719</v>
      </c>
      <c r="G478" s="4">
        <v>1717.9</v>
      </c>
      <c r="H478" s="4">
        <v>1713.1</v>
      </c>
      <c r="I478" s="4">
        <v>1716.41</v>
      </c>
      <c r="J478" s="4">
        <v>2012.2</v>
      </c>
      <c r="K478" s="4">
        <v>1235</v>
      </c>
      <c r="L478" s="2">
        <v>2543744</v>
      </c>
      <c r="M478" s="2">
        <v>4366105666.3000002</v>
      </c>
      <c r="N478">
        <v>125674</v>
      </c>
      <c r="O478" t="s">
        <v>17</v>
      </c>
    </row>
    <row r="479" spans="1:15" x14ac:dyDescent="0.3">
      <c r="A479" s="1">
        <v>45686</v>
      </c>
      <c r="B479" t="s">
        <v>15</v>
      </c>
      <c r="C479" s="4">
        <v>1696</v>
      </c>
      <c r="D479" s="4">
        <v>1724.1</v>
      </c>
      <c r="E479" s="4">
        <v>1696</v>
      </c>
      <c r="F479" s="4">
        <v>1693.25</v>
      </c>
      <c r="G479" s="4">
        <v>1720.65</v>
      </c>
      <c r="H479" s="4">
        <v>1719</v>
      </c>
      <c r="I479" s="4">
        <v>1715.29</v>
      </c>
      <c r="J479" s="4">
        <v>2012.2</v>
      </c>
      <c r="K479" s="4">
        <v>1235</v>
      </c>
      <c r="L479" s="2">
        <v>3733620</v>
      </c>
      <c r="M479" s="2">
        <v>6404245749.1999998</v>
      </c>
      <c r="N479">
        <v>117810</v>
      </c>
      <c r="O479" t="s">
        <v>17</v>
      </c>
    </row>
    <row r="480" spans="1:15" x14ac:dyDescent="0.3">
      <c r="A480" s="1">
        <v>45685</v>
      </c>
      <c r="B480" t="s">
        <v>15</v>
      </c>
      <c r="C480" s="4">
        <v>1711.95</v>
      </c>
      <c r="D480" s="4">
        <v>1730.5</v>
      </c>
      <c r="E480" s="4">
        <v>1691</v>
      </c>
      <c r="F480" s="4">
        <v>1711.95</v>
      </c>
      <c r="G480" s="4">
        <v>1694.5</v>
      </c>
      <c r="H480" s="4">
        <v>1693.25</v>
      </c>
      <c r="I480" s="4">
        <v>1707.81</v>
      </c>
      <c r="J480" s="4">
        <v>2012.2</v>
      </c>
      <c r="K480" s="4">
        <v>1235</v>
      </c>
      <c r="L480" s="2">
        <v>5079829</v>
      </c>
      <c r="M480" s="2">
        <v>8675376616.75</v>
      </c>
      <c r="N480">
        <v>194141</v>
      </c>
      <c r="O480" t="s">
        <v>17</v>
      </c>
    </row>
    <row r="481" spans="1:15" x14ac:dyDescent="0.3">
      <c r="A481" s="1">
        <v>45684</v>
      </c>
      <c r="B481" t="s">
        <v>15</v>
      </c>
      <c r="C481" s="4">
        <v>1775</v>
      </c>
      <c r="D481" s="4">
        <v>1779.75</v>
      </c>
      <c r="E481" s="4">
        <v>1707.3</v>
      </c>
      <c r="F481" s="4">
        <v>1792.85</v>
      </c>
      <c r="G481" s="4">
        <v>1710.55</v>
      </c>
      <c r="H481" s="4">
        <v>1711.95</v>
      </c>
      <c r="I481" s="4">
        <v>1734.65</v>
      </c>
      <c r="J481" s="4">
        <v>2012.2</v>
      </c>
      <c r="K481" s="4">
        <v>1235</v>
      </c>
      <c r="L481" s="2">
        <v>4174844</v>
      </c>
      <c r="M481" s="2">
        <v>7241906323.3000002</v>
      </c>
      <c r="N481">
        <v>143422</v>
      </c>
      <c r="O481" t="s">
        <v>17</v>
      </c>
    </row>
    <row r="482" spans="1:15" x14ac:dyDescent="0.3">
      <c r="A482" s="1">
        <v>45681</v>
      </c>
      <c r="B482" t="s">
        <v>15</v>
      </c>
      <c r="C482" s="4">
        <v>1800</v>
      </c>
      <c r="D482" s="4">
        <v>1829.4</v>
      </c>
      <c r="E482" s="4">
        <v>1791.1</v>
      </c>
      <c r="F482" s="4">
        <v>1807</v>
      </c>
      <c r="G482" s="4">
        <v>1796</v>
      </c>
      <c r="H482" s="4">
        <v>1792.85</v>
      </c>
      <c r="I482" s="4">
        <v>1803.18</v>
      </c>
      <c r="J482" s="4">
        <v>2012.2</v>
      </c>
      <c r="K482" s="4">
        <v>1235</v>
      </c>
      <c r="L482" s="2">
        <v>3171259</v>
      </c>
      <c r="M482" s="2">
        <v>5718348831.8000002</v>
      </c>
      <c r="N482">
        <v>98899</v>
      </c>
      <c r="O482" t="s">
        <v>17</v>
      </c>
    </row>
    <row r="483" spans="1:15" x14ac:dyDescent="0.3">
      <c r="A483" s="1">
        <v>45680</v>
      </c>
      <c r="B483" t="s">
        <v>15</v>
      </c>
      <c r="C483" s="4">
        <v>1817.05</v>
      </c>
      <c r="D483" s="4">
        <v>1828.95</v>
      </c>
      <c r="E483" s="4">
        <v>1804.2</v>
      </c>
      <c r="F483" s="4">
        <v>1827.7</v>
      </c>
      <c r="G483" s="4">
        <v>1806.95</v>
      </c>
      <c r="H483" s="4">
        <v>1807</v>
      </c>
      <c r="I483" s="4">
        <v>1814.54</v>
      </c>
      <c r="J483" s="4">
        <v>2012.2</v>
      </c>
      <c r="K483" s="4">
        <v>1235</v>
      </c>
      <c r="L483" s="2">
        <v>3750930</v>
      </c>
      <c r="M483" s="2">
        <v>6806227425.6499996</v>
      </c>
      <c r="N483">
        <v>146553</v>
      </c>
      <c r="O483" t="s">
        <v>17</v>
      </c>
    </row>
    <row r="484" spans="1:15" x14ac:dyDescent="0.3">
      <c r="A484" s="1">
        <v>45679</v>
      </c>
      <c r="B484" t="s">
        <v>15</v>
      </c>
      <c r="C484" s="4">
        <v>1808.2</v>
      </c>
      <c r="D484" s="4">
        <v>1831.45</v>
      </c>
      <c r="E484" s="4">
        <v>1804.05</v>
      </c>
      <c r="F484" s="4">
        <v>1802.4</v>
      </c>
      <c r="G484" s="4">
        <v>1828</v>
      </c>
      <c r="H484" s="4">
        <v>1827.7</v>
      </c>
      <c r="I484" s="4">
        <v>1820.11</v>
      </c>
      <c r="J484" s="4">
        <v>2012.2</v>
      </c>
      <c r="K484" s="4">
        <v>1235</v>
      </c>
      <c r="L484" s="2">
        <v>3009261</v>
      </c>
      <c r="M484" s="2">
        <v>5477174600.4499998</v>
      </c>
      <c r="N484">
        <v>176695</v>
      </c>
      <c r="O484" t="s">
        <v>17</v>
      </c>
    </row>
    <row r="485" spans="1:15" x14ac:dyDescent="0.3">
      <c r="A485" s="1">
        <v>45678</v>
      </c>
      <c r="B485" t="s">
        <v>15</v>
      </c>
      <c r="C485" s="4">
        <v>1791.4</v>
      </c>
      <c r="D485" s="4">
        <v>1820.75</v>
      </c>
      <c r="E485" s="4">
        <v>1791.4</v>
      </c>
      <c r="F485" s="4">
        <v>1796.2</v>
      </c>
      <c r="G485" s="4">
        <v>1804.05</v>
      </c>
      <c r="H485" s="4">
        <v>1802.4</v>
      </c>
      <c r="I485" s="4">
        <v>1805.77</v>
      </c>
      <c r="J485" s="4">
        <v>2012.2</v>
      </c>
      <c r="K485" s="4">
        <v>1235</v>
      </c>
      <c r="L485" s="2">
        <v>4005357</v>
      </c>
      <c r="M485" s="2">
        <v>7232759540.3500004</v>
      </c>
      <c r="N485">
        <v>200700</v>
      </c>
      <c r="O485" t="s">
        <v>17</v>
      </c>
    </row>
    <row r="486" spans="1:15" x14ac:dyDescent="0.3">
      <c r="A486" s="1">
        <v>45677</v>
      </c>
      <c r="B486" t="s">
        <v>15</v>
      </c>
      <c r="C486" s="4">
        <v>1790.1</v>
      </c>
      <c r="D486" s="4">
        <v>1799</v>
      </c>
      <c r="E486" s="4">
        <v>1762.6</v>
      </c>
      <c r="F486" s="4">
        <v>1788.9</v>
      </c>
      <c r="G486" s="4">
        <v>1794.95</v>
      </c>
      <c r="H486" s="4">
        <v>1796.2</v>
      </c>
      <c r="I486" s="4">
        <v>1785.22</v>
      </c>
      <c r="J486" s="4">
        <v>2012.2</v>
      </c>
      <c r="K486" s="4">
        <v>1235</v>
      </c>
      <c r="L486" s="2">
        <v>3401004</v>
      </c>
      <c r="M486" s="2">
        <v>6071550248.5500002</v>
      </c>
      <c r="N486">
        <v>156557</v>
      </c>
      <c r="O486" t="s">
        <v>17</v>
      </c>
    </row>
    <row r="487" spans="1:15" x14ac:dyDescent="0.3">
      <c r="A487" s="1">
        <v>45674</v>
      </c>
      <c r="B487" t="s">
        <v>15</v>
      </c>
      <c r="C487" s="4">
        <v>1773</v>
      </c>
      <c r="D487" s="4">
        <v>1793.1</v>
      </c>
      <c r="E487" s="4">
        <v>1750.05</v>
      </c>
      <c r="F487" s="4">
        <v>1792.25</v>
      </c>
      <c r="G487" s="4">
        <v>1789.45</v>
      </c>
      <c r="H487" s="4">
        <v>1788.9</v>
      </c>
      <c r="I487" s="4">
        <v>1776.06</v>
      </c>
      <c r="J487" s="4">
        <v>2012.2</v>
      </c>
      <c r="K487" s="4">
        <v>1235</v>
      </c>
      <c r="L487" s="2">
        <v>2424374</v>
      </c>
      <c r="M487" s="2">
        <v>4305821954.9499998</v>
      </c>
      <c r="N487">
        <v>176981</v>
      </c>
      <c r="O487" t="s">
        <v>17</v>
      </c>
    </row>
    <row r="488" spans="1:15" x14ac:dyDescent="0.3">
      <c r="A488" s="1">
        <v>45673</v>
      </c>
      <c r="B488" t="s">
        <v>15</v>
      </c>
      <c r="C488" s="4">
        <v>1833</v>
      </c>
      <c r="D488" s="4">
        <v>1837.95</v>
      </c>
      <c r="E488" s="4">
        <v>1785.3</v>
      </c>
      <c r="F488" s="4">
        <v>1825.7</v>
      </c>
      <c r="G488" s="4">
        <v>1790.15</v>
      </c>
      <c r="H488" s="4">
        <v>1792.25</v>
      </c>
      <c r="I488" s="4">
        <v>1796.66</v>
      </c>
      <c r="J488" s="4">
        <v>2012.2</v>
      </c>
      <c r="K488" s="4">
        <v>1235</v>
      </c>
      <c r="L488" s="2">
        <v>5362008</v>
      </c>
      <c r="M488" s="2">
        <v>9633692689.3999996</v>
      </c>
      <c r="N488">
        <v>260626</v>
      </c>
      <c r="O488" t="s">
        <v>17</v>
      </c>
    </row>
    <row r="489" spans="1:15" x14ac:dyDescent="0.3">
      <c r="A489" s="1">
        <v>45672</v>
      </c>
      <c r="B489" t="s">
        <v>15</v>
      </c>
      <c r="C489" s="4">
        <v>1836</v>
      </c>
      <c r="D489" s="4">
        <v>1843.55</v>
      </c>
      <c r="E489" s="4">
        <v>1812.55</v>
      </c>
      <c r="F489" s="4">
        <v>1813.55</v>
      </c>
      <c r="G489" s="4">
        <v>1825.7</v>
      </c>
      <c r="H489" s="4">
        <v>1825.7</v>
      </c>
      <c r="I489" s="4">
        <v>1824.99</v>
      </c>
      <c r="J489" s="4">
        <v>2012.2</v>
      </c>
      <c r="K489" s="4">
        <v>1235</v>
      </c>
      <c r="L489" s="2">
        <v>3350594</v>
      </c>
      <c r="M489" s="2">
        <v>6114802982.4499998</v>
      </c>
      <c r="N489">
        <v>221654</v>
      </c>
      <c r="O489" t="s">
        <v>17</v>
      </c>
    </row>
    <row r="490" spans="1:15" x14ac:dyDescent="0.3">
      <c r="A490" s="1">
        <v>45671</v>
      </c>
      <c r="B490" t="s">
        <v>15</v>
      </c>
      <c r="C490" s="4">
        <v>1936.1</v>
      </c>
      <c r="D490" s="4">
        <v>1939</v>
      </c>
      <c r="E490" s="4">
        <v>1797.75</v>
      </c>
      <c r="F490" s="4">
        <v>1989.4</v>
      </c>
      <c r="G490" s="4">
        <v>1819.95</v>
      </c>
      <c r="H490" s="4">
        <v>1813.55</v>
      </c>
      <c r="I490" s="4">
        <v>1824.43</v>
      </c>
      <c r="J490" s="4">
        <v>2012.2</v>
      </c>
      <c r="K490" s="4">
        <v>1235</v>
      </c>
      <c r="L490" s="2">
        <v>15819311</v>
      </c>
      <c r="M490" s="2">
        <v>28861217134.400002</v>
      </c>
      <c r="N490">
        <v>600156</v>
      </c>
      <c r="O490" t="s">
        <v>17</v>
      </c>
    </row>
    <row r="491" spans="1:15" x14ac:dyDescent="0.3">
      <c r="A491" s="1">
        <v>45670</v>
      </c>
      <c r="B491" t="s">
        <v>15</v>
      </c>
      <c r="C491" s="4">
        <v>1994.9</v>
      </c>
      <c r="D491" s="4">
        <v>2012.2</v>
      </c>
      <c r="E491" s="4">
        <v>1965.4</v>
      </c>
      <c r="F491" s="4">
        <v>1995.1</v>
      </c>
      <c r="G491" s="4">
        <v>1975</v>
      </c>
      <c r="H491" s="4">
        <v>1989.4</v>
      </c>
      <c r="I491" s="4">
        <v>1992.36</v>
      </c>
      <c r="J491" s="4">
        <v>2012.2</v>
      </c>
      <c r="K491" s="4">
        <v>1235</v>
      </c>
      <c r="L491" s="2">
        <v>5694121</v>
      </c>
      <c r="M491" s="2">
        <v>11344760287.75</v>
      </c>
      <c r="N491">
        <v>180247</v>
      </c>
      <c r="O491" t="s">
        <v>17</v>
      </c>
    </row>
    <row r="492" spans="1:15" x14ac:dyDescent="0.3">
      <c r="A492" s="1">
        <v>45667</v>
      </c>
      <c r="B492" t="s">
        <v>15</v>
      </c>
      <c r="C492" s="4">
        <v>1936</v>
      </c>
      <c r="D492" s="4">
        <v>2002.35</v>
      </c>
      <c r="E492" s="4">
        <v>1935.25</v>
      </c>
      <c r="F492" s="4">
        <v>1934.8</v>
      </c>
      <c r="G492" s="4">
        <v>1997.1</v>
      </c>
      <c r="H492" s="4">
        <v>1995.1</v>
      </c>
      <c r="I492" s="4">
        <v>1977.11</v>
      </c>
      <c r="J492" s="4">
        <v>2002.35</v>
      </c>
      <c r="K492" s="4">
        <v>1235</v>
      </c>
      <c r="L492" s="2">
        <v>4802079</v>
      </c>
      <c r="M492" s="2">
        <v>9494250831.6000004</v>
      </c>
      <c r="N492">
        <v>234018</v>
      </c>
      <c r="O492" t="s">
        <v>17</v>
      </c>
    </row>
    <row r="493" spans="1:15" x14ac:dyDescent="0.3">
      <c r="A493" s="1">
        <v>45666</v>
      </c>
      <c r="B493" t="s">
        <v>15</v>
      </c>
      <c r="C493" s="4">
        <v>1926.8</v>
      </c>
      <c r="D493" s="4">
        <v>1944.45</v>
      </c>
      <c r="E493" s="4">
        <v>1920</v>
      </c>
      <c r="F493" s="4">
        <v>1932.25</v>
      </c>
      <c r="G493" s="4">
        <v>1934</v>
      </c>
      <c r="H493" s="4">
        <v>1934.8</v>
      </c>
      <c r="I493" s="4">
        <v>1935.7</v>
      </c>
      <c r="J493" s="4">
        <v>1992.1</v>
      </c>
      <c r="K493" s="4">
        <v>1235</v>
      </c>
      <c r="L493" s="2">
        <v>2742139</v>
      </c>
      <c r="M493" s="2">
        <v>5307958003.9499998</v>
      </c>
      <c r="N493">
        <v>127128</v>
      </c>
      <c r="O493" t="s">
        <v>17</v>
      </c>
    </row>
    <row r="494" spans="1:15" x14ac:dyDescent="0.3">
      <c r="A494" s="1">
        <v>45665</v>
      </c>
      <c r="B494" t="s">
        <v>15</v>
      </c>
      <c r="C494" s="4">
        <v>1906.3</v>
      </c>
      <c r="D494" s="4">
        <v>1938.5</v>
      </c>
      <c r="E494" s="4">
        <v>1894.55</v>
      </c>
      <c r="F494" s="4">
        <v>1915.9</v>
      </c>
      <c r="G494" s="4">
        <v>1932.9</v>
      </c>
      <c r="H494" s="4">
        <v>1932.25</v>
      </c>
      <c r="I494" s="4">
        <v>1915</v>
      </c>
      <c r="J494" s="4">
        <v>1992.1</v>
      </c>
      <c r="K494" s="4">
        <v>1235</v>
      </c>
      <c r="L494" s="2">
        <v>2372138</v>
      </c>
      <c r="M494" s="2">
        <v>4542649572.1999998</v>
      </c>
      <c r="N494">
        <v>161359</v>
      </c>
      <c r="O494" t="s">
        <v>17</v>
      </c>
    </row>
    <row r="495" spans="1:15" x14ac:dyDescent="0.3">
      <c r="A495" s="1">
        <v>45664</v>
      </c>
      <c r="B495" t="s">
        <v>15</v>
      </c>
      <c r="C495" s="4">
        <v>1960</v>
      </c>
      <c r="D495" s="4">
        <v>1981</v>
      </c>
      <c r="E495" s="4">
        <v>1908.9</v>
      </c>
      <c r="F495" s="4">
        <v>1953.05</v>
      </c>
      <c r="G495" s="4">
        <v>1916.75</v>
      </c>
      <c r="H495" s="4">
        <v>1915.9</v>
      </c>
      <c r="I495" s="4">
        <v>1930.16</v>
      </c>
      <c r="J495" s="4">
        <v>1992.1</v>
      </c>
      <c r="K495" s="4">
        <v>1235</v>
      </c>
      <c r="L495" s="2">
        <v>2494547</v>
      </c>
      <c r="M495" s="2">
        <v>4814870548.3000002</v>
      </c>
      <c r="N495">
        <v>117446</v>
      </c>
      <c r="O495" t="s">
        <v>17</v>
      </c>
    </row>
    <row r="496" spans="1:15" x14ac:dyDescent="0.3">
      <c r="A496" s="1">
        <v>45663</v>
      </c>
      <c r="B496" t="s">
        <v>15</v>
      </c>
      <c r="C496" s="4">
        <v>1951.25</v>
      </c>
      <c r="D496" s="4">
        <v>1973.4</v>
      </c>
      <c r="E496" s="4">
        <v>1930</v>
      </c>
      <c r="F496" s="4">
        <v>1946.65</v>
      </c>
      <c r="G496" s="4">
        <v>1948.6</v>
      </c>
      <c r="H496" s="4">
        <v>1953.05</v>
      </c>
      <c r="I496" s="4">
        <v>1951.88</v>
      </c>
      <c r="J496" s="4">
        <v>1992.1</v>
      </c>
      <c r="K496" s="4">
        <v>1235</v>
      </c>
      <c r="L496" s="2">
        <v>1789037</v>
      </c>
      <c r="M496" s="2">
        <v>3491988428.3499999</v>
      </c>
      <c r="N496">
        <v>105379</v>
      </c>
      <c r="O496" t="s">
        <v>17</v>
      </c>
    </row>
    <row r="497" spans="1:15" x14ac:dyDescent="0.3">
      <c r="A497" s="1">
        <v>45660</v>
      </c>
      <c r="B497" t="s">
        <v>15</v>
      </c>
      <c r="C497" s="4">
        <v>1980</v>
      </c>
      <c r="D497" s="4">
        <v>1992.1</v>
      </c>
      <c r="E497" s="4">
        <v>1941</v>
      </c>
      <c r="F497" s="4">
        <v>1972.2</v>
      </c>
      <c r="G497" s="4">
        <v>1943</v>
      </c>
      <c r="H497" s="4">
        <v>1946.65</v>
      </c>
      <c r="I497" s="4">
        <v>1956.95</v>
      </c>
      <c r="J497" s="4">
        <v>1992.1</v>
      </c>
      <c r="K497" s="4">
        <v>1235</v>
      </c>
      <c r="L497" s="2">
        <v>2853344</v>
      </c>
      <c r="M497" s="2">
        <v>5583862264.8000002</v>
      </c>
      <c r="N497">
        <v>148177</v>
      </c>
      <c r="O497" t="s">
        <v>17</v>
      </c>
    </row>
    <row r="498" spans="1:15" x14ac:dyDescent="0.3">
      <c r="A498" s="1">
        <v>45659</v>
      </c>
      <c r="B498" t="s">
        <v>15</v>
      </c>
      <c r="C498" s="4">
        <v>1911.95</v>
      </c>
      <c r="D498" s="4">
        <v>1976.3</v>
      </c>
      <c r="E498" s="4">
        <v>1910.05</v>
      </c>
      <c r="F498" s="4">
        <v>1911.95</v>
      </c>
      <c r="G498" s="4">
        <v>1966.45</v>
      </c>
      <c r="H498" s="4">
        <v>1972.2</v>
      </c>
      <c r="I498" s="4">
        <v>1956.3</v>
      </c>
      <c r="J498" s="4">
        <v>1980</v>
      </c>
      <c r="K498" s="4">
        <v>1235</v>
      </c>
      <c r="L498" s="2">
        <v>3487645</v>
      </c>
      <c r="M498" s="2">
        <v>6822864745.3000002</v>
      </c>
      <c r="N498">
        <v>172843</v>
      </c>
      <c r="O498" t="s">
        <v>17</v>
      </c>
    </row>
    <row r="499" spans="1:15" x14ac:dyDescent="0.3">
      <c r="A499" s="1">
        <v>45658</v>
      </c>
      <c r="B499" t="s">
        <v>15</v>
      </c>
      <c r="C499" s="4">
        <v>1917.4</v>
      </c>
      <c r="D499" s="4">
        <v>1936.95</v>
      </c>
      <c r="E499" s="4">
        <v>1907.9</v>
      </c>
      <c r="F499" s="4">
        <v>1917.4</v>
      </c>
      <c r="G499" s="4">
        <v>1911.6</v>
      </c>
      <c r="H499" s="4">
        <v>1911.95</v>
      </c>
      <c r="I499" s="4">
        <v>1918.88</v>
      </c>
      <c r="J499" s="4">
        <v>1980</v>
      </c>
      <c r="K499" s="4">
        <v>1235</v>
      </c>
      <c r="L499" s="2">
        <v>880695</v>
      </c>
      <c r="M499" s="2">
        <v>1689945501.45</v>
      </c>
      <c r="N499">
        <v>53268</v>
      </c>
      <c r="O499" t="s">
        <v>17</v>
      </c>
    </row>
    <row r="500" spans="1:15" x14ac:dyDescent="0.3">
      <c r="A500" s="1">
        <v>46022</v>
      </c>
      <c r="B500" s="3" t="s">
        <v>15</v>
      </c>
      <c r="C500" s="3">
        <v>991</v>
      </c>
      <c r="D500" s="3">
        <v>997.6</v>
      </c>
      <c r="E500" s="3">
        <v>987.6</v>
      </c>
      <c r="F500" s="3">
        <v>990.9</v>
      </c>
      <c r="G500" s="3">
        <v>992.9</v>
      </c>
      <c r="H500" s="3">
        <v>991.2</v>
      </c>
      <c r="I500" s="3">
        <v>992.61</v>
      </c>
      <c r="J500" s="3">
        <v>2037.7</v>
      </c>
      <c r="K500" s="3">
        <v>939.1</v>
      </c>
      <c r="L500" s="5">
        <v>10963454</v>
      </c>
      <c r="M500" s="2">
        <v>10882483821.4</v>
      </c>
      <c r="N500">
        <v>193549</v>
      </c>
      <c r="O500" t="s">
        <v>18</v>
      </c>
    </row>
    <row r="501" spans="1:15" x14ac:dyDescent="0.3">
      <c r="A501" s="1">
        <v>46021</v>
      </c>
      <c r="B501" s="3" t="s">
        <v>15</v>
      </c>
      <c r="C501" s="3">
        <v>990.2</v>
      </c>
      <c r="D501" s="3">
        <v>995</v>
      </c>
      <c r="E501" s="3">
        <v>982.2</v>
      </c>
      <c r="F501" s="3">
        <v>991.7</v>
      </c>
      <c r="G501" s="3">
        <v>995</v>
      </c>
      <c r="H501" s="3">
        <v>990.9</v>
      </c>
      <c r="I501" s="3">
        <v>989.16</v>
      </c>
      <c r="J501" s="3">
        <v>2037.7</v>
      </c>
      <c r="K501" s="3">
        <v>939.1</v>
      </c>
      <c r="L501" s="5">
        <v>33155849</v>
      </c>
      <c r="M501" s="2">
        <v>32796279701.400002</v>
      </c>
      <c r="N501">
        <v>393869</v>
      </c>
      <c r="O501" t="s">
        <v>18</v>
      </c>
    </row>
    <row r="502" spans="1:15" x14ac:dyDescent="0.3">
      <c r="A502" s="1">
        <v>46020</v>
      </c>
      <c r="B502" s="3" t="s">
        <v>15</v>
      </c>
      <c r="C502" s="3">
        <v>993.1</v>
      </c>
      <c r="D502" s="3">
        <v>997.4</v>
      </c>
      <c r="E502" s="3">
        <v>987.2</v>
      </c>
      <c r="F502" s="3">
        <v>992.1</v>
      </c>
      <c r="G502" s="3">
        <v>992.8</v>
      </c>
      <c r="H502" s="3">
        <v>991.7</v>
      </c>
      <c r="I502" s="3">
        <v>991.31</v>
      </c>
      <c r="J502" s="3">
        <v>2037.7</v>
      </c>
      <c r="K502" s="3">
        <v>939.1</v>
      </c>
      <c r="L502" s="5">
        <v>13545749</v>
      </c>
      <c r="M502" s="2">
        <v>13427999756</v>
      </c>
      <c r="N502">
        <v>190711</v>
      </c>
      <c r="O502" t="s">
        <v>18</v>
      </c>
    </row>
    <row r="503" spans="1:15" x14ac:dyDescent="0.3">
      <c r="A503" s="1">
        <v>46017</v>
      </c>
      <c r="B503" s="3" t="s">
        <v>15</v>
      </c>
      <c r="C503" s="3">
        <v>996</v>
      </c>
      <c r="D503" s="3">
        <v>997.2</v>
      </c>
      <c r="E503" s="3">
        <v>987.7</v>
      </c>
      <c r="F503" s="3">
        <v>997.2</v>
      </c>
      <c r="G503" s="3">
        <v>992</v>
      </c>
      <c r="H503" s="3">
        <v>992.1</v>
      </c>
      <c r="I503" s="3">
        <v>992.32</v>
      </c>
      <c r="J503" s="3">
        <v>2037.7</v>
      </c>
      <c r="K503" s="3">
        <v>939.1</v>
      </c>
      <c r="L503" s="5">
        <v>9360853</v>
      </c>
      <c r="M503" s="2">
        <v>9288952052.7000008</v>
      </c>
      <c r="N503">
        <v>196688</v>
      </c>
      <c r="O503" t="s">
        <v>18</v>
      </c>
    </row>
    <row r="504" spans="1:15" x14ac:dyDescent="0.3">
      <c r="A504" s="1">
        <v>46015</v>
      </c>
      <c r="B504" s="3" t="s">
        <v>15</v>
      </c>
      <c r="C504" s="3">
        <v>993</v>
      </c>
      <c r="D504" s="3">
        <v>999.4</v>
      </c>
      <c r="E504" s="3">
        <v>993</v>
      </c>
      <c r="F504" s="3">
        <v>996.6</v>
      </c>
      <c r="G504" s="3">
        <v>995.3</v>
      </c>
      <c r="H504" s="3">
        <v>997.2</v>
      </c>
      <c r="I504" s="3">
        <v>996.34</v>
      </c>
      <c r="J504" s="3">
        <v>2037.7</v>
      </c>
      <c r="K504" s="3">
        <v>939.1</v>
      </c>
      <c r="L504" s="5">
        <v>13699996</v>
      </c>
      <c r="M504" s="2">
        <v>13649827358.4</v>
      </c>
      <c r="N504">
        <v>203107</v>
      </c>
      <c r="O504" t="s">
        <v>18</v>
      </c>
    </row>
    <row r="505" spans="1:15" x14ac:dyDescent="0.3">
      <c r="A505" s="1">
        <v>46014</v>
      </c>
      <c r="B505" s="3" t="s">
        <v>15</v>
      </c>
      <c r="C505" s="3">
        <v>990.5</v>
      </c>
      <c r="D505" s="3">
        <v>998.9</v>
      </c>
      <c r="E505" s="3">
        <v>987.7</v>
      </c>
      <c r="F505" s="3">
        <v>987.7</v>
      </c>
      <c r="G505" s="3">
        <v>997</v>
      </c>
      <c r="H505" s="3">
        <v>996.6</v>
      </c>
      <c r="I505" s="3">
        <v>994.81</v>
      </c>
      <c r="J505" s="3">
        <v>2037.7</v>
      </c>
      <c r="K505" s="3">
        <v>939.1</v>
      </c>
      <c r="L505" s="5">
        <v>17927849</v>
      </c>
      <c r="M505" s="2">
        <v>17834864449.299999</v>
      </c>
      <c r="N505">
        <v>227121</v>
      </c>
      <c r="O505" t="s">
        <v>18</v>
      </c>
    </row>
    <row r="506" spans="1:15" x14ac:dyDescent="0.3">
      <c r="A506" s="1">
        <v>46013</v>
      </c>
      <c r="B506" s="3" t="s">
        <v>15</v>
      </c>
      <c r="C506" s="3">
        <v>988</v>
      </c>
      <c r="D506" s="3">
        <v>992.9</v>
      </c>
      <c r="E506" s="3">
        <v>983.9</v>
      </c>
      <c r="F506" s="3">
        <v>985.5</v>
      </c>
      <c r="G506" s="3">
        <v>987.2</v>
      </c>
      <c r="H506" s="3">
        <v>987.7</v>
      </c>
      <c r="I506" s="3">
        <v>987.63</v>
      </c>
      <c r="J506" s="3">
        <v>2037.7</v>
      </c>
      <c r="K506" s="3">
        <v>939.1</v>
      </c>
      <c r="L506" s="5">
        <v>13540411</v>
      </c>
      <c r="M506" s="2">
        <v>13372875582.700001</v>
      </c>
      <c r="N506">
        <v>253393</v>
      </c>
      <c r="O506" t="s">
        <v>18</v>
      </c>
    </row>
    <row r="507" spans="1:15" x14ac:dyDescent="0.3">
      <c r="A507" s="1">
        <v>46010</v>
      </c>
      <c r="B507" s="3" t="s">
        <v>15</v>
      </c>
      <c r="C507" s="3">
        <v>987</v>
      </c>
      <c r="D507" s="3">
        <v>988</v>
      </c>
      <c r="E507" s="3">
        <v>978.7</v>
      </c>
      <c r="F507" s="3">
        <v>979.7</v>
      </c>
      <c r="G507" s="3">
        <v>985.2</v>
      </c>
      <c r="H507" s="3">
        <v>985.5</v>
      </c>
      <c r="I507" s="3">
        <v>984.91</v>
      </c>
      <c r="J507" s="3">
        <v>2037.7</v>
      </c>
      <c r="K507" s="3">
        <v>939.1</v>
      </c>
      <c r="L507" s="5">
        <v>25952384</v>
      </c>
      <c r="M507" s="2">
        <v>25560667946</v>
      </c>
      <c r="N507">
        <v>246675</v>
      </c>
      <c r="O507" t="s">
        <v>18</v>
      </c>
    </row>
    <row r="508" spans="1:15" x14ac:dyDescent="0.3">
      <c r="A508" s="1">
        <v>46009</v>
      </c>
      <c r="B508" s="3" t="s">
        <v>15</v>
      </c>
      <c r="C508" s="3">
        <v>973.3</v>
      </c>
      <c r="D508" s="3">
        <v>987.4</v>
      </c>
      <c r="E508" s="3">
        <v>973.3</v>
      </c>
      <c r="F508" s="3">
        <v>984</v>
      </c>
      <c r="G508" s="3">
        <v>980</v>
      </c>
      <c r="H508" s="3">
        <v>979.7</v>
      </c>
      <c r="I508" s="3">
        <v>981.48</v>
      </c>
      <c r="J508" s="3">
        <v>2037.7</v>
      </c>
      <c r="K508" s="3">
        <v>939.1</v>
      </c>
      <c r="L508" s="5">
        <v>14912404</v>
      </c>
      <c r="M508" s="2">
        <v>14636196743</v>
      </c>
      <c r="N508">
        <v>412559</v>
      </c>
      <c r="O508" t="s">
        <v>18</v>
      </c>
    </row>
    <row r="509" spans="1:15" x14ac:dyDescent="0.3">
      <c r="A509" s="1">
        <v>46008</v>
      </c>
      <c r="B509" s="3" t="s">
        <v>15</v>
      </c>
      <c r="C509" s="3">
        <v>996</v>
      </c>
      <c r="D509" s="3">
        <v>996</v>
      </c>
      <c r="E509" s="3">
        <v>980.8</v>
      </c>
      <c r="F509" s="3">
        <v>994.3</v>
      </c>
      <c r="G509" s="3">
        <v>985.2</v>
      </c>
      <c r="H509" s="3">
        <v>984</v>
      </c>
      <c r="I509" s="3">
        <v>985.22</v>
      </c>
      <c r="J509" s="3">
        <v>2037.7</v>
      </c>
      <c r="K509" s="3">
        <v>939.1</v>
      </c>
      <c r="L509" s="5">
        <v>19080922</v>
      </c>
      <c r="M509" s="2">
        <v>18798880243.799999</v>
      </c>
      <c r="N509">
        <v>288605</v>
      </c>
      <c r="O509" t="s">
        <v>18</v>
      </c>
    </row>
    <row r="510" spans="1:15" x14ac:dyDescent="0.3">
      <c r="A510" s="1">
        <v>46007</v>
      </c>
      <c r="B510" s="3" t="s">
        <v>15</v>
      </c>
      <c r="C510" s="3">
        <v>990.1</v>
      </c>
      <c r="D510" s="3">
        <v>998.7</v>
      </c>
      <c r="E510" s="3">
        <v>990.1</v>
      </c>
      <c r="F510" s="3">
        <v>996.1</v>
      </c>
      <c r="G510" s="3">
        <v>994.2</v>
      </c>
      <c r="H510" s="3">
        <v>994.3</v>
      </c>
      <c r="I510" s="3">
        <v>994.74</v>
      </c>
      <c r="J510" s="3">
        <v>2037.7</v>
      </c>
      <c r="K510" s="3">
        <v>939.1</v>
      </c>
      <c r="L510" s="5">
        <v>20049088</v>
      </c>
      <c r="M510" s="2">
        <v>19943698733.599998</v>
      </c>
      <c r="N510">
        <v>307140</v>
      </c>
      <c r="O510" t="s">
        <v>18</v>
      </c>
    </row>
    <row r="511" spans="1:15" x14ac:dyDescent="0.3">
      <c r="A511" s="1">
        <v>46006</v>
      </c>
      <c r="B511" s="3" t="s">
        <v>15</v>
      </c>
      <c r="C511" s="3">
        <v>992</v>
      </c>
      <c r="D511" s="3">
        <v>1001.8</v>
      </c>
      <c r="E511" s="3">
        <v>992</v>
      </c>
      <c r="F511" s="3">
        <v>1001.5</v>
      </c>
      <c r="G511" s="3">
        <v>995</v>
      </c>
      <c r="H511" s="3">
        <v>996.1</v>
      </c>
      <c r="I511" s="3">
        <v>995.95</v>
      </c>
      <c r="J511" s="3">
        <v>2037.7</v>
      </c>
      <c r="K511" s="3">
        <v>939.1</v>
      </c>
      <c r="L511" s="5">
        <v>9790060</v>
      </c>
      <c r="M511" s="2">
        <v>9750388373.6000004</v>
      </c>
      <c r="N511">
        <v>182612</v>
      </c>
      <c r="O511" t="s">
        <v>18</v>
      </c>
    </row>
    <row r="512" spans="1:15" x14ac:dyDescent="0.3">
      <c r="A512" s="1">
        <v>46003</v>
      </c>
      <c r="B512" s="3" t="s">
        <v>15</v>
      </c>
      <c r="C512" s="3">
        <v>1003</v>
      </c>
      <c r="D512" s="3">
        <v>1004.7</v>
      </c>
      <c r="E512" s="3">
        <v>998.2</v>
      </c>
      <c r="F512" s="3">
        <v>1000.3</v>
      </c>
      <c r="G512" s="3">
        <v>1002.9</v>
      </c>
      <c r="H512" s="3">
        <v>1001.5</v>
      </c>
      <c r="I512" s="3">
        <v>1001.52</v>
      </c>
      <c r="J512" s="3">
        <v>2037.7</v>
      </c>
      <c r="K512" s="3">
        <v>939.1</v>
      </c>
      <c r="L512" s="5">
        <v>11988618</v>
      </c>
      <c r="M512" s="2">
        <v>12006883854.1</v>
      </c>
      <c r="N512">
        <v>153825</v>
      </c>
      <c r="O512" t="s">
        <v>18</v>
      </c>
    </row>
    <row r="513" spans="1:15" x14ac:dyDescent="0.3">
      <c r="A513" s="1">
        <v>46002</v>
      </c>
      <c r="B513" s="3" t="s">
        <v>15</v>
      </c>
      <c r="C513" s="3">
        <v>990</v>
      </c>
      <c r="D513" s="3">
        <v>1002.7</v>
      </c>
      <c r="E513" s="3">
        <v>988.5</v>
      </c>
      <c r="F513" s="3">
        <v>989.8</v>
      </c>
      <c r="G513" s="3">
        <v>999.9</v>
      </c>
      <c r="H513" s="3">
        <v>1000.3</v>
      </c>
      <c r="I513" s="3">
        <v>996.96</v>
      </c>
      <c r="J513" s="3">
        <v>2037.7</v>
      </c>
      <c r="K513" s="3">
        <v>939.1</v>
      </c>
      <c r="L513" s="5">
        <v>11844809</v>
      </c>
      <c r="M513" s="2">
        <v>11808832354.299999</v>
      </c>
      <c r="N513">
        <v>177935</v>
      </c>
      <c r="O513" t="s">
        <v>18</v>
      </c>
    </row>
    <row r="514" spans="1:15" x14ac:dyDescent="0.3">
      <c r="A514" s="1">
        <v>46001</v>
      </c>
      <c r="B514" s="3" t="s">
        <v>15</v>
      </c>
      <c r="C514" s="3">
        <v>997.5</v>
      </c>
      <c r="D514" s="3">
        <v>998.5</v>
      </c>
      <c r="E514" s="3">
        <v>985.3</v>
      </c>
      <c r="F514" s="3">
        <v>997.1</v>
      </c>
      <c r="G514" s="3">
        <v>990.4</v>
      </c>
      <c r="H514" s="3">
        <v>989.8</v>
      </c>
      <c r="I514" s="3">
        <v>990.9</v>
      </c>
      <c r="J514" s="3">
        <v>2037.7</v>
      </c>
      <c r="K514" s="3">
        <v>939.1</v>
      </c>
      <c r="L514" s="5">
        <v>15322830</v>
      </c>
      <c r="M514" s="2">
        <v>15183409188.4</v>
      </c>
      <c r="N514">
        <v>275347</v>
      </c>
      <c r="O514" t="s">
        <v>18</v>
      </c>
    </row>
    <row r="515" spans="1:15" x14ac:dyDescent="0.3">
      <c r="A515" s="1">
        <v>46000</v>
      </c>
      <c r="B515" s="3" t="s">
        <v>15</v>
      </c>
      <c r="C515" s="3">
        <v>994.9</v>
      </c>
      <c r="D515" s="3">
        <v>1002.8</v>
      </c>
      <c r="E515" s="3">
        <v>994</v>
      </c>
      <c r="F515" s="3">
        <v>1003.1</v>
      </c>
      <c r="G515" s="3">
        <v>997</v>
      </c>
      <c r="H515" s="3">
        <v>997.1</v>
      </c>
      <c r="I515" s="3">
        <v>998.68</v>
      </c>
      <c r="J515" s="3">
        <v>2037.7</v>
      </c>
      <c r="K515" s="3">
        <v>939.1</v>
      </c>
      <c r="L515" s="5">
        <v>15294322</v>
      </c>
      <c r="M515" s="2">
        <v>15274186067.4</v>
      </c>
      <c r="N515">
        <v>206598</v>
      </c>
      <c r="O515" t="s">
        <v>18</v>
      </c>
    </row>
    <row r="516" spans="1:15" x14ac:dyDescent="0.3">
      <c r="A516" s="1">
        <v>45999</v>
      </c>
      <c r="B516" s="3" t="s">
        <v>15</v>
      </c>
      <c r="C516" s="3">
        <v>1000</v>
      </c>
      <c r="D516" s="3">
        <v>1006.5</v>
      </c>
      <c r="E516" s="3">
        <v>997.5</v>
      </c>
      <c r="F516" s="3">
        <v>1003.3</v>
      </c>
      <c r="G516" s="3">
        <v>1001.8</v>
      </c>
      <c r="H516" s="3">
        <v>1003.1</v>
      </c>
      <c r="I516" s="3">
        <v>1002.21</v>
      </c>
      <c r="J516" s="3">
        <v>2037.7</v>
      </c>
      <c r="K516" s="3">
        <v>939.1</v>
      </c>
      <c r="L516" s="5">
        <v>12901022</v>
      </c>
      <c r="M516" s="2">
        <v>12929480947.9</v>
      </c>
      <c r="N516">
        <v>219872</v>
      </c>
      <c r="O516" t="s">
        <v>18</v>
      </c>
    </row>
    <row r="517" spans="1:15" x14ac:dyDescent="0.3">
      <c r="A517" s="1">
        <v>45996</v>
      </c>
      <c r="B517" s="3" t="s">
        <v>15</v>
      </c>
      <c r="C517" s="3">
        <v>992</v>
      </c>
      <c r="D517" s="3">
        <v>1008</v>
      </c>
      <c r="E517" s="3">
        <v>990.2</v>
      </c>
      <c r="F517" s="3">
        <v>997.2</v>
      </c>
      <c r="G517" s="3">
        <v>1001.2</v>
      </c>
      <c r="H517" s="3">
        <v>1003.3</v>
      </c>
      <c r="I517" s="3">
        <v>1000.86</v>
      </c>
      <c r="J517" s="3">
        <v>2037.7</v>
      </c>
      <c r="K517" s="3">
        <v>939.1</v>
      </c>
      <c r="L517" s="5">
        <v>12843366</v>
      </c>
      <c r="M517" s="2">
        <v>12854350197.299999</v>
      </c>
      <c r="N517">
        <v>192024</v>
      </c>
      <c r="O517" t="s">
        <v>18</v>
      </c>
    </row>
    <row r="518" spans="1:15" x14ac:dyDescent="0.3">
      <c r="A518" s="1">
        <v>45995</v>
      </c>
      <c r="B518" s="3" t="s">
        <v>15</v>
      </c>
      <c r="C518" s="3">
        <v>1000</v>
      </c>
      <c r="D518" s="3">
        <v>1004.7</v>
      </c>
      <c r="E518" s="3">
        <v>993</v>
      </c>
      <c r="F518" s="3">
        <v>1000.5</v>
      </c>
      <c r="G518" s="3">
        <v>998.5</v>
      </c>
      <c r="H518" s="3">
        <v>997.2</v>
      </c>
      <c r="I518" s="3">
        <v>998.28</v>
      </c>
      <c r="J518" s="3">
        <v>2037.7</v>
      </c>
      <c r="K518" s="3">
        <v>939.1</v>
      </c>
      <c r="L518" s="5">
        <v>14528169</v>
      </c>
      <c r="M518" s="2">
        <v>14503248744</v>
      </c>
      <c r="N518">
        <v>241847</v>
      </c>
      <c r="O518" t="s">
        <v>18</v>
      </c>
    </row>
    <row r="519" spans="1:15" x14ac:dyDescent="0.3">
      <c r="A519" s="1">
        <v>45994</v>
      </c>
      <c r="B519" s="3" t="s">
        <v>15</v>
      </c>
      <c r="C519" s="3">
        <v>986</v>
      </c>
      <c r="D519" s="3">
        <v>1002.3</v>
      </c>
      <c r="E519" s="3">
        <v>986</v>
      </c>
      <c r="F519" s="3">
        <v>989.8</v>
      </c>
      <c r="G519" s="3">
        <v>1000.1</v>
      </c>
      <c r="H519" s="3">
        <v>1000.5</v>
      </c>
      <c r="I519" s="3">
        <v>993.84</v>
      </c>
      <c r="J519" s="3">
        <v>2037.7</v>
      </c>
      <c r="K519" s="3">
        <v>939.1</v>
      </c>
      <c r="L519" s="5">
        <v>15448777</v>
      </c>
      <c r="M519" s="2">
        <v>15353618863.9</v>
      </c>
      <c r="N519">
        <v>222651</v>
      </c>
      <c r="O519" t="s">
        <v>18</v>
      </c>
    </row>
    <row r="520" spans="1:15" x14ac:dyDescent="0.3">
      <c r="A520" s="1">
        <v>45993</v>
      </c>
      <c r="B520" s="3" t="s">
        <v>15</v>
      </c>
      <c r="C520" s="3">
        <v>988</v>
      </c>
      <c r="D520" s="3">
        <v>994.4</v>
      </c>
      <c r="E520" s="3">
        <v>985</v>
      </c>
      <c r="F520" s="3">
        <v>1002.1</v>
      </c>
      <c r="G520" s="3">
        <v>991.4</v>
      </c>
      <c r="H520" s="3">
        <v>989.8</v>
      </c>
      <c r="I520" s="3">
        <v>990.24</v>
      </c>
      <c r="J520" s="3">
        <v>2037.7</v>
      </c>
      <c r="K520" s="3">
        <v>939.1</v>
      </c>
      <c r="L520" s="5">
        <v>27316662</v>
      </c>
      <c r="M520" s="2">
        <v>27050186723.200001</v>
      </c>
      <c r="N520">
        <v>363303</v>
      </c>
      <c r="O520" t="s">
        <v>18</v>
      </c>
    </row>
    <row r="521" spans="1:15" x14ac:dyDescent="0.3">
      <c r="A521" s="1">
        <v>45992</v>
      </c>
      <c r="B521" s="3" t="s">
        <v>15</v>
      </c>
      <c r="C521" s="3">
        <v>1017.5</v>
      </c>
      <c r="D521" s="3">
        <v>1017.5</v>
      </c>
      <c r="E521" s="3">
        <v>999.3</v>
      </c>
      <c r="F521" s="3">
        <v>1007.6</v>
      </c>
      <c r="G521" s="3">
        <v>1002.9</v>
      </c>
      <c r="H521" s="3">
        <v>1002.1</v>
      </c>
      <c r="I521" s="3">
        <v>1005.66</v>
      </c>
      <c r="J521" s="3">
        <v>2037.7</v>
      </c>
      <c r="K521" s="3">
        <v>939.1</v>
      </c>
      <c r="L521" s="5">
        <v>16746566</v>
      </c>
      <c r="M521" s="2">
        <v>16841329243.200001</v>
      </c>
      <c r="N521">
        <v>282719</v>
      </c>
      <c r="O521" t="s">
        <v>18</v>
      </c>
    </row>
    <row r="522" spans="1:15" x14ac:dyDescent="0.3">
      <c r="A522" s="1">
        <v>45989</v>
      </c>
      <c r="B522" s="3" t="s">
        <v>15</v>
      </c>
      <c r="C522" s="3">
        <v>1007</v>
      </c>
      <c r="D522" s="3">
        <v>1012.05</v>
      </c>
      <c r="E522" s="3">
        <v>1004.2</v>
      </c>
      <c r="F522" s="3">
        <v>1009.5</v>
      </c>
      <c r="G522" s="3">
        <v>1006.7</v>
      </c>
      <c r="H522" s="3">
        <v>1007.6</v>
      </c>
      <c r="I522" s="3">
        <v>1008.93</v>
      </c>
      <c r="J522" s="3">
        <v>2037.7</v>
      </c>
      <c r="K522" s="3">
        <v>939.1</v>
      </c>
      <c r="L522" s="5">
        <v>15988807</v>
      </c>
      <c r="M522" s="2">
        <v>16131518093.4</v>
      </c>
      <c r="N522">
        <v>178196</v>
      </c>
      <c r="O522" t="s">
        <v>18</v>
      </c>
    </row>
    <row r="523" spans="1:15" x14ac:dyDescent="0.3">
      <c r="A523" s="1">
        <v>45988</v>
      </c>
      <c r="B523" s="3" t="s">
        <v>15</v>
      </c>
      <c r="C523" s="3">
        <v>1002.1</v>
      </c>
      <c r="D523" s="3">
        <v>1016.8</v>
      </c>
      <c r="E523" s="3">
        <v>1001</v>
      </c>
      <c r="F523" s="3">
        <v>1003.9</v>
      </c>
      <c r="G523" s="3">
        <v>1009.05</v>
      </c>
      <c r="H523" s="3">
        <v>1009.5</v>
      </c>
      <c r="I523" s="3">
        <v>1010.95</v>
      </c>
      <c r="J523" s="3">
        <v>2037.7</v>
      </c>
      <c r="K523" s="3">
        <v>939.1</v>
      </c>
      <c r="L523" s="5">
        <v>25536848</v>
      </c>
      <c r="M523" s="2">
        <v>25816356116.099998</v>
      </c>
      <c r="N523">
        <v>313073</v>
      </c>
      <c r="O523" t="s">
        <v>18</v>
      </c>
    </row>
    <row r="524" spans="1:15" x14ac:dyDescent="0.3">
      <c r="A524" s="1">
        <v>45987</v>
      </c>
      <c r="B524" s="3" t="s">
        <v>15</v>
      </c>
      <c r="C524" s="3">
        <v>981.3</v>
      </c>
      <c r="D524" s="3">
        <v>1006.95</v>
      </c>
      <c r="E524" s="3">
        <v>981.3</v>
      </c>
      <c r="F524" s="3">
        <v>989.8</v>
      </c>
      <c r="G524" s="3">
        <v>1005</v>
      </c>
      <c r="H524" s="3">
        <v>1003.9</v>
      </c>
      <c r="I524" s="3">
        <v>999.58</v>
      </c>
      <c r="J524" s="3">
        <v>2037.7</v>
      </c>
      <c r="K524" s="3">
        <v>939.1</v>
      </c>
      <c r="L524" s="5">
        <v>19494356</v>
      </c>
      <c r="M524" s="2">
        <v>19486197443.700001</v>
      </c>
      <c r="N524">
        <v>207998</v>
      </c>
      <c r="O524" t="s">
        <v>18</v>
      </c>
    </row>
    <row r="525" spans="1:15" x14ac:dyDescent="0.3">
      <c r="A525" s="1">
        <v>45986</v>
      </c>
      <c r="B525" s="3" t="s">
        <v>15</v>
      </c>
      <c r="C525" s="3">
        <v>1004</v>
      </c>
      <c r="D525" s="3">
        <v>1006.1</v>
      </c>
      <c r="E525" s="3">
        <v>988.4</v>
      </c>
      <c r="F525" s="3">
        <v>999.15</v>
      </c>
      <c r="G525" s="3">
        <v>989.45</v>
      </c>
      <c r="H525" s="3">
        <v>989.8</v>
      </c>
      <c r="I525" s="3">
        <v>995.08</v>
      </c>
      <c r="J525" s="3">
        <v>2037.7</v>
      </c>
      <c r="K525" s="3">
        <v>939.1</v>
      </c>
      <c r="L525" s="5">
        <v>24989383</v>
      </c>
      <c r="M525" s="2">
        <v>24866505641.799999</v>
      </c>
      <c r="N525">
        <v>275451</v>
      </c>
      <c r="O525" t="s">
        <v>18</v>
      </c>
    </row>
    <row r="526" spans="1:15" x14ac:dyDescent="0.3">
      <c r="A526" s="1">
        <v>45985</v>
      </c>
      <c r="B526" s="3" t="s">
        <v>15</v>
      </c>
      <c r="C526" s="3">
        <v>1000</v>
      </c>
      <c r="D526" s="3">
        <v>1011.45</v>
      </c>
      <c r="E526" s="3">
        <v>993.6</v>
      </c>
      <c r="F526" s="3">
        <v>998.05</v>
      </c>
      <c r="G526" s="3">
        <v>997.85</v>
      </c>
      <c r="H526" s="3">
        <v>999.15</v>
      </c>
      <c r="I526" s="3">
        <v>1001.79</v>
      </c>
      <c r="J526" s="3">
        <v>2037.7</v>
      </c>
      <c r="K526" s="3">
        <v>939.1</v>
      </c>
      <c r="L526" s="5">
        <v>32204053</v>
      </c>
      <c r="M526" s="2">
        <v>32261618761.75</v>
      </c>
      <c r="N526">
        <v>280226</v>
      </c>
      <c r="O526" t="s">
        <v>18</v>
      </c>
    </row>
    <row r="527" spans="1:15" x14ac:dyDescent="0.3">
      <c r="A527" s="1">
        <v>45982</v>
      </c>
      <c r="B527" s="3" t="s">
        <v>15</v>
      </c>
      <c r="C527" s="3">
        <v>1003.1</v>
      </c>
      <c r="D527" s="3">
        <v>1008.3</v>
      </c>
      <c r="E527" s="3">
        <v>996.55</v>
      </c>
      <c r="F527" s="3">
        <v>1008.85</v>
      </c>
      <c r="G527" s="3">
        <v>998</v>
      </c>
      <c r="H527" s="3">
        <v>998.05</v>
      </c>
      <c r="I527" s="3">
        <v>1001.07</v>
      </c>
      <c r="J527" s="3">
        <v>2037.7</v>
      </c>
      <c r="K527" s="3">
        <v>939.1</v>
      </c>
      <c r="L527" s="5">
        <v>17499897</v>
      </c>
      <c r="M527" s="2">
        <v>17518694760</v>
      </c>
      <c r="N527">
        <v>271649</v>
      </c>
      <c r="O527" t="s">
        <v>18</v>
      </c>
    </row>
    <row r="528" spans="1:15" x14ac:dyDescent="0.3">
      <c r="A528" s="1">
        <v>45981</v>
      </c>
      <c r="B528" s="3" t="s">
        <v>15</v>
      </c>
      <c r="C528" s="3">
        <v>995.3</v>
      </c>
      <c r="D528" s="3">
        <v>1011.6</v>
      </c>
      <c r="E528" s="3">
        <v>992.45</v>
      </c>
      <c r="F528" s="3">
        <v>994.6</v>
      </c>
      <c r="G528" s="3">
        <v>1008.6</v>
      </c>
      <c r="H528" s="3">
        <v>1008.85</v>
      </c>
      <c r="I528" s="3">
        <v>1003.81</v>
      </c>
      <c r="J528" s="3">
        <v>2037.7</v>
      </c>
      <c r="K528" s="3">
        <v>939.1</v>
      </c>
      <c r="L528" s="5">
        <v>19850865</v>
      </c>
      <c r="M528" s="2">
        <v>19926417239.25</v>
      </c>
      <c r="N528">
        <v>254686</v>
      </c>
      <c r="O528" t="s">
        <v>18</v>
      </c>
    </row>
    <row r="529" spans="1:15" x14ac:dyDescent="0.3">
      <c r="A529" s="1">
        <v>45980</v>
      </c>
      <c r="B529" s="3" t="s">
        <v>15</v>
      </c>
      <c r="C529" s="3">
        <v>990</v>
      </c>
      <c r="D529" s="3">
        <v>996.55</v>
      </c>
      <c r="E529" s="3">
        <v>984</v>
      </c>
      <c r="F529" s="3">
        <v>992.45</v>
      </c>
      <c r="G529" s="3">
        <v>994.8</v>
      </c>
      <c r="H529" s="3">
        <v>994.6</v>
      </c>
      <c r="I529" s="3">
        <v>989.67</v>
      </c>
      <c r="J529" s="3">
        <v>2037.7</v>
      </c>
      <c r="K529" s="3">
        <v>939.1</v>
      </c>
      <c r="L529" s="5">
        <v>19813847</v>
      </c>
      <c r="M529" s="2">
        <v>19609199278.349998</v>
      </c>
      <c r="N529">
        <v>201324</v>
      </c>
      <c r="O529" t="s">
        <v>18</v>
      </c>
    </row>
    <row r="530" spans="1:15" x14ac:dyDescent="0.3">
      <c r="A530" s="1">
        <v>45979</v>
      </c>
      <c r="B530" s="3" t="s">
        <v>15</v>
      </c>
      <c r="C530" s="3">
        <v>997.65</v>
      </c>
      <c r="D530" s="3">
        <v>999</v>
      </c>
      <c r="E530" s="3">
        <v>990</v>
      </c>
      <c r="F530" s="3">
        <v>996.55</v>
      </c>
      <c r="G530" s="3">
        <v>990.85</v>
      </c>
      <c r="H530" s="3">
        <v>992.45</v>
      </c>
      <c r="I530" s="3">
        <v>994.68</v>
      </c>
      <c r="J530" s="3">
        <v>2037.7</v>
      </c>
      <c r="K530" s="3">
        <v>939.1</v>
      </c>
      <c r="L530" s="5">
        <v>20002640</v>
      </c>
      <c r="M530" s="2">
        <v>19896287879.549999</v>
      </c>
      <c r="N530">
        <v>217914</v>
      </c>
      <c r="O530" t="s">
        <v>18</v>
      </c>
    </row>
    <row r="531" spans="1:15" x14ac:dyDescent="0.3">
      <c r="A531" s="1">
        <v>45978</v>
      </c>
      <c r="B531" s="3" t="s">
        <v>15</v>
      </c>
      <c r="C531" s="3">
        <v>991.25</v>
      </c>
      <c r="D531" s="3">
        <v>997.95</v>
      </c>
      <c r="E531" s="3">
        <v>985.6</v>
      </c>
      <c r="F531" s="3">
        <v>989.6</v>
      </c>
      <c r="G531" s="3">
        <v>996.45</v>
      </c>
      <c r="H531" s="3">
        <v>996.55</v>
      </c>
      <c r="I531" s="3">
        <v>993.87</v>
      </c>
      <c r="J531" s="3">
        <v>2037.7</v>
      </c>
      <c r="K531" s="3">
        <v>939.1</v>
      </c>
      <c r="L531" s="5">
        <v>18396408</v>
      </c>
      <c r="M531" s="2">
        <v>18283667280.450001</v>
      </c>
      <c r="N531">
        <v>197155</v>
      </c>
      <c r="O531" t="s">
        <v>18</v>
      </c>
    </row>
    <row r="532" spans="1:15" x14ac:dyDescent="0.3">
      <c r="A532" s="1">
        <v>45975</v>
      </c>
      <c r="B532" s="3" t="s">
        <v>15</v>
      </c>
      <c r="C532" s="3">
        <v>976.05</v>
      </c>
      <c r="D532" s="3">
        <v>991.65</v>
      </c>
      <c r="E532" s="3">
        <v>976.05</v>
      </c>
      <c r="F532" s="3">
        <v>986.65</v>
      </c>
      <c r="G532" s="3">
        <v>989</v>
      </c>
      <c r="H532" s="3">
        <v>989.6</v>
      </c>
      <c r="I532" s="3">
        <v>984.95</v>
      </c>
      <c r="J532" s="3">
        <v>2037.7</v>
      </c>
      <c r="K532" s="3">
        <v>939.1</v>
      </c>
      <c r="L532" s="5">
        <v>21386965</v>
      </c>
      <c r="M532" s="2">
        <v>21065033481.450001</v>
      </c>
      <c r="N532">
        <v>301431</v>
      </c>
      <c r="O532" t="s">
        <v>18</v>
      </c>
    </row>
    <row r="533" spans="1:15" x14ac:dyDescent="0.3">
      <c r="A533" s="1">
        <v>45974</v>
      </c>
      <c r="B533" s="3" t="s">
        <v>15</v>
      </c>
      <c r="C533" s="3">
        <v>984</v>
      </c>
      <c r="D533" s="3">
        <v>990.1</v>
      </c>
      <c r="E533" s="3">
        <v>982.6</v>
      </c>
      <c r="F533" s="3">
        <v>989.5</v>
      </c>
      <c r="G533" s="3">
        <v>985.75</v>
      </c>
      <c r="H533" s="3">
        <v>986.65</v>
      </c>
      <c r="I533" s="3">
        <v>986.34</v>
      </c>
      <c r="J533" s="3">
        <v>2037.7</v>
      </c>
      <c r="K533" s="3">
        <v>939.1</v>
      </c>
      <c r="L533" s="5">
        <v>14124839</v>
      </c>
      <c r="M533" s="2">
        <v>13931855903.950001</v>
      </c>
      <c r="N533">
        <v>289471</v>
      </c>
      <c r="O533" t="s">
        <v>18</v>
      </c>
    </row>
    <row r="534" spans="1:15" x14ac:dyDescent="0.3">
      <c r="A534" s="1">
        <v>45973</v>
      </c>
      <c r="B534" s="3" t="s">
        <v>15</v>
      </c>
      <c r="C534" s="3">
        <v>998.8</v>
      </c>
      <c r="D534" s="3">
        <v>999</v>
      </c>
      <c r="E534" s="3">
        <v>987.7</v>
      </c>
      <c r="F534" s="3">
        <v>991.7</v>
      </c>
      <c r="G534" s="3">
        <v>990.25</v>
      </c>
      <c r="H534" s="3">
        <v>989.5</v>
      </c>
      <c r="I534" s="3">
        <v>992.14</v>
      </c>
      <c r="J534" s="3">
        <v>2037.7</v>
      </c>
      <c r="K534" s="3">
        <v>939.1</v>
      </c>
      <c r="L534" s="5">
        <v>13137263</v>
      </c>
      <c r="M534" s="2">
        <v>13034039694.950001</v>
      </c>
      <c r="N534">
        <v>166500</v>
      </c>
      <c r="O534" t="s">
        <v>18</v>
      </c>
    </row>
    <row r="535" spans="1:15" x14ac:dyDescent="0.3">
      <c r="A535" s="1">
        <v>45972</v>
      </c>
      <c r="B535" s="3" t="s">
        <v>15</v>
      </c>
      <c r="C535" s="3">
        <v>983.5</v>
      </c>
      <c r="D535" s="3">
        <v>993.5</v>
      </c>
      <c r="E535" s="3">
        <v>978</v>
      </c>
      <c r="F535" s="3">
        <v>984.5</v>
      </c>
      <c r="G535" s="3">
        <v>992</v>
      </c>
      <c r="H535" s="3">
        <v>991.7</v>
      </c>
      <c r="I535" s="3">
        <v>987.26</v>
      </c>
      <c r="J535" s="3">
        <v>2037.7</v>
      </c>
      <c r="K535" s="3">
        <v>939.1</v>
      </c>
      <c r="L535" s="5">
        <v>10200530</v>
      </c>
      <c r="M535" s="2">
        <v>10070524484.25</v>
      </c>
      <c r="N535">
        <v>229810</v>
      </c>
      <c r="O535" t="s">
        <v>18</v>
      </c>
    </row>
    <row r="536" spans="1:15" x14ac:dyDescent="0.3">
      <c r="A536" s="1">
        <v>45971</v>
      </c>
      <c r="B536" s="3" t="s">
        <v>15</v>
      </c>
      <c r="C536" s="3">
        <v>982.3</v>
      </c>
      <c r="D536" s="3">
        <v>990.95</v>
      </c>
      <c r="E536" s="3">
        <v>980.2</v>
      </c>
      <c r="F536" s="3">
        <v>982.3</v>
      </c>
      <c r="G536" s="3">
        <v>984.6</v>
      </c>
      <c r="H536" s="3">
        <v>984.5</v>
      </c>
      <c r="I536" s="3">
        <v>986.19</v>
      </c>
      <c r="J536" s="3">
        <v>2037.7</v>
      </c>
      <c r="K536" s="3">
        <v>939.1</v>
      </c>
      <c r="L536" s="5">
        <v>15988262</v>
      </c>
      <c r="M536" s="2">
        <v>15767386584</v>
      </c>
      <c r="N536">
        <v>373004</v>
      </c>
      <c r="O536" t="s">
        <v>18</v>
      </c>
    </row>
    <row r="537" spans="1:15" x14ac:dyDescent="0.3">
      <c r="A537" s="1">
        <v>45968</v>
      </c>
      <c r="B537" s="3" t="s">
        <v>15</v>
      </c>
      <c r="C537" s="3">
        <v>980</v>
      </c>
      <c r="D537" s="3">
        <v>984.9</v>
      </c>
      <c r="E537" s="3">
        <v>974.75</v>
      </c>
      <c r="F537" s="3">
        <v>984.65</v>
      </c>
      <c r="G537" s="3">
        <v>984.3</v>
      </c>
      <c r="H537" s="3">
        <v>982.3</v>
      </c>
      <c r="I537" s="3">
        <v>979.96</v>
      </c>
      <c r="J537" s="3">
        <v>2037.7</v>
      </c>
      <c r="K537" s="3">
        <v>939.1</v>
      </c>
      <c r="L537" s="5">
        <v>15004568</v>
      </c>
      <c r="M537" s="2">
        <v>14703832279.799999</v>
      </c>
      <c r="N537">
        <v>315369</v>
      </c>
      <c r="O537" t="s">
        <v>18</v>
      </c>
    </row>
    <row r="538" spans="1:15" x14ac:dyDescent="0.3">
      <c r="A538" s="1">
        <v>45967</v>
      </c>
      <c r="B538" s="3" t="s">
        <v>15</v>
      </c>
      <c r="C538" s="3">
        <v>981</v>
      </c>
      <c r="D538" s="3">
        <v>991.05</v>
      </c>
      <c r="E538" s="3">
        <v>974</v>
      </c>
      <c r="F538" s="3">
        <v>985.25</v>
      </c>
      <c r="G538" s="3">
        <v>987.5</v>
      </c>
      <c r="H538" s="3">
        <v>984.65</v>
      </c>
      <c r="I538" s="3">
        <v>984.48</v>
      </c>
      <c r="J538" s="3">
        <v>2037.7</v>
      </c>
      <c r="K538" s="3">
        <v>939.1</v>
      </c>
      <c r="L538" s="5">
        <v>22279516</v>
      </c>
      <c r="M538" s="2">
        <v>21933818395.900002</v>
      </c>
      <c r="N538">
        <v>278532</v>
      </c>
      <c r="O538" t="s">
        <v>18</v>
      </c>
    </row>
    <row r="539" spans="1:15" x14ac:dyDescent="0.3">
      <c r="A539" s="1">
        <v>45965</v>
      </c>
      <c r="B539" s="3" t="s">
        <v>15</v>
      </c>
      <c r="C539" s="3">
        <v>987</v>
      </c>
      <c r="D539" s="3">
        <v>997</v>
      </c>
      <c r="E539" s="3">
        <v>983.7</v>
      </c>
      <c r="F539" s="3">
        <v>992.65</v>
      </c>
      <c r="G539" s="3">
        <v>985.7</v>
      </c>
      <c r="H539" s="3">
        <v>985.25</v>
      </c>
      <c r="I539" s="3">
        <v>990.21</v>
      </c>
      <c r="J539" s="3">
        <v>2037.7</v>
      </c>
      <c r="K539" s="3">
        <v>939.1</v>
      </c>
      <c r="L539" s="5">
        <v>20024544</v>
      </c>
      <c r="M539" s="2">
        <v>19828527608.75</v>
      </c>
      <c r="N539">
        <v>302828</v>
      </c>
      <c r="O539" t="s">
        <v>18</v>
      </c>
    </row>
    <row r="540" spans="1:15" x14ac:dyDescent="0.3">
      <c r="A540" s="1">
        <v>45964</v>
      </c>
      <c r="B540" s="3" t="s">
        <v>15</v>
      </c>
      <c r="C540" s="3">
        <v>985</v>
      </c>
      <c r="D540" s="3">
        <v>994.55</v>
      </c>
      <c r="E540" s="3">
        <v>983.3</v>
      </c>
      <c r="F540" s="3">
        <v>987.3</v>
      </c>
      <c r="G540" s="3">
        <v>993.4</v>
      </c>
      <c r="H540" s="3">
        <v>992.65</v>
      </c>
      <c r="I540" s="3">
        <v>991.15</v>
      </c>
      <c r="J540" s="3">
        <v>2037.7</v>
      </c>
      <c r="K540" s="3">
        <v>939.1</v>
      </c>
      <c r="L540" s="5">
        <v>16607180</v>
      </c>
      <c r="M540" s="2">
        <v>16460236700.549999</v>
      </c>
      <c r="N540">
        <v>288032</v>
      </c>
      <c r="O540" t="s">
        <v>18</v>
      </c>
    </row>
    <row r="541" spans="1:15" x14ac:dyDescent="0.3">
      <c r="A541" s="1">
        <v>45961</v>
      </c>
      <c r="B541" s="3" t="s">
        <v>15</v>
      </c>
      <c r="C541" s="3">
        <v>994</v>
      </c>
      <c r="D541" s="3">
        <v>1004.45</v>
      </c>
      <c r="E541" s="3">
        <v>981.15</v>
      </c>
      <c r="F541" s="3">
        <v>998.15</v>
      </c>
      <c r="G541" s="3">
        <v>987.95</v>
      </c>
      <c r="H541" s="3">
        <v>987.3</v>
      </c>
      <c r="I541" s="3">
        <v>989.37</v>
      </c>
      <c r="J541" s="3">
        <v>2037.7</v>
      </c>
      <c r="K541" s="3">
        <v>939.1</v>
      </c>
      <c r="L541" s="5">
        <v>23221330</v>
      </c>
      <c r="M541" s="2">
        <v>22974558984.150002</v>
      </c>
      <c r="N541">
        <v>454775</v>
      </c>
      <c r="O541" t="s">
        <v>18</v>
      </c>
    </row>
    <row r="542" spans="1:15" x14ac:dyDescent="0.3">
      <c r="A542" s="1">
        <v>45960</v>
      </c>
      <c r="B542" s="3" t="s">
        <v>15</v>
      </c>
      <c r="C542" s="3">
        <v>1000</v>
      </c>
      <c r="D542" s="3">
        <v>1009.5</v>
      </c>
      <c r="E542" s="3">
        <v>997.1</v>
      </c>
      <c r="F542" s="3">
        <v>1007.85</v>
      </c>
      <c r="G542" s="3">
        <v>999.95</v>
      </c>
      <c r="H542" s="3">
        <v>998.15</v>
      </c>
      <c r="I542" s="3">
        <v>1001.53</v>
      </c>
      <c r="J542" s="3">
        <v>2037.7</v>
      </c>
      <c r="K542" s="3">
        <v>939.1</v>
      </c>
      <c r="L542" s="5">
        <v>19962917</v>
      </c>
      <c r="M542" s="2">
        <v>19993506579.25</v>
      </c>
      <c r="N542">
        <v>365104</v>
      </c>
      <c r="O542" t="s">
        <v>18</v>
      </c>
    </row>
    <row r="543" spans="1:15" x14ac:dyDescent="0.3">
      <c r="A543" s="1">
        <v>45959</v>
      </c>
      <c r="B543" s="3" t="s">
        <v>15</v>
      </c>
      <c r="C543" s="3">
        <v>1004.9</v>
      </c>
      <c r="D543" s="3">
        <v>1012.5</v>
      </c>
      <c r="E543" s="3">
        <v>1000</v>
      </c>
      <c r="F543" s="3">
        <v>1003.55</v>
      </c>
      <c r="G543" s="3">
        <v>1008.5</v>
      </c>
      <c r="H543" s="3">
        <v>1007.85</v>
      </c>
      <c r="I543" s="3">
        <v>1007.89</v>
      </c>
      <c r="J543" s="3">
        <v>2037.7</v>
      </c>
      <c r="K543" s="3">
        <v>939.1</v>
      </c>
      <c r="L543" s="5">
        <v>17769445</v>
      </c>
      <c r="M543" s="2">
        <v>17909676109.650002</v>
      </c>
      <c r="N543">
        <v>281715</v>
      </c>
      <c r="O543" t="s">
        <v>18</v>
      </c>
    </row>
    <row r="544" spans="1:15" x14ac:dyDescent="0.3">
      <c r="A544" s="1">
        <v>45958</v>
      </c>
      <c r="B544" s="3" t="s">
        <v>15</v>
      </c>
      <c r="C544" s="3">
        <v>997.65</v>
      </c>
      <c r="D544" s="3">
        <v>1008</v>
      </c>
      <c r="E544" s="3">
        <v>995</v>
      </c>
      <c r="F544" s="3">
        <v>1002.95</v>
      </c>
      <c r="G544" s="3">
        <v>1004.9</v>
      </c>
      <c r="H544" s="3">
        <v>1003.55</v>
      </c>
      <c r="I544" s="3">
        <v>1001.18</v>
      </c>
      <c r="J544" s="3">
        <v>2037.7</v>
      </c>
      <c r="K544" s="3">
        <v>939.1</v>
      </c>
      <c r="L544" s="5">
        <v>33904289</v>
      </c>
      <c r="M544" s="2">
        <v>33944177651.400002</v>
      </c>
      <c r="N544">
        <v>423621</v>
      </c>
      <c r="O544" t="s">
        <v>18</v>
      </c>
    </row>
    <row r="545" spans="1:15" x14ac:dyDescent="0.3">
      <c r="A545" s="1">
        <v>45957</v>
      </c>
      <c r="B545" s="3" t="s">
        <v>15</v>
      </c>
      <c r="C545" s="3">
        <v>996.5</v>
      </c>
      <c r="D545" s="3">
        <v>1009.05</v>
      </c>
      <c r="E545" s="3">
        <v>996.2</v>
      </c>
      <c r="F545" s="3">
        <v>994.75</v>
      </c>
      <c r="G545" s="3">
        <v>1003.5</v>
      </c>
      <c r="H545" s="3">
        <v>1002.95</v>
      </c>
      <c r="I545" s="3">
        <v>1003.92</v>
      </c>
      <c r="J545" s="3">
        <v>2037.7</v>
      </c>
      <c r="K545" s="3">
        <v>939.1</v>
      </c>
      <c r="L545" s="5">
        <v>15700796</v>
      </c>
      <c r="M545" s="2">
        <v>15762265430.25</v>
      </c>
      <c r="N545">
        <v>297938</v>
      </c>
      <c r="O545" t="s">
        <v>18</v>
      </c>
    </row>
    <row r="546" spans="1:15" x14ac:dyDescent="0.3">
      <c r="A546" s="1">
        <v>45954</v>
      </c>
      <c r="B546" s="3" t="s">
        <v>15</v>
      </c>
      <c r="C546" s="3">
        <v>1011</v>
      </c>
      <c r="D546" s="3">
        <v>1011.95</v>
      </c>
      <c r="E546" s="3">
        <v>991.3</v>
      </c>
      <c r="F546" s="3">
        <v>1008.8</v>
      </c>
      <c r="G546" s="3">
        <v>995.9</v>
      </c>
      <c r="H546" s="3">
        <v>994.75</v>
      </c>
      <c r="I546" s="3">
        <v>999.4</v>
      </c>
      <c r="J546" s="3">
        <v>2037.7</v>
      </c>
      <c r="K546" s="3">
        <v>939.1</v>
      </c>
      <c r="L546" s="5">
        <v>17707768</v>
      </c>
      <c r="M546" s="2">
        <v>17697089817.299999</v>
      </c>
      <c r="N546">
        <v>362016</v>
      </c>
      <c r="O546" t="s">
        <v>18</v>
      </c>
    </row>
    <row r="547" spans="1:15" x14ac:dyDescent="0.3">
      <c r="A547" s="1">
        <v>45953</v>
      </c>
      <c r="B547" s="3" t="s">
        <v>15</v>
      </c>
      <c r="C547" s="3">
        <v>1016</v>
      </c>
      <c r="D547" s="3">
        <v>1020.5</v>
      </c>
      <c r="E547" s="3">
        <v>1006</v>
      </c>
      <c r="F547" s="3">
        <v>1007.7</v>
      </c>
      <c r="G547" s="3">
        <v>1006.6</v>
      </c>
      <c r="H547" s="3">
        <v>1008.8</v>
      </c>
      <c r="I547" s="3">
        <v>1013.19</v>
      </c>
      <c r="J547" s="3">
        <v>2037.7</v>
      </c>
      <c r="K547" s="3">
        <v>939.1</v>
      </c>
      <c r="L547" s="5">
        <v>43526526</v>
      </c>
      <c r="M547" s="2">
        <v>44100430667.150002</v>
      </c>
      <c r="N547">
        <v>518216</v>
      </c>
      <c r="O547" t="s">
        <v>18</v>
      </c>
    </row>
    <row r="548" spans="1:15" x14ac:dyDescent="0.3">
      <c r="A548" s="1">
        <v>45951</v>
      </c>
      <c r="B548" s="3" t="s">
        <v>15</v>
      </c>
      <c r="C548" s="3">
        <v>1006</v>
      </c>
      <c r="D548" s="3">
        <v>1010</v>
      </c>
      <c r="E548" s="3">
        <v>1004</v>
      </c>
      <c r="F548" s="3">
        <v>1002.95</v>
      </c>
      <c r="G548" s="3">
        <v>1004</v>
      </c>
      <c r="H548" s="3">
        <v>1007.7</v>
      </c>
      <c r="I548" s="3">
        <v>1008.15</v>
      </c>
      <c r="J548" s="3">
        <v>2037.7</v>
      </c>
      <c r="K548" s="3">
        <v>939.1</v>
      </c>
      <c r="L548" s="5">
        <v>3471600</v>
      </c>
      <c r="M548" s="2">
        <v>3499906215.3499999</v>
      </c>
      <c r="N548">
        <v>88749</v>
      </c>
      <c r="O548" t="s">
        <v>18</v>
      </c>
    </row>
    <row r="549" spans="1:15" x14ac:dyDescent="0.3">
      <c r="A549" s="1">
        <v>45950</v>
      </c>
      <c r="B549" s="3" t="s">
        <v>15</v>
      </c>
      <c r="C549" s="3">
        <v>997</v>
      </c>
      <c r="D549" s="3">
        <v>1020</v>
      </c>
      <c r="E549" s="3">
        <v>997</v>
      </c>
      <c r="F549" s="3">
        <v>1002.55</v>
      </c>
      <c r="G549" s="3">
        <v>1003.6</v>
      </c>
      <c r="H549" s="3">
        <v>1002.95</v>
      </c>
      <c r="I549" s="3">
        <v>1005.08</v>
      </c>
      <c r="J549" s="3">
        <v>2037.7</v>
      </c>
      <c r="K549" s="3">
        <v>939.1</v>
      </c>
      <c r="L549" s="5">
        <v>22195202</v>
      </c>
      <c r="M549" s="2">
        <v>22307932790.700001</v>
      </c>
      <c r="N549">
        <v>416206</v>
      </c>
      <c r="O549" t="s">
        <v>18</v>
      </c>
    </row>
    <row r="550" spans="1:15" x14ac:dyDescent="0.3">
      <c r="A550" s="1">
        <v>45947</v>
      </c>
      <c r="B550" s="3" t="s">
        <v>15</v>
      </c>
      <c r="C550" s="3">
        <v>993.95</v>
      </c>
      <c r="D550" s="3">
        <v>1009</v>
      </c>
      <c r="E550" s="3">
        <v>986</v>
      </c>
      <c r="F550" s="3">
        <v>994.35</v>
      </c>
      <c r="G550" s="3">
        <v>1000.6</v>
      </c>
      <c r="H550" s="3">
        <v>1002.55</v>
      </c>
      <c r="I550" s="3">
        <v>1001.76</v>
      </c>
      <c r="J550" s="3">
        <v>2037.7</v>
      </c>
      <c r="K550" s="3">
        <v>939.1</v>
      </c>
      <c r="L550" s="5">
        <v>25210511</v>
      </c>
      <c r="M550" s="2">
        <v>25254761309.799999</v>
      </c>
      <c r="N550">
        <v>371430</v>
      </c>
      <c r="O550" t="s">
        <v>18</v>
      </c>
    </row>
    <row r="551" spans="1:15" x14ac:dyDescent="0.3">
      <c r="A551" s="1">
        <v>45946</v>
      </c>
      <c r="B551" s="3" t="s">
        <v>15</v>
      </c>
      <c r="C551" s="3">
        <v>982.65</v>
      </c>
      <c r="D551" s="3">
        <v>996.6</v>
      </c>
      <c r="E551" s="3">
        <v>981.5</v>
      </c>
      <c r="F551" s="3">
        <v>978.25</v>
      </c>
      <c r="G551" s="3">
        <v>993.6</v>
      </c>
      <c r="H551" s="3">
        <v>994.35</v>
      </c>
      <c r="I551" s="3">
        <v>989.28</v>
      </c>
      <c r="J551" s="3">
        <v>2037.7</v>
      </c>
      <c r="K551" s="3">
        <v>939.1</v>
      </c>
      <c r="L551" s="5">
        <v>22936566</v>
      </c>
      <c r="M551" s="2">
        <v>22690615843.349998</v>
      </c>
      <c r="N551">
        <v>362882</v>
      </c>
      <c r="O551" t="s">
        <v>18</v>
      </c>
    </row>
    <row r="552" spans="1:15" x14ac:dyDescent="0.3">
      <c r="A552" s="1">
        <v>45945</v>
      </c>
      <c r="B552" s="3" t="s">
        <v>15</v>
      </c>
      <c r="C552" s="3">
        <v>975</v>
      </c>
      <c r="D552" s="3">
        <v>984.9</v>
      </c>
      <c r="E552" s="3">
        <v>973.35</v>
      </c>
      <c r="F552" s="3">
        <v>977.15</v>
      </c>
      <c r="G552" s="3">
        <v>978.5</v>
      </c>
      <c r="H552" s="3">
        <v>978.25</v>
      </c>
      <c r="I552" s="3">
        <v>979.29</v>
      </c>
      <c r="J552" s="3">
        <v>2037.7</v>
      </c>
      <c r="K552" s="3">
        <v>939.1</v>
      </c>
      <c r="L552" s="5">
        <v>23310447</v>
      </c>
      <c r="M552" s="2">
        <v>22827742875.950001</v>
      </c>
      <c r="N552">
        <v>251500</v>
      </c>
      <c r="O552" t="s">
        <v>18</v>
      </c>
    </row>
    <row r="553" spans="1:15" x14ac:dyDescent="0.3">
      <c r="A553" s="1">
        <v>45944</v>
      </c>
      <c r="B553" s="3" t="s">
        <v>15</v>
      </c>
      <c r="C553" s="3">
        <v>970</v>
      </c>
      <c r="D553" s="3">
        <v>980.45</v>
      </c>
      <c r="E553" s="3">
        <v>967</v>
      </c>
      <c r="F553" s="3">
        <v>977</v>
      </c>
      <c r="G553" s="3">
        <v>976.25</v>
      </c>
      <c r="H553" s="3">
        <v>977.15</v>
      </c>
      <c r="I553" s="3">
        <v>975.43</v>
      </c>
      <c r="J553" s="3">
        <v>2037.7</v>
      </c>
      <c r="K553" s="3">
        <v>939.1</v>
      </c>
      <c r="L553" s="5">
        <v>22934382</v>
      </c>
      <c r="M553" s="2">
        <v>22370980681.75</v>
      </c>
      <c r="N553">
        <v>217173</v>
      </c>
      <c r="O553" t="s">
        <v>18</v>
      </c>
    </row>
    <row r="554" spans="1:15" x14ac:dyDescent="0.3">
      <c r="A554" s="1">
        <v>45943</v>
      </c>
      <c r="B554" s="3" t="s">
        <v>15</v>
      </c>
      <c r="C554" s="3">
        <v>974.3</v>
      </c>
      <c r="D554" s="3">
        <v>981</v>
      </c>
      <c r="E554" s="3">
        <v>972</v>
      </c>
      <c r="F554" s="3">
        <v>980.9</v>
      </c>
      <c r="G554" s="3">
        <v>977.1</v>
      </c>
      <c r="H554" s="3">
        <v>977</v>
      </c>
      <c r="I554" s="3">
        <v>977.15</v>
      </c>
      <c r="J554" s="3">
        <v>2037.7</v>
      </c>
      <c r="K554" s="3">
        <v>939.1</v>
      </c>
      <c r="L554" s="5">
        <v>18634254</v>
      </c>
      <c r="M554" s="2">
        <v>18208400781.700001</v>
      </c>
      <c r="N554">
        <v>280003</v>
      </c>
      <c r="O554" t="s">
        <v>18</v>
      </c>
    </row>
    <row r="555" spans="1:15" x14ac:dyDescent="0.3">
      <c r="A555" s="1">
        <v>45940</v>
      </c>
      <c r="B555" s="3" t="s">
        <v>15</v>
      </c>
      <c r="C555" s="3">
        <v>979</v>
      </c>
      <c r="D555" s="3">
        <v>986.2</v>
      </c>
      <c r="E555" s="3">
        <v>978.1</v>
      </c>
      <c r="F555" s="3">
        <v>977.1</v>
      </c>
      <c r="G555" s="3">
        <v>981.45</v>
      </c>
      <c r="H555" s="3">
        <v>980.9</v>
      </c>
      <c r="I555" s="3">
        <v>982.56</v>
      </c>
      <c r="J555" s="3">
        <v>2037.7</v>
      </c>
      <c r="K555" s="3">
        <v>939.1</v>
      </c>
      <c r="L555" s="5">
        <v>13757080</v>
      </c>
      <c r="M555" s="2">
        <v>13517176056.049999</v>
      </c>
      <c r="N555">
        <v>237034</v>
      </c>
      <c r="O555" t="s">
        <v>18</v>
      </c>
    </row>
    <row r="556" spans="1:15" x14ac:dyDescent="0.3">
      <c r="A556" s="1">
        <v>45939</v>
      </c>
      <c r="B556" s="3" t="s">
        <v>15</v>
      </c>
      <c r="C556" s="3">
        <v>974.5</v>
      </c>
      <c r="D556" s="3">
        <v>979</v>
      </c>
      <c r="E556" s="3">
        <v>970.15</v>
      </c>
      <c r="F556" s="3">
        <v>978.7</v>
      </c>
      <c r="G556" s="3">
        <v>975</v>
      </c>
      <c r="H556" s="3">
        <v>977.1</v>
      </c>
      <c r="I556" s="3">
        <v>976</v>
      </c>
      <c r="J556" s="3">
        <v>2037.7</v>
      </c>
      <c r="K556" s="3">
        <v>939.1</v>
      </c>
      <c r="L556" s="5">
        <v>15370950</v>
      </c>
      <c r="M556" s="2">
        <v>15001996973.25</v>
      </c>
      <c r="N556">
        <v>213008</v>
      </c>
      <c r="O556" t="s">
        <v>18</v>
      </c>
    </row>
    <row r="557" spans="1:15" x14ac:dyDescent="0.3">
      <c r="A557" s="1">
        <v>45938</v>
      </c>
      <c r="B557" s="3" t="s">
        <v>15</v>
      </c>
      <c r="C557" s="3">
        <v>976</v>
      </c>
      <c r="D557" s="3">
        <v>985.9</v>
      </c>
      <c r="E557" s="3">
        <v>974.55</v>
      </c>
      <c r="F557" s="3">
        <v>982.5</v>
      </c>
      <c r="G557" s="3">
        <v>977.2</v>
      </c>
      <c r="H557" s="3">
        <v>978.7</v>
      </c>
      <c r="I557" s="3">
        <v>979.57</v>
      </c>
      <c r="J557" s="3">
        <v>2037.7</v>
      </c>
      <c r="K557" s="3">
        <v>939.1</v>
      </c>
      <c r="L557" s="5">
        <v>15939710</v>
      </c>
      <c r="M557" s="2">
        <v>15613997664.15</v>
      </c>
      <c r="N557">
        <v>209764</v>
      </c>
      <c r="O557" t="s">
        <v>18</v>
      </c>
    </row>
    <row r="558" spans="1:15" x14ac:dyDescent="0.3">
      <c r="A558" s="1">
        <v>45937</v>
      </c>
      <c r="B558" s="3" t="s">
        <v>15</v>
      </c>
      <c r="C558" s="3">
        <v>974</v>
      </c>
      <c r="D558" s="3">
        <v>989.85</v>
      </c>
      <c r="E558" s="3">
        <v>971</v>
      </c>
      <c r="F558" s="3">
        <v>973.45</v>
      </c>
      <c r="G558" s="3">
        <v>981.8</v>
      </c>
      <c r="H558" s="3">
        <v>982.5</v>
      </c>
      <c r="I558" s="3">
        <v>983.54</v>
      </c>
      <c r="J558" s="3">
        <v>2037.7</v>
      </c>
      <c r="K558" s="3">
        <v>939.1</v>
      </c>
      <c r="L558" s="5">
        <v>25535736</v>
      </c>
      <c r="M558" s="2">
        <v>25115433186.599998</v>
      </c>
      <c r="N558">
        <v>246182</v>
      </c>
      <c r="O558" t="s">
        <v>18</v>
      </c>
    </row>
    <row r="559" spans="1:15" x14ac:dyDescent="0.3">
      <c r="A559" s="1">
        <v>45936</v>
      </c>
      <c r="B559" s="3" t="s">
        <v>15</v>
      </c>
      <c r="C559" s="3">
        <v>971.9</v>
      </c>
      <c r="D559" s="3">
        <v>977.4</v>
      </c>
      <c r="E559" s="3">
        <v>962</v>
      </c>
      <c r="F559" s="3">
        <v>965.15</v>
      </c>
      <c r="G559" s="3">
        <v>973.9</v>
      </c>
      <c r="H559" s="3">
        <v>973.45</v>
      </c>
      <c r="I559" s="3">
        <v>973.33</v>
      </c>
      <c r="J559" s="3">
        <v>2037.7</v>
      </c>
      <c r="K559" s="3">
        <v>939.1</v>
      </c>
      <c r="L559" s="5">
        <v>18542683</v>
      </c>
      <c r="M559" s="2">
        <v>18048185820.200001</v>
      </c>
      <c r="N559">
        <v>242243</v>
      </c>
      <c r="O559" t="s">
        <v>18</v>
      </c>
    </row>
    <row r="560" spans="1:15" x14ac:dyDescent="0.3">
      <c r="A560" s="1">
        <v>45933</v>
      </c>
      <c r="B560" s="3" t="s">
        <v>15</v>
      </c>
      <c r="C560" s="3">
        <v>952</v>
      </c>
      <c r="D560" s="3">
        <v>966.75</v>
      </c>
      <c r="E560" s="3">
        <v>952</v>
      </c>
      <c r="F560" s="3">
        <v>965.25</v>
      </c>
      <c r="G560" s="3">
        <v>963.7</v>
      </c>
      <c r="H560" s="3">
        <v>965.15</v>
      </c>
      <c r="I560" s="3">
        <v>960.81</v>
      </c>
      <c r="J560" s="3">
        <v>2037.7</v>
      </c>
      <c r="K560" s="3">
        <v>939.1</v>
      </c>
      <c r="L560" s="5">
        <v>26658296</v>
      </c>
      <c r="M560" s="2">
        <v>25613477189.5</v>
      </c>
      <c r="N560">
        <v>262320</v>
      </c>
      <c r="O560" t="s">
        <v>18</v>
      </c>
    </row>
    <row r="561" spans="1:15" x14ac:dyDescent="0.3">
      <c r="A561" s="1">
        <v>45931</v>
      </c>
      <c r="B561" s="3" t="s">
        <v>15</v>
      </c>
      <c r="C561" s="3">
        <v>952.7</v>
      </c>
      <c r="D561" s="3">
        <v>969.6</v>
      </c>
      <c r="E561" s="3">
        <v>946</v>
      </c>
      <c r="F561" s="3">
        <v>951</v>
      </c>
      <c r="G561" s="3">
        <v>965.8</v>
      </c>
      <c r="H561" s="3">
        <v>965.25</v>
      </c>
      <c r="I561" s="3">
        <v>961.75</v>
      </c>
      <c r="J561" s="3">
        <v>2037.7</v>
      </c>
      <c r="K561" s="3">
        <v>939.1</v>
      </c>
      <c r="L561" s="5">
        <v>25350832</v>
      </c>
      <c r="M561" s="2">
        <v>24381070597.700001</v>
      </c>
      <c r="N561">
        <v>284713</v>
      </c>
      <c r="O561" t="s">
        <v>18</v>
      </c>
    </row>
    <row r="562" spans="1:15" x14ac:dyDescent="0.3">
      <c r="A562" s="1">
        <v>45930</v>
      </c>
      <c r="B562" s="3" t="s">
        <v>15</v>
      </c>
      <c r="C562" s="3">
        <v>958.05</v>
      </c>
      <c r="D562" s="3">
        <v>960</v>
      </c>
      <c r="E562" s="3">
        <v>946.3</v>
      </c>
      <c r="F562" s="3">
        <v>950.3</v>
      </c>
      <c r="G562" s="3">
        <v>952.5</v>
      </c>
      <c r="H562" s="3">
        <v>951</v>
      </c>
      <c r="I562" s="3">
        <v>951.48</v>
      </c>
      <c r="J562" s="3">
        <v>2037.7</v>
      </c>
      <c r="K562" s="3">
        <v>939.1</v>
      </c>
      <c r="L562" s="5">
        <v>28296687</v>
      </c>
      <c r="M562" s="2">
        <v>26923671201.950001</v>
      </c>
      <c r="N562">
        <v>254597</v>
      </c>
      <c r="O562" t="s">
        <v>18</v>
      </c>
    </row>
    <row r="563" spans="1:15" x14ac:dyDescent="0.3">
      <c r="A563" s="1">
        <v>45929</v>
      </c>
      <c r="B563" s="3" t="s">
        <v>15</v>
      </c>
      <c r="C563" s="3">
        <v>946.05</v>
      </c>
      <c r="D563" s="3">
        <v>956.8</v>
      </c>
      <c r="E563" s="3">
        <v>939.1</v>
      </c>
      <c r="F563" s="3">
        <v>945.05</v>
      </c>
      <c r="G563" s="3">
        <v>953.4</v>
      </c>
      <c r="H563" s="3">
        <v>950.3</v>
      </c>
      <c r="I563" s="3">
        <v>950.17</v>
      </c>
      <c r="J563" s="3">
        <v>2037.7</v>
      </c>
      <c r="K563" s="3">
        <v>939.1</v>
      </c>
      <c r="L563" s="5">
        <v>32398179</v>
      </c>
      <c r="M563" s="2">
        <v>30783888581.799999</v>
      </c>
      <c r="N563">
        <v>296694</v>
      </c>
      <c r="O563" t="s">
        <v>18</v>
      </c>
    </row>
    <row r="564" spans="1:15" x14ac:dyDescent="0.3">
      <c r="A564" s="1">
        <v>45926</v>
      </c>
      <c r="B564" s="3" t="s">
        <v>15</v>
      </c>
      <c r="C564" s="3">
        <v>945.1</v>
      </c>
      <c r="D564" s="3">
        <v>951.45</v>
      </c>
      <c r="E564" s="3">
        <v>941.3</v>
      </c>
      <c r="F564" s="3">
        <v>949.85</v>
      </c>
      <c r="G564" s="3">
        <v>944.25</v>
      </c>
      <c r="H564" s="3">
        <v>945.05</v>
      </c>
      <c r="I564" s="3">
        <v>945.96</v>
      </c>
      <c r="J564" s="3">
        <v>2037.7</v>
      </c>
      <c r="K564" s="3">
        <v>940</v>
      </c>
      <c r="L564" s="5">
        <v>14874656</v>
      </c>
      <c r="M564" s="2">
        <v>14070786048.15</v>
      </c>
      <c r="N564">
        <v>209563</v>
      </c>
      <c r="O564" t="s">
        <v>18</v>
      </c>
    </row>
    <row r="565" spans="1:15" x14ac:dyDescent="0.3">
      <c r="A565" s="1">
        <v>45925</v>
      </c>
      <c r="B565" s="3" t="s">
        <v>15</v>
      </c>
      <c r="C565" s="3">
        <v>952.5</v>
      </c>
      <c r="D565" s="3">
        <v>958</v>
      </c>
      <c r="E565" s="3">
        <v>947.4</v>
      </c>
      <c r="F565" s="3">
        <v>951.05</v>
      </c>
      <c r="G565" s="3">
        <v>951.2</v>
      </c>
      <c r="H565" s="3">
        <v>949.85</v>
      </c>
      <c r="I565" s="3">
        <v>952.03</v>
      </c>
      <c r="J565" s="3">
        <v>2037.7</v>
      </c>
      <c r="K565" s="3">
        <v>940</v>
      </c>
      <c r="L565" s="5">
        <v>31413279</v>
      </c>
      <c r="M565" s="2">
        <v>29906381362.700001</v>
      </c>
      <c r="N565">
        <v>256060</v>
      </c>
      <c r="O565" t="s">
        <v>18</v>
      </c>
    </row>
    <row r="566" spans="1:15" x14ac:dyDescent="0.3">
      <c r="A566" s="1">
        <v>45924</v>
      </c>
      <c r="B566" s="3" t="s">
        <v>15</v>
      </c>
      <c r="C566" s="3">
        <v>952.2</v>
      </c>
      <c r="D566" s="3">
        <v>956.45</v>
      </c>
      <c r="E566" s="3">
        <v>943</v>
      </c>
      <c r="F566" s="3">
        <v>957.2</v>
      </c>
      <c r="G566" s="3">
        <v>951</v>
      </c>
      <c r="H566" s="3">
        <v>951.05</v>
      </c>
      <c r="I566" s="3">
        <v>949.21</v>
      </c>
      <c r="J566" s="3">
        <v>2037.7</v>
      </c>
      <c r="K566" s="3">
        <v>940</v>
      </c>
      <c r="L566" s="5">
        <v>15117220</v>
      </c>
      <c r="M566" s="2">
        <v>14349411269.75</v>
      </c>
      <c r="N566">
        <v>248417</v>
      </c>
      <c r="O566" t="s">
        <v>18</v>
      </c>
    </row>
    <row r="567" spans="1:15" x14ac:dyDescent="0.3">
      <c r="A567" s="1">
        <v>45923</v>
      </c>
      <c r="B567" s="3" t="s">
        <v>15</v>
      </c>
      <c r="C567" s="3">
        <v>967</v>
      </c>
      <c r="D567" s="3">
        <v>968.2</v>
      </c>
      <c r="E567" s="3">
        <v>955.5</v>
      </c>
      <c r="F567" s="3">
        <v>964.2</v>
      </c>
      <c r="G567" s="3">
        <v>958.45</v>
      </c>
      <c r="H567" s="3">
        <v>957.2</v>
      </c>
      <c r="I567" s="3">
        <v>960.1</v>
      </c>
      <c r="J567" s="3">
        <v>2037.7</v>
      </c>
      <c r="K567" s="3">
        <v>940</v>
      </c>
      <c r="L567" s="5">
        <v>21022298</v>
      </c>
      <c r="M567" s="2">
        <v>20183427172.900002</v>
      </c>
      <c r="N567">
        <v>190721</v>
      </c>
      <c r="O567" t="s">
        <v>18</v>
      </c>
    </row>
    <row r="568" spans="1:15" x14ac:dyDescent="0.3">
      <c r="A568" s="1">
        <v>45922</v>
      </c>
      <c r="B568" s="3" t="s">
        <v>15</v>
      </c>
      <c r="C568" s="3">
        <v>964</v>
      </c>
      <c r="D568" s="3">
        <v>971.2</v>
      </c>
      <c r="E568" s="3">
        <v>961.95</v>
      </c>
      <c r="F568" s="3">
        <v>966.9</v>
      </c>
      <c r="G568" s="3">
        <v>965.4</v>
      </c>
      <c r="H568" s="3">
        <v>964.2</v>
      </c>
      <c r="I568" s="3">
        <v>966.4</v>
      </c>
      <c r="J568" s="3">
        <v>2037.7</v>
      </c>
      <c r="K568" s="3">
        <v>940</v>
      </c>
      <c r="L568" s="5">
        <v>10854415</v>
      </c>
      <c r="M568" s="2">
        <v>10489724995.75</v>
      </c>
      <c r="N568">
        <v>139126</v>
      </c>
      <c r="O568" t="s">
        <v>18</v>
      </c>
    </row>
    <row r="569" spans="1:15" x14ac:dyDescent="0.3">
      <c r="A569" s="1">
        <v>45919</v>
      </c>
      <c r="B569" s="3" t="s">
        <v>15</v>
      </c>
      <c r="C569" s="3">
        <v>974.9</v>
      </c>
      <c r="D569" s="3">
        <v>976.7</v>
      </c>
      <c r="E569" s="3">
        <v>962.1</v>
      </c>
      <c r="F569" s="3">
        <v>976.9</v>
      </c>
      <c r="G569" s="3">
        <v>967</v>
      </c>
      <c r="H569" s="3">
        <v>966.9</v>
      </c>
      <c r="I569" s="3">
        <v>967.22</v>
      </c>
      <c r="J569" s="3">
        <v>2037.7</v>
      </c>
      <c r="K569" s="3">
        <v>940</v>
      </c>
      <c r="L569" s="5">
        <v>31243267</v>
      </c>
      <c r="M569" s="2">
        <v>30219230008.150002</v>
      </c>
      <c r="N569">
        <v>220137</v>
      </c>
      <c r="O569" t="s">
        <v>18</v>
      </c>
    </row>
    <row r="570" spans="1:15" x14ac:dyDescent="0.3">
      <c r="A570" s="1">
        <v>45918</v>
      </c>
      <c r="B570" s="3" t="s">
        <v>15</v>
      </c>
      <c r="C570" s="3">
        <v>973.3</v>
      </c>
      <c r="D570" s="3">
        <v>979.65</v>
      </c>
      <c r="E570" s="3">
        <v>969.25</v>
      </c>
      <c r="F570" s="3">
        <v>966.5</v>
      </c>
      <c r="G570" s="3">
        <v>976</v>
      </c>
      <c r="H570" s="3">
        <v>976.9</v>
      </c>
      <c r="I570" s="3">
        <v>974.66</v>
      </c>
      <c r="J570" s="3">
        <v>2037.7</v>
      </c>
      <c r="K570" s="3">
        <v>940</v>
      </c>
      <c r="L570" s="5">
        <v>17791598</v>
      </c>
      <c r="M570" s="2">
        <v>17340847521.599998</v>
      </c>
      <c r="N570">
        <v>267040</v>
      </c>
      <c r="O570" t="s">
        <v>18</v>
      </c>
    </row>
    <row r="571" spans="1:15" x14ac:dyDescent="0.3">
      <c r="A571" s="1">
        <v>45917</v>
      </c>
      <c r="B571" s="3" t="s">
        <v>15</v>
      </c>
      <c r="C571" s="3">
        <v>965.15</v>
      </c>
      <c r="D571" s="3">
        <v>974.4</v>
      </c>
      <c r="E571" s="3">
        <v>964.35</v>
      </c>
      <c r="F571" s="3">
        <v>966.85</v>
      </c>
      <c r="G571" s="3">
        <v>967</v>
      </c>
      <c r="H571" s="3">
        <v>966.5</v>
      </c>
      <c r="I571" s="3">
        <v>968.39</v>
      </c>
      <c r="J571" s="3">
        <v>2037.7</v>
      </c>
      <c r="K571" s="3">
        <v>940</v>
      </c>
      <c r="L571" s="5">
        <v>17361476</v>
      </c>
      <c r="M571" s="2">
        <v>16812655777.9</v>
      </c>
      <c r="N571">
        <v>269236</v>
      </c>
      <c r="O571" t="s">
        <v>18</v>
      </c>
    </row>
    <row r="572" spans="1:15" x14ac:dyDescent="0.3">
      <c r="A572" s="1">
        <v>45916</v>
      </c>
      <c r="B572" s="3" t="s">
        <v>15</v>
      </c>
      <c r="C572" s="3">
        <v>961.2</v>
      </c>
      <c r="D572" s="3">
        <v>969.35</v>
      </c>
      <c r="E572" s="3">
        <v>961.2</v>
      </c>
      <c r="F572" s="3">
        <v>967.05</v>
      </c>
      <c r="G572" s="3">
        <v>966.3</v>
      </c>
      <c r="H572" s="3">
        <v>966.85</v>
      </c>
      <c r="I572" s="3">
        <v>966.32</v>
      </c>
      <c r="J572" s="3">
        <v>2037.7</v>
      </c>
      <c r="K572" s="3">
        <v>940</v>
      </c>
      <c r="L572" s="5">
        <v>18661794</v>
      </c>
      <c r="M572" s="2">
        <v>18033279292.75</v>
      </c>
      <c r="N572">
        <v>201920</v>
      </c>
      <c r="O572" t="s">
        <v>18</v>
      </c>
    </row>
    <row r="573" spans="1:15" x14ac:dyDescent="0.3">
      <c r="A573" s="1">
        <v>45915</v>
      </c>
      <c r="B573" s="3" t="s">
        <v>15</v>
      </c>
      <c r="C573" s="3">
        <v>969.6</v>
      </c>
      <c r="D573" s="3">
        <v>972.35</v>
      </c>
      <c r="E573" s="3">
        <v>965</v>
      </c>
      <c r="F573" s="3">
        <v>967.3</v>
      </c>
      <c r="G573" s="3">
        <v>966.1</v>
      </c>
      <c r="H573" s="3">
        <v>967.05</v>
      </c>
      <c r="I573" s="3">
        <v>968.58</v>
      </c>
      <c r="J573" s="3">
        <v>2037.7</v>
      </c>
      <c r="K573" s="3">
        <v>940</v>
      </c>
      <c r="L573" s="5">
        <v>14486377</v>
      </c>
      <c r="M573" s="2">
        <v>14031209535.6</v>
      </c>
      <c r="N573">
        <v>198502</v>
      </c>
      <c r="O573" t="s">
        <v>18</v>
      </c>
    </row>
    <row r="574" spans="1:15" x14ac:dyDescent="0.3">
      <c r="A574" s="1">
        <v>45912</v>
      </c>
      <c r="B574" s="3" t="s">
        <v>15</v>
      </c>
      <c r="C574" s="3">
        <v>969.9</v>
      </c>
      <c r="D574" s="3">
        <v>970.75</v>
      </c>
      <c r="E574" s="3">
        <v>962.25</v>
      </c>
      <c r="F574" s="3">
        <v>967.8</v>
      </c>
      <c r="G574" s="3">
        <v>966.9</v>
      </c>
      <c r="H574" s="3">
        <v>967.3</v>
      </c>
      <c r="I574" s="3">
        <v>966.65</v>
      </c>
      <c r="J574" s="3">
        <v>2037.7</v>
      </c>
      <c r="K574" s="3">
        <v>940</v>
      </c>
      <c r="L574" s="5">
        <v>14363519</v>
      </c>
      <c r="M574" s="2">
        <v>13884430847.5</v>
      </c>
      <c r="N574">
        <v>265851</v>
      </c>
      <c r="O574" t="s">
        <v>18</v>
      </c>
    </row>
    <row r="575" spans="1:15" x14ac:dyDescent="0.3">
      <c r="A575" s="1">
        <v>45911</v>
      </c>
      <c r="B575" s="3" t="s">
        <v>15</v>
      </c>
      <c r="C575" s="3">
        <v>960.3</v>
      </c>
      <c r="D575" s="3">
        <v>969.25</v>
      </c>
      <c r="E575" s="3">
        <v>959.9</v>
      </c>
      <c r="F575" s="3">
        <v>965.9</v>
      </c>
      <c r="G575" s="3">
        <v>966.5</v>
      </c>
      <c r="H575" s="3">
        <v>967.8</v>
      </c>
      <c r="I575" s="3">
        <v>965.95</v>
      </c>
      <c r="J575" s="3">
        <v>2037.7</v>
      </c>
      <c r="K575" s="3">
        <v>940</v>
      </c>
      <c r="L575" s="5">
        <v>15113633</v>
      </c>
      <c r="M575" s="2">
        <v>14598945433.15</v>
      </c>
      <c r="N575">
        <v>220801</v>
      </c>
      <c r="O575" t="s">
        <v>18</v>
      </c>
    </row>
    <row r="576" spans="1:15" x14ac:dyDescent="0.3">
      <c r="A576" s="1">
        <v>45910</v>
      </c>
      <c r="B576" s="3" t="s">
        <v>15</v>
      </c>
      <c r="C576" s="3">
        <v>973.9</v>
      </c>
      <c r="D576" s="3">
        <v>973.9</v>
      </c>
      <c r="E576" s="3">
        <v>961.7</v>
      </c>
      <c r="F576" s="3">
        <v>965.15</v>
      </c>
      <c r="G576" s="3">
        <v>965.5</v>
      </c>
      <c r="H576" s="3">
        <v>965.9</v>
      </c>
      <c r="I576" s="3">
        <v>966.21</v>
      </c>
      <c r="J576" s="3">
        <v>2037.7</v>
      </c>
      <c r="K576" s="3">
        <v>940</v>
      </c>
      <c r="L576" s="5">
        <v>18091100</v>
      </c>
      <c r="M576" s="2">
        <v>17479779505.299999</v>
      </c>
      <c r="N576">
        <v>218336</v>
      </c>
      <c r="O576" t="s">
        <v>18</v>
      </c>
    </row>
    <row r="577" spans="1:15" x14ac:dyDescent="0.3">
      <c r="A577" s="1">
        <v>45909</v>
      </c>
      <c r="B577" s="3" t="s">
        <v>15</v>
      </c>
      <c r="C577" s="3">
        <v>974</v>
      </c>
      <c r="D577" s="3">
        <v>974.4</v>
      </c>
      <c r="E577" s="3">
        <v>962.7</v>
      </c>
      <c r="F577" s="3">
        <v>966</v>
      </c>
      <c r="G577" s="3">
        <v>966.45</v>
      </c>
      <c r="H577" s="3">
        <v>965.15</v>
      </c>
      <c r="I577" s="3">
        <v>967.81</v>
      </c>
      <c r="J577" s="3">
        <v>2037.7</v>
      </c>
      <c r="K577" s="3">
        <v>940</v>
      </c>
      <c r="L577" s="5">
        <v>13985539</v>
      </c>
      <c r="M577" s="2">
        <v>13535396477.200001</v>
      </c>
      <c r="N577">
        <v>181800</v>
      </c>
      <c r="O577" t="s">
        <v>18</v>
      </c>
    </row>
    <row r="578" spans="1:15" x14ac:dyDescent="0.3">
      <c r="A578" s="1">
        <v>45908</v>
      </c>
      <c r="B578" s="3" t="s">
        <v>15</v>
      </c>
      <c r="C578" s="3">
        <v>969</v>
      </c>
      <c r="D578" s="3">
        <v>973.15</v>
      </c>
      <c r="E578" s="3">
        <v>960.45</v>
      </c>
      <c r="F578" s="3">
        <v>963.4</v>
      </c>
      <c r="G578" s="3">
        <v>967.35</v>
      </c>
      <c r="H578" s="3">
        <v>966</v>
      </c>
      <c r="I578" s="3">
        <v>967.58</v>
      </c>
      <c r="J578" s="3">
        <v>2037.7</v>
      </c>
      <c r="K578" s="3">
        <v>940</v>
      </c>
      <c r="L578" s="5">
        <v>11711307</v>
      </c>
      <c r="M578" s="2">
        <v>11331677355.700001</v>
      </c>
      <c r="N578">
        <v>193535</v>
      </c>
      <c r="O578" t="s">
        <v>18</v>
      </c>
    </row>
    <row r="579" spans="1:15" x14ac:dyDescent="0.3">
      <c r="A579" s="1">
        <v>45905</v>
      </c>
      <c r="B579" s="3" t="s">
        <v>15</v>
      </c>
      <c r="C579" s="3">
        <v>967.5</v>
      </c>
      <c r="D579" s="3">
        <v>967.5</v>
      </c>
      <c r="E579" s="3">
        <v>954.05</v>
      </c>
      <c r="F579" s="3">
        <v>961.25</v>
      </c>
      <c r="G579" s="3">
        <v>962.6</v>
      </c>
      <c r="H579" s="3">
        <v>963.4</v>
      </c>
      <c r="I579" s="3">
        <v>960.7</v>
      </c>
      <c r="J579" s="3">
        <v>2037.7</v>
      </c>
      <c r="K579" s="3">
        <v>940</v>
      </c>
      <c r="L579" s="5">
        <v>11602111</v>
      </c>
      <c r="M579" s="2">
        <v>11146202039.65</v>
      </c>
      <c r="N579">
        <v>210037</v>
      </c>
      <c r="O579" t="s">
        <v>18</v>
      </c>
    </row>
    <row r="580" spans="1:15" x14ac:dyDescent="0.3">
      <c r="A580" s="1">
        <v>45904</v>
      </c>
      <c r="B580" s="3" t="s">
        <v>15</v>
      </c>
      <c r="C580" s="3">
        <v>960.2</v>
      </c>
      <c r="D580" s="3">
        <v>965.7</v>
      </c>
      <c r="E580" s="3">
        <v>956.25</v>
      </c>
      <c r="F580" s="3">
        <v>954.45</v>
      </c>
      <c r="G580" s="3">
        <v>960.95</v>
      </c>
      <c r="H580" s="3">
        <v>961.25</v>
      </c>
      <c r="I580" s="3">
        <v>961.34</v>
      </c>
      <c r="J580" s="3">
        <v>2037.7</v>
      </c>
      <c r="K580" s="3">
        <v>940</v>
      </c>
      <c r="L580" s="5">
        <v>17597657</v>
      </c>
      <c r="M580" s="2">
        <v>16917300954.6</v>
      </c>
      <c r="N580">
        <v>212281</v>
      </c>
      <c r="O580" t="s">
        <v>18</v>
      </c>
    </row>
    <row r="581" spans="1:15" x14ac:dyDescent="0.3">
      <c r="A581" s="1">
        <v>45903</v>
      </c>
      <c r="B581" s="3" t="s">
        <v>15</v>
      </c>
      <c r="C581" s="3">
        <v>945</v>
      </c>
      <c r="D581" s="3">
        <v>956.3</v>
      </c>
      <c r="E581" s="3">
        <v>940</v>
      </c>
      <c r="F581" s="3">
        <v>944.5</v>
      </c>
      <c r="G581" s="3">
        <v>953.95</v>
      </c>
      <c r="H581" s="3">
        <v>954.45</v>
      </c>
      <c r="I581" s="3">
        <v>947.66</v>
      </c>
      <c r="J581" s="3">
        <v>2037.7</v>
      </c>
      <c r="K581" s="3">
        <v>940</v>
      </c>
      <c r="L581" s="5">
        <v>16083481</v>
      </c>
      <c r="M581" s="2">
        <v>15241746460.65</v>
      </c>
      <c r="N581">
        <v>288240</v>
      </c>
      <c r="O581" t="s">
        <v>18</v>
      </c>
    </row>
    <row r="582" spans="1:15" x14ac:dyDescent="0.3">
      <c r="A582" s="1">
        <v>45902</v>
      </c>
      <c r="B582" s="3" t="s">
        <v>15</v>
      </c>
      <c r="C582" s="3">
        <v>951</v>
      </c>
      <c r="D582" s="3">
        <v>954.8</v>
      </c>
      <c r="E582" s="3">
        <v>944</v>
      </c>
      <c r="F582" s="3">
        <v>950.6</v>
      </c>
      <c r="G582" s="3">
        <v>944.7</v>
      </c>
      <c r="H582" s="3">
        <v>944.5</v>
      </c>
      <c r="I582" s="3">
        <v>948.8</v>
      </c>
      <c r="J582" s="3">
        <v>2037.7</v>
      </c>
      <c r="K582" s="3">
        <v>944</v>
      </c>
      <c r="L582" s="5">
        <v>14196320</v>
      </c>
      <c r="M582" s="2">
        <v>13469417784.700001</v>
      </c>
      <c r="N582">
        <v>343637</v>
      </c>
      <c r="O582" t="s">
        <v>18</v>
      </c>
    </row>
    <row r="583" spans="1:15" x14ac:dyDescent="0.3">
      <c r="A583" s="1">
        <v>45901</v>
      </c>
      <c r="B583" s="3" t="s">
        <v>15</v>
      </c>
      <c r="C583" s="3">
        <v>949.6</v>
      </c>
      <c r="D583" s="3">
        <v>957.45</v>
      </c>
      <c r="E583" s="3">
        <v>946.35</v>
      </c>
      <c r="F583" s="3">
        <v>951.6</v>
      </c>
      <c r="G583" s="3">
        <v>950.8</v>
      </c>
      <c r="H583" s="3">
        <v>950.6</v>
      </c>
      <c r="I583" s="3">
        <v>950.62</v>
      </c>
      <c r="J583" s="3">
        <v>2037.7</v>
      </c>
      <c r="K583" s="3">
        <v>946.35</v>
      </c>
      <c r="L583" s="5">
        <v>20178344</v>
      </c>
      <c r="M583" s="2">
        <v>19181919082.150002</v>
      </c>
      <c r="N583">
        <v>410933</v>
      </c>
      <c r="O583" t="s">
        <v>18</v>
      </c>
    </row>
    <row r="584" spans="1:15" x14ac:dyDescent="0.3">
      <c r="A584" s="1">
        <v>45898</v>
      </c>
      <c r="B584" s="3" t="s">
        <v>15</v>
      </c>
      <c r="C584" s="3">
        <v>954</v>
      </c>
      <c r="D584" s="3">
        <v>963.3</v>
      </c>
      <c r="E584" s="3">
        <v>950.1</v>
      </c>
      <c r="F584" s="3">
        <v>957.8</v>
      </c>
      <c r="G584" s="3">
        <v>953.4</v>
      </c>
      <c r="H584" s="3">
        <v>951.6</v>
      </c>
      <c r="I584" s="3">
        <v>955.24</v>
      </c>
      <c r="J584" s="3">
        <v>2037.7</v>
      </c>
      <c r="K584" s="3">
        <v>950.1</v>
      </c>
      <c r="L584" s="5">
        <v>14823813</v>
      </c>
      <c r="M584" s="2">
        <v>14160314228.1</v>
      </c>
      <c r="N584">
        <v>260839</v>
      </c>
      <c r="O584" t="s">
        <v>18</v>
      </c>
    </row>
    <row r="585" spans="1:15" x14ac:dyDescent="0.3">
      <c r="A585" s="1">
        <v>45897</v>
      </c>
      <c r="B585" s="3" t="s">
        <v>15</v>
      </c>
      <c r="C585" s="3">
        <v>967</v>
      </c>
      <c r="D585" s="3">
        <v>972.2</v>
      </c>
      <c r="E585" s="3">
        <v>955</v>
      </c>
      <c r="F585" s="3">
        <v>973.4</v>
      </c>
      <c r="G585" s="3">
        <v>961.8</v>
      </c>
      <c r="H585" s="3">
        <v>957.8</v>
      </c>
      <c r="I585" s="3">
        <v>962.09</v>
      </c>
      <c r="J585" s="3">
        <v>2037.7</v>
      </c>
      <c r="K585" s="3">
        <v>955</v>
      </c>
      <c r="L585" s="5">
        <v>25438255</v>
      </c>
      <c r="M585" s="2">
        <v>24473886027.799999</v>
      </c>
      <c r="N585">
        <v>377835</v>
      </c>
      <c r="O585" t="s">
        <v>18</v>
      </c>
    </row>
    <row r="586" spans="1:15" x14ac:dyDescent="0.3">
      <c r="A586" s="1">
        <v>45895</v>
      </c>
      <c r="B586" s="3" t="s">
        <v>15</v>
      </c>
      <c r="C586" s="3">
        <v>979.5</v>
      </c>
      <c r="D586" s="3">
        <v>985.7</v>
      </c>
      <c r="E586" s="3">
        <v>968</v>
      </c>
      <c r="F586" s="3">
        <v>1964.1</v>
      </c>
      <c r="G586" s="3">
        <v>972.3</v>
      </c>
      <c r="H586" s="3">
        <v>973.4</v>
      </c>
      <c r="I586" s="3">
        <v>973.26</v>
      </c>
      <c r="J586" s="3">
        <v>2037.7</v>
      </c>
      <c r="K586" s="3">
        <v>968</v>
      </c>
      <c r="L586" s="5">
        <v>16917731</v>
      </c>
      <c r="M586" s="2">
        <v>16465410030.9</v>
      </c>
      <c r="N586">
        <v>296302</v>
      </c>
      <c r="O586" t="s">
        <v>18</v>
      </c>
    </row>
    <row r="587" spans="1:15" x14ac:dyDescent="0.3">
      <c r="A587" s="1">
        <v>45894</v>
      </c>
      <c r="B587" s="3" t="s">
        <v>15</v>
      </c>
      <c r="C587" s="3">
        <v>1960.2</v>
      </c>
      <c r="D587" s="3">
        <v>1977.4</v>
      </c>
      <c r="E587" s="3">
        <v>1957</v>
      </c>
      <c r="F587" s="3">
        <v>1964.6</v>
      </c>
      <c r="G587" s="3">
        <v>1969.2</v>
      </c>
      <c r="H587" s="3">
        <v>1964.1</v>
      </c>
      <c r="I587" s="3">
        <v>1967.27</v>
      </c>
      <c r="J587" s="3">
        <v>2037.7</v>
      </c>
      <c r="K587" s="3">
        <v>1613</v>
      </c>
      <c r="L587" s="5">
        <v>8759022</v>
      </c>
      <c r="M587" s="2">
        <v>17231388424.400002</v>
      </c>
      <c r="N587">
        <v>217503</v>
      </c>
      <c r="O587" t="s">
        <v>18</v>
      </c>
    </row>
    <row r="588" spans="1:15" x14ac:dyDescent="0.3">
      <c r="A588" s="1">
        <v>45891</v>
      </c>
      <c r="B588" s="3" t="s">
        <v>15</v>
      </c>
      <c r="C588" s="3">
        <v>1989.9</v>
      </c>
      <c r="D588" s="3">
        <v>1996</v>
      </c>
      <c r="E588" s="3">
        <v>1957.1</v>
      </c>
      <c r="F588" s="3">
        <v>1991.2</v>
      </c>
      <c r="G588" s="3">
        <v>1965.5</v>
      </c>
      <c r="H588" s="3">
        <v>1964.6</v>
      </c>
      <c r="I588" s="3">
        <v>1968.66</v>
      </c>
      <c r="J588" s="3">
        <v>2037.7</v>
      </c>
      <c r="K588" s="3">
        <v>1613</v>
      </c>
      <c r="L588" s="5">
        <v>9916751</v>
      </c>
      <c r="M588" s="2">
        <v>19522714269.099998</v>
      </c>
      <c r="N588">
        <v>253318</v>
      </c>
      <c r="O588" t="s">
        <v>18</v>
      </c>
    </row>
    <row r="589" spans="1:15" x14ac:dyDescent="0.3">
      <c r="A589" s="1">
        <v>45890</v>
      </c>
      <c r="B589" s="3" t="s">
        <v>15</v>
      </c>
      <c r="C589" s="3">
        <v>1997.5</v>
      </c>
      <c r="D589" s="3">
        <v>1997.5</v>
      </c>
      <c r="E589" s="3">
        <v>1983.2</v>
      </c>
      <c r="F589" s="3">
        <v>1988.2</v>
      </c>
      <c r="G589" s="3">
        <v>1990.5</v>
      </c>
      <c r="H589" s="3">
        <v>1991.2</v>
      </c>
      <c r="I589" s="3">
        <v>1991.62</v>
      </c>
      <c r="J589" s="3">
        <v>2037.7</v>
      </c>
      <c r="K589" s="3">
        <v>1613</v>
      </c>
      <c r="L589" s="5">
        <v>6219925</v>
      </c>
      <c r="M589" s="2">
        <v>12387722464</v>
      </c>
      <c r="N589">
        <v>160599</v>
      </c>
      <c r="O589" t="s">
        <v>18</v>
      </c>
    </row>
    <row r="590" spans="1:15" x14ac:dyDescent="0.3">
      <c r="A590" s="1">
        <v>45889</v>
      </c>
      <c r="B590" s="3" t="s">
        <v>15</v>
      </c>
      <c r="C590" s="3">
        <v>1987</v>
      </c>
      <c r="D590" s="3">
        <v>1992</v>
      </c>
      <c r="E590" s="3">
        <v>1979</v>
      </c>
      <c r="F590" s="3">
        <v>1991.1</v>
      </c>
      <c r="G590" s="3">
        <v>1988.3</v>
      </c>
      <c r="H590" s="3">
        <v>1988.2</v>
      </c>
      <c r="I590" s="3">
        <v>1985.13</v>
      </c>
      <c r="J590" s="3">
        <v>2037.7</v>
      </c>
      <c r="K590" s="3">
        <v>1613</v>
      </c>
      <c r="L590" s="5">
        <v>4975114</v>
      </c>
      <c r="M590" s="2">
        <v>9876263155.2999992</v>
      </c>
      <c r="N590">
        <v>173424</v>
      </c>
      <c r="O590" t="s">
        <v>18</v>
      </c>
    </row>
    <row r="591" spans="1:15" x14ac:dyDescent="0.3">
      <c r="A591" s="1">
        <v>45888</v>
      </c>
      <c r="B591" s="3" t="s">
        <v>15</v>
      </c>
      <c r="C591" s="3">
        <v>1998.3</v>
      </c>
      <c r="D591" s="3">
        <v>2006.1</v>
      </c>
      <c r="E591" s="3">
        <v>1986.7</v>
      </c>
      <c r="F591" s="3">
        <v>2003.6</v>
      </c>
      <c r="G591" s="3">
        <v>1990</v>
      </c>
      <c r="H591" s="3">
        <v>1991.1</v>
      </c>
      <c r="I591" s="3">
        <v>1995.49</v>
      </c>
      <c r="J591" s="3">
        <v>2037.7</v>
      </c>
      <c r="K591" s="3">
        <v>1613</v>
      </c>
      <c r="L591" s="5">
        <v>6176219</v>
      </c>
      <c r="M591" s="2">
        <v>12324574114.9</v>
      </c>
      <c r="N591">
        <v>170899</v>
      </c>
      <c r="O591" t="s">
        <v>18</v>
      </c>
    </row>
    <row r="592" spans="1:15" x14ac:dyDescent="0.3">
      <c r="A592" s="1">
        <v>45887</v>
      </c>
      <c r="B592" s="3" t="s">
        <v>15</v>
      </c>
      <c r="C592" s="3">
        <v>2010</v>
      </c>
      <c r="D592" s="3">
        <v>2026.6</v>
      </c>
      <c r="E592" s="3">
        <v>1995.6</v>
      </c>
      <c r="F592" s="3">
        <v>1991.1</v>
      </c>
      <c r="G592" s="3">
        <v>2005</v>
      </c>
      <c r="H592" s="3">
        <v>2003.6</v>
      </c>
      <c r="I592" s="3">
        <v>2008.73</v>
      </c>
      <c r="J592" s="3">
        <v>2037.7</v>
      </c>
      <c r="K592" s="3">
        <v>1613</v>
      </c>
      <c r="L592" s="5">
        <v>9642398</v>
      </c>
      <c r="M592" s="2">
        <v>19368989917.900002</v>
      </c>
      <c r="N592">
        <v>220027</v>
      </c>
      <c r="O592" t="s">
        <v>18</v>
      </c>
    </row>
    <row r="593" spans="1:15" x14ac:dyDescent="0.3">
      <c r="A593" s="1">
        <v>45883</v>
      </c>
      <c r="B593" s="3" t="s">
        <v>15</v>
      </c>
      <c r="C593" s="3">
        <v>1978</v>
      </c>
      <c r="D593" s="3">
        <v>1996</v>
      </c>
      <c r="E593" s="3">
        <v>1971.2</v>
      </c>
      <c r="F593" s="3">
        <v>1980.3</v>
      </c>
      <c r="G593" s="3">
        <v>1989.5</v>
      </c>
      <c r="H593" s="3">
        <v>1991.1</v>
      </c>
      <c r="I593" s="3">
        <v>1990.18</v>
      </c>
      <c r="J593" s="3">
        <v>2037.7</v>
      </c>
      <c r="K593" s="3">
        <v>1601.15</v>
      </c>
      <c r="L593" s="5">
        <v>8755858</v>
      </c>
      <c r="M593" s="2">
        <v>17425742818.700001</v>
      </c>
      <c r="N593">
        <v>174342</v>
      </c>
      <c r="O593" t="s">
        <v>18</v>
      </c>
    </row>
    <row r="594" spans="1:15" x14ac:dyDescent="0.3">
      <c r="A594" s="1">
        <v>45882</v>
      </c>
      <c r="B594" s="3" t="s">
        <v>15</v>
      </c>
      <c r="C594" s="3">
        <v>1994</v>
      </c>
      <c r="D594" s="3">
        <v>1994</v>
      </c>
      <c r="E594" s="3">
        <v>1969.1</v>
      </c>
      <c r="F594" s="3">
        <v>1969.9</v>
      </c>
      <c r="G594" s="3">
        <v>1979.9</v>
      </c>
      <c r="H594" s="3">
        <v>1980.3</v>
      </c>
      <c r="I594" s="3">
        <v>1977.14</v>
      </c>
      <c r="J594" s="3">
        <v>2037.7</v>
      </c>
      <c r="K594" s="3">
        <v>1601.15</v>
      </c>
      <c r="L594" s="5">
        <v>6788698</v>
      </c>
      <c r="M594" s="2">
        <v>13422176534.1</v>
      </c>
      <c r="N594">
        <v>177703</v>
      </c>
      <c r="O594" t="s">
        <v>18</v>
      </c>
    </row>
    <row r="595" spans="1:15" x14ac:dyDescent="0.3">
      <c r="A595" s="1">
        <v>45881</v>
      </c>
      <c r="B595" s="3" t="s">
        <v>15</v>
      </c>
      <c r="C595" s="3">
        <v>1991.9</v>
      </c>
      <c r="D595" s="3">
        <v>1996</v>
      </c>
      <c r="E595" s="3">
        <v>1967.5</v>
      </c>
      <c r="F595" s="3">
        <v>1995.6</v>
      </c>
      <c r="G595" s="3">
        <v>1969.7</v>
      </c>
      <c r="H595" s="3">
        <v>1969.9</v>
      </c>
      <c r="I595" s="3">
        <v>1978.54</v>
      </c>
      <c r="J595" s="3">
        <v>2037.7</v>
      </c>
      <c r="K595" s="3">
        <v>1601.15</v>
      </c>
      <c r="L595" s="5">
        <v>6468901</v>
      </c>
      <c r="M595" s="2">
        <v>12798999218.200001</v>
      </c>
      <c r="N595">
        <v>237925</v>
      </c>
      <c r="O595" t="s">
        <v>18</v>
      </c>
    </row>
    <row r="596" spans="1:15" x14ac:dyDescent="0.3">
      <c r="A596" s="1">
        <v>45880</v>
      </c>
      <c r="B596" s="3" t="s">
        <v>15</v>
      </c>
      <c r="C596" s="3">
        <v>1975.9</v>
      </c>
      <c r="D596" s="3">
        <v>1997.6</v>
      </c>
      <c r="E596" s="3">
        <v>1973.1</v>
      </c>
      <c r="F596" s="3">
        <v>1973.9</v>
      </c>
      <c r="G596" s="3">
        <v>1992</v>
      </c>
      <c r="H596" s="3">
        <v>1995.6</v>
      </c>
      <c r="I596" s="3">
        <v>1986.89</v>
      </c>
      <c r="J596" s="3">
        <v>2037.7</v>
      </c>
      <c r="K596" s="3">
        <v>1601.15</v>
      </c>
      <c r="L596" s="5">
        <v>4552927</v>
      </c>
      <c r="M596" s="2">
        <v>9046155578.7000008</v>
      </c>
      <c r="N596">
        <v>165998</v>
      </c>
      <c r="O596" t="s">
        <v>18</v>
      </c>
    </row>
    <row r="597" spans="1:15" x14ac:dyDescent="0.3">
      <c r="A597" s="1">
        <v>45877</v>
      </c>
      <c r="B597" s="3" t="s">
        <v>15</v>
      </c>
      <c r="C597" s="3">
        <v>1987.1</v>
      </c>
      <c r="D597" s="3">
        <v>1992.8</v>
      </c>
      <c r="E597" s="3">
        <v>1970</v>
      </c>
      <c r="F597" s="3">
        <v>1995.4</v>
      </c>
      <c r="G597" s="3">
        <v>1972</v>
      </c>
      <c r="H597" s="3">
        <v>1973.9</v>
      </c>
      <c r="I597" s="3">
        <v>1978.99</v>
      </c>
      <c r="J597" s="3">
        <v>2037.7</v>
      </c>
      <c r="K597" s="3">
        <v>1593.3</v>
      </c>
      <c r="L597" s="5">
        <v>6947632</v>
      </c>
      <c r="M597" s="2">
        <v>13749288126.4</v>
      </c>
      <c r="N597">
        <v>178320</v>
      </c>
      <c r="O597" t="s">
        <v>18</v>
      </c>
    </row>
    <row r="598" spans="1:15" x14ac:dyDescent="0.3">
      <c r="A598" s="1">
        <v>45876</v>
      </c>
      <c r="B598" s="3" t="s">
        <v>15</v>
      </c>
      <c r="C598" s="3">
        <v>1980.1</v>
      </c>
      <c r="D598" s="3">
        <v>2001.6</v>
      </c>
      <c r="E598" s="3">
        <v>1976.8</v>
      </c>
      <c r="F598" s="3">
        <v>1985.3</v>
      </c>
      <c r="G598" s="3">
        <v>1998</v>
      </c>
      <c r="H598" s="3">
        <v>1995.4</v>
      </c>
      <c r="I598" s="3">
        <v>1986.09</v>
      </c>
      <c r="J598" s="3">
        <v>2037.7</v>
      </c>
      <c r="K598" s="3">
        <v>1593.3</v>
      </c>
      <c r="L598" s="5">
        <v>6540593</v>
      </c>
      <c r="M598" s="2">
        <v>12990237207.700001</v>
      </c>
      <c r="N598">
        <v>223527</v>
      </c>
      <c r="O598" t="s">
        <v>18</v>
      </c>
    </row>
    <row r="599" spans="1:15" x14ac:dyDescent="0.3">
      <c r="A599" s="1">
        <v>45875</v>
      </c>
      <c r="B599" s="3" t="s">
        <v>15</v>
      </c>
      <c r="C599" s="3">
        <v>1971.1</v>
      </c>
      <c r="D599" s="3">
        <v>1988</v>
      </c>
      <c r="E599" s="3">
        <v>1970</v>
      </c>
      <c r="F599" s="3">
        <v>1977.6</v>
      </c>
      <c r="G599" s="3">
        <v>1987</v>
      </c>
      <c r="H599" s="3">
        <v>1985.3</v>
      </c>
      <c r="I599" s="3">
        <v>1978.39</v>
      </c>
      <c r="J599" s="3">
        <v>2037.7</v>
      </c>
      <c r="K599" s="3">
        <v>1593.3</v>
      </c>
      <c r="L599" s="5">
        <v>7040102</v>
      </c>
      <c r="M599" s="2">
        <v>13928074705.9</v>
      </c>
      <c r="N599">
        <v>211058</v>
      </c>
      <c r="O599" t="s">
        <v>18</v>
      </c>
    </row>
    <row r="600" spans="1:15" x14ac:dyDescent="0.3">
      <c r="A600" s="1">
        <v>45874</v>
      </c>
      <c r="B600" s="3" t="s">
        <v>15</v>
      </c>
      <c r="C600" s="3">
        <v>1986.5</v>
      </c>
      <c r="D600" s="3">
        <v>1994.4</v>
      </c>
      <c r="E600" s="3">
        <v>1965.5</v>
      </c>
      <c r="F600" s="3">
        <v>1992</v>
      </c>
      <c r="G600" s="3">
        <v>1981</v>
      </c>
      <c r="H600" s="3">
        <v>1977.6</v>
      </c>
      <c r="I600" s="3">
        <v>1975.61</v>
      </c>
      <c r="J600" s="3">
        <v>2037.7</v>
      </c>
      <c r="K600" s="3">
        <v>1593.3</v>
      </c>
      <c r="L600" s="5">
        <v>11989029</v>
      </c>
      <c r="M600" s="2">
        <v>23685633703.599998</v>
      </c>
      <c r="N600">
        <v>194332</v>
      </c>
      <c r="O600" t="s">
        <v>18</v>
      </c>
    </row>
    <row r="601" spans="1:15" x14ac:dyDescent="0.3">
      <c r="A601" s="1">
        <v>45873</v>
      </c>
      <c r="B601" s="3" t="s">
        <v>15</v>
      </c>
      <c r="C601" s="3">
        <v>2010.1</v>
      </c>
      <c r="D601" s="3">
        <v>2018.5</v>
      </c>
      <c r="E601" s="3">
        <v>1988.1</v>
      </c>
      <c r="F601" s="3">
        <v>2012.2</v>
      </c>
      <c r="G601" s="3">
        <v>1994.4</v>
      </c>
      <c r="H601" s="3">
        <v>1992</v>
      </c>
      <c r="I601" s="3">
        <v>1997.96</v>
      </c>
      <c r="J601" s="3">
        <v>2037.7</v>
      </c>
      <c r="K601" s="3">
        <v>1593.3</v>
      </c>
      <c r="L601" s="5">
        <v>6966973</v>
      </c>
      <c r="M601" s="2">
        <v>13919756957.200001</v>
      </c>
      <c r="N601">
        <v>248150</v>
      </c>
      <c r="O601" t="s">
        <v>18</v>
      </c>
    </row>
    <row r="602" spans="1:15" x14ac:dyDescent="0.3">
      <c r="A602" s="1">
        <v>45870</v>
      </c>
      <c r="B602" s="3" t="s">
        <v>15</v>
      </c>
      <c r="C602" s="3">
        <v>2014</v>
      </c>
      <c r="D602" s="3">
        <v>2028.3</v>
      </c>
      <c r="E602" s="3">
        <v>2009.3</v>
      </c>
      <c r="F602" s="3">
        <v>2018.2</v>
      </c>
      <c r="G602" s="3">
        <v>2016.9</v>
      </c>
      <c r="H602" s="3">
        <v>2012.2</v>
      </c>
      <c r="I602" s="3">
        <v>2015.24</v>
      </c>
      <c r="J602" s="3">
        <v>2037.7</v>
      </c>
      <c r="K602" s="3">
        <v>1593.3</v>
      </c>
      <c r="L602" s="5">
        <v>5658629</v>
      </c>
      <c r="M602" s="2">
        <v>11403473962.299999</v>
      </c>
      <c r="N602">
        <v>138595</v>
      </c>
      <c r="O602" t="s">
        <v>18</v>
      </c>
    </row>
    <row r="603" spans="1:15" x14ac:dyDescent="0.3">
      <c r="A603" s="1">
        <v>45869</v>
      </c>
      <c r="B603" s="3" t="s">
        <v>15</v>
      </c>
      <c r="C603" s="3">
        <v>2014.6</v>
      </c>
      <c r="D603" s="3">
        <v>2031.4</v>
      </c>
      <c r="E603" s="3">
        <v>2008</v>
      </c>
      <c r="F603" s="3">
        <v>2025.8</v>
      </c>
      <c r="G603" s="3">
        <v>2018</v>
      </c>
      <c r="H603" s="3">
        <v>2018.2</v>
      </c>
      <c r="I603" s="3">
        <v>2020.81</v>
      </c>
      <c r="J603" s="3">
        <v>2037.7</v>
      </c>
      <c r="K603" s="3">
        <v>1593.3</v>
      </c>
      <c r="L603" s="5">
        <v>11091516</v>
      </c>
      <c r="M603" s="2">
        <v>22413795872.200001</v>
      </c>
      <c r="N603">
        <v>199191</v>
      </c>
      <c r="O603" t="s">
        <v>18</v>
      </c>
    </row>
    <row r="604" spans="1:15" x14ac:dyDescent="0.3">
      <c r="A604" s="1">
        <v>45868</v>
      </c>
      <c r="B604" s="3" t="s">
        <v>15</v>
      </c>
      <c r="C604" s="3">
        <v>2028</v>
      </c>
      <c r="D604" s="3">
        <v>2032.6</v>
      </c>
      <c r="E604" s="3">
        <v>2017</v>
      </c>
      <c r="F604" s="3">
        <v>2021.6</v>
      </c>
      <c r="G604" s="3">
        <v>2025.9</v>
      </c>
      <c r="H604" s="3">
        <v>2025.8</v>
      </c>
      <c r="I604" s="3">
        <v>2023.94</v>
      </c>
      <c r="J604" s="3">
        <v>2037.7</v>
      </c>
      <c r="K604" s="3">
        <v>1593.3</v>
      </c>
      <c r="L604" s="5">
        <v>7577018</v>
      </c>
      <c r="M604" s="2">
        <v>15335457713.700001</v>
      </c>
      <c r="N604">
        <v>152763</v>
      </c>
      <c r="O604" t="s">
        <v>18</v>
      </c>
    </row>
    <row r="605" spans="1:15" x14ac:dyDescent="0.3">
      <c r="A605" s="1">
        <v>45867</v>
      </c>
      <c r="B605" s="3" t="s">
        <v>15</v>
      </c>
      <c r="C605" s="3">
        <v>1999.9</v>
      </c>
      <c r="D605" s="3">
        <v>2026.5</v>
      </c>
      <c r="E605" s="3">
        <v>1996.3</v>
      </c>
      <c r="F605" s="3">
        <v>2008.5</v>
      </c>
      <c r="G605" s="3">
        <v>2023</v>
      </c>
      <c r="H605" s="3">
        <v>2021.6</v>
      </c>
      <c r="I605" s="3">
        <v>2015.07</v>
      </c>
      <c r="J605" s="3">
        <v>2037.7</v>
      </c>
      <c r="K605" s="3">
        <v>1593.3</v>
      </c>
      <c r="L605" s="5">
        <v>9947848</v>
      </c>
      <c r="M605" s="2">
        <v>20045635384.900002</v>
      </c>
      <c r="N605">
        <v>234546</v>
      </c>
      <c r="O605" t="s">
        <v>18</v>
      </c>
    </row>
    <row r="606" spans="1:15" x14ac:dyDescent="0.3">
      <c r="A606" s="1">
        <v>45866</v>
      </c>
      <c r="B606" s="3" t="s">
        <v>15</v>
      </c>
      <c r="C606" s="3">
        <v>2003</v>
      </c>
      <c r="D606" s="3">
        <v>2021.4</v>
      </c>
      <c r="E606" s="3">
        <v>2000.5</v>
      </c>
      <c r="F606" s="3">
        <v>2004.6</v>
      </c>
      <c r="G606" s="3">
        <v>2009.9</v>
      </c>
      <c r="H606" s="3">
        <v>2008.5</v>
      </c>
      <c r="I606" s="3">
        <v>2011.08</v>
      </c>
      <c r="J606" s="3">
        <v>2037.7</v>
      </c>
      <c r="K606" s="3">
        <v>1593.3</v>
      </c>
      <c r="L606" s="5">
        <v>6029790</v>
      </c>
      <c r="M606" s="2">
        <v>12126412272.799999</v>
      </c>
      <c r="N606">
        <v>219624</v>
      </c>
      <c r="O606" t="s">
        <v>18</v>
      </c>
    </row>
    <row r="607" spans="1:15" x14ac:dyDescent="0.3">
      <c r="A607" s="1">
        <v>45863</v>
      </c>
      <c r="B607" s="3" t="s">
        <v>15</v>
      </c>
      <c r="C607" s="3">
        <v>2015</v>
      </c>
      <c r="D607" s="3">
        <v>2015</v>
      </c>
      <c r="E607" s="3">
        <v>1999</v>
      </c>
      <c r="F607" s="3">
        <v>2014.2</v>
      </c>
      <c r="G607" s="3">
        <v>2005</v>
      </c>
      <c r="H607" s="3">
        <v>2004.6</v>
      </c>
      <c r="I607" s="3">
        <v>2005.63</v>
      </c>
      <c r="J607" s="3">
        <v>2037.7</v>
      </c>
      <c r="K607" s="3">
        <v>1588.05</v>
      </c>
      <c r="L607" s="5">
        <v>4653299</v>
      </c>
      <c r="M607" s="2">
        <v>9332802398.7999992</v>
      </c>
      <c r="N607">
        <v>163735</v>
      </c>
      <c r="O607" t="s">
        <v>18</v>
      </c>
    </row>
    <row r="608" spans="1:15" x14ac:dyDescent="0.3">
      <c r="A608" s="1">
        <v>45862</v>
      </c>
      <c r="B608" s="3" t="s">
        <v>15</v>
      </c>
      <c r="C608" s="3">
        <v>2037.7</v>
      </c>
      <c r="D608" s="3">
        <v>2037.7</v>
      </c>
      <c r="E608" s="3">
        <v>2008.4</v>
      </c>
      <c r="F608" s="3">
        <v>2024.3</v>
      </c>
      <c r="G608" s="3">
        <v>2011.7</v>
      </c>
      <c r="H608" s="3">
        <v>2014.2</v>
      </c>
      <c r="I608" s="3">
        <v>2019.12</v>
      </c>
      <c r="J608" s="3">
        <v>2037.7</v>
      </c>
      <c r="K608" s="3">
        <v>1588.05</v>
      </c>
      <c r="L608" s="5">
        <v>9553588</v>
      </c>
      <c r="M608" s="2">
        <v>19289876404.200001</v>
      </c>
      <c r="N608">
        <v>183573</v>
      </c>
      <c r="O608" t="s">
        <v>18</v>
      </c>
    </row>
    <row r="609" spans="1:15" x14ac:dyDescent="0.3">
      <c r="A609" s="1">
        <v>45861</v>
      </c>
      <c r="B609" s="3" t="s">
        <v>15</v>
      </c>
      <c r="C609" s="3">
        <v>2011</v>
      </c>
      <c r="D609" s="3">
        <v>2029.8</v>
      </c>
      <c r="E609" s="3">
        <v>2003</v>
      </c>
      <c r="F609" s="3">
        <v>2007.1</v>
      </c>
      <c r="G609" s="3">
        <v>2024.5</v>
      </c>
      <c r="H609" s="3">
        <v>2024.3</v>
      </c>
      <c r="I609" s="3">
        <v>2019.97</v>
      </c>
      <c r="J609" s="3">
        <v>2029.8</v>
      </c>
      <c r="K609" s="3">
        <v>1588.05</v>
      </c>
      <c r="L609" s="5">
        <v>6817458</v>
      </c>
      <c r="M609" s="2">
        <v>13771089884.700001</v>
      </c>
      <c r="N609">
        <v>191989</v>
      </c>
      <c r="O609" t="s">
        <v>18</v>
      </c>
    </row>
    <row r="610" spans="1:15" x14ac:dyDescent="0.3">
      <c r="A610" s="1">
        <v>45860</v>
      </c>
      <c r="B610" s="3" t="s">
        <v>15</v>
      </c>
      <c r="C610" s="3">
        <v>2013.1</v>
      </c>
      <c r="D610" s="3">
        <v>2018</v>
      </c>
      <c r="E610" s="3">
        <v>2003</v>
      </c>
      <c r="F610" s="3">
        <v>2000.5</v>
      </c>
      <c r="G610" s="3">
        <v>2005</v>
      </c>
      <c r="H610" s="3">
        <v>2007.1</v>
      </c>
      <c r="I610" s="3">
        <v>2009.05</v>
      </c>
      <c r="J610" s="3">
        <v>2027.1</v>
      </c>
      <c r="K610" s="3">
        <v>1588.05</v>
      </c>
      <c r="L610" s="5">
        <v>7418407</v>
      </c>
      <c r="M610" s="2">
        <v>14903939836.299999</v>
      </c>
      <c r="N610">
        <v>226727</v>
      </c>
      <c r="O610" t="s">
        <v>18</v>
      </c>
    </row>
    <row r="611" spans="1:15" x14ac:dyDescent="0.3">
      <c r="A611" s="1">
        <v>45859</v>
      </c>
      <c r="B611" s="3" t="s">
        <v>15</v>
      </c>
      <c r="C611" s="3">
        <v>1978.2</v>
      </c>
      <c r="D611" s="3">
        <v>2002</v>
      </c>
      <c r="E611" s="3">
        <v>1976.5</v>
      </c>
      <c r="F611" s="3">
        <v>1957.4</v>
      </c>
      <c r="G611" s="3">
        <v>2001.5</v>
      </c>
      <c r="H611" s="3">
        <v>2000.5</v>
      </c>
      <c r="I611" s="3">
        <v>1993.45</v>
      </c>
      <c r="J611" s="3">
        <v>2027.1</v>
      </c>
      <c r="K611" s="3">
        <v>1588.05</v>
      </c>
      <c r="L611" s="5">
        <v>11154539</v>
      </c>
      <c r="M611" s="2">
        <v>22236041336.400002</v>
      </c>
      <c r="N611">
        <v>275691</v>
      </c>
      <c r="O611" t="s">
        <v>18</v>
      </c>
    </row>
    <row r="612" spans="1:15" x14ac:dyDescent="0.3">
      <c r="A612" s="1">
        <v>45856</v>
      </c>
      <c r="B612" s="3" t="s">
        <v>15</v>
      </c>
      <c r="C612" s="3">
        <v>1986.9</v>
      </c>
      <c r="D612" s="3">
        <v>1997</v>
      </c>
      <c r="E612" s="3">
        <v>1953</v>
      </c>
      <c r="F612" s="3">
        <v>1986.9</v>
      </c>
      <c r="G612" s="3">
        <v>1956</v>
      </c>
      <c r="H612" s="3">
        <v>1957.4</v>
      </c>
      <c r="I612" s="3">
        <v>1968.8</v>
      </c>
      <c r="J612" s="3">
        <v>2027.1</v>
      </c>
      <c r="K612" s="3">
        <v>1588.05</v>
      </c>
      <c r="L612" s="5">
        <v>8064723</v>
      </c>
      <c r="M612" s="2">
        <v>15877808287.5</v>
      </c>
      <c r="N612">
        <v>221823</v>
      </c>
      <c r="O612" t="s">
        <v>18</v>
      </c>
    </row>
    <row r="613" spans="1:15" x14ac:dyDescent="0.3">
      <c r="A613" s="1">
        <v>45855</v>
      </c>
      <c r="B613" s="3" t="s">
        <v>15</v>
      </c>
      <c r="C613" s="3">
        <v>2004</v>
      </c>
      <c r="D613" s="3">
        <v>2004.8</v>
      </c>
      <c r="E613" s="3">
        <v>1982.7</v>
      </c>
      <c r="F613" s="3">
        <v>1996.3</v>
      </c>
      <c r="G613" s="3">
        <v>1986</v>
      </c>
      <c r="H613" s="3">
        <v>1986.9</v>
      </c>
      <c r="I613" s="3">
        <v>1991.85</v>
      </c>
      <c r="J613" s="3">
        <v>2027.1</v>
      </c>
      <c r="K613" s="3">
        <v>1588.05</v>
      </c>
      <c r="L613" s="5">
        <v>11264579</v>
      </c>
      <c r="M613" s="2">
        <v>22437406105.599998</v>
      </c>
      <c r="N613">
        <v>256020</v>
      </c>
      <c r="O613" t="s">
        <v>18</v>
      </c>
    </row>
    <row r="614" spans="1:15" x14ac:dyDescent="0.3">
      <c r="A614" s="1">
        <v>45854</v>
      </c>
      <c r="B614" s="3" t="s">
        <v>15</v>
      </c>
      <c r="C614" s="3">
        <v>2018</v>
      </c>
      <c r="D614" s="3">
        <v>2022.7</v>
      </c>
      <c r="E614" s="3">
        <v>1992.6</v>
      </c>
      <c r="F614" s="3">
        <v>1995.5</v>
      </c>
      <c r="G614" s="3">
        <v>1996</v>
      </c>
      <c r="H614" s="3">
        <v>1996.3</v>
      </c>
      <c r="I614" s="3">
        <v>2005.54</v>
      </c>
      <c r="J614" s="3">
        <v>2027.1</v>
      </c>
      <c r="K614" s="3">
        <v>1588.05</v>
      </c>
      <c r="L614" s="5">
        <v>8997306</v>
      </c>
      <c r="M614" s="2">
        <v>18044432313.400002</v>
      </c>
      <c r="N614">
        <v>216845</v>
      </c>
      <c r="O614" t="s">
        <v>18</v>
      </c>
    </row>
    <row r="615" spans="1:15" x14ac:dyDescent="0.3">
      <c r="A615" s="1">
        <v>45853</v>
      </c>
      <c r="B615" s="3" t="s">
        <v>15</v>
      </c>
      <c r="C615" s="3">
        <v>1973</v>
      </c>
      <c r="D615" s="3">
        <v>2003.6</v>
      </c>
      <c r="E615" s="3">
        <v>1973</v>
      </c>
      <c r="F615" s="3">
        <v>1983</v>
      </c>
      <c r="G615" s="3">
        <v>1998</v>
      </c>
      <c r="H615" s="3">
        <v>1995.5</v>
      </c>
      <c r="I615" s="3">
        <v>1993.02</v>
      </c>
      <c r="J615" s="3">
        <v>2027.1</v>
      </c>
      <c r="K615" s="3">
        <v>1588.05</v>
      </c>
      <c r="L615" s="5">
        <v>7249084</v>
      </c>
      <c r="M615" s="2">
        <v>14447599382.1</v>
      </c>
      <c r="N615">
        <v>157806</v>
      </c>
      <c r="O615" t="s">
        <v>18</v>
      </c>
    </row>
    <row r="616" spans="1:15" x14ac:dyDescent="0.3">
      <c r="A616" s="1">
        <v>45852</v>
      </c>
      <c r="B616" s="3" t="s">
        <v>15</v>
      </c>
      <c r="C616" s="3">
        <v>1983</v>
      </c>
      <c r="D616" s="3">
        <v>1988.7</v>
      </c>
      <c r="E616" s="3">
        <v>1970.6</v>
      </c>
      <c r="F616" s="3">
        <v>1983.7</v>
      </c>
      <c r="G616" s="3">
        <v>1982.9</v>
      </c>
      <c r="H616" s="3">
        <v>1983</v>
      </c>
      <c r="I616" s="3">
        <v>1978.8</v>
      </c>
      <c r="J616" s="3">
        <v>2027.1</v>
      </c>
      <c r="K616" s="3">
        <v>1588.05</v>
      </c>
      <c r="L616" s="5">
        <v>6544425</v>
      </c>
      <c r="M616" s="2">
        <v>12950097345.9</v>
      </c>
      <c r="N616">
        <v>132854</v>
      </c>
      <c r="O616" t="s">
        <v>18</v>
      </c>
    </row>
    <row r="617" spans="1:15" x14ac:dyDescent="0.3">
      <c r="A617" s="1">
        <v>45849</v>
      </c>
      <c r="B617" s="3" t="s">
        <v>15</v>
      </c>
      <c r="C617" s="3">
        <v>1998</v>
      </c>
      <c r="D617" s="3">
        <v>2004.8</v>
      </c>
      <c r="E617" s="3">
        <v>1980.9</v>
      </c>
      <c r="F617" s="3">
        <v>2006.2</v>
      </c>
      <c r="G617" s="3">
        <v>1983</v>
      </c>
      <c r="H617" s="3">
        <v>1983.7</v>
      </c>
      <c r="I617" s="3">
        <v>1987.41</v>
      </c>
      <c r="J617" s="3">
        <v>2027.1</v>
      </c>
      <c r="K617" s="3">
        <v>1588.05</v>
      </c>
      <c r="L617" s="5">
        <v>6258461</v>
      </c>
      <c r="M617" s="2">
        <v>12438153798.200001</v>
      </c>
      <c r="N617">
        <v>125871</v>
      </c>
      <c r="O617" t="s">
        <v>18</v>
      </c>
    </row>
    <row r="618" spans="1:15" x14ac:dyDescent="0.3">
      <c r="A618" s="1">
        <v>45848</v>
      </c>
      <c r="B618" s="3" t="s">
        <v>15</v>
      </c>
      <c r="C618" s="3">
        <v>2016</v>
      </c>
      <c r="D618" s="3">
        <v>2017</v>
      </c>
      <c r="E618" s="3">
        <v>2000</v>
      </c>
      <c r="F618" s="3">
        <v>2011.2</v>
      </c>
      <c r="G618" s="3">
        <v>2002.8</v>
      </c>
      <c r="H618" s="3">
        <v>2006.2</v>
      </c>
      <c r="I618" s="3">
        <v>2008.54</v>
      </c>
      <c r="J618" s="3">
        <v>2027.1</v>
      </c>
      <c r="K618" s="3">
        <v>1588.05</v>
      </c>
      <c r="L618" s="5">
        <v>8515155</v>
      </c>
      <c r="M618" s="2">
        <v>17103052403.799999</v>
      </c>
      <c r="N618">
        <v>184619</v>
      </c>
      <c r="O618" t="s">
        <v>18</v>
      </c>
    </row>
    <row r="619" spans="1:15" x14ac:dyDescent="0.3">
      <c r="A619" s="1">
        <v>45847</v>
      </c>
      <c r="B619" s="3" t="s">
        <v>15</v>
      </c>
      <c r="C619" s="3">
        <v>2007</v>
      </c>
      <c r="D619" s="3">
        <v>2013.8</v>
      </c>
      <c r="E619" s="3">
        <v>1998.1</v>
      </c>
      <c r="F619" s="3">
        <v>2001.4</v>
      </c>
      <c r="G619" s="3">
        <v>2008.5</v>
      </c>
      <c r="H619" s="3">
        <v>2011.2</v>
      </c>
      <c r="I619" s="3">
        <v>2007.1</v>
      </c>
      <c r="J619" s="3">
        <v>2027.1</v>
      </c>
      <c r="K619" s="3">
        <v>1588.05</v>
      </c>
      <c r="L619" s="5">
        <v>6930714</v>
      </c>
      <c r="M619" s="2">
        <v>13910645549.4</v>
      </c>
      <c r="N619">
        <v>151284</v>
      </c>
      <c r="O619" t="s">
        <v>18</v>
      </c>
    </row>
    <row r="620" spans="1:15" x14ac:dyDescent="0.3">
      <c r="A620" s="1">
        <v>45846</v>
      </c>
      <c r="B620" s="3" t="s">
        <v>15</v>
      </c>
      <c r="C620" s="3">
        <v>1977</v>
      </c>
      <c r="D620" s="3">
        <v>2005</v>
      </c>
      <c r="E620" s="3">
        <v>1977</v>
      </c>
      <c r="F620" s="3">
        <v>1987.4</v>
      </c>
      <c r="G620" s="3">
        <v>1999.4</v>
      </c>
      <c r="H620" s="3">
        <v>2001.4</v>
      </c>
      <c r="I620" s="3">
        <v>1992.88</v>
      </c>
      <c r="J620" s="3">
        <v>2027.1</v>
      </c>
      <c r="K620" s="3">
        <v>1588.05</v>
      </c>
      <c r="L620" s="5">
        <v>7612158</v>
      </c>
      <c r="M620" s="2">
        <v>15170095365.5</v>
      </c>
      <c r="N620">
        <v>199823</v>
      </c>
      <c r="O620" t="s">
        <v>18</v>
      </c>
    </row>
    <row r="621" spans="1:15" x14ac:dyDescent="0.3">
      <c r="A621" s="1">
        <v>45845</v>
      </c>
      <c r="B621" s="3" t="s">
        <v>15</v>
      </c>
      <c r="C621" s="3">
        <v>1989</v>
      </c>
      <c r="D621" s="3">
        <v>1998.4</v>
      </c>
      <c r="E621" s="3">
        <v>1983.8</v>
      </c>
      <c r="F621" s="3">
        <v>1989.3</v>
      </c>
      <c r="G621" s="3">
        <v>1985.5</v>
      </c>
      <c r="H621" s="3">
        <v>1987.4</v>
      </c>
      <c r="I621" s="3">
        <v>1989.37</v>
      </c>
      <c r="J621" s="3">
        <v>2027.1</v>
      </c>
      <c r="K621" s="3">
        <v>1588.05</v>
      </c>
      <c r="L621" s="5">
        <v>5674713</v>
      </c>
      <c r="M621" s="2">
        <v>11289078543</v>
      </c>
      <c r="N621">
        <v>163393</v>
      </c>
      <c r="O621" t="s">
        <v>18</v>
      </c>
    </row>
    <row r="622" spans="1:15" x14ac:dyDescent="0.3">
      <c r="A622" s="1">
        <v>45842</v>
      </c>
      <c r="B622" s="3" t="s">
        <v>15</v>
      </c>
      <c r="C622" s="3">
        <v>1987.1</v>
      </c>
      <c r="D622" s="3">
        <v>2003.5</v>
      </c>
      <c r="E622" s="3">
        <v>1980</v>
      </c>
      <c r="F622" s="3">
        <v>1987.1</v>
      </c>
      <c r="G622" s="3">
        <v>1992.7</v>
      </c>
      <c r="H622" s="3">
        <v>1989.3</v>
      </c>
      <c r="I622" s="3">
        <v>1987.51</v>
      </c>
      <c r="J622" s="3">
        <v>2027.1</v>
      </c>
      <c r="K622" s="3">
        <v>1588.05</v>
      </c>
      <c r="L622" s="5">
        <v>3931972</v>
      </c>
      <c r="M622" s="2">
        <v>7814832915.6000004</v>
      </c>
      <c r="N622">
        <v>150676</v>
      </c>
      <c r="O622" t="s">
        <v>18</v>
      </c>
    </row>
    <row r="623" spans="1:15" x14ac:dyDescent="0.3">
      <c r="A623" s="1">
        <v>45841</v>
      </c>
      <c r="B623" s="3" t="s">
        <v>15</v>
      </c>
      <c r="C623" s="3">
        <v>1994.9</v>
      </c>
      <c r="D623" s="3">
        <v>2008</v>
      </c>
      <c r="E623" s="3">
        <v>1984.3</v>
      </c>
      <c r="F623" s="3">
        <v>1986</v>
      </c>
      <c r="G623" s="3">
        <v>1985.9</v>
      </c>
      <c r="H623" s="3">
        <v>1987.1</v>
      </c>
      <c r="I623" s="3">
        <v>1993.22</v>
      </c>
      <c r="J623" s="3">
        <v>2027.1</v>
      </c>
      <c r="K623" s="3">
        <v>1588.05</v>
      </c>
      <c r="L623" s="5">
        <v>8430253</v>
      </c>
      <c r="M623" s="2">
        <v>16803371805.6</v>
      </c>
      <c r="N623">
        <v>182242</v>
      </c>
      <c r="O623" t="s">
        <v>18</v>
      </c>
    </row>
    <row r="624" spans="1:15" x14ac:dyDescent="0.3">
      <c r="A624" s="1">
        <v>45840</v>
      </c>
      <c r="B624" s="3" t="s">
        <v>15</v>
      </c>
      <c r="C624" s="3">
        <v>2019.9</v>
      </c>
      <c r="D624" s="3">
        <v>2019.9</v>
      </c>
      <c r="E624" s="3">
        <v>1977.9</v>
      </c>
      <c r="F624" s="3">
        <v>2012.1</v>
      </c>
      <c r="G624" s="3">
        <v>1985.5</v>
      </c>
      <c r="H624" s="3">
        <v>1986</v>
      </c>
      <c r="I624" s="3">
        <v>1990.25</v>
      </c>
      <c r="J624" s="3">
        <v>2027.1</v>
      </c>
      <c r="K624" s="3">
        <v>1588.05</v>
      </c>
      <c r="L624" s="5">
        <v>9439125</v>
      </c>
      <c r="M624" s="2">
        <v>18786219250.599998</v>
      </c>
      <c r="N624">
        <v>268429</v>
      </c>
      <c r="O624" t="s">
        <v>18</v>
      </c>
    </row>
    <row r="625" spans="1:15" x14ac:dyDescent="0.3">
      <c r="A625" s="1">
        <v>45839</v>
      </c>
      <c r="B625" s="3" t="s">
        <v>15</v>
      </c>
      <c r="C625" s="3">
        <v>2005</v>
      </c>
      <c r="D625" s="3">
        <v>2016</v>
      </c>
      <c r="E625" s="3">
        <v>2004</v>
      </c>
      <c r="F625" s="3">
        <v>2001.5</v>
      </c>
      <c r="G625" s="3">
        <v>2011.1</v>
      </c>
      <c r="H625" s="3">
        <v>2012.1</v>
      </c>
      <c r="I625" s="3">
        <v>2010.15</v>
      </c>
      <c r="J625" s="3">
        <v>2027.1</v>
      </c>
      <c r="K625" s="3">
        <v>1588.05</v>
      </c>
      <c r="L625" s="5">
        <v>7194693</v>
      </c>
      <c r="M625" s="2">
        <v>14462421818.6</v>
      </c>
      <c r="N625">
        <v>169976</v>
      </c>
      <c r="O625" t="s">
        <v>18</v>
      </c>
    </row>
    <row r="626" spans="1:15" x14ac:dyDescent="0.3">
      <c r="A626" s="1">
        <v>45838</v>
      </c>
      <c r="B626" s="3" t="s">
        <v>15</v>
      </c>
      <c r="C626" s="3">
        <v>2011.5</v>
      </c>
      <c r="D626" s="3">
        <v>2013.8</v>
      </c>
      <c r="E626" s="3">
        <v>1995.5</v>
      </c>
      <c r="F626" s="3">
        <v>2014.9</v>
      </c>
      <c r="G626" s="3">
        <v>2000</v>
      </c>
      <c r="H626" s="3">
        <v>2001.5</v>
      </c>
      <c r="I626" s="3">
        <v>2001.16</v>
      </c>
      <c r="J626" s="3">
        <v>2027.1</v>
      </c>
      <c r="K626" s="3">
        <v>1588.05</v>
      </c>
      <c r="L626" s="5">
        <v>6824510</v>
      </c>
      <c r="M626" s="2">
        <v>13656939181</v>
      </c>
      <c r="N626">
        <v>199780</v>
      </c>
      <c r="O626" t="s">
        <v>18</v>
      </c>
    </row>
    <row r="627" spans="1:15" x14ac:dyDescent="0.3">
      <c r="A627" s="1">
        <v>45835</v>
      </c>
      <c r="B627" s="3" t="s">
        <v>15</v>
      </c>
      <c r="C627" s="3">
        <v>2013</v>
      </c>
      <c r="D627" s="3">
        <v>2019.8</v>
      </c>
      <c r="E627" s="3">
        <v>1993.4</v>
      </c>
      <c r="F627" s="3">
        <v>2021.8</v>
      </c>
      <c r="G627" s="3">
        <v>2011.5</v>
      </c>
      <c r="H627" s="3">
        <v>2014.9</v>
      </c>
      <c r="I627" s="3">
        <v>2011.75</v>
      </c>
      <c r="J627" s="3">
        <v>2027.1</v>
      </c>
      <c r="K627" s="3">
        <v>1588.05</v>
      </c>
      <c r="L627" s="5">
        <v>14106692</v>
      </c>
      <c r="M627" s="2">
        <v>28379071385.700001</v>
      </c>
      <c r="N627">
        <v>226961</v>
      </c>
      <c r="O627" t="s">
        <v>18</v>
      </c>
    </row>
    <row r="628" spans="1:15" x14ac:dyDescent="0.3">
      <c r="A628" s="1">
        <v>45834</v>
      </c>
      <c r="B628" s="3" t="s">
        <v>15</v>
      </c>
      <c r="C628" s="3">
        <v>1981.4</v>
      </c>
      <c r="D628" s="3">
        <v>2027.1</v>
      </c>
      <c r="E628" s="3">
        <v>1980</v>
      </c>
      <c r="F628" s="3">
        <v>1980.2</v>
      </c>
      <c r="G628" s="3">
        <v>2017.7</v>
      </c>
      <c r="H628" s="3">
        <v>2021.8</v>
      </c>
      <c r="I628" s="3">
        <v>2011.21</v>
      </c>
      <c r="J628" s="3">
        <v>2027.1</v>
      </c>
      <c r="K628" s="3">
        <v>1588.05</v>
      </c>
      <c r="L628" s="5">
        <v>25042415</v>
      </c>
      <c r="M628" s="2">
        <v>50365656414.5</v>
      </c>
      <c r="N628">
        <v>343662</v>
      </c>
      <c r="O628" t="s">
        <v>18</v>
      </c>
    </row>
    <row r="629" spans="1:15" x14ac:dyDescent="0.3">
      <c r="A629" s="1">
        <v>45833</v>
      </c>
      <c r="B629" s="3" t="s">
        <v>15</v>
      </c>
      <c r="C629" s="3">
        <v>1966</v>
      </c>
      <c r="D629" s="3">
        <v>1982</v>
      </c>
      <c r="E629" s="3">
        <v>1963.9</v>
      </c>
      <c r="F629" s="3">
        <v>1960.9</v>
      </c>
      <c r="G629" s="3">
        <v>1980</v>
      </c>
      <c r="H629" s="3">
        <v>1980.2</v>
      </c>
      <c r="I629" s="3">
        <v>1977.13</v>
      </c>
      <c r="J629" s="3">
        <v>1996.3</v>
      </c>
      <c r="K629" s="3">
        <v>1588.05</v>
      </c>
      <c r="L629" s="5">
        <v>9202966</v>
      </c>
      <c r="M629" s="2">
        <v>18195446515.700001</v>
      </c>
      <c r="N629">
        <v>206190</v>
      </c>
      <c r="O629" t="s">
        <v>18</v>
      </c>
    </row>
    <row r="630" spans="1:15" x14ac:dyDescent="0.3">
      <c r="A630" s="1">
        <v>45832</v>
      </c>
      <c r="B630" s="3" t="s">
        <v>15</v>
      </c>
      <c r="C630" s="3">
        <v>1965</v>
      </c>
      <c r="D630" s="3">
        <v>1979</v>
      </c>
      <c r="E630" s="3">
        <v>1955.6</v>
      </c>
      <c r="F630" s="3">
        <v>1948.4</v>
      </c>
      <c r="G630" s="3">
        <v>1963.7</v>
      </c>
      <c r="H630" s="3">
        <v>1960.9</v>
      </c>
      <c r="I630" s="3">
        <v>1964.12</v>
      </c>
      <c r="J630" s="3">
        <v>1996.3</v>
      </c>
      <c r="K630" s="3">
        <v>1588.05</v>
      </c>
      <c r="L630" s="5">
        <v>11312661</v>
      </c>
      <c r="M630" s="2">
        <v>22219442191.5</v>
      </c>
      <c r="N630">
        <v>231814</v>
      </c>
      <c r="O630" t="s">
        <v>18</v>
      </c>
    </row>
    <row r="631" spans="1:15" x14ac:dyDescent="0.3">
      <c r="A631" s="1">
        <v>45831</v>
      </c>
      <c r="B631" s="3" t="s">
        <v>15</v>
      </c>
      <c r="C631" s="3">
        <v>1948.4</v>
      </c>
      <c r="D631" s="3">
        <v>1957.9</v>
      </c>
      <c r="E631" s="3">
        <v>1941.8</v>
      </c>
      <c r="F631" s="3">
        <v>1964.7</v>
      </c>
      <c r="G631" s="3">
        <v>1948.1</v>
      </c>
      <c r="H631" s="3">
        <v>1948.4</v>
      </c>
      <c r="I631" s="3">
        <v>1948.19</v>
      </c>
      <c r="J631" s="3">
        <v>1996.3</v>
      </c>
      <c r="K631" s="3">
        <v>1588.05</v>
      </c>
      <c r="L631" s="5">
        <v>5869759</v>
      </c>
      <c r="M631" s="2">
        <v>11435395881.1</v>
      </c>
      <c r="N631">
        <v>176324</v>
      </c>
      <c r="O631" t="s">
        <v>18</v>
      </c>
    </row>
    <row r="632" spans="1:15" x14ac:dyDescent="0.3">
      <c r="A632" s="1">
        <v>45828</v>
      </c>
      <c r="B632" s="3" t="s">
        <v>15</v>
      </c>
      <c r="C632" s="3">
        <v>1931.6</v>
      </c>
      <c r="D632" s="3">
        <v>1969.9</v>
      </c>
      <c r="E632" s="3">
        <v>1931.6</v>
      </c>
      <c r="F632" s="3">
        <v>1935.3</v>
      </c>
      <c r="G632" s="3">
        <v>1963.1</v>
      </c>
      <c r="H632" s="3">
        <v>1964.7</v>
      </c>
      <c r="I632" s="3">
        <v>1960.39</v>
      </c>
      <c r="J632" s="3">
        <v>1996.3</v>
      </c>
      <c r="K632" s="3">
        <v>1588.05</v>
      </c>
      <c r="L632" s="5">
        <v>16450204</v>
      </c>
      <c r="M632" s="2">
        <v>32248839586.400002</v>
      </c>
      <c r="N632">
        <v>261970</v>
      </c>
      <c r="O632" t="s">
        <v>18</v>
      </c>
    </row>
    <row r="633" spans="1:15" x14ac:dyDescent="0.3">
      <c r="A633" s="1">
        <v>45827</v>
      </c>
      <c r="B633" s="3" t="s">
        <v>15</v>
      </c>
      <c r="C633" s="3">
        <v>1933.9</v>
      </c>
      <c r="D633" s="3">
        <v>1946.8</v>
      </c>
      <c r="E633" s="3">
        <v>1925.6</v>
      </c>
      <c r="F633" s="3">
        <v>1933.9</v>
      </c>
      <c r="G633" s="3">
        <v>1933.1</v>
      </c>
      <c r="H633" s="3">
        <v>1935.3</v>
      </c>
      <c r="I633" s="3">
        <v>1937.61</v>
      </c>
      <c r="J633" s="3">
        <v>1996.3</v>
      </c>
      <c r="K633" s="3">
        <v>1588.05</v>
      </c>
      <c r="L633" s="5">
        <v>8438110</v>
      </c>
      <c r="M633" s="2">
        <v>16349732658.700001</v>
      </c>
      <c r="N633">
        <v>202215</v>
      </c>
      <c r="O633" t="s">
        <v>18</v>
      </c>
    </row>
    <row r="634" spans="1:15" x14ac:dyDescent="0.3">
      <c r="A634" s="1">
        <v>45826</v>
      </c>
      <c r="B634" s="3" t="s">
        <v>15</v>
      </c>
      <c r="C634" s="3">
        <v>1917</v>
      </c>
      <c r="D634" s="3">
        <v>1936.3</v>
      </c>
      <c r="E634" s="3">
        <v>1917</v>
      </c>
      <c r="F634" s="3">
        <v>1929.6</v>
      </c>
      <c r="G634" s="3">
        <v>1932.5</v>
      </c>
      <c r="H634" s="3">
        <v>1933.9</v>
      </c>
      <c r="I634" s="3">
        <v>1928.12</v>
      </c>
      <c r="J634" s="3">
        <v>1996.3</v>
      </c>
      <c r="K634" s="3">
        <v>1588.05</v>
      </c>
      <c r="L634" s="5">
        <v>9216908</v>
      </c>
      <c r="M634" s="2">
        <v>17771302525.400002</v>
      </c>
      <c r="N634">
        <v>251910</v>
      </c>
      <c r="O634" t="s">
        <v>18</v>
      </c>
    </row>
    <row r="635" spans="1:15" x14ac:dyDescent="0.3">
      <c r="A635" s="1">
        <v>45825</v>
      </c>
      <c r="B635" s="3" t="s">
        <v>15</v>
      </c>
      <c r="C635" s="3">
        <v>1937</v>
      </c>
      <c r="D635" s="3">
        <v>1941.6</v>
      </c>
      <c r="E635" s="3">
        <v>1919.1</v>
      </c>
      <c r="F635" s="3">
        <v>1935.4</v>
      </c>
      <c r="G635" s="3">
        <v>1926</v>
      </c>
      <c r="H635" s="3">
        <v>1929.6</v>
      </c>
      <c r="I635" s="3">
        <v>1927.55</v>
      </c>
      <c r="J635" s="3">
        <v>1996.3</v>
      </c>
      <c r="K635" s="3">
        <v>1588.05</v>
      </c>
      <c r="L635" s="5">
        <v>8489368</v>
      </c>
      <c r="M635" s="2">
        <v>16363691276.799999</v>
      </c>
      <c r="N635">
        <v>219738</v>
      </c>
      <c r="O635" t="s">
        <v>18</v>
      </c>
    </row>
    <row r="636" spans="1:15" x14ac:dyDescent="0.3">
      <c r="A636" s="1">
        <v>45824</v>
      </c>
      <c r="B636" s="3" t="s">
        <v>15</v>
      </c>
      <c r="C636" s="3">
        <v>1924</v>
      </c>
      <c r="D636" s="3">
        <v>1938.9</v>
      </c>
      <c r="E636" s="3">
        <v>1920.1</v>
      </c>
      <c r="F636" s="3">
        <v>1917.6</v>
      </c>
      <c r="G636" s="3">
        <v>1936.9</v>
      </c>
      <c r="H636" s="3">
        <v>1935.4</v>
      </c>
      <c r="I636" s="3">
        <v>1933.31</v>
      </c>
      <c r="J636" s="3">
        <v>1996.3</v>
      </c>
      <c r="K636" s="3">
        <v>1588.05</v>
      </c>
      <c r="L636" s="5">
        <v>8256873</v>
      </c>
      <c r="M636" s="2">
        <v>15963122374.700001</v>
      </c>
      <c r="N636">
        <v>199177</v>
      </c>
      <c r="O636" t="s">
        <v>18</v>
      </c>
    </row>
    <row r="637" spans="1:15" x14ac:dyDescent="0.3">
      <c r="A637" s="1">
        <v>45821</v>
      </c>
      <c r="B637" s="3" t="s">
        <v>15</v>
      </c>
      <c r="C637" s="3">
        <v>1920</v>
      </c>
      <c r="D637" s="3">
        <v>1933</v>
      </c>
      <c r="E637" s="3">
        <v>1913</v>
      </c>
      <c r="F637" s="3">
        <v>1943.4</v>
      </c>
      <c r="G637" s="3">
        <v>1919.5</v>
      </c>
      <c r="H637" s="3">
        <v>1917.6</v>
      </c>
      <c r="I637" s="3">
        <v>1920.08</v>
      </c>
      <c r="J637" s="3">
        <v>1996.3</v>
      </c>
      <c r="K637" s="3">
        <v>1552.2</v>
      </c>
      <c r="L637" s="5">
        <v>6058881</v>
      </c>
      <c r="M637" s="2">
        <v>11633522704.6</v>
      </c>
      <c r="N637">
        <v>187789</v>
      </c>
      <c r="O637" t="s">
        <v>18</v>
      </c>
    </row>
    <row r="638" spans="1:15" x14ac:dyDescent="0.3">
      <c r="A638" s="1">
        <v>45820</v>
      </c>
      <c r="B638" s="3" t="s">
        <v>15</v>
      </c>
      <c r="C638" s="3">
        <v>1950</v>
      </c>
      <c r="D638" s="3">
        <v>1961</v>
      </c>
      <c r="E638" s="3">
        <v>1935.3</v>
      </c>
      <c r="F638" s="3">
        <v>1950.4</v>
      </c>
      <c r="G638" s="3">
        <v>1940</v>
      </c>
      <c r="H638" s="3">
        <v>1943.4</v>
      </c>
      <c r="I638" s="3">
        <v>1945.18</v>
      </c>
      <c r="J638" s="3">
        <v>1996.3</v>
      </c>
      <c r="K638" s="3">
        <v>1552.2</v>
      </c>
      <c r="L638" s="5">
        <v>8174565</v>
      </c>
      <c r="M638" s="2">
        <v>15901014848.9</v>
      </c>
      <c r="N638">
        <v>179174</v>
      </c>
      <c r="O638" t="s">
        <v>18</v>
      </c>
    </row>
    <row r="639" spans="1:15" x14ac:dyDescent="0.3">
      <c r="A639" s="1">
        <v>45819</v>
      </c>
      <c r="B639" s="3" t="s">
        <v>15</v>
      </c>
      <c r="C639" s="3">
        <v>1967.6</v>
      </c>
      <c r="D639" s="3">
        <v>1967.6</v>
      </c>
      <c r="E639" s="3">
        <v>1947</v>
      </c>
      <c r="F639" s="3">
        <v>1965.3</v>
      </c>
      <c r="G639" s="3">
        <v>1947.9</v>
      </c>
      <c r="H639" s="3">
        <v>1950.4</v>
      </c>
      <c r="I639" s="3">
        <v>1956.28</v>
      </c>
      <c r="J639" s="3">
        <v>1996.3</v>
      </c>
      <c r="K639" s="3">
        <v>1552.2</v>
      </c>
      <c r="L639" s="5">
        <v>5548197</v>
      </c>
      <c r="M639" s="2">
        <v>10853832767</v>
      </c>
      <c r="N639">
        <v>181762</v>
      </c>
      <c r="O639" t="s">
        <v>18</v>
      </c>
    </row>
    <row r="640" spans="1:15" x14ac:dyDescent="0.3">
      <c r="A640" s="1">
        <v>45818</v>
      </c>
      <c r="B640" s="3" t="s">
        <v>15</v>
      </c>
      <c r="C640" s="3">
        <v>1982.8</v>
      </c>
      <c r="D640" s="3">
        <v>1982.8</v>
      </c>
      <c r="E640" s="3">
        <v>1961.1</v>
      </c>
      <c r="F640" s="3">
        <v>1978.9</v>
      </c>
      <c r="G640" s="3">
        <v>1962.8</v>
      </c>
      <c r="H640" s="3">
        <v>1965.3</v>
      </c>
      <c r="I640" s="3">
        <v>1967.94</v>
      </c>
      <c r="J640" s="3">
        <v>1996.3</v>
      </c>
      <c r="K640" s="3">
        <v>1552.2</v>
      </c>
      <c r="L640" s="5">
        <v>7766563</v>
      </c>
      <c r="M640" s="2">
        <v>15284154944.5</v>
      </c>
      <c r="N640">
        <v>281306</v>
      </c>
      <c r="O640" t="s">
        <v>18</v>
      </c>
    </row>
    <row r="641" spans="1:15" x14ac:dyDescent="0.3">
      <c r="A641" s="1">
        <v>45817</v>
      </c>
      <c r="B641" s="3" t="s">
        <v>15</v>
      </c>
      <c r="C641" s="3">
        <v>1995</v>
      </c>
      <c r="D641" s="3">
        <v>1995</v>
      </c>
      <c r="E641" s="3">
        <v>1975.9</v>
      </c>
      <c r="F641" s="3">
        <v>1978.7</v>
      </c>
      <c r="G641" s="3">
        <v>1980.1</v>
      </c>
      <c r="H641" s="3">
        <v>1978.9</v>
      </c>
      <c r="I641" s="3">
        <v>1982.15</v>
      </c>
      <c r="J641" s="3">
        <v>1996.3</v>
      </c>
      <c r="K641" s="3">
        <v>1552.2</v>
      </c>
      <c r="L641" s="5">
        <v>6601294</v>
      </c>
      <c r="M641" s="2">
        <v>13084780209.799999</v>
      </c>
      <c r="N641">
        <v>203285</v>
      </c>
      <c r="O641" t="s">
        <v>18</v>
      </c>
    </row>
    <row r="642" spans="1:15" x14ac:dyDescent="0.3">
      <c r="A642" s="1">
        <v>45814</v>
      </c>
      <c r="B642" s="3" t="s">
        <v>15</v>
      </c>
      <c r="C642" s="3">
        <v>1944</v>
      </c>
      <c r="D642" s="3">
        <v>1996.3</v>
      </c>
      <c r="E642" s="3">
        <v>1942.7</v>
      </c>
      <c r="F642" s="3">
        <v>1949.6</v>
      </c>
      <c r="G642" s="3">
        <v>1978</v>
      </c>
      <c r="H642" s="3">
        <v>1978.7</v>
      </c>
      <c r="I642" s="3">
        <v>1976.03</v>
      </c>
      <c r="J642" s="3">
        <v>1996.3</v>
      </c>
      <c r="K642" s="3">
        <v>1454</v>
      </c>
      <c r="L642" s="5">
        <v>15063504</v>
      </c>
      <c r="M642" s="2">
        <v>29765991590.299999</v>
      </c>
      <c r="N642">
        <v>354572</v>
      </c>
      <c r="O642" t="s">
        <v>18</v>
      </c>
    </row>
    <row r="643" spans="1:15" x14ac:dyDescent="0.3">
      <c r="A643" s="1">
        <v>45813</v>
      </c>
      <c r="B643" s="3" t="s">
        <v>15</v>
      </c>
      <c r="C643" s="3">
        <v>1948</v>
      </c>
      <c r="D643" s="3">
        <v>1958.9</v>
      </c>
      <c r="E643" s="3">
        <v>1940.2</v>
      </c>
      <c r="F643" s="3">
        <v>1941.2</v>
      </c>
      <c r="G643" s="3">
        <v>1952</v>
      </c>
      <c r="H643" s="3">
        <v>1949.6</v>
      </c>
      <c r="I643" s="3">
        <v>1950.15</v>
      </c>
      <c r="J643" s="3">
        <v>1978.9</v>
      </c>
      <c r="K643" s="3">
        <v>1454</v>
      </c>
      <c r="L643" s="5">
        <v>11127709</v>
      </c>
      <c r="M643" s="2">
        <v>21700698216.200001</v>
      </c>
      <c r="N643">
        <v>216860</v>
      </c>
      <c r="O643" t="s">
        <v>18</v>
      </c>
    </row>
    <row r="644" spans="1:15" x14ac:dyDescent="0.3">
      <c r="A644" s="1">
        <v>45812</v>
      </c>
      <c r="B644" s="3" t="s">
        <v>15</v>
      </c>
      <c r="C644" s="3">
        <v>1921</v>
      </c>
      <c r="D644" s="3">
        <v>1943.3</v>
      </c>
      <c r="E644" s="3">
        <v>1920.9</v>
      </c>
      <c r="F644" s="3">
        <v>1924.6</v>
      </c>
      <c r="G644" s="3">
        <v>1939.5</v>
      </c>
      <c r="H644" s="3">
        <v>1941.2</v>
      </c>
      <c r="I644" s="3">
        <v>1935.52</v>
      </c>
      <c r="J644" s="3">
        <v>1978.9</v>
      </c>
      <c r="K644" s="3">
        <v>1454</v>
      </c>
      <c r="L644" s="5">
        <v>6480771</v>
      </c>
      <c r="M644" s="2">
        <v>12543693178.6</v>
      </c>
      <c r="N644">
        <v>205372</v>
      </c>
      <c r="O644" t="s">
        <v>18</v>
      </c>
    </row>
    <row r="645" spans="1:15" x14ac:dyDescent="0.3">
      <c r="A645" s="1">
        <v>45811</v>
      </c>
      <c r="B645" s="3" t="s">
        <v>15</v>
      </c>
      <c r="C645" s="3">
        <v>1938</v>
      </c>
      <c r="D645" s="3">
        <v>1952</v>
      </c>
      <c r="E645" s="3">
        <v>1920</v>
      </c>
      <c r="F645" s="3">
        <v>1932.1</v>
      </c>
      <c r="G645" s="3">
        <v>1923.5</v>
      </c>
      <c r="H645" s="3">
        <v>1924.6</v>
      </c>
      <c r="I645" s="3">
        <v>1933.85</v>
      </c>
      <c r="J645" s="3">
        <v>1978.9</v>
      </c>
      <c r="K645" s="3">
        <v>1454</v>
      </c>
      <c r="L645" s="5">
        <v>12188792</v>
      </c>
      <c r="M645" s="2">
        <v>23571332796.700001</v>
      </c>
      <c r="N645">
        <v>202204</v>
      </c>
      <c r="O645" t="s">
        <v>18</v>
      </c>
    </row>
    <row r="646" spans="1:15" x14ac:dyDescent="0.3">
      <c r="A646" s="1">
        <v>45810</v>
      </c>
      <c r="B646" s="3" t="s">
        <v>15</v>
      </c>
      <c r="C646" s="3">
        <v>1930.1</v>
      </c>
      <c r="D646" s="3">
        <v>1936</v>
      </c>
      <c r="E646" s="3">
        <v>1908</v>
      </c>
      <c r="F646" s="3">
        <v>1944.9</v>
      </c>
      <c r="G646" s="3">
        <v>1931</v>
      </c>
      <c r="H646" s="3">
        <v>1932.1</v>
      </c>
      <c r="I646" s="3">
        <v>1924.65</v>
      </c>
      <c r="J646" s="3">
        <v>1978.9</v>
      </c>
      <c r="K646" s="3">
        <v>1454</v>
      </c>
      <c r="L646" s="5">
        <v>7334411</v>
      </c>
      <c r="M646" s="2">
        <v>14116152681.299999</v>
      </c>
      <c r="N646">
        <v>202297</v>
      </c>
      <c r="O646" t="s">
        <v>18</v>
      </c>
    </row>
    <row r="647" spans="1:15" x14ac:dyDescent="0.3">
      <c r="A647" s="1">
        <v>45807</v>
      </c>
      <c r="B647" s="3" t="s">
        <v>15</v>
      </c>
      <c r="C647" s="3">
        <v>1931.9</v>
      </c>
      <c r="D647" s="3">
        <v>1948.8</v>
      </c>
      <c r="E647" s="3">
        <v>1925.4</v>
      </c>
      <c r="F647" s="3">
        <v>1927.5</v>
      </c>
      <c r="G647" s="3">
        <v>1941.5</v>
      </c>
      <c r="H647" s="3">
        <v>1944.9</v>
      </c>
      <c r="I647" s="3">
        <v>1939.36</v>
      </c>
      <c r="J647" s="3">
        <v>1978.9</v>
      </c>
      <c r="K647" s="3">
        <v>1454</v>
      </c>
      <c r="L647" s="5">
        <v>14374039</v>
      </c>
      <c r="M647" s="2">
        <v>27876395261.099998</v>
      </c>
      <c r="N647">
        <v>152055</v>
      </c>
      <c r="O647" t="s">
        <v>18</v>
      </c>
    </row>
    <row r="648" spans="1:15" x14ac:dyDescent="0.3">
      <c r="A648" s="1">
        <v>45806</v>
      </c>
      <c r="B648" s="3" t="s">
        <v>15</v>
      </c>
      <c r="C648" s="3">
        <v>1928</v>
      </c>
      <c r="D648" s="3">
        <v>1940.8</v>
      </c>
      <c r="E648" s="3">
        <v>1907.3</v>
      </c>
      <c r="F648" s="3">
        <v>1923.5</v>
      </c>
      <c r="G648" s="3">
        <v>1937.6</v>
      </c>
      <c r="H648" s="3">
        <v>1927.5</v>
      </c>
      <c r="I648" s="3">
        <v>1921.28</v>
      </c>
      <c r="J648" s="3">
        <v>1978.9</v>
      </c>
      <c r="K648" s="3">
        <v>1454</v>
      </c>
      <c r="L648" s="5">
        <v>14458897</v>
      </c>
      <c r="M648" s="2">
        <v>27779560938.599998</v>
      </c>
      <c r="N648">
        <v>215462</v>
      </c>
      <c r="O648" t="s">
        <v>18</v>
      </c>
    </row>
    <row r="649" spans="1:15" x14ac:dyDescent="0.3">
      <c r="A649" s="1">
        <v>45805</v>
      </c>
      <c r="B649" s="3" t="s">
        <v>15</v>
      </c>
      <c r="C649" s="3">
        <v>1920.2</v>
      </c>
      <c r="D649" s="3">
        <v>1934.5</v>
      </c>
      <c r="E649" s="3">
        <v>1917.7</v>
      </c>
      <c r="F649" s="3">
        <v>1926.3</v>
      </c>
      <c r="G649" s="3">
        <v>1928.4</v>
      </c>
      <c r="H649" s="3">
        <v>1923.5</v>
      </c>
      <c r="I649" s="3">
        <v>1922.92</v>
      </c>
      <c r="J649" s="3">
        <v>1978.9</v>
      </c>
      <c r="K649" s="3">
        <v>1454</v>
      </c>
      <c r="L649" s="5">
        <v>9078797</v>
      </c>
      <c r="M649" s="2">
        <v>17457806722.099998</v>
      </c>
      <c r="N649">
        <v>179687</v>
      </c>
      <c r="O649" t="s">
        <v>18</v>
      </c>
    </row>
    <row r="650" spans="1:15" x14ac:dyDescent="0.3">
      <c r="A650" s="1">
        <v>45804</v>
      </c>
      <c r="B650" s="3" t="s">
        <v>15</v>
      </c>
      <c r="C650" s="3">
        <v>1931.6</v>
      </c>
      <c r="D650" s="3">
        <v>1948</v>
      </c>
      <c r="E650" s="3">
        <v>1916.3</v>
      </c>
      <c r="F650" s="3">
        <v>1940.2</v>
      </c>
      <c r="G650" s="3">
        <v>1926.8</v>
      </c>
      <c r="H650" s="3">
        <v>1926.3</v>
      </c>
      <c r="I650" s="3">
        <v>1927.12</v>
      </c>
      <c r="J650" s="3">
        <v>1978.9</v>
      </c>
      <c r="K650" s="3">
        <v>1454</v>
      </c>
      <c r="L650" s="5">
        <v>13081074</v>
      </c>
      <c r="M650" s="2">
        <v>25208751300.700001</v>
      </c>
      <c r="N650">
        <v>202672</v>
      </c>
      <c r="O650" t="s">
        <v>18</v>
      </c>
    </row>
    <row r="651" spans="1:15" x14ac:dyDescent="0.3">
      <c r="A651" s="1">
        <v>45803</v>
      </c>
      <c r="B651" s="3" t="s">
        <v>15</v>
      </c>
      <c r="C651" s="3">
        <v>1935</v>
      </c>
      <c r="D651" s="3">
        <v>1949.9</v>
      </c>
      <c r="E651" s="3">
        <v>1926.9</v>
      </c>
      <c r="F651" s="3">
        <v>1933.6</v>
      </c>
      <c r="G651" s="3">
        <v>1940.3</v>
      </c>
      <c r="H651" s="3">
        <v>1940.2</v>
      </c>
      <c r="I651" s="3">
        <v>1939.47</v>
      </c>
      <c r="J651" s="3">
        <v>1978.9</v>
      </c>
      <c r="K651" s="3">
        <v>1454</v>
      </c>
      <c r="L651" s="5">
        <v>5401430</v>
      </c>
      <c r="M651" s="2">
        <v>10475911940.9</v>
      </c>
      <c r="N651">
        <v>201842</v>
      </c>
      <c r="O651" t="s">
        <v>18</v>
      </c>
    </row>
    <row r="652" spans="1:15" x14ac:dyDescent="0.3">
      <c r="A652" s="1">
        <v>45800</v>
      </c>
      <c r="B652" s="3" t="s">
        <v>15</v>
      </c>
      <c r="C652" s="3">
        <v>1920.1</v>
      </c>
      <c r="D652" s="3">
        <v>1937</v>
      </c>
      <c r="E652" s="3">
        <v>1914.5</v>
      </c>
      <c r="F652" s="3">
        <v>1919.9</v>
      </c>
      <c r="G652" s="3">
        <v>1933.5</v>
      </c>
      <c r="H652" s="3">
        <v>1933.6</v>
      </c>
      <c r="I652" s="3">
        <v>1929.98</v>
      </c>
      <c r="J652" s="3">
        <v>1978.9</v>
      </c>
      <c r="K652" s="3">
        <v>1448.15</v>
      </c>
      <c r="L652" s="5">
        <v>4783036</v>
      </c>
      <c r="M652" s="2">
        <v>9231150800.3999996</v>
      </c>
      <c r="N652">
        <v>116301</v>
      </c>
      <c r="O652" t="s">
        <v>18</v>
      </c>
    </row>
    <row r="653" spans="1:15" x14ac:dyDescent="0.3">
      <c r="A653" s="1">
        <v>45799</v>
      </c>
      <c r="B653" s="3" t="s">
        <v>15</v>
      </c>
      <c r="C653" s="3">
        <v>1915.2</v>
      </c>
      <c r="D653" s="3">
        <v>1924.2</v>
      </c>
      <c r="E653" s="3">
        <v>1905.2</v>
      </c>
      <c r="F653" s="3">
        <v>1926.8</v>
      </c>
      <c r="G653" s="3">
        <v>1924</v>
      </c>
      <c r="H653" s="3">
        <v>1919.9</v>
      </c>
      <c r="I653" s="3">
        <v>1914.84</v>
      </c>
      <c r="J653" s="3">
        <v>1978.9</v>
      </c>
      <c r="K653" s="3">
        <v>1448.15</v>
      </c>
      <c r="L653" s="5">
        <v>10653335</v>
      </c>
      <c r="M653" s="2">
        <v>20399411133.400002</v>
      </c>
      <c r="N653">
        <v>255429</v>
      </c>
      <c r="O653" t="s">
        <v>18</v>
      </c>
    </row>
    <row r="654" spans="1:15" x14ac:dyDescent="0.3">
      <c r="A654" s="1">
        <v>45798</v>
      </c>
      <c r="B654" s="3" t="s">
        <v>15</v>
      </c>
      <c r="C654" s="3">
        <v>1927</v>
      </c>
      <c r="D654" s="3">
        <v>1946.9</v>
      </c>
      <c r="E654" s="3">
        <v>1921.1</v>
      </c>
      <c r="F654" s="3">
        <v>1914.9</v>
      </c>
      <c r="G654" s="3">
        <v>1925.2</v>
      </c>
      <c r="H654" s="3">
        <v>1926.8</v>
      </c>
      <c r="I654" s="3">
        <v>1930.42</v>
      </c>
      <c r="J654" s="3">
        <v>1978.9</v>
      </c>
      <c r="K654" s="3">
        <v>1448.15</v>
      </c>
      <c r="L654" s="5">
        <v>7566020</v>
      </c>
      <c r="M654" s="2">
        <v>14605582585.700001</v>
      </c>
      <c r="N654">
        <v>205548</v>
      </c>
      <c r="O654" t="s">
        <v>18</v>
      </c>
    </row>
    <row r="655" spans="1:15" x14ac:dyDescent="0.3">
      <c r="A655" s="1">
        <v>45797</v>
      </c>
      <c r="B655" s="3" t="s">
        <v>15</v>
      </c>
      <c r="C655" s="3">
        <v>1928.1</v>
      </c>
      <c r="D655" s="3">
        <v>1934.6</v>
      </c>
      <c r="E655" s="3">
        <v>1913</v>
      </c>
      <c r="F655" s="3">
        <v>1938.7</v>
      </c>
      <c r="G655" s="3">
        <v>1917.1</v>
      </c>
      <c r="H655" s="3">
        <v>1914.9</v>
      </c>
      <c r="I655" s="3">
        <v>1918.55</v>
      </c>
      <c r="J655" s="3">
        <v>1978.9</v>
      </c>
      <c r="K655" s="3">
        <v>1448.15</v>
      </c>
      <c r="L655" s="5">
        <v>11939545</v>
      </c>
      <c r="M655" s="2">
        <v>22906655882.099998</v>
      </c>
      <c r="N655">
        <v>176524</v>
      </c>
      <c r="O655" t="s">
        <v>18</v>
      </c>
    </row>
    <row r="656" spans="1:15" x14ac:dyDescent="0.3">
      <c r="A656" s="1">
        <v>45796</v>
      </c>
      <c r="B656" s="3" t="s">
        <v>15</v>
      </c>
      <c r="C656" s="3">
        <v>1937</v>
      </c>
      <c r="D656" s="3">
        <v>1945</v>
      </c>
      <c r="E656" s="3">
        <v>1931</v>
      </c>
      <c r="F656" s="3">
        <v>1934.7</v>
      </c>
      <c r="G656" s="3">
        <v>1937.1</v>
      </c>
      <c r="H656" s="3">
        <v>1938.7</v>
      </c>
      <c r="I656" s="3">
        <v>1938.13</v>
      </c>
      <c r="J656" s="3">
        <v>1978.9</v>
      </c>
      <c r="K656" s="3">
        <v>1448.15</v>
      </c>
      <c r="L656" s="5">
        <v>5101482</v>
      </c>
      <c r="M656" s="2">
        <v>9887338159.2000008</v>
      </c>
      <c r="N656">
        <v>156815</v>
      </c>
      <c r="O656" t="s">
        <v>18</v>
      </c>
    </row>
    <row r="657" spans="1:15" x14ac:dyDescent="0.3">
      <c r="A657" s="1">
        <v>45793</v>
      </c>
      <c r="B657" s="3" t="s">
        <v>15</v>
      </c>
      <c r="C657" s="3">
        <v>1933.8</v>
      </c>
      <c r="D657" s="3">
        <v>1943.8</v>
      </c>
      <c r="E657" s="3">
        <v>1928.4</v>
      </c>
      <c r="F657" s="3">
        <v>1933.8</v>
      </c>
      <c r="G657" s="3">
        <v>1934.5</v>
      </c>
      <c r="H657" s="3">
        <v>1934.7</v>
      </c>
      <c r="I657" s="3">
        <v>1933.5</v>
      </c>
      <c r="J657" s="3">
        <v>1978.9</v>
      </c>
      <c r="K657" s="3">
        <v>1430.3</v>
      </c>
      <c r="L657" s="5">
        <v>7934005</v>
      </c>
      <c r="M657" s="2">
        <v>15340426257</v>
      </c>
      <c r="N657">
        <v>175140</v>
      </c>
      <c r="O657" t="s">
        <v>18</v>
      </c>
    </row>
    <row r="658" spans="1:15" x14ac:dyDescent="0.3">
      <c r="A658" s="1">
        <v>45792</v>
      </c>
      <c r="B658" s="3" t="s">
        <v>15</v>
      </c>
      <c r="C658" s="3">
        <v>1913.5</v>
      </c>
      <c r="D658" s="3">
        <v>1944.8</v>
      </c>
      <c r="E658" s="3">
        <v>1897</v>
      </c>
      <c r="F658" s="3">
        <v>1910.6</v>
      </c>
      <c r="G658" s="3">
        <v>1933.8</v>
      </c>
      <c r="H658" s="3">
        <v>1933.8</v>
      </c>
      <c r="I658" s="3">
        <v>1923.01</v>
      </c>
      <c r="J658" s="3">
        <v>1978.9</v>
      </c>
      <c r="K658" s="3">
        <v>1430.3</v>
      </c>
      <c r="L658" s="5">
        <v>16120729</v>
      </c>
      <c r="M658" s="2">
        <v>31000329957.900002</v>
      </c>
      <c r="N658">
        <v>224596</v>
      </c>
      <c r="O658" t="s">
        <v>18</v>
      </c>
    </row>
    <row r="659" spans="1:15" x14ac:dyDescent="0.3">
      <c r="A659" s="1">
        <v>45791</v>
      </c>
      <c r="B659" s="3" t="s">
        <v>15</v>
      </c>
      <c r="C659" s="3">
        <v>1922.1</v>
      </c>
      <c r="D659" s="3">
        <v>1930.2</v>
      </c>
      <c r="E659" s="3">
        <v>1903</v>
      </c>
      <c r="F659" s="3">
        <v>1922.6</v>
      </c>
      <c r="G659" s="3">
        <v>1913.5</v>
      </c>
      <c r="H659" s="3">
        <v>1910.6</v>
      </c>
      <c r="I659" s="3">
        <v>1914.76</v>
      </c>
      <c r="J659" s="3">
        <v>1978.9</v>
      </c>
      <c r="K659" s="3">
        <v>1430.3</v>
      </c>
      <c r="L659" s="5">
        <v>7722654</v>
      </c>
      <c r="M659" s="2">
        <v>14787000374.5</v>
      </c>
      <c r="N659">
        <v>189542</v>
      </c>
      <c r="O659" t="s">
        <v>18</v>
      </c>
    </row>
    <row r="660" spans="1:15" x14ac:dyDescent="0.3">
      <c r="A660" s="1">
        <v>45790</v>
      </c>
      <c r="B660" s="3" t="s">
        <v>15</v>
      </c>
      <c r="C660" s="3">
        <v>1950</v>
      </c>
      <c r="D660" s="3">
        <v>1961.7</v>
      </c>
      <c r="E660" s="3">
        <v>1920</v>
      </c>
      <c r="F660" s="3">
        <v>1957.2</v>
      </c>
      <c r="G660" s="3">
        <v>1924.9</v>
      </c>
      <c r="H660" s="3">
        <v>1922.6</v>
      </c>
      <c r="I660" s="3">
        <v>1930.6</v>
      </c>
      <c r="J660" s="3">
        <v>1978.9</v>
      </c>
      <c r="K660" s="3">
        <v>1430.3</v>
      </c>
      <c r="L660" s="5">
        <v>12121051</v>
      </c>
      <c r="M660" s="2">
        <v>23400936924.400002</v>
      </c>
      <c r="N660">
        <v>234495</v>
      </c>
      <c r="O660" t="s">
        <v>18</v>
      </c>
    </row>
    <row r="661" spans="1:15" x14ac:dyDescent="0.3">
      <c r="A661" s="1">
        <v>45789</v>
      </c>
      <c r="B661" s="3" t="s">
        <v>15</v>
      </c>
      <c r="C661" s="3">
        <v>1917.6</v>
      </c>
      <c r="D661" s="3">
        <v>1959.9</v>
      </c>
      <c r="E661" s="3">
        <v>1912.3</v>
      </c>
      <c r="F661" s="3">
        <v>1889.7</v>
      </c>
      <c r="G661" s="3">
        <v>1956.4</v>
      </c>
      <c r="H661" s="3">
        <v>1957.2</v>
      </c>
      <c r="I661" s="3">
        <v>1948.86</v>
      </c>
      <c r="J661" s="3">
        <v>1978.9</v>
      </c>
      <c r="K661" s="3">
        <v>1430.3</v>
      </c>
      <c r="L661" s="5">
        <v>9309486</v>
      </c>
      <c r="M661" s="2">
        <v>18142865391.200001</v>
      </c>
      <c r="N661">
        <v>207249</v>
      </c>
      <c r="O661" t="s">
        <v>18</v>
      </c>
    </row>
    <row r="662" spans="1:15" x14ac:dyDescent="0.3">
      <c r="A662" s="1">
        <v>45786</v>
      </c>
      <c r="B662" s="3" t="s">
        <v>15</v>
      </c>
      <c r="C662" s="3">
        <v>1910.1</v>
      </c>
      <c r="D662" s="3">
        <v>1919</v>
      </c>
      <c r="E662" s="3">
        <v>1886.8</v>
      </c>
      <c r="F662" s="3">
        <v>1928.5</v>
      </c>
      <c r="G662" s="3">
        <v>1893.3</v>
      </c>
      <c r="H662" s="3">
        <v>1889.7</v>
      </c>
      <c r="I662" s="3">
        <v>1894.97</v>
      </c>
      <c r="J662" s="3">
        <v>1978.9</v>
      </c>
      <c r="K662" s="3">
        <v>1426.8</v>
      </c>
      <c r="L662" s="5">
        <v>8594398</v>
      </c>
      <c r="M662" s="2">
        <v>16286144558.6</v>
      </c>
      <c r="N662">
        <v>292155</v>
      </c>
      <c r="O662" t="s">
        <v>18</v>
      </c>
    </row>
    <row r="663" spans="1:15" x14ac:dyDescent="0.3">
      <c r="A663" s="1">
        <v>45785</v>
      </c>
      <c r="B663" s="3" t="s">
        <v>15</v>
      </c>
      <c r="C663" s="3">
        <v>1954.8</v>
      </c>
      <c r="D663" s="3">
        <v>1954.8</v>
      </c>
      <c r="E663" s="3">
        <v>1919.1</v>
      </c>
      <c r="F663" s="3">
        <v>1945.6</v>
      </c>
      <c r="G663" s="3">
        <v>1921.5</v>
      </c>
      <c r="H663" s="3">
        <v>1928.5</v>
      </c>
      <c r="I663" s="3">
        <v>1933.8</v>
      </c>
      <c r="J663" s="3">
        <v>1978.9</v>
      </c>
      <c r="K663" s="3">
        <v>1426.8</v>
      </c>
      <c r="L663" s="5">
        <v>17401715</v>
      </c>
      <c r="M663" s="2">
        <v>33651432174.299999</v>
      </c>
      <c r="N663">
        <v>280256</v>
      </c>
      <c r="O663" t="s">
        <v>18</v>
      </c>
    </row>
    <row r="664" spans="1:15" x14ac:dyDescent="0.3">
      <c r="A664" s="1">
        <v>45784</v>
      </c>
      <c r="B664" s="3" t="s">
        <v>15</v>
      </c>
      <c r="C664" s="3">
        <v>1934</v>
      </c>
      <c r="D664" s="3">
        <v>1948.7</v>
      </c>
      <c r="E664" s="3">
        <v>1922.4</v>
      </c>
      <c r="F664" s="3">
        <v>1931.7</v>
      </c>
      <c r="G664" s="3">
        <v>1945</v>
      </c>
      <c r="H664" s="3">
        <v>1945.6</v>
      </c>
      <c r="I664" s="3">
        <v>1939.91</v>
      </c>
      <c r="J664" s="3">
        <v>1978.9</v>
      </c>
      <c r="K664" s="3">
        <v>1426.8</v>
      </c>
      <c r="L664" s="5">
        <v>10710389</v>
      </c>
      <c r="M664" s="2">
        <v>20777145511</v>
      </c>
      <c r="N664">
        <v>178998</v>
      </c>
      <c r="O664" t="s">
        <v>18</v>
      </c>
    </row>
    <row r="665" spans="1:15" x14ac:dyDescent="0.3">
      <c r="A665" s="1">
        <v>45783</v>
      </c>
      <c r="B665" s="3" t="s">
        <v>15</v>
      </c>
      <c r="C665" s="3">
        <v>1930</v>
      </c>
      <c r="D665" s="3">
        <v>1940.1</v>
      </c>
      <c r="E665" s="3">
        <v>1924.3</v>
      </c>
      <c r="F665" s="3">
        <v>1936.8</v>
      </c>
      <c r="G665" s="3">
        <v>1928.6</v>
      </c>
      <c r="H665" s="3">
        <v>1931.7</v>
      </c>
      <c r="I665" s="3">
        <v>1931.89</v>
      </c>
      <c r="J665" s="3">
        <v>1978.9</v>
      </c>
      <c r="K665" s="3">
        <v>1426.8</v>
      </c>
      <c r="L665" s="5">
        <v>8745078</v>
      </c>
      <c r="M665" s="2">
        <v>16894488689.1</v>
      </c>
      <c r="N665">
        <v>140830</v>
      </c>
      <c r="O665" t="s">
        <v>18</v>
      </c>
    </row>
    <row r="666" spans="1:15" x14ac:dyDescent="0.3">
      <c r="A666" s="1">
        <v>45782</v>
      </c>
      <c r="B666" s="3" t="s">
        <v>15</v>
      </c>
      <c r="C666" s="3">
        <v>1939</v>
      </c>
      <c r="D666" s="3">
        <v>1952</v>
      </c>
      <c r="E666" s="3">
        <v>1932.3</v>
      </c>
      <c r="F666" s="3">
        <v>1925</v>
      </c>
      <c r="G666" s="3">
        <v>1935.8</v>
      </c>
      <c r="H666" s="3">
        <v>1936.8</v>
      </c>
      <c r="I666" s="3">
        <v>1940.79</v>
      </c>
      <c r="J666" s="3">
        <v>1978.9</v>
      </c>
      <c r="K666" s="3">
        <v>1426.8</v>
      </c>
      <c r="L666" s="5">
        <v>7534012</v>
      </c>
      <c r="M666" s="2">
        <v>14621940034</v>
      </c>
      <c r="N666">
        <v>160044</v>
      </c>
      <c r="O666" t="s">
        <v>18</v>
      </c>
    </row>
    <row r="667" spans="1:15" x14ac:dyDescent="0.3">
      <c r="A667" s="1">
        <v>45779</v>
      </c>
      <c r="B667" s="3" t="s">
        <v>15</v>
      </c>
      <c r="C667" s="3">
        <v>1929.8</v>
      </c>
      <c r="D667" s="3">
        <v>1941.9</v>
      </c>
      <c r="E667" s="3">
        <v>1920</v>
      </c>
      <c r="F667" s="3">
        <v>1925</v>
      </c>
      <c r="G667" s="3">
        <v>1923.5</v>
      </c>
      <c r="H667" s="3">
        <v>1925</v>
      </c>
      <c r="I667" s="3">
        <v>1930.63</v>
      </c>
      <c r="J667" s="3">
        <v>1978.9</v>
      </c>
      <c r="K667" s="3">
        <v>1426.8</v>
      </c>
      <c r="L667" s="5">
        <v>11406024</v>
      </c>
      <c r="M667" s="2">
        <v>22020820771.5</v>
      </c>
      <c r="N667">
        <v>236285</v>
      </c>
      <c r="O667" t="s">
        <v>18</v>
      </c>
    </row>
    <row r="668" spans="1:15" x14ac:dyDescent="0.3">
      <c r="A668" s="1">
        <v>45777</v>
      </c>
      <c r="B668" s="3" t="s">
        <v>15</v>
      </c>
      <c r="C668" s="3">
        <v>1913</v>
      </c>
      <c r="D668" s="3">
        <v>1936.9</v>
      </c>
      <c r="E668" s="3">
        <v>1910.3</v>
      </c>
      <c r="F668" s="3">
        <v>1908.8</v>
      </c>
      <c r="G668" s="3">
        <v>1920.1</v>
      </c>
      <c r="H668" s="3">
        <v>1925</v>
      </c>
      <c r="I668" s="3">
        <v>1925.02</v>
      </c>
      <c r="J668" s="3">
        <v>1978.9</v>
      </c>
      <c r="K668" s="3">
        <v>1426.8</v>
      </c>
      <c r="L668" s="5">
        <v>15968435</v>
      </c>
      <c r="M668" s="2">
        <v>30739492241.200001</v>
      </c>
      <c r="N668">
        <v>275126</v>
      </c>
      <c r="O668" t="s">
        <v>18</v>
      </c>
    </row>
    <row r="669" spans="1:15" x14ac:dyDescent="0.3">
      <c r="A669" s="1">
        <v>45776</v>
      </c>
      <c r="B669" s="3" t="s">
        <v>15</v>
      </c>
      <c r="C669" s="3">
        <v>1918.8</v>
      </c>
      <c r="D669" s="3">
        <v>1928.8</v>
      </c>
      <c r="E669" s="3">
        <v>1900.2</v>
      </c>
      <c r="F669" s="3">
        <v>1920.2</v>
      </c>
      <c r="G669" s="3">
        <v>1906</v>
      </c>
      <c r="H669" s="3">
        <v>1908.8</v>
      </c>
      <c r="I669" s="3">
        <v>1909.52</v>
      </c>
      <c r="J669" s="3">
        <v>1978.9</v>
      </c>
      <c r="K669" s="3">
        <v>1426.8</v>
      </c>
      <c r="L669" s="5">
        <v>9459154</v>
      </c>
      <c r="M669" s="2">
        <v>18062438512.299999</v>
      </c>
      <c r="N669">
        <v>186299</v>
      </c>
      <c r="O669" t="s">
        <v>18</v>
      </c>
    </row>
    <row r="670" spans="1:15" x14ac:dyDescent="0.3">
      <c r="A670" s="1">
        <v>45775</v>
      </c>
      <c r="B670" s="3" t="s">
        <v>15</v>
      </c>
      <c r="C670" s="3">
        <v>1911.2</v>
      </c>
      <c r="D670" s="3">
        <v>1929.7</v>
      </c>
      <c r="E670" s="3">
        <v>1908.4</v>
      </c>
      <c r="F670" s="3">
        <v>1911.2</v>
      </c>
      <c r="G670" s="3">
        <v>1921</v>
      </c>
      <c r="H670" s="3">
        <v>1920.2</v>
      </c>
      <c r="I670" s="3">
        <v>1922.17</v>
      </c>
      <c r="J670" s="3">
        <v>1978.9</v>
      </c>
      <c r="K670" s="3">
        <v>1426.8</v>
      </c>
      <c r="L670" s="5">
        <v>6960246</v>
      </c>
      <c r="M670" s="2">
        <v>13378745824.700001</v>
      </c>
      <c r="N670">
        <v>155527</v>
      </c>
      <c r="O670" t="s">
        <v>18</v>
      </c>
    </row>
    <row r="671" spans="1:15" x14ac:dyDescent="0.3">
      <c r="A671" s="1">
        <v>45772</v>
      </c>
      <c r="B671" s="3" t="s">
        <v>15</v>
      </c>
      <c r="C671" s="3">
        <v>1924.8</v>
      </c>
      <c r="D671" s="3">
        <v>1933</v>
      </c>
      <c r="E671" s="3">
        <v>1891.8</v>
      </c>
      <c r="F671" s="3">
        <v>1916.8</v>
      </c>
      <c r="G671" s="3">
        <v>1908</v>
      </c>
      <c r="H671" s="3">
        <v>1911.2</v>
      </c>
      <c r="I671" s="3">
        <v>1911.37</v>
      </c>
      <c r="J671" s="3">
        <v>1978.9</v>
      </c>
      <c r="K671" s="3">
        <v>1426.8</v>
      </c>
      <c r="L671" s="5">
        <v>9250439</v>
      </c>
      <c r="M671" s="2">
        <v>17681017343.799999</v>
      </c>
      <c r="N671">
        <v>201781</v>
      </c>
      <c r="O671" t="s">
        <v>18</v>
      </c>
    </row>
    <row r="672" spans="1:15" x14ac:dyDescent="0.3">
      <c r="A672" s="1">
        <v>45771</v>
      </c>
      <c r="B672" s="3" t="s">
        <v>15</v>
      </c>
      <c r="C672" s="3">
        <v>1910</v>
      </c>
      <c r="D672" s="3">
        <v>1923.9</v>
      </c>
      <c r="E672" s="3">
        <v>1905.1</v>
      </c>
      <c r="F672" s="3">
        <v>1923.9</v>
      </c>
      <c r="G672" s="3">
        <v>1914.9</v>
      </c>
      <c r="H672" s="3">
        <v>1916.8</v>
      </c>
      <c r="I672" s="3">
        <v>1916.73</v>
      </c>
      <c r="J672" s="3">
        <v>1978.9</v>
      </c>
      <c r="K672" s="3">
        <v>1426.8</v>
      </c>
      <c r="L672" s="5">
        <v>12965877</v>
      </c>
      <c r="M672" s="2">
        <v>24852091752.799999</v>
      </c>
      <c r="N672">
        <v>227034</v>
      </c>
      <c r="O672" t="s">
        <v>18</v>
      </c>
    </row>
    <row r="673" spans="1:15" x14ac:dyDescent="0.3">
      <c r="A673" s="1">
        <v>45770</v>
      </c>
      <c r="B673" s="3" t="s">
        <v>15</v>
      </c>
      <c r="C673" s="3">
        <v>1978.9</v>
      </c>
      <c r="D673" s="3">
        <v>1978.9</v>
      </c>
      <c r="E673" s="3">
        <v>1920.5</v>
      </c>
      <c r="F673" s="3">
        <v>1961.7</v>
      </c>
      <c r="G673" s="3">
        <v>1920.7</v>
      </c>
      <c r="H673" s="3">
        <v>1923.9</v>
      </c>
      <c r="I673" s="3">
        <v>1939.04</v>
      </c>
      <c r="J673" s="3">
        <v>1978.9</v>
      </c>
      <c r="K673" s="3">
        <v>1426.8</v>
      </c>
      <c r="L673" s="5">
        <v>15285321</v>
      </c>
      <c r="M673" s="2">
        <v>29638923676.099998</v>
      </c>
      <c r="N673">
        <v>247823</v>
      </c>
      <c r="O673" t="s">
        <v>18</v>
      </c>
    </row>
    <row r="674" spans="1:15" x14ac:dyDescent="0.3">
      <c r="A674" s="1">
        <v>45769</v>
      </c>
      <c r="B674" s="3" t="s">
        <v>15</v>
      </c>
      <c r="C674" s="3">
        <v>1935</v>
      </c>
      <c r="D674" s="3">
        <v>1970.6</v>
      </c>
      <c r="E674" s="3">
        <v>1935</v>
      </c>
      <c r="F674" s="3">
        <v>1927.1</v>
      </c>
      <c r="G674" s="3">
        <v>1960</v>
      </c>
      <c r="H674" s="3">
        <v>1961.7</v>
      </c>
      <c r="I674" s="3">
        <v>1957.16</v>
      </c>
      <c r="J674" s="3">
        <v>1970.6</v>
      </c>
      <c r="K674" s="3">
        <v>1426.8</v>
      </c>
      <c r="L674" s="5">
        <v>22980875</v>
      </c>
      <c r="M674" s="2">
        <v>44977215852.400002</v>
      </c>
      <c r="N674">
        <v>512026</v>
      </c>
      <c r="O674" t="s">
        <v>18</v>
      </c>
    </row>
    <row r="675" spans="1:15" x14ac:dyDescent="0.3">
      <c r="A675" s="1">
        <v>45768</v>
      </c>
      <c r="B675" s="3" t="s">
        <v>15</v>
      </c>
      <c r="C675" s="3">
        <v>1924</v>
      </c>
      <c r="D675" s="3">
        <v>1950.7</v>
      </c>
      <c r="E675" s="3">
        <v>1910</v>
      </c>
      <c r="F675" s="3">
        <v>1906.7</v>
      </c>
      <c r="G675" s="3">
        <v>1925.2</v>
      </c>
      <c r="H675" s="3">
        <v>1927.1</v>
      </c>
      <c r="I675" s="3">
        <v>1930.83</v>
      </c>
      <c r="J675" s="3">
        <v>1950.7</v>
      </c>
      <c r="K675" s="3">
        <v>1426.8</v>
      </c>
      <c r="L675" s="5">
        <v>17123649</v>
      </c>
      <c r="M675" s="2">
        <v>33062832499.299999</v>
      </c>
      <c r="N675">
        <v>411337</v>
      </c>
      <c r="O675" t="s">
        <v>18</v>
      </c>
    </row>
    <row r="676" spans="1:15" x14ac:dyDescent="0.3">
      <c r="A676" s="1">
        <v>45764</v>
      </c>
      <c r="B676" s="3" t="s">
        <v>15</v>
      </c>
      <c r="C676" s="3">
        <v>1882</v>
      </c>
      <c r="D676" s="3">
        <v>1919.7</v>
      </c>
      <c r="E676" s="3">
        <v>1876.7</v>
      </c>
      <c r="F676" s="3">
        <v>1878</v>
      </c>
      <c r="G676" s="3">
        <v>1905.8</v>
      </c>
      <c r="H676" s="3">
        <v>1906.7</v>
      </c>
      <c r="I676" s="3">
        <v>1901.41</v>
      </c>
      <c r="J676" s="3">
        <v>1919.7</v>
      </c>
      <c r="K676" s="3">
        <v>1426.8</v>
      </c>
      <c r="L676" s="5">
        <v>17851542</v>
      </c>
      <c r="M676" s="2">
        <v>33943168763.200001</v>
      </c>
      <c r="N676">
        <v>394807</v>
      </c>
      <c r="O676" t="s">
        <v>18</v>
      </c>
    </row>
    <row r="677" spans="1:15" x14ac:dyDescent="0.3">
      <c r="A677" s="1">
        <v>45763</v>
      </c>
      <c r="B677" s="3" t="s">
        <v>15</v>
      </c>
      <c r="C677" s="3">
        <v>1883.8</v>
      </c>
      <c r="D677" s="3">
        <v>1883.8</v>
      </c>
      <c r="E677" s="3">
        <v>1860.5</v>
      </c>
      <c r="F677" s="3">
        <v>1864.9</v>
      </c>
      <c r="G677" s="3">
        <v>1875.9</v>
      </c>
      <c r="H677" s="3">
        <v>1878</v>
      </c>
      <c r="I677" s="3">
        <v>1874.15</v>
      </c>
      <c r="J677" s="3">
        <v>1883.8</v>
      </c>
      <c r="K677" s="3">
        <v>1426.8</v>
      </c>
      <c r="L677" s="5">
        <v>9568410</v>
      </c>
      <c r="M677" s="2">
        <v>17932665363.900002</v>
      </c>
      <c r="N677">
        <v>252887</v>
      </c>
      <c r="O677" t="s">
        <v>18</v>
      </c>
    </row>
    <row r="678" spans="1:15" x14ac:dyDescent="0.3">
      <c r="A678" s="1">
        <v>45762</v>
      </c>
      <c r="B678" s="3" t="s">
        <v>15</v>
      </c>
      <c r="C678" s="3">
        <v>1865</v>
      </c>
      <c r="D678" s="3">
        <v>1876.8</v>
      </c>
      <c r="E678" s="3">
        <v>1855</v>
      </c>
      <c r="F678" s="3">
        <v>1806.75</v>
      </c>
      <c r="G678" s="3">
        <v>1865.6</v>
      </c>
      <c r="H678" s="3">
        <v>1864.9</v>
      </c>
      <c r="I678" s="3">
        <v>1866.76</v>
      </c>
      <c r="J678" s="3">
        <v>1880</v>
      </c>
      <c r="K678" s="3">
        <v>1426.8</v>
      </c>
      <c r="L678" s="5">
        <v>24649172</v>
      </c>
      <c r="M678" s="2">
        <v>46014108976</v>
      </c>
      <c r="N678">
        <v>360194</v>
      </c>
      <c r="O678" t="s">
        <v>18</v>
      </c>
    </row>
    <row r="679" spans="1:15" x14ac:dyDescent="0.3">
      <c r="A679" s="1">
        <v>45758</v>
      </c>
      <c r="B679" s="3" t="s">
        <v>15</v>
      </c>
      <c r="C679" s="3">
        <v>1774.75</v>
      </c>
      <c r="D679" s="3">
        <v>1819.4</v>
      </c>
      <c r="E679" s="3">
        <v>1774.75</v>
      </c>
      <c r="F679" s="3">
        <v>1765</v>
      </c>
      <c r="G679" s="3">
        <v>1805.2</v>
      </c>
      <c r="H679" s="3">
        <v>1806.75</v>
      </c>
      <c r="I679" s="3">
        <v>1803.31</v>
      </c>
      <c r="J679" s="3">
        <v>1880</v>
      </c>
      <c r="K679" s="3">
        <v>1426.8</v>
      </c>
      <c r="L679" s="5">
        <v>16387883</v>
      </c>
      <c r="M679" s="2">
        <v>29552499474.849998</v>
      </c>
      <c r="N679">
        <v>395826</v>
      </c>
      <c r="O679" t="s">
        <v>18</v>
      </c>
    </row>
    <row r="680" spans="1:15" x14ac:dyDescent="0.3">
      <c r="A680" s="1">
        <v>45756</v>
      </c>
      <c r="B680" s="3" t="s">
        <v>15</v>
      </c>
      <c r="C680" s="3">
        <v>1765</v>
      </c>
      <c r="D680" s="3">
        <v>1775</v>
      </c>
      <c r="E680" s="3">
        <v>1753.5</v>
      </c>
      <c r="F680" s="3">
        <v>1769.15</v>
      </c>
      <c r="G680" s="3">
        <v>1765.3</v>
      </c>
      <c r="H680" s="3">
        <v>1765</v>
      </c>
      <c r="I680" s="3">
        <v>1761.66</v>
      </c>
      <c r="J680" s="3">
        <v>1880</v>
      </c>
      <c r="K680" s="3">
        <v>1426.8</v>
      </c>
      <c r="L680" s="5">
        <v>11227304</v>
      </c>
      <c r="M680" s="2">
        <v>19778728957.549999</v>
      </c>
      <c r="N680">
        <v>207950</v>
      </c>
      <c r="O680" t="s">
        <v>18</v>
      </c>
    </row>
    <row r="681" spans="1:15" x14ac:dyDescent="0.3">
      <c r="A681" s="1">
        <v>45755</v>
      </c>
      <c r="B681" s="3" t="s">
        <v>15</v>
      </c>
      <c r="C681" s="3">
        <v>1765</v>
      </c>
      <c r="D681" s="3">
        <v>1782</v>
      </c>
      <c r="E681" s="3">
        <v>1750.3</v>
      </c>
      <c r="F681" s="3">
        <v>1757.7</v>
      </c>
      <c r="G681" s="3">
        <v>1770.15</v>
      </c>
      <c r="H681" s="3">
        <v>1769.15</v>
      </c>
      <c r="I681" s="3">
        <v>1769.16</v>
      </c>
      <c r="J681" s="3">
        <v>1880</v>
      </c>
      <c r="K681" s="3">
        <v>1426.8</v>
      </c>
      <c r="L681" s="5">
        <v>17781936</v>
      </c>
      <c r="M681" s="2">
        <v>31459003790.150002</v>
      </c>
      <c r="N681">
        <v>355184</v>
      </c>
      <c r="O681" t="s">
        <v>18</v>
      </c>
    </row>
    <row r="682" spans="1:15" x14ac:dyDescent="0.3">
      <c r="A682" s="1">
        <v>45754</v>
      </c>
      <c r="B682" s="3" t="s">
        <v>15</v>
      </c>
      <c r="C682" s="3">
        <v>1762.8</v>
      </c>
      <c r="D682" s="3">
        <v>1779.85</v>
      </c>
      <c r="E682" s="3">
        <v>1738.2</v>
      </c>
      <c r="F682" s="3">
        <v>1817.3</v>
      </c>
      <c r="G682" s="3">
        <v>1760.05</v>
      </c>
      <c r="H682" s="3">
        <v>1757.7</v>
      </c>
      <c r="I682" s="3">
        <v>1759.15</v>
      </c>
      <c r="J682" s="3">
        <v>1880</v>
      </c>
      <c r="K682" s="3">
        <v>1426.8</v>
      </c>
      <c r="L682" s="5">
        <v>18997725</v>
      </c>
      <c r="M682" s="2">
        <v>33419875202</v>
      </c>
      <c r="N682">
        <v>374557</v>
      </c>
      <c r="O682" t="s">
        <v>18</v>
      </c>
    </row>
    <row r="683" spans="1:15" x14ac:dyDescent="0.3">
      <c r="A683" s="1">
        <v>45751</v>
      </c>
      <c r="B683" s="3" t="s">
        <v>15</v>
      </c>
      <c r="C683" s="3">
        <v>1813</v>
      </c>
      <c r="D683" s="3">
        <v>1841.95</v>
      </c>
      <c r="E683" s="3">
        <v>1811.1</v>
      </c>
      <c r="F683" s="3">
        <v>1794.85</v>
      </c>
      <c r="G683" s="3">
        <v>1816.8</v>
      </c>
      <c r="H683" s="3">
        <v>1817.3</v>
      </c>
      <c r="I683" s="3">
        <v>1824.22</v>
      </c>
      <c r="J683" s="3">
        <v>1880</v>
      </c>
      <c r="K683" s="3">
        <v>1426.8</v>
      </c>
      <c r="L683" s="5">
        <v>16770227</v>
      </c>
      <c r="M683" s="2">
        <v>30592639918.200001</v>
      </c>
      <c r="N683">
        <v>316416</v>
      </c>
      <c r="O683" t="s">
        <v>18</v>
      </c>
    </row>
    <row r="684" spans="1:15" x14ac:dyDescent="0.3">
      <c r="A684" s="1">
        <v>45750</v>
      </c>
      <c r="B684" s="3" t="s">
        <v>15</v>
      </c>
      <c r="C684" s="3">
        <v>1781.1</v>
      </c>
      <c r="D684" s="3">
        <v>1804</v>
      </c>
      <c r="E684" s="3">
        <v>1777</v>
      </c>
      <c r="F684" s="3">
        <v>1796.9</v>
      </c>
      <c r="G684" s="3">
        <v>1792.8</v>
      </c>
      <c r="H684" s="3">
        <v>1794.85</v>
      </c>
      <c r="I684" s="3">
        <v>1794.09</v>
      </c>
      <c r="J684" s="3">
        <v>1880</v>
      </c>
      <c r="K684" s="3">
        <v>1426.8</v>
      </c>
      <c r="L684" s="5">
        <v>5625019</v>
      </c>
      <c r="M684" s="2">
        <v>10091817304.1</v>
      </c>
      <c r="N684">
        <v>147618</v>
      </c>
      <c r="O684" t="s">
        <v>18</v>
      </c>
    </row>
    <row r="685" spans="1:15" x14ac:dyDescent="0.3">
      <c r="A685" s="1">
        <v>45749</v>
      </c>
      <c r="B685" s="3" t="s">
        <v>15</v>
      </c>
      <c r="C685" s="3">
        <v>1770.7</v>
      </c>
      <c r="D685" s="3">
        <v>1799.2</v>
      </c>
      <c r="E685" s="3">
        <v>1770.7</v>
      </c>
      <c r="F685" s="3">
        <v>1767.85</v>
      </c>
      <c r="G685" s="3">
        <v>1798.9</v>
      </c>
      <c r="H685" s="3">
        <v>1796.9</v>
      </c>
      <c r="I685" s="3">
        <v>1791.24</v>
      </c>
      <c r="J685" s="3">
        <v>1880</v>
      </c>
      <c r="K685" s="3">
        <v>1426.8</v>
      </c>
      <c r="L685" s="5">
        <v>5786782</v>
      </c>
      <c r="M685" s="2">
        <v>10365535361.9</v>
      </c>
      <c r="N685">
        <v>144509</v>
      </c>
      <c r="O685" t="s">
        <v>18</v>
      </c>
    </row>
    <row r="686" spans="1:15" x14ac:dyDescent="0.3">
      <c r="A686" s="1">
        <v>45748</v>
      </c>
      <c r="B686" s="3" t="s">
        <v>15</v>
      </c>
      <c r="C686" s="3">
        <v>1802</v>
      </c>
      <c r="D686" s="3">
        <v>1809.9</v>
      </c>
      <c r="E686" s="3">
        <v>1765.35</v>
      </c>
      <c r="F686" s="3">
        <v>1828.2</v>
      </c>
      <c r="G686" s="3">
        <v>1769.9</v>
      </c>
      <c r="H686" s="3">
        <v>1767.85</v>
      </c>
      <c r="I686" s="3">
        <v>1781.74</v>
      </c>
      <c r="J686" s="3">
        <v>1880</v>
      </c>
      <c r="K686" s="3">
        <v>1426.8</v>
      </c>
      <c r="L686" s="5">
        <v>14255503</v>
      </c>
      <c r="M686" s="2">
        <v>25399632617.349998</v>
      </c>
      <c r="N686">
        <v>409481</v>
      </c>
      <c r="O686" t="s">
        <v>18</v>
      </c>
    </row>
    <row r="687" spans="1:15" x14ac:dyDescent="0.3">
      <c r="A687" s="1">
        <v>45744</v>
      </c>
      <c r="B687" s="3" t="s">
        <v>15</v>
      </c>
      <c r="C687" s="3">
        <v>1829</v>
      </c>
      <c r="D687" s="3">
        <v>1836</v>
      </c>
      <c r="E687" s="3">
        <v>1805.85</v>
      </c>
      <c r="F687" s="3">
        <v>1825.35</v>
      </c>
      <c r="G687" s="3">
        <v>1825.5</v>
      </c>
      <c r="H687" s="3">
        <v>1828.2</v>
      </c>
      <c r="I687" s="3">
        <v>1821.88</v>
      </c>
      <c r="J687" s="3">
        <v>1880</v>
      </c>
      <c r="K687" s="3">
        <v>1421.25</v>
      </c>
      <c r="L687" s="5">
        <v>14386824</v>
      </c>
      <c r="M687" s="2">
        <v>26211031845.900002</v>
      </c>
      <c r="N687">
        <v>276619</v>
      </c>
      <c r="O687" t="s">
        <v>18</v>
      </c>
    </row>
    <row r="688" spans="1:15" x14ac:dyDescent="0.3">
      <c r="A688" s="1">
        <v>45743</v>
      </c>
      <c r="B688" s="3" t="s">
        <v>15</v>
      </c>
      <c r="C688" s="3">
        <v>1800</v>
      </c>
      <c r="D688" s="3">
        <v>1841</v>
      </c>
      <c r="E688" s="3">
        <v>1798.1</v>
      </c>
      <c r="F688" s="3">
        <v>1806.55</v>
      </c>
      <c r="G688" s="3">
        <v>1821.2</v>
      </c>
      <c r="H688" s="3">
        <v>1825.35</v>
      </c>
      <c r="I688" s="3">
        <v>1827.55</v>
      </c>
      <c r="J688" s="3">
        <v>1880</v>
      </c>
      <c r="K688" s="3">
        <v>1421.25</v>
      </c>
      <c r="L688" s="5">
        <v>20829050</v>
      </c>
      <c r="M688" s="2">
        <v>38066130418.300003</v>
      </c>
      <c r="N688">
        <v>416415</v>
      </c>
      <c r="O688" t="s">
        <v>18</v>
      </c>
    </row>
    <row r="689" spans="1:15" x14ac:dyDescent="0.3">
      <c r="A689" s="1">
        <v>45742</v>
      </c>
      <c r="B689" s="3" t="s">
        <v>15</v>
      </c>
      <c r="C689" s="3">
        <v>1825</v>
      </c>
      <c r="D689" s="3">
        <v>1827.5</v>
      </c>
      <c r="E689" s="3">
        <v>1802</v>
      </c>
      <c r="F689" s="3">
        <v>1821.45</v>
      </c>
      <c r="G689" s="3">
        <v>1803</v>
      </c>
      <c r="H689" s="3">
        <v>1806.55</v>
      </c>
      <c r="I689" s="3">
        <v>1814.11</v>
      </c>
      <c r="J689" s="3">
        <v>1880</v>
      </c>
      <c r="K689" s="3">
        <v>1421.25</v>
      </c>
      <c r="L689" s="5">
        <v>12239221</v>
      </c>
      <c r="M689" s="2">
        <v>22203311052.099998</v>
      </c>
      <c r="N689">
        <v>265431</v>
      </c>
      <c r="O689" t="s">
        <v>18</v>
      </c>
    </row>
    <row r="690" spans="1:15" x14ac:dyDescent="0.3">
      <c r="A690" s="1">
        <v>45741</v>
      </c>
      <c r="B690" s="3" t="s">
        <v>15</v>
      </c>
      <c r="C690" s="3">
        <v>1804.9</v>
      </c>
      <c r="D690" s="3">
        <v>1843.7</v>
      </c>
      <c r="E690" s="3">
        <v>1801.5</v>
      </c>
      <c r="F690" s="3">
        <v>1800</v>
      </c>
      <c r="G690" s="3">
        <v>1816</v>
      </c>
      <c r="H690" s="3">
        <v>1821.45</v>
      </c>
      <c r="I690" s="3">
        <v>1825.84</v>
      </c>
      <c r="J690" s="3">
        <v>1880</v>
      </c>
      <c r="K690" s="3">
        <v>1421.25</v>
      </c>
      <c r="L690" s="5">
        <v>19550708</v>
      </c>
      <c r="M690" s="2">
        <v>35696516139.199997</v>
      </c>
      <c r="N690">
        <v>407401</v>
      </c>
      <c r="O690" t="s">
        <v>18</v>
      </c>
    </row>
    <row r="691" spans="1:15" x14ac:dyDescent="0.3">
      <c r="A691" s="1">
        <v>45740</v>
      </c>
      <c r="B691" s="3" t="s">
        <v>15</v>
      </c>
      <c r="C691" s="3">
        <v>1779</v>
      </c>
      <c r="D691" s="3">
        <v>1804.4</v>
      </c>
      <c r="E691" s="3">
        <v>1773.65</v>
      </c>
      <c r="F691" s="3">
        <v>1770.35</v>
      </c>
      <c r="G691" s="3">
        <v>1802.8</v>
      </c>
      <c r="H691" s="3">
        <v>1800</v>
      </c>
      <c r="I691" s="3">
        <v>1794.28</v>
      </c>
      <c r="J691" s="3">
        <v>1880</v>
      </c>
      <c r="K691" s="3">
        <v>1421.25</v>
      </c>
      <c r="L691" s="5">
        <v>8696868</v>
      </c>
      <c r="M691" s="2">
        <v>15604655158.799999</v>
      </c>
      <c r="N691">
        <v>286856</v>
      </c>
      <c r="O691" t="s">
        <v>18</v>
      </c>
    </row>
    <row r="692" spans="1:15" x14ac:dyDescent="0.3">
      <c r="A692" s="1">
        <v>45737</v>
      </c>
      <c r="B692" s="3" t="s">
        <v>15</v>
      </c>
      <c r="C692" s="3">
        <v>1755.55</v>
      </c>
      <c r="D692" s="3">
        <v>1774.1</v>
      </c>
      <c r="E692" s="3">
        <v>1755.55</v>
      </c>
      <c r="F692" s="3">
        <v>1768.75</v>
      </c>
      <c r="G692" s="3">
        <v>1772.5</v>
      </c>
      <c r="H692" s="3">
        <v>1770.35</v>
      </c>
      <c r="I692" s="3">
        <v>1766.98</v>
      </c>
      <c r="J692" s="3">
        <v>1880</v>
      </c>
      <c r="K692" s="3">
        <v>1421.25</v>
      </c>
      <c r="L692" s="5">
        <v>16754132</v>
      </c>
      <c r="M692" s="2">
        <v>29604196148.950001</v>
      </c>
      <c r="N692">
        <v>210244</v>
      </c>
      <c r="O692" t="s">
        <v>18</v>
      </c>
    </row>
    <row r="693" spans="1:15" x14ac:dyDescent="0.3">
      <c r="A693" s="1">
        <v>45736</v>
      </c>
      <c r="B693" s="3" t="s">
        <v>15</v>
      </c>
      <c r="C693" s="3">
        <v>1754</v>
      </c>
      <c r="D693" s="3">
        <v>1774</v>
      </c>
      <c r="E693" s="3">
        <v>1749.3</v>
      </c>
      <c r="F693" s="3">
        <v>1744.1</v>
      </c>
      <c r="G693" s="3">
        <v>1766.6</v>
      </c>
      <c r="H693" s="3">
        <v>1768.75</v>
      </c>
      <c r="I693" s="3">
        <v>1760.62</v>
      </c>
      <c r="J693" s="3">
        <v>1880</v>
      </c>
      <c r="K693" s="3">
        <v>1421.25</v>
      </c>
      <c r="L693" s="5">
        <v>8916989</v>
      </c>
      <c r="M693" s="2">
        <v>15699398473.15</v>
      </c>
      <c r="N693">
        <v>218030</v>
      </c>
      <c r="O693" t="s">
        <v>18</v>
      </c>
    </row>
    <row r="694" spans="1:15" x14ac:dyDescent="0.3">
      <c r="A694" s="1">
        <v>45735</v>
      </c>
      <c r="B694" s="3" t="s">
        <v>15</v>
      </c>
      <c r="C694" s="3">
        <v>1735</v>
      </c>
      <c r="D694" s="3">
        <v>1751</v>
      </c>
      <c r="E694" s="3">
        <v>1732.2</v>
      </c>
      <c r="F694" s="3">
        <v>1732.2</v>
      </c>
      <c r="G694" s="3">
        <v>1743.95</v>
      </c>
      <c r="H694" s="3">
        <v>1744.1</v>
      </c>
      <c r="I694" s="3">
        <v>1743.72</v>
      </c>
      <c r="J694" s="3">
        <v>1880</v>
      </c>
      <c r="K694" s="3">
        <v>1421.25</v>
      </c>
      <c r="L694" s="5">
        <v>7610703</v>
      </c>
      <c r="M694" s="2">
        <v>13270934759.25</v>
      </c>
      <c r="N694">
        <v>201878</v>
      </c>
      <c r="O694" t="s">
        <v>18</v>
      </c>
    </row>
    <row r="695" spans="1:15" x14ac:dyDescent="0.3">
      <c r="A695" s="1">
        <v>45734</v>
      </c>
      <c r="B695" s="3" t="s">
        <v>15</v>
      </c>
      <c r="C695" s="3">
        <v>1728</v>
      </c>
      <c r="D695" s="3">
        <v>1737.4</v>
      </c>
      <c r="E695" s="3">
        <v>1715.05</v>
      </c>
      <c r="F695" s="3">
        <v>1710.4</v>
      </c>
      <c r="G695" s="3">
        <v>1735.6</v>
      </c>
      <c r="H695" s="3">
        <v>1732.2</v>
      </c>
      <c r="I695" s="3">
        <v>1729.28</v>
      </c>
      <c r="J695" s="3">
        <v>1880</v>
      </c>
      <c r="K695" s="3">
        <v>1421.25</v>
      </c>
      <c r="L695" s="5">
        <v>10953589</v>
      </c>
      <c r="M695" s="2">
        <v>18941785563.700001</v>
      </c>
      <c r="N695">
        <v>248631</v>
      </c>
      <c r="O695" t="s">
        <v>18</v>
      </c>
    </row>
    <row r="696" spans="1:15" x14ac:dyDescent="0.3">
      <c r="A696" s="1">
        <v>45733</v>
      </c>
      <c r="B696" s="3" t="s">
        <v>15</v>
      </c>
      <c r="C696" s="3">
        <v>1705</v>
      </c>
      <c r="D696" s="3">
        <v>1724</v>
      </c>
      <c r="E696" s="3">
        <v>1705</v>
      </c>
      <c r="F696" s="3">
        <v>1706.6</v>
      </c>
      <c r="G696" s="3">
        <v>1710.5</v>
      </c>
      <c r="H696" s="3">
        <v>1710.4</v>
      </c>
      <c r="I696" s="3">
        <v>1711.13</v>
      </c>
      <c r="J696" s="3">
        <v>1880</v>
      </c>
      <c r="K696" s="3">
        <v>1421.25</v>
      </c>
      <c r="L696" s="5">
        <v>9475957</v>
      </c>
      <c r="M696" s="2">
        <v>16214635449.549999</v>
      </c>
      <c r="N696">
        <v>365060</v>
      </c>
      <c r="O696" t="s">
        <v>18</v>
      </c>
    </row>
    <row r="697" spans="1:15" x14ac:dyDescent="0.3">
      <c r="A697" s="1">
        <v>45729</v>
      </c>
      <c r="B697" s="3" t="s">
        <v>15</v>
      </c>
      <c r="C697" s="3">
        <v>1716.05</v>
      </c>
      <c r="D697" s="3">
        <v>1720.8</v>
      </c>
      <c r="E697" s="3">
        <v>1700.05</v>
      </c>
      <c r="F697" s="3">
        <v>1711.15</v>
      </c>
      <c r="G697" s="3">
        <v>1705</v>
      </c>
      <c r="H697" s="3">
        <v>1706.6</v>
      </c>
      <c r="I697" s="3">
        <v>1711.11</v>
      </c>
      <c r="J697" s="3">
        <v>1880</v>
      </c>
      <c r="K697" s="3">
        <v>1421.25</v>
      </c>
      <c r="L697" s="5">
        <v>7868132</v>
      </c>
      <c r="M697" s="2">
        <v>13463215400.700001</v>
      </c>
      <c r="N697">
        <v>185351</v>
      </c>
      <c r="O697" t="s">
        <v>18</v>
      </c>
    </row>
    <row r="698" spans="1:15" x14ac:dyDescent="0.3">
      <c r="A698" s="1">
        <v>45728</v>
      </c>
      <c r="B698" s="3" t="s">
        <v>15</v>
      </c>
      <c r="C698" s="3">
        <v>1691.55</v>
      </c>
      <c r="D698" s="3">
        <v>1718.5</v>
      </c>
      <c r="E698" s="3">
        <v>1691.55</v>
      </c>
      <c r="F698" s="3">
        <v>1685.5</v>
      </c>
      <c r="G698" s="3">
        <v>1711.8</v>
      </c>
      <c r="H698" s="3">
        <v>1711.15</v>
      </c>
      <c r="I698" s="3">
        <v>1710.44</v>
      </c>
      <c r="J698" s="3">
        <v>1880</v>
      </c>
      <c r="K698" s="3">
        <v>1421.25</v>
      </c>
      <c r="L698" s="5">
        <v>9392053</v>
      </c>
      <c r="M698" s="2">
        <v>16064564334.1</v>
      </c>
      <c r="N698">
        <v>277146</v>
      </c>
      <c r="O698" t="s">
        <v>18</v>
      </c>
    </row>
    <row r="699" spans="1:15" x14ac:dyDescent="0.3">
      <c r="A699" s="1">
        <v>45727</v>
      </c>
      <c r="B699" s="3" t="s">
        <v>15</v>
      </c>
      <c r="C699" s="3">
        <v>1682.4</v>
      </c>
      <c r="D699" s="3">
        <v>1694</v>
      </c>
      <c r="E699" s="3">
        <v>1670.05</v>
      </c>
      <c r="F699" s="3">
        <v>1687.5</v>
      </c>
      <c r="G699" s="3">
        <v>1687.9</v>
      </c>
      <c r="H699" s="3">
        <v>1685.5</v>
      </c>
      <c r="I699" s="3">
        <v>1685.65</v>
      </c>
      <c r="J699" s="3">
        <v>1880</v>
      </c>
      <c r="K699" s="3">
        <v>1421.25</v>
      </c>
      <c r="L699" s="5">
        <v>9949215</v>
      </c>
      <c r="M699" s="2">
        <v>16770918814.65</v>
      </c>
      <c r="N699">
        <v>272484</v>
      </c>
      <c r="O699" t="s">
        <v>18</v>
      </c>
    </row>
    <row r="700" spans="1:15" x14ac:dyDescent="0.3">
      <c r="A700" s="1">
        <v>45726</v>
      </c>
      <c r="B700" s="3" t="s">
        <v>15</v>
      </c>
      <c r="C700" s="3">
        <v>1689</v>
      </c>
      <c r="D700" s="3">
        <v>1699.9</v>
      </c>
      <c r="E700" s="3">
        <v>1683.05</v>
      </c>
      <c r="F700" s="3">
        <v>1689.25</v>
      </c>
      <c r="G700" s="3">
        <v>1688.7</v>
      </c>
      <c r="H700" s="3">
        <v>1687.5</v>
      </c>
      <c r="I700" s="3">
        <v>1689.67</v>
      </c>
      <c r="J700" s="3">
        <v>1880</v>
      </c>
      <c r="K700" s="3">
        <v>1421.25</v>
      </c>
      <c r="L700" s="5">
        <v>7802025</v>
      </c>
      <c r="M700" s="2">
        <v>13182846005.049999</v>
      </c>
      <c r="N700">
        <v>284969</v>
      </c>
      <c r="O700" t="s">
        <v>18</v>
      </c>
    </row>
    <row r="701" spans="1:15" x14ac:dyDescent="0.3">
      <c r="A701" s="1">
        <v>45723</v>
      </c>
      <c r="B701" s="3" t="s">
        <v>15</v>
      </c>
      <c r="C701" s="3">
        <v>1682</v>
      </c>
      <c r="D701" s="3">
        <v>1701.15</v>
      </c>
      <c r="E701" s="3">
        <v>1677.6</v>
      </c>
      <c r="F701" s="3">
        <v>1691.2</v>
      </c>
      <c r="G701" s="3">
        <v>1688</v>
      </c>
      <c r="H701" s="3">
        <v>1689.25</v>
      </c>
      <c r="I701" s="3">
        <v>1690.66</v>
      </c>
      <c r="J701" s="3">
        <v>1880</v>
      </c>
      <c r="K701" s="3">
        <v>1421.25</v>
      </c>
      <c r="L701" s="5">
        <v>6686457</v>
      </c>
      <c r="M701" s="2">
        <v>11304555576.9</v>
      </c>
      <c r="N701">
        <v>191461</v>
      </c>
      <c r="O701" t="s">
        <v>18</v>
      </c>
    </row>
    <row r="702" spans="1:15" x14ac:dyDescent="0.3">
      <c r="A702" s="1">
        <v>45722</v>
      </c>
      <c r="B702" s="3" t="s">
        <v>15</v>
      </c>
      <c r="C702" s="3">
        <v>1687</v>
      </c>
      <c r="D702" s="3">
        <v>1699.9</v>
      </c>
      <c r="E702" s="3">
        <v>1672.25</v>
      </c>
      <c r="F702" s="3">
        <v>1690</v>
      </c>
      <c r="G702" s="3">
        <v>1692.4</v>
      </c>
      <c r="H702" s="3">
        <v>1691.2</v>
      </c>
      <c r="I702" s="3">
        <v>1686.14</v>
      </c>
      <c r="J702" s="3">
        <v>1880</v>
      </c>
      <c r="K702" s="3">
        <v>1421.25</v>
      </c>
      <c r="L702" s="5">
        <v>16483044</v>
      </c>
      <c r="M702" s="2">
        <v>27792685275.849998</v>
      </c>
      <c r="N702">
        <v>399697</v>
      </c>
      <c r="O702" t="s">
        <v>18</v>
      </c>
    </row>
    <row r="703" spans="1:15" x14ac:dyDescent="0.3">
      <c r="A703" s="1">
        <v>45721</v>
      </c>
      <c r="B703" s="3" t="s">
        <v>15</v>
      </c>
      <c r="C703" s="3">
        <v>1701.95</v>
      </c>
      <c r="D703" s="3">
        <v>1710.8</v>
      </c>
      <c r="E703" s="3">
        <v>1688.25</v>
      </c>
      <c r="F703" s="3">
        <v>1710</v>
      </c>
      <c r="G703" s="3">
        <v>1692.1</v>
      </c>
      <c r="H703" s="3">
        <v>1690</v>
      </c>
      <c r="I703" s="3">
        <v>1695.97</v>
      </c>
      <c r="J703" s="3">
        <v>1880</v>
      </c>
      <c r="K703" s="3">
        <v>1421.25</v>
      </c>
      <c r="L703" s="5">
        <v>10791936</v>
      </c>
      <c r="M703" s="2">
        <v>18302795483</v>
      </c>
      <c r="N703">
        <v>361183</v>
      </c>
      <c r="O703" t="s">
        <v>18</v>
      </c>
    </row>
    <row r="704" spans="1:15" x14ac:dyDescent="0.3">
      <c r="A704" s="1">
        <v>45720</v>
      </c>
      <c r="B704" s="3" t="s">
        <v>15</v>
      </c>
      <c r="C704" s="3">
        <v>1698</v>
      </c>
      <c r="D704" s="3">
        <v>1714.3</v>
      </c>
      <c r="E704" s="3">
        <v>1693.25</v>
      </c>
      <c r="F704" s="3">
        <v>1701.55</v>
      </c>
      <c r="G704" s="3">
        <v>1711.3</v>
      </c>
      <c r="H704" s="3">
        <v>1710</v>
      </c>
      <c r="I704" s="3">
        <v>1706.3</v>
      </c>
      <c r="J704" s="3">
        <v>1880</v>
      </c>
      <c r="K704" s="3">
        <v>1421.25</v>
      </c>
      <c r="L704" s="5">
        <v>9960479</v>
      </c>
      <c r="M704" s="2">
        <v>16995592810.65</v>
      </c>
      <c r="N704">
        <v>323741</v>
      </c>
      <c r="O704" t="s">
        <v>18</v>
      </c>
    </row>
    <row r="705" spans="1:15" x14ac:dyDescent="0.3">
      <c r="A705" s="1">
        <v>45719</v>
      </c>
      <c r="B705" s="3" t="s">
        <v>15</v>
      </c>
      <c r="C705" s="3">
        <v>1739.8</v>
      </c>
      <c r="D705" s="3">
        <v>1743.05</v>
      </c>
      <c r="E705" s="3">
        <v>1694.1</v>
      </c>
      <c r="F705" s="3">
        <v>1732.4</v>
      </c>
      <c r="G705" s="3">
        <v>1703.55</v>
      </c>
      <c r="H705" s="3">
        <v>1701.55</v>
      </c>
      <c r="I705" s="3">
        <v>1709.27</v>
      </c>
      <c r="J705" s="3">
        <v>1880</v>
      </c>
      <c r="K705" s="3">
        <v>1421.25</v>
      </c>
      <c r="L705" s="5">
        <v>10602682</v>
      </c>
      <c r="M705" s="2">
        <v>18122815702.349998</v>
      </c>
      <c r="N705">
        <v>298350</v>
      </c>
      <c r="O705" t="s">
        <v>18</v>
      </c>
    </row>
    <row r="706" spans="1:15" x14ac:dyDescent="0.3">
      <c r="A706" s="1">
        <v>45716</v>
      </c>
      <c r="B706" s="3" t="s">
        <v>15</v>
      </c>
      <c r="C706" s="3">
        <v>1685</v>
      </c>
      <c r="D706" s="3">
        <v>1737.25</v>
      </c>
      <c r="E706" s="3">
        <v>1685</v>
      </c>
      <c r="F706" s="3">
        <v>1700.7</v>
      </c>
      <c r="G706" s="3">
        <v>1730.15</v>
      </c>
      <c r="H706" s="3">
        <v>1732.4</v>
      </c>
      <c r="I706" s="3">
        <v>1721.14</v>
      </c>
      <c r="J706" s="3">
        <v>1880</v>
      </c>
      <c r="K706" s="3">
        <v>1397.3</v>
      </c>
      <c r="L706" s="5">
        <v>27258364</v>
      </c>
      <c r="M706" s="2">
        <v>46915554649.050003</v>
      </c>
      <c r="N706">
        <v>439035</v>
      </c>
      <c r="O706" t="s">
        <v>18</v>
      </c>
    </row>
    <row r="707" spans="1:15" x14ac:dyDescent="0.3">
      <c r="A707" s="1">
        <v>45715</v>
      </c>
      <c r="B707" s="3" t="s">
        <v>15</v>
      </c>
      <c r="C707" s="3">
        <v>1682.55</v>
      </c>
      <c r="D707" s="3">
        <v>1710.75</v>
      </c>
      <c r="E707" s="3">
        <v>1682.55</v>
      </c>
      <c r="F707" s="3">
        <v>1682.35</v>
      </c>
      <c r="G707" s="3">
        <v>1698.25</v>
      </c>
      <c r="H707" s="3">
        <v>1700.7</v>
      </c>
      <c r="I707" s="3">
        <v>1701.04</v>
      </c>
      <c r="J707" s="3">
        <v>1880</v>
      </c>
      <c r="K707" s="3">
        <v>1397.3</v>
      </c>
      <c r="L707" s="5">
        <v>17893400</v>
      </c>
      <c r="M707" s="2">
        <v>30437323745</v>
      </c>
      <c r="N707">
        <v>333728</v>
      </c>
      <c r="O707" t="s">
        <v>18</v>
      </c>
    </row>
    <row r="708" spans="1:15" x14ac:dyDescent="0.3">
      <c r="A708" s="1">
        <v>45713</v>
      </c>
      <c r="B708" s="3" t="s">
        <v>15</v>
      </c>
      <c r="C708" s="3">
        <v>1671.1</v>
      </c>
      <c r="D708" s="3">
        <v>1688</v>
      </c>
      <c r="E708" s="3">
        <v>1671.1</v>
      </c>
      <c r="F708" s="3">
        <v>1677.1</v>
      </c>
      <c r="G708" s="3">
        <v>1680.85</v>
      </c>
      <c r="H708" s="3">
        <v>1682.35</v>
      </c>
      <c r="I708" s="3">
        <v>1681.8</v>
      </c>
      <c r="J708" s="3">
        <v>1880</v>
      </c>
      <c r="K708" s="3">
        <v>1397.3</v>
      </c>
      <c r="L708" s="5">
        <v>12069354</v>
      </c>
      <c r="M708" s="2">
        <v>20298255600.950001</v>
      </c>
      <c r="N708">
        <v>222521</v>
      </c>
      <c r="O708" t="s">
        <v>18</v>
      </c>
    </row>
    <row r="709" spans="1:15" x14ac:dyDescent="0.3">
      <c r="A709" s="1">
        <v>45712</v>
      </c>
      <c r="B709" s="3" t="s">
        <v>15</v>
      </c>
      <c r="C709" s="3">
        <v>1681.1</v>
      </c>
      <c r="D709" s="3">
        <v>1684.2</v>
      </c>
      <c r="E709" s="3">
        <v>1661.1</v>
      </c>
      <c r="F709" s="3">
        <v>1692.5</v>
      </c>
      <c r="G709" s="3">
        <v>1677</v>
      </c>
      <c r="H709" s="3">
        <v>1677.1</v>
      </c>
      <c r="I709" s="3">
        <v>1672.34</v>
      </c>
      <c r="J709" s="3">
        <v>1880</v>
      </c>
      <c r="K709" s="3">
        <v>1397.3</v>
      </c>
      <c r="L709" s="5">
        <v>10346823</v>
      </c>
      <c r="M709" s="2">
        <v>17303402535.099998</v>
      </c>
      <c r="N709">
        <v>245559</v>
      </c>
      <c r="O709" t="s">
        <v>18</v>
      </c>
    </row>
    <row r="710" spans="1:15" x14ac:dyDescent="0.3">
      <c r="A710" s="1">
        <v>45709</v>
      </c>
      <c r="B710" s="3" t="s">
        <v>15</v>
      </c>
      <c r="C710" s="3">
        <v>1680.9</v>
      </c>
      <c r="D710" s="3">
        <v>1694.95</v>
      </c>
      <c r="E710" s="3">
        <v>1677.25</v>
      </c>
      <c r="F710" s="3">
        <v>1687.1</v>
      </c>
      <c r="G710" s="3">
        <v>1690</v>
      </c>
      <c r="H710" s="3">
        <v>1692.5</v>
      </c>
      <c r="I710" s="3">
        <v>1686.23</v>
      </c>
      <c r="J710" s="3">
        <v>1880</v>
      </c>
      <c r="K710" s="3">
        <v>1397.3</v>
      </c>
      <c r="L710" s="5">
        <v>7840470</v>
      </c>
      <c r="M710" s="2">
        <v>13220829593.15</v>
      </c>
      <c r="N710">
        <v>292907</v>
      </c>
      <c r="O710" t="s">
        <v>18</v>
      </c>
    </row>
    <row r="711" spans="1:15" x14ac:dyDescent="0.3">
      <c r="A711" s="1">
        <v>45708</v>
      </c>
      <c r="B711" s="3" t="s">
        <v>15</v>
      </c>
      <c r="C711" s="3">
        <v>1711</v>
      </c>
      <c r="D711" s="3">
        <v>1714.7</v>
      </c>
      <c r="E711" s="3">
        <v>1685.3</v>
      </c>
      <c r="F711" s="3">
        <v>1727.2</v>
      </c>
      <c r="G711" s="3">
        <v>1685.95</v>
      </c>
      <c r="H711" s="3">
        <v>1687.1</v>
      </c>
      <c r="I711" s="3">
        <v>1695.04</v>
      </c>
      <c r="J711" s="3">
        <v>1880</v>
      </c>
      <c r="K711" s="3">
        <v>1397.3</v>
      </c>
      <c r="L711" s="5">
        <v>13195255</v>
      </c>
      <c r="M711" s="2">
        <v>22366435828.299999</v>
      </c>
      <c r="N711">
        <v>246655</v>
      </c>
      <c r="O711" t="s">
        <v>18</v>
      </c>
    </row>
    <row r="712" spans="1:15" x14ac:dyDescent="0.3">
      <c r="A712" s="1">
        <v>45707</v>
      </c>
      <c r="B712" s="3" t="s">
        <v>15</v>
      </c>
      <c r="C712" s="3">
        <v>1717</v>
      </c>
      <c r="D712" s="3">
        <v>1737.9</v>
      </c>
      <c r="E712" s="3">
        <v>1712.45</v>
      </c>
      <c r="F712" s="3">
        <v>1723.05</v>
      </c>
      <c r="G712" s="3">
        <v>1725.05</v>
      </c>
      <c r="H712" s="3">
        <v>1727.2</v>
      </c>
      <c r="I712" s="3">
        <v>1727.42</v>
      </c>
      <c r="J712" s="3">
        <v>1880</v>
      </c>
      <c r="K712" s="3">
        <v>1397.3</v>
      </c>
      <c r="L712" s="5">
        <v>5942056</v>
      </c>
      <c r="M712" s="2">
        <v>10264454339.75</v>
      </c>
      <c r="N712">
        <v>300603</v>
      </c>
      <c r="O712" t="s">
        <v>18</v>
      </c>
    </row>
    <row r="713" spans="1:15" x14ac:dyDescent="0.3">
      <c r="A713" s="1">
        <v>45706</v>
      </c>
      <c r="B713" s="3" t="s">
        <v>15</v>
      </c>
      <c r="C713" s="3">
        <v>1713.05</v>
      </c>
      <c r="D713" s="3">
        <v>1731.55</v>
      </c>
      <c r="E713" s="3">
        <v>1706.15</v>
      </c>
      <c r="F713" s="3">
        <v>1717.35</v>
      </c>
      <c r="G713" s="3">
        <v>1723</v>
      </c>
      <c r="H713" s="3">
        <v>1723.05</v>
      </c>
      <c r="I713" s="3">
        <v>1721.09</v>
      </c>
      <c r="J713" s="3">
        <v>1880</v>
      </c>
      <c r="K713" s="3">
        <v>1397.3</v>
      </c>
      <c r="L713" s="5">
        <v>8175455</v>
      </c>
      <c r="M713" s="2">
        <v>14070671116.4</v>
      </c>
      <c r="N713">
        <v>322226</v>
      </c>
      <c r="O713" t="s">
        <v>18</v>
      </c>
    </row>
    <row r="714" spans="1:15" x14ac:dyDescent="0.3">
      <c r="A714" s="1">
        <v>45705</v>
      </c>
      <c r="B714" s="3" t="s">
        <v>15</v>
      </c>
      <c r="C714" s="3">
        <v>1685.2</v>
      </c>
      <c r="D714" s="3">
        <v>1720</v>
      </c>
      <c r="E714" s="3">
        <v>1681.25</v>
      </c>
      <c r="F714" s="3">
        <v>1694.85</v>
      </c>
      <c r="G714" s="3">
        <v>1719</v>
      </c>
      <c r="H714" s="3">
        <v>1717.35</v>
      </c>
      <c r="I714" s="3">
        <v>1702.14</v>
      </c>
      <c r="J714" s="3">
        <v>1880</v>
      </c>
      <c r="K714" s="3">
        <v>1397.3</v>
      </c>
      <c r="L714" s="5">
        <v>6469473</v>
      </c>
      <c r="M714" s="2">
        <v>11011975039</v>
      </c>
      <c r="N714">
        <v>262946</v>
      </c>
      <c r="O714" t="s">
        <v>18</v>
      </c>
    </row>
    <row r="715" spans="1:15" x14ac:dyDescent="0.3">
      <c r="A715" s="1">
        <v>45702</v>
      </c>
      <c r="B715" s="3" t="s">
        <v>15</v>
      </c>
      <c r="C715" s="3">
        <v>1701.9</v>
      </c>
      <c r="D715" s="3">
        <v>1701.9</v>
      </c>
      <c r="E715" s="3">
        <v>1680</v>
      </c>
      <c r="F715" s="3">
        <v>1697.7</v>
      </c>
      <c r="G715" s="3">
        <v>1694.4</v>
      </c>
      <c r="H715" s="3">
        <v>1694.85</v>
      </c>
      <c r="I715" s="3">
        <v>1690.46</v>
      </c>
      <c r="J715" s="3">
        <v>1880</v>
      </c>
      <c r="K715" s="3">
        <v>1363.55</v>
      </c>
      <c r="L715" s="5">
        <v>9979946</v>
      </c>
      <c r="M715" s="2">
        <v>16870660139.450001</v>
      </c>
      <c r="N715">
        <v>309031</v>
      </c>
      <c r="O715" t="s">
        <v>18</v>
      </c>
    </row>
    <row r="716" spans="1:15" x14ac:dyDescent="0.3">
      <c r="A716" s="1">
        <v>45701</v>
      </c>
      <c r="B716" s="3" t="s">
        <v>15</v>
      </c>
      <c r="C716" s="3">
        <v>1699</v>
      </c>
      <c r="D716" s="3">
        <v>1714.25</v>
      </c>
      <c r="E716" s="3">
        <v>1693.55</v>
      </c>
      <c r="F716" s="3">
        <v>1706.8</v>
      </c>
      <c r="G716" s="3">
        <v>1698.95</v>
      </c>
      <c r="H716" s="3">
        <v>1697.7</v>
      </c>
      <c r="I716" s="3">
        <v>1702.88</v>
      </c>
      <c r="J716" s="3">
        <v>1880</v>
      </c>
      <c r="K716" s="3">
        <v>1363.55</v>
      </c>
      <c r="L716" s="5">
        <v>6301217</v>
      </c>
      <c r="M716" s="2">
        <v>10730216799.15</v>
      </c>
      <c r="N716">
        <v>200278</v>
      </c>
      <c r="O716" t="s">
        <v>18</v>
      </c>
    </row>
    <row r="717" spans="1:15" x14ac:dyDescent="0.3">
      <c r="A717" s="1">
        <v>45700</v>
      </c>
      <c r="B717" s="3" t="s">
        <v>15</v>
      </c>
      <c r="C717" s="3">
        <v>1693</v>
      </c>
      <c r="D717" s="3">
        <v>1712</v>
      </c>
      <c r="E717" s="3">
        <v>1681.2</v>
      </c>
      <c r="F717" s="3">
        <v>1701.4</v>
      </c>
      <c r="G717" s="3">
        <v>1710.65</v>
      </c>
      <c r="H717" s="3">
        <v>1706.8</v>
      </c>
      <c r="I717" s="3">
        <v>1696.59</v>
      </c>
      <c r="J717" s="3">
        <v>1880</v>
      </c>
      <c r="K717" s="3">
        <v>1363.55</v>
      </c>
      <c r="L717" s="5">
        <v>11404785</v>
      </c>
      <c r="M717" s="2">
        <v>19349271431.549999</v>
      </c>
      <c r="N717">
        <v>286053</v>
      </c>
      <c r="O717" t="s">
        <v>18</v>
      </c>
    </row>
    <row r="718" spans="1:15" x14ac:dyDescent="0.3">
      <c r="A718" s="1">
        <v>45699</v>
      </c>
      <c r="B718" s="3" t="s">
        <v>15</v>
      </c>
      <c r="C718" s="3">
        <v>1703</v>
      </c>
      <c r="D718" s="3">
        <v>1711</v>
      </c>
      <c r="E718" s="3">
        <v>1688.7</v>
      </c>
      <c r="F718" s="3">
        <v>1715.75</v>
      </c>
      <c r="G718" s="3">
        <v>1700.95</v>
      </c>
      <c r="H718" s="3">
        <v>1701.4</v>
      </c>
      <c r="I718" s="3">
        <v>1700.06</v>
      </c>
      <c r="J718" s="3">
        <v>1880</v>
      </c>
      <c r="K718" s="3">
        <v>1363.55</v>
      </c>
      <c r="L718" s="5">
        <v>11362352</v>
      </c>
      <c r="M718" s="2">
        <v>19316630388.150002</v>
      </c>
      <c r="N718">
        <v>182730</v>
      </c>
      <c r="O718" t="s">
        <v>18</v>
      </c>
    </row>
    <row r="719" spans="1:15" x14ac:dyDescent="0.3">
      <c r="A719" s="1">
        <v>45698</v>
      </c>
      <c r="B719" s="3" t="s">
        <v>15</v>
      </c>
      <c r="C719" s="3">
        <v>1717.3</v>
      </c>
      <c r="D719" s="3">
        <v>1723.45</v>
      </c>
      <c r="E719" s="3">
        <v>1708.5</v>
      </c>
      <c r="F719" s="3">
        <v>1732.75</v>
      </c>
      <c r="G719" s="3">
        <v>1716.6</v>
      </c>
      <c r="H719" s="3">
        <v>1715.75</v>
      </c>
      <c r="I719" s="3">
        <v>1715.57</v>
      </c>
      <c r="J719" s="3">
        <v>1880</v>
      </c>
      <c r="K719" s="3">
        <v>1363.55</v>
      </c>
      <c r="L719" s="5">
        <v>8597975</v>
      </c>
      <c r="M719" s="2">
        <v>14750390095.15</v>
      </c>
      <c r="N719">
        <v>175150</v>
      </c>
      <c r="O719" t="s">
        <v>18</v>
      </c>
    </row>
    <row r="720" spans="1:15" x14ac:dyDescent="0.3">
      <c r="A720" s="1">
        <v>45695</v>
      </c>
      <c r="B720" s="3" t="s">
        <v>15</v>
      </c>
      <c r="C720" s="3">
        <v>1750</v>
      </c>
      <c r="D720" s="3">
        <v>1767</v>
      </c>
      <c r="E720" s="3">
        <v>1725</v>
      </c>
      <c r="F720" s="3">
        <v>1743.85</v>
      </c>
      <c r="G720" s="3">
        <v>1732</v>
      </c>
      <c r="H720" s="3">
        <v>1732.75</v>
      </c>
      <c r="I720" s="3">
        <v>1744.99</v>
      </c>
      <c r="J720" s="3">
        <v>1880</v>
      </c>
      <c r="K720" s="3">
        <v>1363.55</v>
      </c>
      <c r="L720" s="5">
        <v>11754800</v>
      </c>
      <c r="M720" s="2">
        <v>20512007682.549999</v>
      </c>
      <c r="N720">
        <v>326327</v>
      </c>
      <c r="O720" t="s">
        <v>18</v>
      </c>
    </row>
    <row r="721" spans="1:15" x14ac:dyDescent="0.3">
      <c r="A721" s="1">
        <v>45694</v>
      </c>
      <c r="B721" s="3" t="s">
        <v>15</v>
      </c>
      <c r="C721" s="3">
        <v>1735.5</v>
      </c>
      <c r="D721" s="3">
        <v>1749</v>
      </c>
      <c r="E721" s="3">
        <v>1724</v>
      </c>
      <c r="F721" s="3">
        <v>1737.8</v>
      </c>
      <c r="G721" s="3">
        <v>1746.5</v>
      </c>
      <c r="H721" s="3">
        <v>1743.85</v>
      </c>
      <c r="I721" s="3">
        <v>1735.75</v>
      </c>
      <c r="J721" s="3">
        <v>1880</v>
      </c>
      <c r="K721" s="3">
        <v>1363.55</v>
      </c>
      <c r="L721" s="5">
        <v>13380358</v>
      </c>
      <c r="M721" s="2">
        <v>23225008521.549999</v>
      </c>
      <c r="N721">
        <v>225108</v>
      </c>
      <c r="O721" t="s">
        <v>18</v>
      </c>
    </row>
    <row r="722" spans="1:15" x14ac:dyDescent="0.3">
      <c r="A722" s="1">
        <v>45693</v>
      </c>
      <c r="B722" s="3" t="s">
        <v>15</v>
      </c>
      <c r="C722" s="3">
        <v>1733</v>
      </c>
      <c r="D722" s="3">
        <v>1744.2</v>
      </c>
      <c r="E722" s="3">
        <v>1718.9</v>
      </c>
      <c r="F722" s="3">
        <v>1720.9</v>
      </c>
      <c r="G722" s="3">
        <v>1734.8</v>
      </c>
      <c r="H722" s="3">
        <v>1737.8</v>
      </c>
      <c r="I722" s="3">
        <v>1733.84</v>
      </c>
      <c r="J722" s="3">
        <v>1880</v>
      </c>
      <c r="K722" s="3">
        <v>1363.55</v>
      </c>
      <c r="L722" s="5">
        <v>11837753</v>
      </c>
      <c r="M722" s="2">
        <v>20524785237.349998</v>
      </c>
      <c r="N722">
        <v>275185</v>
      </c>
      <c r="O722" t="s">
        <v>18</v>
      </c>
    </row>
    <row r="723" spans="1:15" x14ac:dyDescent="0.3">
      <c r="A723" s="1">
        <v>45692</v>
      </c>
      <c r="B723" s="3" t="s">
        <v>15</v>
      </c>
      <c r="C723" s="3">
        <v>1688.7</v>
      </c>
      <c r="D723" s="3">
        <v>1725.8</v>
      </c>
      <c r="E723" s="3">
        <v>1680.05</v>
      </c>
      <c r="F723" s="3">
        <v>1678</v>
      </c>
      <c r="G723" s="3">
        <v>1716.3</v>
      </c>
      <c r="H723" s="3">
        <v>1720.9</v>
      </c>
      <c r="I723" s="3">
        <v>1710.93</v>
      </c>
      <c r="J723" s="3">
        <v>1880</v>
      </c>
      <c r="K723" s="3">
        <v>1363.55</v>
      </c>
      <c r="L723" s="5">
        <v>14308251</v>
      </c>
      <c r="M723" s="2">
        <v>24480395914.25</v>
      </c>
      <c r="N723">
        <v>342091</v>
      </c>
      <c r="O723" t="s">
        <v>18</v>
      </c>
    </row>
    <row r="724" spans="1:15" x14ac:dyDescent="0.3">
      <c r="A724" s="1">
        <v>45691</v>
      </c>
      <c r="B724" s="3" t="s">
        <v>15</v>
      </c>
      <c r="C724" s="3">
        <v>1670</v>
      </c>
      <c r="D724" s="3">
        <v>1686.8</v>
      </c>
      <c r="E724" s="3">
        <v>1663.45</v>
      </c>
      <c r="F724" s="3">
        <v>1690.95</v>
      </c>
      <c r="G724" s="3">
        <v>1679.6</v>
      </c>
      <c r="H724" s="3">
        <v>1678</v>
      </c>
      <c r="I724" s="3">
        <v>1679.49</v>
      </c>
      <c r="J724" s="3">
        <v>1880</v>
      </c>
      <c r="K724" s="3">
        <v>1363.55</v>
      </c>
      <c r="L724" s="5">
        <v>10138270</v>
      </c>
      <c r="M724" s="2">
        <v>17027093333.700001</v>
      </c>
      <c r="N724">
        <v>230780</v>
      </c>
      <c r="O724" t="s">
        <v>18</v>
      </c>
    </row>
    <row r="725" spans="1:15" x14ac:dyDescent="0.3">
      <c r="A725" s="1">
        <v>45689</v>
      </c>
      <c r="B725" s="3" t="s">
        <v>15</v>
      </c>
      <c r="C725" s="3">
        <v>1697.5</v>
      </c>
      <c r="D725" s="3">
        <v>1713</v>
      </c>
      <c r="E725" s="3">
        <v>1676.05</v>
      </c>
      <c r="F725" s="3">
        <v>1698.75</v>
      </c>
      <c r="G725" s="3">
        <v>1692</v>
      </c>
      <c r="H725" s="3">
        <v>1690.95</v>
      </c>
      <c r="I725" s="3">
        <v>1694.22</v>
      </c>
      <c r="J725" s="3">
        <v>1880</v>
      </c>
      <c r="K725" s="3">
        <v>1363.55</v>
      </c>
      <c r="L725" s="5">
        <v>2793764</v>
      </c>
      <c r="M725" s="2">
        <v>4733238897.9499998</v>
      </c>
      <c r="N725">
        <v>88839</v>
      </c>
      <c r="O725" t="s">
        <v>18</v>
      </c>
    </row>
    <row r="726" spans="1:15" x14ac:dyDescent="0.3">
      <c r="A726" s="1">
        <v>45688</v>
      </c>
      <c r="B726" s="3" t="s">
        <v>15</v>
      </c>
      <c r="C726" s="3">
        <v>1687.25</v>
      </c>
      <c r="D726" s="3">
        <v>1704.7</v>
      </c>
      <c r="E726" s="3">
        <v>1683.95</v>
      </c>
      <c r="F726" s="3">
        <v>1691.5</v>
      </c>
      <c r="G726" s="3">
        <v>1699.5</v>
      </c>
      <c r="H726" s="3">
        <v>1698.75</v>
      </c>
      <c r="I726" s="3">
        <v>1696.52</v>
      </c>
      <c r="J726" s="3">
        <v>1880</v>
      </c>
      <c r="K726" s="3">
        <v>1363.55</v>
      </c>
      <c r="L726" s="5">
        <v>7910843</v>
      </c>
      <c r="M726" s="2">
        <v>13420873179.4</v>
      </c>
      <c r="N726">
        <v>215938</v>
      </c>
      <c r="O726" t="s">
        <v>18</v>
      </c>
    </row>
    <row r="727" spans="1:15" x14ac:dyDescent="0.3">
      <c r="A727" s="1">
        <v>45687</v>
      </c>
      <c r="B727" s="3" t="s">
        <v>15</v>
      </c>
      <c r="C727" s="3">
        <v>1681</v>
      </c>
      <c r="D727" s="3">
        <v>1697.9</v>
      </c>
      <c r="E727" s="3">
        <v>1672.55</v>
      </c>
      <c r="F727" s="3">
        <v>1677.3</v>
      </c>
      <c r="G727" s="3">
        <v>1693.1</v>
      </c>
      <c r="H727" s="3">
        <v>1691.5</v>
      </c>
      <c r="I727" s="3">
        <v>1685.73</v>
      </c>
      <c r="J727" s="3">
        <v>1880</v>
      </c>
      <c r="K727" s="3">
        <v>1363.55</v>
      </c>
      <c r="L727" s="5">
        <v>12872423</v>
      </c>
      <c r="M727" s="2">
        <v>21699404205.049999</v>
      </c>
      <c r="N727">
        <v>263161</v>
      </c>
      <c r="O727" t="s">
        <v>18</v>
      </c>
    </row>
    <row r="728" spans="1:15" x14ac:dyDescent="0.3">
      <c r="A728" s="1">
        <v>45686</v>
      </c>
      <c r="B728" s="3" t="s">
        <v>15</v>
      </c>
      <c r="C728" s="3">
        <v>1675</v>
      </c>
      <c r="D728" s="3">
        <v>1681.15</v>
      </c>
      <c r="E728" s="3">
        <v>1668.85</v>
      </c>
      <c r="F728" s="3">
        <v>1670.4</v>
      </c>
      <c r="G728" s="3">
        <v>1676</v>
      </c>
      <c r="H728" s="3">
        <v>1677.3</v>
      </c>
      <c r="I728" s="3">
        <v>1675.45</v>
      </c>
      <c r="J728" s="3">
        <v>1880</v>
      </c>
      <c r="K728" s="3">
        <v>1363.55</v>
      </c>
      <c r="L728" s="5">
        <v>6309945</v>
      </c>
      <c r="M728" s="2">
        <v>10571994646.450001</v>
      </c>
      <c r="N728">
        <v>196187</v>
      </c>
      <c r="O728" t="s">
        <v>18</v>
      </c>
    </row>
    <row r="729" spans="1:15" x14ac:dyDescent="0.3">
      <c r="A729" s="1">
        <v>45685</v>
      </c>
      <c r="B729" s="3" t="s">
        <v>15</v>
      </c>
      <c r="C729" s="3">
        <v>1647</v>
      </c>
      <c r="D729" s="3">
        <v>1684.3</v>
      </c>
      <c r="E729" s="3">
        <v>1647</v>
      </c>
      <c r="F729" s="3">
        <v>1629.8</v>
      </c>
      <c r="G729" s="3">
        <v>1673.3</v>
      </c>
      <c r="H729" s="3">
        <v>1670.4</v>
      </c>
      <c r="I729" s="3">
        <v>1670.57</v>
      </c>
      <c r="J729" s="3">
        <v>1880</v>
      </c>
      <c r="K729" s="3">
        <v>1363.55</v>
      </c>
      <c r="L729" s="5">
        <v>15089656</v>
      </c>
      <c r="M729" s="2">
        <v>25208271808.849998</v>
      </c>
      <c r="N729">
        <v>350835</v>
      </c>
      <c r="O729" t="s">
        <v>18</v>
      </c>
    </row>
    <row r="730" spans="1:15" x14ac:dyDescent="0.3">
      <c r="A730" s="1">
        <v>45684</v>
      </c>
      <c r="B730" s="3" t="s">
        <v>15</v>
      </c>
      <c r="C730" s="3">
        <v>1641.1</v>
      </c>
      <c r="D730" s="3">
        <v>1643.6</v>
      </c>
      <c r="E730" s="3">
        <v>1626</v>
      </c>
      <c r="F730" s="3">
        <v>1649.8</v>
      </c>
      <c r="G730" s="3">
        <v>1629.5</v>
      </c>
      <c r="H730" s="3">
        <v>1629.8</v>
      </c>
      <c r="I730" s="3">
        <v>1632.37</v>
      </c>
      <c r="J730" s="3">
        <v>1880</v>
      </c>
      <c r="K730" s="3">
        <v>1363.55</v>
      </c>
      <c r="L730" s="5">
        <v>11402083</v>
      </c>
      <c r="M730" s="2">
        <v>18612439467.950001</v>
      </c>
      <c r="N730">
        <v>277125</v>
      </c>
      <c r="O730" t="s">
        <v>18</v>
      </c>
    </row>
    <row r="731" spans="1:15" x14ac:dyDescent="0.3">
      <c r="A731" s="1">
        <v>45681</v>
      </c>
      <c r="B731" s="3" t="s">
        <v>15</v>
      </c>
      <c r="C731" s="3">
        <v>1660</v>
      </c>
      <c r="D731" s="3">
        <v>1670.3</v>
      </c>
      <c r="E731" s="3">
        <v>1644.5</v>
      </c>
      <c r="F731" s="3">
        <v>1664.9</v>
      </c>
      <c r="G731" s="3">
        <v>1645</v>
      </c>
      <c r="H731" s="3">
        <v>1649.8</v>
      </c>
      <c r="I731" s="3">
        <v>1658.68</v>
      </c>
      <c r="J731" s="3">
        <v>1880</v>
      </c>
      <c r="K731" s="3">
        <v>1363.55</v>
      </c>
      <c r="L731" s="5">
        <v>12118100</v>
      </c>
      <c r="M731" s="2">
        <v>20100037678.049999</v>
      </c>
      <c r="N731">
        <v>271994</v>
      </c>
      <c r="O731" t="s">
        <v>18</v>
      </c>
    </row>
    <row r="732" spans="1:15" x14ac:dyDescent="0.3">
      <c r="A732" s="1">
        <v>45680</v>
      </c>
      <c r="B732" s="3" t="s">
        <v>15</v>
      </c>
      <c r="C732" s="3">
        <v>1687</v>
      </c>
      <c r="D732" s="3">
        <v>1687</v>
      </c>
      <c r="E732" s="3">
        <v>1651.25</v>
      </c>
      <c r="F732" s="3">
        <v>1666.05</v>
      </c>
      <c r="G732" s="3">
        <v>1665</v>
      </c>
      <c r="H732" s="3">
        <v>1664.9</v>
      </c>
      <c r="I732" s="3">
        <v>1665.84</v>
      </c>
      <c r="J732" s="3">
        <v>1880</v>
      </c>
      <c r="K732" s="3">
        <v>1363.55</v>
      </c>
      <c r="L732" s="5">
        <v>17454579</v>
      </c>
      <c r="M732" s="2">
        <v>29076566202.700001</v>
      </c>
      <c r="N732">
        <v>445411</v>
      </c>
      <c r="O732" t="s">
        <v>18</v>
      </c>
    </row>
    <row r="733" spans="1:15" x14ac:dyDescent="0.3">
      <c r="A733" s="1">
        <v>45679</v>
      </c>
      <c r="B733" s="3" t="s">
        <v>15</v>
      </c>
      <c r="C733" s="3">
        <v>1642.4</v>
      </c>
      <c r="D733" s="3">
        <v>1671.9</v>
      </c>
      <c r="E733" s="3">
        <v>1625.45</v>
      </c>
      <c r="F733" s="3">
        <v>1642.4</v>
      </c>
      <c r="G733" s="3">
        <v>1671.9</v>
      </c>
      <c r="H733" s="3">
        <v>1666.05</v>
      </c>
      <c r="I733" s="3">
        <v>1653.85</v>
      </c>
      <c r="J733" s="3">
        <v>1880</v>
      </c>
      <c r="K733" s="3">
        <v>1363.55</v>
      </c>
      <c r="L733" s="5">
        <v>15309653</v>
      </c>
      <c r="M733" s="2">
        <v>25319845164.799999</v>
      </c>
      <c r="N733">
        <v>367130</v>
      </c>
      <c r="O733" t="s">
        <v>18</v>
      </c>
    </row>
    <row r="734" spans="1:15" x14ac:dyDescent="0.3">
      <c r="A734" s="1">
        <v>45678</v>
      </c>
      <c r="B734" s="3" t="s">
        <v>15</v>
      </c>
      <c r="C734" s="3">
        <v>1658.25</v>
      </c>
      <c r="D734" s="3">
        <v>1661.05</v>
      </c>
      <c r="E734" s="3">
        <v>1633.05</v>
      </c>
      <c r="F734" s="3">
        <v>1651.25</v>
      </c>
      <c r="G734" s="3">
        <v>1645.75</v>
      </c>
      <c r="H734" s="3">
        <v>1642.4</v>
      </c>
      <c r="I734" s="3">
        <v>1645.24</v>
      </c>
      <c r="J734" s="3">
        <v>1880</v>
      </c>
      <c r="K734" s="3">
        <v>1363.55</v>
      </c>
      <c r="L734" s="5">
        <v>15579072</v>
      </c>
      <c r="M734" s="2">
        <v>25631380761.950001</v>
      </c>
      <c r="N734">
        <v>270722</v>
      </c>
      <c r="O734" t="s">
        <v>18</v>
      </c>
    </row>
    <row r="735" spans="1:15" x14ac:dyDescent="0.3">
      <c r="A735" s="1">
        <v>45677</v>
      </c>
      <c r="B735" s="3" t="s">
        <v>15</v>
      </c>
      <c r="C735" s="3">
        <v>1626</v>
      </c>
      <c r="D735" s="3">
        <v>1660.95</v>
      </c>
      <c r="E735" s="3">
        <v>1626</v>
      </c>
      <c r="F735" s="3">
        <v>1636.75</v>
      </c>
      <c r="G735" s="3">
        <v>1652.85</v>
      </c>
      <c r="H735" s="3">
        <v>1651.25</v>
      </c>
      <c r="I735" s="3">
        <v>1646.81</v>
      </c>
      <c r="J735" s="3">
        <v>1880</v>
      </c>
      <c r="K735" s="3">
        <v>1363.55</v>
      </c>
      <c r="L735" s="5">
        <v>8778809</v>
      </c>
      <c r="M735" s="2">
        <v>14457009775.1</v>
      </c>
      <c r="N735">
        <v>226533</v>
      </c>
      <c r="O735" t="s">
        <v>18</v>
      </c>
    </row>
    <row r="736" spans="1:15" x14ac:dyDescent="0.3">
      <c r="A736" s="1">
        <v>45674</v>
      </c>
      <c r="B736" s="3" t="s">
        <v>15</v>
      </c>
      <c r="C736" s="3">
        <v>1643.5</v>
      </c>
      <c r="D736" s="3">
        <v>1650.5</v>
      </c>
      <c r="E736" s="3">
        <v>1628.5</v>
      </c>
      <c r="F736" s="3">
        <v>1652.05</v>
      </c>
      <c r="G736" s="3">
        <v>1636.7</v>
      </c>
      <c r="H736" s="3">
        <v>1636.75</v>
      </c>
      <c r="I736" s="3">
        <v>1636.01</v>
      </c>
      <c r="J736" s="3">
        <v>1880</v>
      </c>
      <c r="K736" s="3">
        <v>1363.55</v>
      </c>
      <c r="L736" s="5">
        <v>11556038</v>
      </c>
      <c r="M736" s="2">
        <v>18905738551</v>
      </c>
      <c r="N736">
        <v>214237</v>
      </c>
      <c r="O736" t="s">
        <v>18</v>
      </c>
    </row>
    <row r="737" spans="1:15" x14ac:dyDescent="0.3">
      <c r="A737" s="1">
        <v>45673</v>
      </c>
      <c r="B737" s="3" t="s">
        <v>15</v>
      </c>
      <c r="C737" s="3">
        <v>1652.85</v>
      </c>
      <c r="D737" s="3">
        <v>1660.55</v>
      </c>
      <c r="E737" s="3">
        <v>1642.85</v>
      </c>
      <c r="F737" s="3">
        <v>1643.05</v>
      </c>
      <c r="G737" s="3">
        <v>1654.85</v>
      </c>
      <c r="H737" s="3">
        <v>1652.05</v>
      </c>
      <c r="I737" s="3">
        <v>1650.92</v>
      </c>
      <c r="J737" s="3">
        <v>1880</v>
      </c>
      <c r="K737" s="3">
        <v>1363.55</v>
      </c>
      <c r="L737" s="5">
        <v>10606227</v>
      </c>
      <c r="M737" s="2">
        <v>17510025478.450001</v>
      </c>
      <c r="N737">
        <v>215124</v>
      </c>
      <c r="O737" t="s">
        <v>18</v>
      </c>
    </row>
    <row r="738" spans="1:15" x14ac:dyDescent="0.3">
      <c r="A738" s="1">
        <v>45672</v>
      </c>
      <c r="B738" s="3" t="s">
        <v>15</v>
      </c>
      <c r="C738" s="3">
        <v>1656.5</v>
      </c>
      <c r="D738" s="3">
        <v>1662.7</v>
      </c>
      <c r="E738" s="3">
        <v>1636.3</v>
      </c>
      <c r="F738" s="3">
        <v>1646.6</v>
      </c>
      <c r="G738" s="3">
        <v>1645.7</v>
      </c>
      <c r="H738" s="3">
        <v>1643.05</v>
      </c>
      <c r="I738" s="3">
        <v>1648.56</v>
      </c>
      <c r="J738" s="3">
        <v>1880</v>
      </c>
      <c r="K738" s="3">
        <v>1363.55</v>
      </c>
      <c r="L738" s="5">
        <v>7011446</v>
      </c>
      <c r="M738" s="2">
        <v>11558819066.049999</v>
      </c>
      <c r="N738">
        <v>207907</v>
      </c>
      <c r="O738" t="s">
        <v>18</v>
      </c>
    </row>
    <row r="739" spans="1:15" x14ac:dyDescent="0.3">
      <c r="A739" s="1">
        <v>45671</v>
      </c>
      <c r="B739" s="3" t="s">
        <v>15</v>
      </c>
      <c r="C739" s="3">
        <v>1639.9</v>
      </c>
      <c r="D739" s="3">
        <v>1656.2</v>
      </c>
      <c r="E739" s="3">
        <v>1637</v>
      </c>
      <c r="F739" s="3">
        <v>1630.85</v>
      </c>
      <c r="G739" s="3">
        <v>1650.75</v>
      </c>
      <c r="H739" s="3">
        <v>1646.6</v>
      </c>
      <c r="I739" s="3">
        <v>1646.85</v>
      </c>
      <c r="J739" s="3">
        <v>1880</v>
      </c>
      <c r="K739" s="3">
        <v>1363.55</v>
      </c>
      <c r="L739" s="5">
        <v>13330716</v>
      </c>
      <c r="M739" s="2">
        <v>21953639202.099998</v>
      </c>
      <c r="N739">
        <v>315905</v>
      </c>
      <c r="O739" t="s">
        <v>18</v>
      </c>
    </row>
    <row r="740" spans="1:15" x14ac:dyDescent="0.3">
      <c r="A740" s="1">
        <v>45670</v>
      </c>
      <c r="B740" s="3" t="s">
        <v>15</v>
      </c>
      <c r="C740" s="3">
        <v>1640</v>
      </c>
      <c r="D740" s="3">
        <v>1646.75</v>
      </c>
      <c r="E740" s="3">
        <v>1624.3</v>
      </c>
      <c r="F740" s="3">
        <v>1656.75</v>
      </c>
      <c r="G740" s="3">
        <v>1632.1</v>
      </c>
      <c r="H740" s="3">
        <v>1630.85</v>
      </c>
      <c r="I740" s="3">
        <v>1634.5</v>
      </c>
      <c r="J740" s="3">
        <v>1880</v>
      </c>
      <c r="K740" s="3">
        <v>1363.55</v>
      </c>
      <c r="L740" s="5">
        <v>10834533</v>
      </c>
      <c r="M740" s="2">
        <v>17709048137.700001</v>
      </c>
      <c r="N740">
        <v>275849</v>
      </c>
      <c r="O740" t="s">
        <v>18</v>
      </c>
    </row>
    <row r="741" spans="1:15" x14ac:dyDescent="0.3">
      <c r="A741" s="1">
        <v>45667</v>
      </c>
      <c r="B741" s="3" t="s">
        <v>15</v>
      </c>
      <c r="C741" s="3">
        <v>1671</v>
      </c>
      <c r="D741" s="3">
        <v>1674.9</v>
      </c>
      <c r="E741" s="3">
        <v>1654</v>
      </c>
      <c r="F741" s="3">
        <v>1667.8</v>
      </c>
      <c r="G741" s="3">
        <v>1657</v>
      </c>
      <c r="H741" s="3">
        <v>1656.75</v>
      </c>
      <c r="I741" s="3">
        <v>1664.65</v>
      </c>
      <c r="J741" s="3">
        <v>1880</v>
      </c>
      <c r="K741" s="3">
        <v>1363.55</v>
      </c>
      <c r="L741" s="5">
        <v>8726640</v>
      </c>
      <c r="M741" s="2">
        <v>14526837756.799999</v>
      </c>
      <c r="N741">
        <v>215325</v>
      </c>
      <c r="O741" t="s">
        <v>18</v>
      </c>
    </row>
    <row r="742" spans="1:15" x14ac:dyDescent="0.3">
      <c r="A742" s="1">
        <v>45666</v>
      </c>
      <c r="B742" s="3" t="s">
        <v>15</v>
      </c>
      <c r="C742" s="3">
        <v>1684.15</v>
      </c>
      <c r="D742" s="3">
        <v>1689</v>
      </c>
      <c r="E742" s="3">
        <v>1658.1</v>
      </c>
      <c r="F742" s="3">
        <v>1694.3</v>
      </c>
      <c r="G742" s="3">
        <v>1668.8</v>
      </c>
      <c r="H742" s="3">
        <v>1667.8</v>
      </c>
      <c r="I742" s="3">
        <v>1668.1</v>
      </c>
      <c r="J742" s="3">
        <v>1880</v>
      </c>
      <c r="K742" s="3">
        <v>1363.55</v>
      </c>
      <c r="L742" s="5">
        <v>20210111</v>
      </c>
      <c r="M742" s="2">
        <v>33712559507.349998</v>
      </c>
      <c r="N742">
        <v>484900</v>
      </c>
      <c r="O742" t="s">
        <v>18</v>
      </c>
    </row>
    <row r="743" spans="1:15" x14ac:dyDescent="0.3">
      <c r="A743" s="1">
        <v>45665</v>
      </c>
      <c r="B743" s="3" t="s">
        <v>15</v>
      </c>
      <c r="C743" s="3">
        <v>1708.25</v>
      </c>
      <c r="D743" s="3">
        <v>1711.65</v>
      </c>
      <c r="E743" s="3">
        <v>1683.35</v>
      </c>
      <c r="F743" s="3">
        <v>1713.4</v>
      </c>
      <c r="G743" s="3">
        <v>1694.2</v>
      </c>
      <c r="H743" s="3">
        <v>1694.3</v>
      </c>
      <c r="I743" s="3">
        <v>1694.07</v>
      </c>
      <c r="J743" s="3">
        <v>1880</v>
      </c>
      <c r="K743" s="3">
        <v>1363.55</v>
      </c>
      <c r="L743" s="5">
        <v>9869095</v>
      </c>
      <c r="M743" s="2">
        <v>16718930725.700001</v>
      </c>
      <c r="N743">
        <v>333259</v>
      </c>
      <c r="O743" t="s">
        <v>18</v>
      </c>
    </row>
    <row r="744" spans="1:15" x14ac:dyDescent="0.3">
      <c r="A744" s="1">
        <v>45664</v>
      </c>
      <c r="B744" s="3" t="s">
        <v>15</v>
      </c>
      <c r="C744" s="3">
        <v>1715</v>
      </c>
      <c r="D744" s="3">
        <v>1721</v>
      </c>
      <c r="E744" s="3">
        <v>1700</v>
      </c>
      <c r="F744" s="3">
        <v>1710.5</v>
      </c>
      <c r="G744" s="3">
        <v>1712.95</v>
      </c>
      <c r="H744" s="3">
        <v>1713.4</v>
      </c>
      <c r="I744" s="3">
        <v>1712.76</v>
      </c>
      <c r="J744" s="3">
        <v>1880</v>
      </c>
      <c r="K744" s="3">
        <v>1363.55</v>
      </c>
      <c r="L744" s="5">
        <v>6763953</v>
      </c>
      <c r="M744" s="2">
        <v>11585014112.5</v>
      </c>
      <c r="N744">
        <v>183035</v>
      </c>
      <c r="O744" t="s">
        <v>18</v>
      </c>
    </row>
    <row r="745" spans="1:15" x14ac:dyDescent="0.3">
      <c r="A745" s="1">
        <v>45663</v>
      </c>
      <c r="B745" s="3" t="s">
        <v>15</v>
      </c>
      <c r="C745" s="3">
        <v>1740.1</v>
      </c>
      <c r="D745" s="3">
        <v>1757.2</v>
      </c>
      <c r="E745" s="3">
        <v>1705.8</v>
      </c>
      <c r="F745" s="3">
        <v>1749.2</v>
      </c>
      <c r="G745" s="3">
        <v>1711</v>
      </c>
      <c r="H745" s="3">
        <v>1710.5</v>
      </c>
      <c r="I745" s="3">
        <v>1725.21</v>
      </c>
      <c r="J745" s="3">
        <v>1880</v>
      </c>
      <c r="K745" s="3">
        <v>1363.55</v>
      </c>
      <c r="L745" s="5">
        <v>9408174</v>
      </c>
      <c r="M745" s="2">
        <v>16231088938.6</v>
      </c>
      <c r="N745">
        <v>286152</v>
      </c>
      <c r="O745" t="s">
        <v>18</v>
      </c>
    </row>
    <row r="746" spans="1:15" x14ac:dyDescent="0.3">
      <c r="A746" s="1">
        <v>45660</v>
      </c>
      <c r="B746" s="3" t="s">
        <v>15</v>
      </c>
      <c r="C746" s="3">
        <v>1791</v>
      </c>
      <c r="D746" s="3">
        <v>1795.25</v>
      </c>
      <c r="E746" s="3">
        <v>1746.3</v>
      </c>
      <c r="F746" s="3">
        <v>1793.75</v>
      </c>
      <c r="G746" s="3">
        <v>1748.4</v>
      </c>
      <c r="H746" s="3">
        <v>1749.2</v>
      </c>
      <c r="I746" s="3">
        <v>1758.6</v>
      </c>
      <c r="J746" s="3">
        <v>1880</v>
      </c>
      <c r="K746" s="3">
        <v>1363.55</v>
      </c>
      <c r="L746" s="5">
        <v>12213097</v>
      </c>
      <c r="M746" s="2">
        <v>21477958569.150002</v>
      </c>
      <c r="N746">
        <v>331392</v>
      </c>
      <c r="O746" t="s">
        <v>18</v>
      </c>
    </row>
    <row r="747" spans="1:15" x14ac:dyDescent="0.3">
      <c r="A747" s="1">
        <v>45659</v>
      </c>
      <c r="B747" s="3" t="s">
        <v>15</v>
      </c>
      <c r="C747" s="3">
        <v>1777.1</v>
      </c>
      <c r="D747" s="3">
        <v>1803.45</v>
      </c>
      <c r="E747" s="3">
        <v>1773</v>
      </c>
      <c r="F747" s="3">
        <v>1782.75</v>
      </c>
      <c r="G747" s="3">
        <v>1792.35</v>
      </c>
      <c r="H747" s="3">
        <v>1793.75</v>
      </c>
      <c r="I747" s="3">
        <v>1792</v>
      </c>
      <c r="J747" s="3">
        <v>1880</v>
      </c>
      <c r="K747" s="3">
        <v>1363.55</v>
      </c>
      <c r="L747" s="5">
        <v>9279288</v>
      </c>
      <c r="M747" s="2">
        <v>16628452536.950001</v>
      </c>
      <c r="N747">
        <v>207825</v>
      </c>
      <c r="O747" t="s">
        <v>18</v>
      </c>
    </row>
    <row r="748" spans="1:15" x14ac:dyDescent="0.3">
      <c r="A748" s="1">
        <v>45658</v>
      </c>
      <c r="B748" s="3" t="s">
        <v>15</v>
      </c>
      <c r="C748" s="3">
        <v>1773.45</v>
      </c>
      <c r="D748" s="3">
        <v>1794</v>
      </c>
      <c r="E748" s="3">
        <v>1761.1</v>
      </c>
      <c r="F748" s="3">
        <v>1772.85</v>
      </c>
      <c r="G748" s="3">
        <v>1784.95</v>
      </c>
      <c r="H748" s="3">
        <v>1782.75</v>
      </c>
      <c r="I748" s="3">
        <v>1781.22</v>
      </c>
      <c r="J748" s="3">
        <v>1880</v>
      </c>
      <c r="K748" s="3">
        <v>1363.55</v>
      </c>
      <c r="L748" s="5">
        <v>3656903</v>
      </c>
      <c r="M748" s="2">
        <v>6513766065.6999998</v>
      </c>
      <c r="N748">
        <v>137050</v>
      </c>
      <c r="O748" t="s">
        <v>18</v>
      </c>
    </row>
    <row r="749" spans="1:15" x14ac:dyDescent="0.3">
      <c r="A749" s="1">
        <v>46022</v>
      </c>
      <c r="B749" s="3" t="s">
        <v>15</v>
      </c>
      <c r="C749" s="3">
        <v>2290</v>
      </c>
      <c r="D749" s="3">
        <v>2325.5</v>
      </c>
      <c r="E749" s="3">
        <v>2286.8000000000002</v>
      </c>
      <c r="F749" s="3">
        <v>2290.1999999999998</v>
      </c>
      <c r="G749" s="3">
        <v>2317</v>
      </c>
      <c r="H749" s="3">
        <v>2315.9</v>
      </c>
      <c r="I749" s="3">
        <v>2314.36</v>
      </c>
      <c r="J749" s="3">
        <v>2422</v>
      </c>
      <c r="K749" s="3">
        <v>2244.6999999999998</v>
      </c>
      <c r="L749">
        <v>1324220</v>
      </c>
      <c r="M749" s="2">
        <v>3064723304.4000001</v>
      </c>
      <c r="N749">
        <v>52630</v>
      </c>
      <c r="O749" t="s">
        <v>19</v>
      </c>
    </row>
    <row r="750" spans="1:15" x14ac:dyDescent="0.3">
      <c r="A750" s="1">
        <v>46021</v>
      </c>
      <c r="B750" s="3" t="s">
        <v>15</v>
      </c>
      <c r="C750" s="3">
        <v>2293.3000000000002</v>
      </c>
      <c r="D750" s="3">
        <v>2298</v>
      </c>
      <c r="E750" s="3">
        <v>2283</v>
      </c>
      <c r="F750" s="3">
        <v>2293.3000000000002</v>
      </c>
      <c r="G750" s="3">
        <v>2290</v>
      </c>
      <c r="H750" s="3">
        <v>2290.1999999999998</v>
      </c>
      <c r="I750" s="3">
        <v>2290.4899999999998</v>
      </c>
      <c r="J750" s="3">
        <v>2422</v>
      </c>
      <c r="K750" s="3">
        <v>2244.6999999999998</v>
      </c>
      <c r="L750">
        <v>1556717</v>
      </c>
      <c r="M750" s="2">
        <v>3565647742.9000001</v>
      </c>
      <c r="N750">
        <v>71285</v>
      </c>
      <c r="O750" t="s">
        <v>19</v>
      </c>
    </row>
    <row r="751" spans="1:15" x14ac:dyDescent="0.3">
      <c r="A751" s="1">
        <v>46020</v>
      </c>
      <c r="B751" s="3" t="s">
        <v>15</v>
      </c>
      <c r="C751" s="3">
        <v>2288.9</v>
      </c>
      <c r="D751" s="3">
        <v>2298.6999999999998</v>
      </c>
      <c r="E751" s="3">
        <v>2280</v>
      </c>
      <c r="F751" s="3">
        <v>2285.4</v>
      </c>
      <c r="G751" s="3">
        <v>2295.9</v>
      </c>
      <c r="H751" s="3">
        <v>2293.3000000000002</v>
      </c>
      <c r="I751" s="3">
        <v>2289.6999999999998</v>
      </c>
      <c r="J751" s="3">
        <v>2422</v>
      </c>
      <c r="K751" s="3">
        <v>2244.6999999999998</v>
      </c>
      <c r="L751">
        <v>1086695</v>
      </c>
      <c r="M751" s="2">
        <v>2488207876.8000002</v>
      </c>
      <c r="N751">
        <v>40468</v>
      </c>
      <c r="O751" t="s">
        <v>19</v>
      </c>
    </row>
    <row r="752" spans="1:15" x14ac:dyDescent="0.3">
      <c r="A752" s="1">
        <v>46017</v>
      </c>
      <c r="B752" s="3" t="s">
        <v>15</v>
      </c>
      <c r="C752" s="3">
        <v>2282.3000000000002</v>
      </c>
      <c r="D752" s="3">
        <v>2290</v>
      </c>
      <c r="E752" s="3">
        <v>2275</v>
      </c>
      <c r="F752" s="3">
        <v>2282.1999999999998</v>
      </c>
      <c r="G752" s="3">
        <v>2288</v>
      </c>
      <c r="H752" s="3">
        <v>2285.4</v>
      </c>
      <c r="I752" s="3">
        <v>2283.65</v>
      </c>
      <c r="J752" s="3">
        <v>2422</v>
      </c>
      <c r="K752" s="3">
        <v>2244.6999999999998</v>
      </c>
      <c r="L752">
        <v>533626</v>
      </c>
      <c r="M752" s="2">
        <v>1218616715.4000001</v>
      </c>
      <c r="N752">
        <v>33805</v>
      </c>
      <c r="O752" t="s">
        <v>19</v>
      </c>
    </row>
    <row r="753" spans="1:15" x14ac:dyDescent="0.3">
      <c r="A753" s="1">
        <v>46015</v>
      </c>
      <c r="B753" s="3" t="s">
        <v>15</v>
      </c>
      <c r="C753" s="3">
        <v>2302.6</v>
      </c>
      <c r="D753" s="3">
        <v>2305</v>
      </c>
      <c r="E753" s="3">
        <v>2278.1</v>
      </c>
      <c r="F753" s="3">
        <v>2302.6</v>
      </c>
      <c r="G753" s="3">
        <v>2283</v>
      </c>
      <c r="H753" s="3">
        <v>2282.1999999999998</v>
      </c>
      <c r="I753" s="3">
        <v>2289.59</v>
      </c>
      <c r="J753" s="3">
        <v>2422</v>
      </c>
      <c r="K753" s="3">
        <v>2244.6999999999998</v>
      </c>
      <c r="L753">
        <v>519380</v>
      </c>
      <c r="M753" s="2">
        <v>1189168583</v>
      </c>
      <c r="N753">
        <v>38856</v>
      </c>
      <c r="O753" t="s">
        <v>19</v>
      </c>
    </row>
    <row r="754" spans="1:15" x14ac:dyDescent="0.3">
      <c r="A754" s="1">
        <v>46014</v>
      </c>
      <c r="B754" s="3" t="s">
        <v>15</v>
      </c>
      <c r="C754" s="3">
        <v>2289.3000000000002</v>
      </c>
      <c r="D754" s="3">
        <v>2310</v>
      </c>
      <c r="E754" s="3">
        <v>2280.6999999999998</v>
      </c>
      <c r="F754" s="3">
        <v>2289.5</v>
      </c>
      <c r="G754" s="3">
        <v>2298.1</v>
      </c>
      <c r="H754" s="3">
        <v>2302.6</v>
      </c>
      <c r="I754" s="3">
        <v>2298.5500000000002</v>
      </c>
      <c r="J754" s="3">
        <v>2422</v>
      </c>
      <c r="K754" s="3">
        <v>2244.6999999999998</v>
      </c>
      <c r="L754">
        <v>1128801</v>
      </c>
      <c r="M754" s="2">
        <v>2594608686.0999999</v>
      </c>
      <c r="N754">
        <v>61566</v>
      </c>
      <c r="O754" t="s">
        <v>19</v>
      </c>
    </row>
    <row r="755" spans="1:15" x14ac:dyDescent="0.3">
      <c r="A755" s="1">
        <v>46013</v>
      </c>
      <c r="B755" s="3" t="s">
        <v>15</v>
      </c>
      <c r="C755" s="3">
        <v>2280</v>
      </c>
      <c r="D755" s="3">
        <v>2295</v>
      </c>
      <c r="E755" s="3">
        <v>2280</v>
      </c>
      <c r="F755" s="3">
        <v>2280</v>
      </c>
      <c r="G755" s="3">
        <v>2285.1999999999998</v>
      </c>
      <c r="H755" s="3">
        <v>2289.5</v>
      </c>
      <c r="I755" s="3">
        <v>2289.08</v>
      </c>
      <c r="J755" s="3">
        <v>2422</v>
      </c>
      <c r="K755" s="3">
        <v>2244.6999999999998</v>
      </c>
      <c r="L755">
        <v>790773</v>
      </c>
      <c r="M755" s="2">
        <v>1810139800.9000001</v>
      </c>
      <c r="N755">
        <v>56057</v>
      </c>
      <c r="O755" t="s">
        <v>19</v>
      </c>
    </row>
    <row r="756" spans="1:15" x14ac:dyDescent="0.3">
      <c r="A756" s="1">
        <v>46010</v>
      </c>
      <c r="B756" s="3" t="s">
        <v>15</v>
      </c>
      <c r="C756" s="3">
        <v>2263.6999999999998</v>
      </c>
      <c r="D756" s="3">
        <v>2284.8000000000002</v>
      </c>
      <c r="E756" s="3">
        <v>2263.6999999999998</v>
      </c>
      <c r="F756" s="3">
        <v>2265.5</v>
      </c>
      <c r="G756" s="3">
        <v>2281</v>
      </c>
      <c r="H756" s="3">
        <v>2280</v>
      </c>
      <c r="I756" s="3">
        <v>2278.62</v>
      </c>
      <c r="J756" s="3">
        <v>2422</v>
      </c>
      <c r="K756" s="3">
        <v>2244.6999999999998</v>
      </c>
      <c r="L756">
        <v>1237214</v>
      </c>
      <c r="M756" s="2">
        <v>2819139655.5</v>
      </c>
      <c r="N756">
        <v>53549</v>
      </c>
      <c r="O756" t="s">
        <v>19</v>
      </c>
    </row>
    <row r="757" spans="1:15" x14ac:dyDescent="0.3">
      <c r="A757" s="1">
        <v>46009</v>
      </c>
      <c r="B757" s="3" t="s">
        <v>15</v>
      </c>
      <c r="C757" s="3">
        <v>2270</v>
      </c>
      <c r="D757" s="3">
        <v>2278.3000000000002</v>
      </c>
      <c r="E757" s="3">
        <v>2255.3000000000002</v>
      </c>
      <c r="F757" s="3">
        <v>2275.6</v>
      </c>
      <c r="G757" s="3">
        <v>2268.9</v>
      </c>
      <c r="H757" s="3">
        <v>2265.5</v>
      </c>
      <c r="I757" s="3">
        <v>2266.63</v>
      </c>
      <c r="J757" s="3">
        <v>2422</v>
      </c>
      <c r="K757" s="3">
        <v>2244.6999999999998</v>
      </c>
      <c r="L757">
        <v>1057295</v>
      </c>
      <c r="M757" s="2">
        <v>2396492508.1999998</v>
      </c>
      <c r="N757">
        <v>54095</v>
      </c>
      <c r="O757" t="s">
        <v>19</v>
      </c>
    </row>
    <row r="758" spans="1:15" x14ac:dyDescent="0.3">
      <c r="A758" s="1">
        <v>46008</v>
      </c>
      <c r="B758" s="3" t="s">
        <v>15</v>
      </c>
      <c r="C758" s="3">
        <v>2281.1999999999998</v>
      </c>
      <c r="D758" s="3">
        <v>2286.1999999999998</v>
      </c>
      <c r="E758" s="3">
        <v>2268.3000000000002</v>
      </c>
      <c r="F758" s="3">
        <v>2281.1</v>
      </c>
      <c r="G758" s="3">
        <v>2278</v>
      </c>
      <c r="H758" s="3">
        <v>2275.6</v>
      </c>
      <c r="I758" s="3">
        <v>2276.4299999999998</v>
      </c>
      <c r="J758" s="3">
        <v>2422</v>
      </c>
      <c r="K758" s="3">
        <v>2244.6999999999998</v>
      </c>
      <c r="L758">
        <v>808100</v>
      </c>
      <c r="M758" s="2">
        <v>1839586244.5999999</v>
      </c>
      <c r="N758">
        <v>63322</v>
      </c>
      <c r="O758" t="s">
        <v>19</v>
      </c>
    </row>
    <row r="759" spans="1:15" x14ac:dyDescent="0.3">
      <c r="A759" s="1">
        <v>46007</v>
      </c>
      <c r="B759" s="3" t="s">
        <v>15</v>
      </c>
      <c r="C759" s="3">
        <v>2293.4</v>
      </c>
      <c r="D759" s="3">
        <v>2302.6999999999998</v>
      </c>
      <c r="E759" s="3">
        <v>2276</v>
      </c>
      <c r="F759" s="3">
        <v>2293.5</v>
      </c>
      <c r="G759" s="3">
        <v>2279.9</v>
      </c>
      <c r="H759" s="3">
        <v>2281.1</v>
      </c>
      <c r="I759" s="3">
        <v>2290.1799999999998</v>
      </c>
      <c r="J759" s="3">
        <v>2422</v>
      </c>
      <c r="K759" s="3">
        <v>2244.6999999999998</v>
      </c>
      <c r="L759">
        <v>1256042</v>
      </c>
      <c r="M759" s="2">
        <v>2876563734.6999998</v>
      </c>
      <c r="N759">
        <v>82714</v>
      </c>
      <c r="O759" t="s">
        <v>19</v>
      </c>
    </row>
    <row r="760" spans="1:15" x14ac:dyDescent="0.3">
      <c r="A760" s="1">
        <v>46006</v>
      </c>
      <c r="B760" s="3" t="s">
        <v>15</v>
      </c>
      <c r="C760" s="3">
        <v>2260.6</v>
      </c>
      <c r="D760" s="3">
        <v>2299</v>
      </c>
      <c r="E760" s="3">
        <v>2252</v>
      </c>
      <c r="F760" s="3">
        <v>2260.6</v>
      </c>
      <c r="G760" s="3">
        <v>2288</v>
      </c>
      <c r="H760" s="3">
        <v>2293.5</v>
      </c>
      <c r="I760" s="3">
        <v>2284.7800000000002</v>
      </c>
      <c r="J760" s="3">
        <v>2422</v>
      </c>
      <c r="K760" s="3">
        <v>2244.6999999999998</v>
      </c>
      <c r="L760">
        <v>1274115</v>
      </c>
      <c r="M760" s="2">
        <v>2911075995.9000001</v>
      </c>
      <c r="N760">
        <v>89211</v>
      </c>
      <c r="O760" t="s">
        <v>19</v>
      </c>
    </row>
    <row r="761" spans="1:15" x14ac:dyDescent="0.3">
      <c r="A761" s="1">
        <v>46003</v>
      </c>
      <c r="B761" s="3" t="s">
        <v>15</v>
      </c>
      <c r="C761" s="3">
        <v>2306.9</v>
      </c>
      <c r="D761" s="3">
        <v>2309</v>
      </c>
      <c r="E761" s="3">
        <v>2244.6999999999998</v>
      </c>
      <c r="F761" s="3">
        <v>2305.6</v>
      </c>
      <c r="G761" s="3">
        <v>2264</v>
      </c>
      <c r="H761" s="3">
        <v>2260.6</v>
      </c>
      <c r="I761" s="3">
        <v>2262.88</v>
      </c>
      <c r="J761" s="3">
        <v>2422</v>
      </c>
      <c r="K761" s="3">
        <v>2244.6999999999998</v>
      </c>
      <c r="L761">
        <v>3203114</v>
      </c>
      <c r="M761" s="2">
        <v>7248276437.1000004</v>
      </c>
      <c r="N761">
        <v>144063</v>
      </c>
      <c r="O761" t="s">
        <v>19</v>
      </c>
    </row>
    <row r="762" spans="1:15" x14ac:dyDescent="0.3">
      <c r="A762" s="1">
        <v>46002</v>
      </c>
      <c r="B762" s="3" t="s">
        <v>15</v>
      </c>
      <c r="C762" s="3">
        <v>2296.3000000000002</v>
      </c>
      <c r="D762" s="3">
        <v>2313</v>
      </c>
      <c r="E762" s="3">
        <v>2292</v>
      </c>
      <c r="F762" s="3">
        <v>2301.6999999999998</v>
      </c>
      <c r="G762" s="3">
        <v>2309</v>
      </c>
      <c r="H762" s="3">
        <v>2305.6</v>
      </c>
      <c r="I762" s="3">
        <v>2303.36</v>
      </c>
      <c r="J762" s="3">
        <v>2422</v>
      </c>
      <c r="K762" s="3">
        <v>2286.6999999999998</v>
      </c>
      <c r="L762">
        <v>1108032</v>
      </c>
      <c r="M762" s="2">
        <v>2552192072.0999999</v>
      </c>
      <c r="N762">
        <v>77354</v>
      </c>
      <c r="O762" t="s">
        <v>19</v>
      </c>
    </row>
    <row r="763" spans="1:15" x14ac:dyDescent="0.3">
      <c r="A763" s="1">
        <v>46001</v>
      </c>
      <c r="B763" s="3" t="s">
        <v>15</v>
      </c>
      <c r="C763" s="3">
        <v>2306.5</v>
      </c>
      <c r="D763" s="3">
        <v>2316.9</v>
      </c>
      <c r="E763" s="3">
        <v>2295</v>
      </c>
      <c r="F763" s="3">
        <v>2306.5</v>
      </c>
      <c r="G763" s="3">
        <v>2301</v>
      </c>
      <c r="H763" s="3">
        <v>2301.6999999999998</v>
      </c>
      <c r="I763" s="3">
        <v>2302.04</v>
      </c>
      <c r="J763" s="3">
        <v>2422</v>
      </c>
      <c r="K763" s="3">
        <v>2286.6999999999998</v>
      </c>
      <c r="L763">
        <v>2857290</v>
      </c>
      <c r="M763" s="2">
        <v>6577609007.8999996</v>
      </c>
      <c r="N763">
        <v>98617</v>
      </c>
      <c r="O763" t="s">
        <v>19</v>
      </c>
    </row>
    <row r="764" spans="1:15" x14ac:dyDescent="0.3">
      <c r="A764" s="1">
        <v>46000</v>
      </c>
      <c r="B764" s="3" t="s">
        <v>15</v>
      </c>
      <c r="C764" s="3">
        <v>2318</v>
      </c>
      <c r="D764" s="3">
        <v>2330.4</v>
      </c>
      <c r="E764" s="3">
        <v>2298.1</v>
      </c>
      <c r="F764" s="3">
        <v>2314</v>
      </c>
      <c r="G764" s="3">
        <v>2305</v>
      </c>
      <c r="H764" s="3">
        <v>2306.5</v>
      </c>
      <c r="I764" s="3">
        <v>2311.4899999999998</v>
      </c>
      <c r="J764" s="3">
        <v>2422</v>
      </c>
      <c r="K764" s="3">
        <v>2286.6999999999998</v>
      </c>
      <c r="L764">
        <v>1471488</v>
      </c>
      <c r="M764" s="2">
        <v>3401324931.8000002</v>
      </c>
      <c r="N764">
        <v>70079</v>
      </c>
      <c r="O764" t="s">
        <v>19</v>
      </c>
    </row>
    <row r="765" spans="1:15" x14ac:dyDescent="0.3">
      <c r="A765" s="1">
        <v>45999</v>
      </c>
      <c r="B765" s="3" t="s">
        <v>15</v>
      </c>
      <c r="C765" s="3">
        <v>2350.1</v>
      </c>
      <c r="D765" s="3">
        <v>2355.1</v>
      </c>
      <c r="E765" s="3">
        <v>2302</v>
      </c>
      <c r="F765" s="3">
        <v>2338.6</v>
      </c>
      <c r="G765" s="3">
        <v>2318</v>
      </c>
      <c r="H765" s="3">
        <v>2314</v>
      </c>
      <c r="I765" s="3">
        <v>2322.65</v>
      </c>
      <c r="J765" s="3">
        <v>2422</v>
      </c>
      <c r="K765" s="3">
        <v>2286.6999999999998</v>
      </c>
      <c r="L765">
        <v>1898154</v>
      </c>
      <c r="M765" s="2">
        <v>4408740243.1999998</v>
      </c>
      <c r="N765">
        <v>72452</v>
      </c>
      <c r="O765" t="s">
        <v>19</v>
      </c>
    </row>
    <row r="766" spans="1:15" x14ac:dyDescent="0.3">
      <c r="A766" s="1">
        <v>45996</v>
      </c>
      <c r="B766" s="3" t="s">
        <v>15</v>
      </c>
      <c r="C766" s="3">
        <v>2422</v>
      </c>
      <c r="D766" s="3">
        <v>2422</v>
      </c>
      <c r="E766" s="3">
        <v>2286.6999999999998</v>
      </c>
      <c r="F766" s="3">
        <v>2462.1999999999998</v>
      </c>
      <c r="G766" s="3">
        <v>2341</v>
      </c>
      <c r="H766" s="3">
        <v>2338.6</v>
      </c>
      <c r="I766" s="3">
        <v>2346.41</v>
      </c>
      <c r="J766" s="3">
        <v>2422</v>
      </c>
      <c r="K766" s="3">
        <v>2286.6999999999998</v>
      </c>
      <c r="L766">
        <v>4008271</v>
      </c>
      <c r="M766" s="2">
        <v>9405032414.7000008</v>
      </c>
      <c r="N766">
        <v>135326</v>
      </c>
      <c r="O766" t="s">
        <v>19</v>
      </c>
    </row>
    <row r="767" spans="1:15" x14ac:dyDescent="0.3">
      <c r="A767" s="1">
        <v>45995</v>
      </c>
      <c r="B767" s="3" t="s">
        <v>15</v>
      </c>
      <c r="C767" s="3">
        <v>2440</v>
      </c>
      <c r="D767" s="3">
        <v>2483</v>
      </c>
      <c r="E767" s="3">
        <v>2423.1999999999998</v>
      </c>
      <c r="F767" s="3">
        <v>2448</v>
      </c>
      <c r="G767" s="3">
        <v>2464.1</v>
      </c>
      <c r="H767" s="3">
        <v>2462.1999999999998</v>
      </c>
      <c r="I767" s="3">
        <v>2461.5300000000002</v>
      </c>
      <c r="J767" s="3">
        <v>2750</v>
      </c>
      <c r="K767" s="3">
        <v>2136</v>
      </c>
      <c r="L767">
        <v>2587753</v>
      </c>
      <c r="M767" s="2">
        <v>6369837735.1999998</v>
      </c>
      <c r="N767">
        <v>116175</v>
      </c>
      <c r="O767" t="s">
        <v>19</v>
      </c>
    </row>
    <row r="768" spans="1:15" x14ac:dyDescent="0.3">
      <c r="A768" s="1">
        <v>45994</v>
      </c>
      <c r="B768" s="3" t="s">
        <v>15</v>
      </c>
      <c r="C768" s="3">
        <v>2478.1999999999998</v>
      </c>
      <c r="D768" s="3">
        <v>2484.9</v>
      </c>
      <c r="E768" s="3">
        <v>2403.1</v>
      </c>
      <c r="F768" s="3">
        <v>2477.8000000000002</v>
      </c>
      <c r="G768" s="3">
        <v>2441.5</v>
      </c>
      <c r="H768" s="3">
        <v>2448</v>
      </c>
      <c r="I768" s="3">
        <v>2454.52</v>
      </c>
      <c r="J768" s="3">
        <v>2750</v>
      </c>
      <c r="K768" s="3">
        <v>2136</v>
      </c>
      <c r="L768">
        <v>3535932</v>
      </c>
      <c r="M768" s="2">
        <v>8678999288.2999992</v>
      </c>
      <c r="N768">
        <v>131931</v>
      </c>
      <c r="O768" t="s">
        <v>19</v>
      </c>
    </row>
    <row r="769" spans="1:15" x14ac:dyDescent="0.3">
      <c r="A769" s="1">
        <v>45993</v>
      </c>
      <c r="B769" s="3" t="s">
        <v>15</v>
      </c>
      <c r="C769" s="3">
        <v>2471</v>
      </c>
      <c r="D769" s="3">
        <v>2484.4</v>
      </c>
      <c r="E769" s="3">
        <v>2460</v>
      </c>
      <c r="F769" s="3">
        <v>2464.5</v>
      </c>
      <c r="G769" s="3">
        <v>2475</v>
      </c>
      <c r="H769" s="3">
        <v>2477.8000000000002</v>
      </c>
      <c r="I769" s="3">
        <v>2474.16</v>
      </c>
      <c r="J769" s="3">
        <v>2750</v>
      </c>
      <c r="K769" s="3">
        <v>2136</v>
      </c>
      <c r="L769">
        <v>2179406</v>
      </c>
      <c r="M769" s="2">
        <v>5392202360.8000002</v>
      </c>
      <c r="N769">
        <v>95719</v>
      </c>
      <c r="O769" t="s">
        <v>19</v>
      </c>
    </row>
    <row r="770" spans="1:15" x14ac:dyDescent="0.3">
      <c r="A770" s="1">
        <v>45992</v>
      </c>
      <c r="B770" s="3" t="s">
        <v>15</v>
      </c>
      <c r="C770" s="3">
        <v>2466.6</v>
      </c>
      <c r="D770" s="3">
        <v>2488</v>
      </c>
      <c r="E770" s="3">
        <v>2458.8000000000002</v>
      </c>
      <c r="F770" s="3">
        <v>2466.6</v>
      </c>
      <c r="G770" s="3">
        <v>2458.9</v>
      </c>
      <c r="H770" s="3">
        <v>2464.5</v>
      </c>
      <c r="I770" s="3">
        <v>2474.65</v>
      </c>
      <c r="J770" s="3">
        <v>2750</v>
      </c>
      <c r="K770" s="3">
        <v>2136</v>
      </c>
      <c r="L770">
        <v>1924828</v>
      </c>
      <c r="M770" s="2">
        <v>4763281452.3999996</v>
      </c>
      <c r="N770">
        <v>66030</v>
      </c>
      <c r="O770" t="s">
        <v>19</v>
      </c>
    </row>
    <row r="771" spans="1:15" x14ac:dyDescent="0.3">
      <c r="A771" s="1">
        <v>45989</v>
      </c>
      <c r="B771" s="3" t="s">
        <v>15</v>
      </c>
      <c r="C771" s="3">
        <v>2450</v>
      </c>
      <c r="D771" s="3">
        <v>2470</v>
      </c>
      <c r="E771" s="3">
        <v>2447.1999999999998</v>
      </c>
      <c r="F771" s="3">
        <v>2451.6999999999998</v>
      </c>
      <c r="G771" s="3">
        <v>2468</v>
      </c>
      <c r="H771" s="3">
        <v>2466.6</v>
      </c>
      <c r="I771" s="3">
        <v>2463.35</v>
      </c>
      <c r="J771" s="3">
        <v>2750</v>
      </c>
      <c r="K771" s="3">
        <v>2136</v>
      </c>
      <c r="L771">
        <v>973225</v>
      </c>
      <c r="M771" s="2">
        <v>2397389736.8000002</v>
      </c>
      <c r="N771">
        <v>51567</v>
      </c>
      <c r="O771" t="s">
        <v>19</v>
      </c>
    </row>
    <row r="772" spans="1:15" x14ac:dyDescent="0.3">
      <c r="A772" s="1">
        <v>45988</v>
      </c>
      <c r="B772" s="3" t="s">
        <v>15</v>
      </c>
      <c r="C772" s="3">
        <v>2426.1</v>
      </c>
      <c r="D772" s="3">
        <v>2459.6999999999998</v>
      </c>
      <c r="E772" s="3">
        <v>2425</v>
      </c>
      <c r="F772" s="3">
        <v>2425.1999999999998</v>
      </c>
      <c r="G772" s="3">
        <v>2455</v>
      </c>
      <c r="H772" s="3">
        <v>2451.6999999999998</v>
      </c>
      <c r="I772" s="3">
        <v>2449.98</v>
      </c>
      <c r="J772" s="3">
        <v>2750</v>
      </c>
      <c r="K772" s="3">
        <v>2136</v>
      </c>
      <c r="L772">
        <v>1872248</v>
      </c>
      <c r="M772" s="2">
        <v>4586979275</v>
      </c>
      <c r="N772">
        <v>87101</v>
      </c>
      <c r="O772" t="s">
        <v>19</v>
      </c>
    </row>
    <row r="773" spans="1:15" x14ac:dyDescent="0.3">
      <c r="A773" s="1">
        <v>45987</v>
      </c>
      <c r="B773" s="3" t="s">
        <v>15</v>
      </c>
      <c r="C773" s="3">
        <v>2412</v>
      </c>
      <c r="D773" s="3">
        <v>2427.6999999999998</v>
      </c>
      <c r="E773" s="3">
        <v>2409</v>
      </c>
      <c r="F773" s="3">
        <v>2414.1</v>
      </c>
      <c r="G773" s="3">
        <v>2426.1</v>
      </c>
      <c r="H773" s="3">
        <v>2425.1999999999998</v>
      </c>
      <c r="I773" s="3">
        <v>2422.02</v>
      </c>
      <c r="J773" s="3">
        <v>2750</v>
      </c>
      <c r="K773" s="3">
        <v>2136</v>
      </c>
      <c r="L773">
        <v>1242683</v>
      </c>
      <c r="M773" s="2">
        <v>3009806109.4000001</v>
      </c>
      <c r="N773">
        <v>80197</v>
      </c>
      <c r="O773" t="s">
        <v>19</v>
      </c>
    </row>
    <row r="774" spans="1:15" x14ac:dyDescent="0.3">
      <c r="A774" s="1">
        <v>45986</v>
      </c>
      <c r="B774" s="3" t="s">
        <v>15</v>
      </c>
      <c r="C774" s="3">
        <v>2422</v>
      </c>
      <c r="D774" s="3">
        <v>2424.1999999999998</v>
      </c>
      <c r="E774" s="3">
        <v>2406</v>
      </c>
      <c r="F774" s="3">
        <v>2424.1999999999998</v>
      </c>
      <c r="G774" s="3">
        <v>2411</v>
      </c>
      <c r="H774" s="3">
        <v>2414.1</v>
      </c>
      <c r="I774" s="3">
        <v>2416.92</v>
      </c>
      <c r="J774" s="3">
        <v>2750</v>
      </c>
      <c r="K774" s="3">
        <v>2136</v>
      </c>
      <c r="L774">
        <v>1240672</v>
      </c>
      <c r="M774" s="2">
        <v>2998602832.5999999</v>
      </c>
      <c r="N774">
        <v>86768</v>
      </c>
      <c r="O774" t="s">
        <v>19</v>
      </c>
    </row>
    <row r="775" spans="1:15" x14ac:dyDescent="0.3">
      <c r="A775" s="1">
        <v>45985</v>
      </c>
      <c r="B775" s="3" t="s">
        <v>15</v>
      </c>
      <c r="C775" s="3">
        <v>2441.9</v>
      </c>
      <c r="D775" s="3">
        <v>2444.9</v>
      </c>
      <c r="E775" s="3">
        <v>2413</v>
      </c>
      <c r="F775" s="3">
        <v>2433.6999999999998</v>
      </c>
      <c r="G775" s="3">
        <v>2420.9</v>
      </c>
      <c r="H775" s="3">
        <v>2424.1999999999998</v>
      </c>
      <c r="I775" s="3">
        <v>2426.19</v>
      </c>
      <c r="J775" s="3">
        <v>2750</v>
      </c>
      <c r="K775" s="3">
        <v>2136</v>
      </c>
      <c r="L775">
        <v>4092327</v>
      </c>
      <c r="M775" s="2">
        <v>9928751679.8999996</v>
      </c>
      <c r="N775">
        <v>80146</v>
      </c>
      <c r="O775" t="s">
        <v>19</v>
      </c>
    </row>
    <row r="776" spans="1:15" x14ac:dyDescent="0.3">
      <c r="A776" s="1">
        <v>45982</v>
      </c>
      <c r="B776" s="3" t="s">
        <v>15</v>
      </c>
      <c r="C776" s="3">
        <v>2436.1999999999998</v>
      </c>
      <c r="D776" s="3">
        <v>2443.1999999999998</v>
      </c>
      <c r="E776" s="3">
        <v>2413</v>
      </c>
      <c r="F776" s="3">
        <v>2428.4</v>
      </c>
      <c r="G776" s="3">
        <v>2440</v>
      </c>
      <c r="H776" s="3">
        <v>2433.6999999999998</v>
      </c>
      <c r="I776" s="3">
        <v>2427.38</v>
      </c>
      <c r="J776" s="3">
        <v>2750</v>
      </c>
      <c r="K776" s="3">
        <v>2136</v>
      </c>
      <c r="L776">
        <v>1840712</v>
      </c>
      <c r="M776" s="2">
        <v>4468105625.1999998</v>
      </c>
      <c r="N776">
        <v>70142</v>
      </c>
      <c r="O776" t="s">
        <v>19</v>
      </c>
    </row>
    <row r="777" spans="1:15" x14ac:dyDescent="0.3">
      <c r="A777" s="1">
        <v>45981</v>
      </c>
      <c r="B777" s="3" t="s">
        <v>15</v>
      </c>
      <c r="C777" s="3">
        <v>2445.1</v>
      </c>
      <c r="D777" s="3">
        <v>2459</v>
      </c>
      <c r="E777" s="3">
        <v>2425</v>
      </c>
      <c r="F777" s="3">
        <v>2441.6</v>
      </c>
      <c r="G777" s="3">
        <v>2429</v>
      </c>
      <c r="H777" s="3">
        <v>2428.4</v>
      </c>
      <c r="I777" s="3">
        <v>2438.84</v>
      </c>
      <c r="J777" s="3">
        <v>2750</v>
      </c>
      <c r="K777" s="3">
        <v>2136</v>
      </c>
      <c r="L777">
        <v>1396929</v>
      </c>
      <c r="M777" s="2">
        <v>3406880058.0999999</v>
      </c>
      <c r="N777">
        <v>82178</v>
      </c>
      <c r="O777" t="s">
        <v>19</v>
      </c>
    </row>
    <row r="778" spans="1:15" x14ac:dyDescent="0.3">
      <c r="A778" s="1">
        <v>45980</v>
      </c>
      <c r="B778" s="3" t="s">
        <v>15</v>
      </c>
      <c r="C778" s="3">
        <v>2412</v>
      </c>
      <c r="D778" s="3">
        <v>2450.6999999999998</v>
      </c>
      <c r="E778" s="3">
        <v>2411</v>
      </c>
      <c r="F778" s="3">
        <v>2404</v>
      </c>
      <c r="G778" s="3">
        <v>2443.6999999999998</v>
      </c>
      <c r="H778" s="3">
        <v>2441.6</v>
      </c>
      <c r="I778" s="3">
        <v>2439.89</v>
      </c>
      <c r="J778" s="3">
        <v>2750</v>
      </c>
      <c r="K778" s="3">
        <v>2136</v>
      </c>
      <c r="L778">
        <v>1465143</v>
      </c>
      <c r="M778" s="2">
        <v>3574787771.5999999</v>
      </c>
      <c r="N778">
        <v>60539</v>
      </c>
      <c r="O778" t="s">
        <v>19</v>
      </c>
    </row>
    <row r="779" spans="1:15" x14ac:dyDescent="0.3">
      <c r="A779" s="1">
        <v>45979</v>
      </c>
      <c r="B779" s="3" t="s">
        <v>15</v>
      </c>
      <c r="C779" s="3">
        <v>2415.8000000000002</v>
      </c>
      <c r="D779" s="3">
        <v>2422.9</v>
      </c>
      <c r="E779" s="3">
        <v>2401.9</v>
      </c>
      <c r="F779" s="3">
        <v>2425</v>
      </c>
      <c r="G779" s="3">
        <v>2404.1</v>
      </c>
      <c r="H779" s="3">
        <v>2404</v>
      </c>
      <c r="I779" s="3">
        <v>2408.4899999999998</v>
      </c>
      <c r="J779" s="3">
        <v>2750</v>
      </c>
      <c r="K779" s="3">
        <v>2136</v>
      </c>
      <c r="L779">
        <v>1229034</v>
      </c>
      <c r="M779" s="2">
        <v>2960110187.5</v>
      </c>
      <c r="N779">
        <v>54505</v>
      </c>
      <c r="O779" t="s">
        <v>19</v>
      </c>
    </row>
    <row r="780" spans="1:15" x14ac:dyDescent="0.3">
      <c r="A780" s="1">
        <v>45978</v>
      </c>
      <c r="B780" s="3" t="s">
        <v>15</v>
      </c>
      <c r="C780" s="3">
        <v>2431.4</v>
      </c>
      <c r="D780" s="3">
        <v>2438.4</v>
      </c>
      <c r="E780" s="3">
        <v>2416</v>
      </c>
      <c r="F780" s="3">
        <v>2427.6999999999998</v>
      </c>
      <c r="G780" s="3">
        <v>2425.5</v>
      </c>
      <c r="H780" s="3">
        <v>2425</v>
      </c>
      <c r="I780" s="3">
        <v>2423.25</v>
      </c>
      <c r="J780" s="3">
        <v>2750</v>
      </c>
      <c r="K780" s="3">
        <v>2136</v>
      </c>
      <c r="L780">
        <v>920038</v>
      </c>
      <c r="M780" s="2">
        <v>2229481983</v>
      </c>
      <c r="N780">
        <v>63161</v>
      </c>
      <c r="O780" t="s">
        <v>19</v>
      </c>
    </row>
    <row r="781" spans="1:15" x14ac:dyDescent="0.3">
      <c r="A781" s="1">
        <v>45975</v>
      </c>
      <c r="B781" s="3" t="s">
        <v>15</v>
      </c>
      <c r="C781" s="3">
        <v>2405.1</v>
      </c>
      <c r="D781" s="3">
        <v>2430.1999999999998</v>
      </c>
      <c r="E781" s="3">
        <v>2392</v>
      </c>
      <c r="F781" s="3">
        <v>2407.6</v>
      </c>
      <c r="G781" s="3">
        <v>2426</v>
      </c>
      <c r="H781" s="3">
        <v>2427.6999999999998</v>
      </c>
      <c r="I781" s="3">
        <v>2420.64</v>
      </c>
      <c r="J781" s="3">
        <v>2750</v>
      </c>
      <c r="K781" s="3">
        <v>2136</v>
      </c>
      <c r="L781">
        <v>975973</v>
      </c>
      <c r="M781" s="2">
        <v>2362479701</v>
      </c>
      <c r="N781">
        <v>59056</v>
      </c>
      <c r="O781" t="s">
        <v>19</v>
      </c>
    </row>
    <row r="782" spans="1:15" x14ac:dyDescent="0.3">
      <c r="A782" s="1">
        <v>45974</v>
      </c>
      <c r="B782" s="3" t="s">
        <v>15</v>
      </c>
      <c r="C782" s="3">
        <v>2429</v>
      </c>
      <c r="D782" s="3">
        <v>2431</v>
      </c>
      <c r="E782" s="3">
        <v>2405</v>
      </c>
      <c r="F782" s="3">
        <v>2424.5</v>
      </c>
      <c r="G782" s="3">
        <v>2409.9</v>
      </c>
      <c r="H782" s="3">
        <v>2407.6</v>
      </c>
      <c r="I782" s="3">
        <v>2416.6</v>
      </c>
      <c r="J782" s="3">
        <v>2750</v>
      </c>
      <c r="K782" s="3">
        <v>2136</v>
      </c>
      <c r="L782">
        <v>1256059</v>
      </c>
      <c r="M782" s="2">
        <v>3035397278.6999998</v>
      </c>
      <c r="N782">
        <v>69811</v>
      </c>
      <c r="O782" t="s">
        <v>19</v>
      </c>
    </row>
    <row r="783" spans="1:15" x14ac:dyDescent="0.3">
      <c r="A783" s="1">
        <v>45973</v>
      </c>
      <c r="B783" s="3" t="s">
        <v>15</v>
      </c>
      <c r="C783" s="3">
        <v>2430.6</v>
      </c>
      <c r="D783" s="3">
        <v>2434.8000000000002</v>
      </c>
      <c r="E783" s="3">
        <v>2416.1999999999998</v>
      </c>
      <c r="F783" s="3">
        <v>2427.5</v>
      </c>
      <c r="G783" s="3">
        <v>2426</v>
      </c>
      <c r="H783" s="3">
        <v>2424.5</v>
      </c>
      <c r="I783" s="3">
        <v>2423.71</v>
      </c>
      <c r="J783" s="3">
        <v>2750</v>
      </c>
      <c r="K783" s="3">
        <v>2136</v>
      </c>
      <c r="L783">
        <v>1680827</v>
      </c>
      <c r="M783" s="2">
        <v>4073843253.5</v>
      </c>
      <c r="N783">
        <v>106929</v>
      </c>
      <c r="O783" t="s">
        <v>19</v>
      </c>
    </row>
    <row r="784" spans="1:15" x14ac:dyDescent="0.3">
      <c r="A784" s="1">
        <v>45972</v>
      </c>
      <c r="B784" s="3" t="s">
        <v>15</v>
      </c>
      <c r="C784" s="3">
        <v>2422.1999999999998</v>
      </c>
      <c r="D784" s="3">
        <v>2433.6999999999998</v>
      </c>
      <c r="E784" s="3">
        <v>2403.1</v>
      </c>
      <c r="F784" s="3">
        <v>2408.8000000000002</v>
      </c>
      <c r="G784" s="3">
        <v>2430</v>
      </c>
      <c r="H784" s="3">
        <v>2427.5</v>
      </c>
      <c r="I784" s="3">
        <v>2420.73</v>
      </c>
      <c r="J784" s="3">
        <v>2750</v>
      </c>
      <c r="K784" s="3">
        <v>2136</v>
      </c>
      <c r="L784">
        <v>1422399</v>
      </c>
      <c r="M784" s="2">
        <v>3443241465.6999998</v>
      </c>
      <c r="N784">
        <v>78852</v>
      </c>
      <c r="O784" t="s">
        <v>19</v>
      </c>
    </row>
    <row r="785" spans="1:15" x14ac:dyDescent="0.3">
      <c r="A785" s="1">
        <v>45971</v>
      </c>
      <c r="B785" s="3" t="s">
        <v>15</v>
      </c>
      <c r="C785" s="3">
        <v>2405</v>
      </c>
      <c r="D785" s="3">
        <v>2429.3000000000002</v>
      </c>
      <c r="E785" s="3">
        <v>2404</v>
      </c>
      <c r="F785" s="3">
        <v>2414</v>
      </c>
      <c r="G785" s="3">
        <v>2409</v>
      </c>
      <c r="H785" s="3">
        <v>2408.8000000000002</v>
      </c>
      <c r="I785" s="3">
        <v>2412.2800000000002</v>
      </c>
      <c r="J785" s="3">
        <v>2750</v>
      </c>
      <c r="K785" s="3">
        <v>2136</v>
      </c>
      <c r="L785">
        <v>780558</v>
      </c>
      <c r="M785" s="2">
        <v>1882928221.4000001</v>
      </c>
      <c r="N785">
        <v>67685</v>
      </c>
      <c r="O785" t="s">
        <v>19</v>
      </c>
    </row>
    <row r="786" spans="1:15" x14ac:dyDescent="0.3">
      <c r="A786" s="1">
        <v>45968</v>
      </c>
      <c r="B786" s="3" t="s">
        <v>15</v>
      </c>
      <c r="C786" s="3">
        <v>2417</v>
      </c>
      <c r="D786" s="3">
        <v>2425</v>
      </c>
      <c r="E786" s="3">
        <v>2400.6</v>
      </c>
      <c r="F786" s="3">
        <v>2436</v>
      </c>
      <c r="G786" s="3">
        <v>2416.8000000000002</v>
      </c>
      <c r="H786" s="3">
        <v>2414</v>
      </c>
      <c r="I786" s="3">
        <v>2415.4699999999998</v>
      </c>
      <c r="J786" s="3">
        <v>2750</v>
      </c>
      <c r="K786" s="3">
        <v>2136</v>
      </c>
      <c r="L786">
        <v>817896</v>
      </c>
      <c r="M786" s="2">
        <v>1975599206.2</v>
      </c>
      <c r="N786">
        <v>55901</v>
      </c>
      <c r="O786" t="s">
        <v>19</v>
      </c>
    </row>
    <row r="787" spans="1:15" x14ac:dyDescent="0.3">
      <c r="A787" s="1">
        <v>45967</v>
      </c>
      <c r="B787" s="3" t="s">
        <v>15</v>
      </c>
      <c r="C787" s="3">
        <v>2463.9</v>
      </c>
      <c r="D787" s="3">
        <v>2463.9</v>
      </c>
      <c r="E787" s="3">
        <v>2432.6</v>
      </c>
      <c r="F787" s="3">
        <v>2445.6999999999998</v>
      </c>
      <c r="G787" s="3">
        <v>2439</v>
      </c>
      <c r="H787" s="3">
        <v>2436</v>
      </c>
      <c r="I787" s="3">
        <v>2442.42</v>
      </c>
      <c r="J787" s="3">
        <v>2750</v>
      </c>
      <c r="K787" s="3">
        <v>2136</v>
      </c>
      <c r="L787">
        <v>1329256</v>
      </c>
      <c r="M787" s="2">
        <v>3246607239.0999999</v>
      </c>
      <c r="N787">
        <v>86424</v>
      </c>
      <c r="O787" t="s">
        <v>19</v>
      </c>
    </row>
    <row r="788" spans="1:15" x14ac:dyDescent="0.3">
      <c r="A788" s="1">
        <v>45965</v>
      </c>
      <c r="B788" s="3" t="s">
        <v>15</v>
      </c>
      <c r="C788" s="3">
        <v>2460</v>
      </c>
      <c r="D788" s="3">
        <v>2463.3000000000002</v>
      </c>
      <c r="E788" s="3">
        <v>2441.3000000000002</v>
      </c>
      <c r="F788" s="3">
        <v>2460</v>
      </c>
      <c r="G788" s="3">
        <v>2443.9</v>
      </c>
      <c r="H788" s="3">
        <v>2445.6999999999998</v>
      </c>
      <c r="I788" s="3">
        <v>2448.66</v>
      </c>
      <c r="J788" s="3">
        <v>2750</v>
      </c>
      <c r="K788" s="3">
        <v>2136</v>
      </c>
      <c r="L788">
        <v>1251588</v>
      </c>
      <c r="M788" s="2">
        <v>3064715959.5</v>
      </c>
      <c r="N788">
        <v>69387</v>
      </c>
      <c r="O788" t="s">
        <v>19</v>
      </c>
    </row>
    <row r="789" spans="1:15" x14ac:dyDescent="0.3">
      <c r="A789" s="1">
        <v>45964</v>
      </c>
      <c r="B789" s="3" t="s">
        <v>15</v>
      </c>
      <c r="C789" s="3">
        <v>2456.1</v>
      </c>
      <c r="D789" s="3">
        <v>2474.9</v>
      </c>
      <c r="E789" s="3">
        <v>2440.3000000000002</v>
      </c>
      <c r="F789" s="3">
        <v>2465.5</v>
      </c>
      <c r="G789" s="3">
        <v>2460</v>
      </c>
      <c r="H789" s="3">
        <v>2460</v>
      </c>
      <c r="I789" s="3">
        <v>2456.9299999999998</v>
      </c>
      <c r="J789" s="3">
        <v>2750</v>
      </c>
      <c r="K789" s="3">
        <v>2136</v>
      </c>
      <c r="L789">
        <v>1049185</v>
      </c>
      <c r="M789" s="2">
        <v>2577770223.9000001</v>
      </c>
      <c r="N789">
        <v>48953</v>
      </c>
      <c r="O789" t="s">
        <v>19</v>
      </c>
    </row>
    <row r="790" spans="1:15" x14ac:dyDescent="0.3">
      <c r="A790" s="1">
        <v>45961</v>
      </c>
      <c r="B790" s="3" t="s">
        <v>15</v>
      </c>
      <c r="C790" s="3">
        <v>2469</v>
      </c>
      <c r="D790" s="3">
        <v>2479.5</v>
      </c>
      <c r="E790" s="3">
        <v>2452.9</v>
      </c>
      <c r="F790" s="3">
        <v>2469.6</v>
      </c>
      <c r="G790" s="3">
        <v>2461.1999999999998</v>
      </c>
      <c r="H790" s="3">
        <v>2465.5</v>
      </c>
      <c r="I790" s="3">
        <v>2464.4299999999998</v>
      </c>
      <c r="J790" s="3">
        <v>2750</v>
      </c>
      <c r="K790" s="3">
        <v>2136</v>
      </c>
      <c r="L790">
        <v>1401937</v>
      </c>
      <c r="M790" s="2">
        <v>3454972548.9000001</v>
      </c>
      <c r="N790">
        <v>56237</v>
      </c>
      <c r="O790" t="s">
        <v>19</v>
      </c>
    </row>
    <row r="791" spans="1:15" x14ac:dyDescent="0.3">
      <c r="A791" s="1">
        <v>45960</v>
      </c>
      <c r="B791" s="3" t="s">
        <v>15</v>
      </c>
      <c r="C791" s="3">
        <v>2491</v>
      </c>
      <c r="D791" s="3">
        <v>2497</v>
      </c>
      <c r="E791" s="3">
        <v>2454.9</v>
      </c>
      <c r="F791" s="3">
        <v>2488.1</v>
      </c>
      <c r="G791" s="3">
        <v>2470</v>
      </c>
      <c r="H791" s="3">
        <v>2469.6</v>
      </c>
      <c r="I791" s="3">
        <v>2470.5</v>
      </c>
      <c r="J791" s="3">
        <v>2750</v>
      </c>
      <c r="K791" s="3">
        <v>2136</v>
      </c>
      <c r="L791">
        <v>1195631</v>
      </c>
      <c r="M791" s="2">
        <v>2953803987.5</v>
      </c>
      <c r="N791">
        <v>57460</v>
      </c>
      <c r="O791" t="s">
        <v>19</v>
      </c>
    </row>
    <row r="792" spans="1:15" x14ac:dyDescent="0.3">
      <c r="A792" s="1">
        <v>45959</v>
      </c>
      <c r="B792" s="3" t="s">
        <v>15</v>
      </c>
      <c r="C792" s="3">
        <v>2512.6</v>
      </c>
      <c r="D792" s="3">
        <v>2513.6</v>
      </c>
      <c r="E792" s="3">
        <v>2484</v>
      </c>
      <c r="F792" s="3">
        <v>2497.1</v>
      </c>
      <c r="G792" s="3">
        <v>2490</v>
      </c>
      <c r="H792" s="3">
        <v>2488.1</v>
      </c>
      <c r="I792" s="3">
        <v>2492.63</v>
      </c>
      <c r="J792" s="3">
        <v>2750</v>
      </c>
      <c r="K792" s="3">
        <v>2136</v>
      </c>
      <c r="L792">
        <v>1870143</v>
      </c>
      <c r="M792" s="2">
        <v>4661569499.8999996</v>
      </c>
      <c r="N792">
        <v>59711</v>
      </c>
      <c r="O792" t="s">
        <v>19</v>
      </c>
    </row>
    <row r="793" spans="1:15" x14ac:dyDescent="0.3">
      <c r="A793" s="1">
        <v>45958</v>
      </c>
      <c r="B793" s="3" t="s">
        <v>15</v>
      </c>
      <c r="C793" s="3">
        <v>2519</v>
      </c>
      <c r="D793" s="3">
        <v>2526</v>
      </c>
      <c r="E793" s="3">
        <v>2481.9</v>
      </c>
      <c r="F793" s="3">
        <v>2511.8000000000002</v>
      </c>
      <c r="G793" s="3">
        <v>2500</v>
      </c>
      <c r="H793" s="3">
        <v>2497.1</v>
      </c>
      <c r="I793" s="3">
        <v>2496.9499999999998</v>
      </c>
      <c r="J793" s="3">
        <v>2750</v>
      </c>
      <c r="K793" s="3">
        <v>2136</v>
      </c>
      <c r="L793">
        <v>2294976</v>
      </c>
      <c r="M793" s="2">
        <v>5730442781.3999996</v>
      </c>
      <c r="N793">
        <v>107397</v>
      </c>
      <c r="O793" t="s">
        <v>19</v>
      </c>
    </row>
    <row r="794" spans="1:15" x14ac:dyDescent="0.3">
      <c r="A794" s="1">
        <v>45957</v>
      </c>
      <c r="B794" s="3" t="s">
        <v>15</v>
      </c>
      <c r="C794" s="3">
        <v>2516.4</v>
      </c>
      <c r="D794" s="3">
        <v>2525</v>
      </c>
      <c r="E794" s="3">
        <v>2506</v>
      </c>
      <c r="F794" s="3">
        <v>2516.4</v>
      </c>
      <c r="G794" s="3">
        <v>2512.6999999999998</v>
      </c>
      <c r="H794" s="3">
        <v>2511.8000000000002</v>
      </c>
      <c r="I794" s="3">
        <v>2514.8200000000002</v>
      </c>
      <c r="J794" s="3">
        <v>2750</v>
      </c>
      <c r="K794" s="3">
        <v>2136</v>
      </c>
      <c r="L794">
        <v>2127832</v>
      </c>
      <c r="M794" s="2">
        <v>5351105578.3999996</v>
      </c>
      <c r="N794">
        <v>107131</v>
      </c>
      <c r="O794" t="s">
        <v>19</v>
      </c>
    </row>
    <row r="795" spans="1:15" x14ac:dyDescent="0.3">
      <c r="A795" s="1">
        <v>45954</v>
      </c>
      <c r="B795" s="3" t="s">
        <v>15</v>
      </c>
      <c r="C795" s="3">
        <v>2584</v>
      </c>
      <c r="D795" s="3">
        <v>2584</v>
      </c>
      <c r="E795" s="3">
        <v>2474.5</v>
      </c>
      <c r="F795" s="3">
        <v>2601.6</v>
      </c>
      <c r="G795" s="3">
        <v>2515</v>
      </c>
      <c r="H795" s="3">
        <v>2516.4</v>
      </c>
      <c r="I795" s="3">
        <v>2512.2800000000002</v>
      </c>
      <c r="J795" s="3">
        <v>2750</v>
      </c>
      <c r="K795" s="3">
        <v>2136</v>
      </c>
      <c r="L795">
        <v>3110800</v>
      </c>
      <c r="M795" s="2">
        <v>7815198611.8000002</v>
      </c>
      <c r="N795">
        <v>142162</v>
      </c>
      <c r="O795" t="s">
        <v>19</v>
      </c>
    </row>
    <row r="796" spans="1:15" x14ac:dyDescent="0.3">
      <c r="A796" s="1">
        <v>45953</v>
      </c>
      <c r="B796" s="3" t="s">
        <v>15</v>
      </c>
      <c r="C796" s="3">
        <v>2601</v>
      </c>
      <c r="D796" s="3">
        <v>2667.2</v>
      </c>
      <c r="E796" s="3">
        <v>2596.1</v>
      </c>
      <c r="F796" s="3">
        <v>2591.6999999999998</v>
      </c>
      <c r="G796" s="3">
        <v>2601</v>
      </c>
      <c r="H796" s="3">
        <v>2601.6</v>
      </c>
      <c r="I796" s="3">
        <v>2623.02</v>
      </c>
      <c r="J796" s="3">
        <v>2750</v>
      </c>
      <c r="K796" s="3">
        <v>2136</v>
      </c>
      <c r="L796">
        <v>3386744</v>
      </c>
      <c r="M796" s="2">
        <v>8883502957</v>
      </c>
      <c r="N796">
        <v>153645</v>
      </c>
      <c r="O796" t="s">
        <v>19</v>
      </c>
    </row>
    <row r="797" spans="1:15" x14ac:dyDescent="0.3">
      <c r="A797" s="1">
        <v>45951</v>
      </c>
      <c r="B797" s="3" t="s">
        <v>15</v>
      </c>
      <c r="C797" s="3">
        <v>2594</v>
      </c>
      <c r="D797" s="3">
        <v>2606.6999999999998</v>
      </c>
      <c r="E797" s="3">
        <v>2585.1</v>
      </c>
      <c r="F797" s="3">
        <v>2594.4</v>
      </c>
      <c r="G797" s="3">
        <v>2588</v>
      </c>
      <c r="H797" s="3">
        <v>2591.6999999999998</v>
      </c>
      <c r="I797" s="3">
        <v>2594.5300000000002</v>
      </c>
      <c r="J797" s="3">
        <v>2750</v>
      </c>
      <c r="K797" s="3">
        <v>2136</v>
      </c>
      <c r="L797">
        <v>82020</v>
      </c>
      <c r="M797" s="2">
        <v>212803041.19999999</v>
      </c>
      <c r="N797">
        <v>8723</v>
      </c>
      <c r="O797" t="s">
        <v>19</v>
      </c>
    </row>
    <row r="798" spans="1:15" x14ac:dyDescent="0.3">
      <c r="A798" s="1">
        <v>45950</v>
      </c>
      <c r="B798" s="3" t="s">
        <v>15</v>
      </c>
      <c r="C798" s="3">
        <v>2609</v>
      </c>
      <c r="D798" s="3">
        <v>2624.7</v>
      </c>
      <c r="E798" s="3">
        <v>2585.6</v>
      </c>
      <c r="F798" s="3">
        <v>2603.6999999999998</v>
      </c>
      <c r="G798" s="3">
        <v>2601.1</v>
      </c>
      <c r="H798" s="3">
        <v>2594.4</v>
      </c>
      <c r="I798" s="3">
        <v>2601.65</v>
      </c>
      <c r="J798" s="3">
        <v>2750</v>
      </c>
      <c r="K798" s="3">
        <v>2136</v>
      </c>
      <c r="L798">
        <v>1011485</v>
      </c>
      <c r="M798" s="2">
        <v>2631528206.6999998</v>
      </c>
      <c r="N798">
        <v>62291</v>
      </c>
      <c r="O798" t="s">
        <v>19</v>
      </c>
    </row>
    <row r="799" spans="1:15" x14ac:dyDescent="0.3">
      <c r="A799" s="1">
        <v>45947</v>
      </c>
      <c r="B799" s="3" t="s">
        <v>15</v>
      </c>
      <c r="C799" s="3">
        <v>2565.5</v>
      </c>
      <c r="D799" s="3">
        <v>2615</v>
      </c>
      <c r="E799" s="3">
        <v>2560</v>
      </c>
      <c r="F799" s="3">
        <v>2561.5</v>
      </c>
      <c r="G799" s="3">
        <v>2603.4</v>
      </c>
      <c r="H799" s="3">
        <v>2603.6999999999998</v>
      </c>
      <c r="I799" s="3">
        <v>2599.89</v>
      </c>
      <c r="J799" s="3">
        <v>2804.7</v>
      </c>
      <c r="K799" s="3">
        <v>2136</v>
      </c>
      <c r="L799">
        <v>2050690</v>
      </c>
      <c r="M799" s="2">
        <v>5331566195</v>
      </c>
      <c r="N799">
        <v>123072</v>
      </c>
      <c r="O799" t="s">
        <v>19</v>
      </c>
    </row>
    <row r="800" spans="1:15" x14ac:dyDescent="0.3">
      <c r="A800" s="1">
        <v>45946</v>
      </c>
      <c r="B800" s="3" t="s">
        <v>15</v>
      </c>
      <c r="C800" s="3">
        <v>2517.8000000000002</v>
      </c>
      <c r="D800" s="3">
        <v>2568.5</v>
      </c>
      <c r="E800" s="3">
        <v>2507.1</v>
      </c>
      <c r="F800" s="3">
        <v>2519</v>
      </c>
      <c r="G800" s="3">
        <v>2560</v>
      </c>
      <c r="H800" s="3">
        <v>2561.5</v>
      </c>
      <c r="I800" s="3">
        <v>2541.35</v>
      </c>
      <c r="J800" s="3">
        <v>2804.7</v>
      </c>
      <c r="K800" s="3">
        <v>2136</v>
      </c>
      <c r="L800">
        <v>1446646</v>
      </c>
      <c r="M800" s="2">
        <v>3676427185.6999998</v>
      </c>
      <c r="N800">
        <v>68156</v>
      </c>
      <c r="O800" t="s">
        <v>19</v>
      </c>
    </row>
    <row r="801" spans="1:15" x14ac:dyDescent="0.3">
      <c r="A801" s="1">
        <v>45945</v>
      </c>
      <c r="B801" s="3" t="s">
        <v>15</v>
      </c>
      <c r="C801" s="3">
        <v>2502.6</v>
      </c>
      <c r="D801" s="3">
        <v>2531.8000000000002</v>
      </c>
      <c r="E801" s="3">
        <v>2502.6</v>
      </c>
      <c r="F801" s="3">
        <v>2502.3000000000002</v>
      </c>
      <c r="G801" s="3">
        <v>2515</v>
      </c>
      <c r="H801" s="3">
        <v>2519</v>
      </c>
      <c r="I801" s="3">
        <v>2520.1799999999998</v>
      </c>
      <c r="J801" s="3">
        <v>2804.7</v>
      </c>
      <c r="K801" s="3">
        <v>2136</v>
      </c>
      <c r="L801">
        <v>881070</v>
      </c>
      <c r="M801" s="2">
        <v>2220456153.6999998</v>
      </c>
      <c r="N801">
        <v>52395</v>
      </c>
      <c r="O801" t="s">
        <v>19</v>
      </c>
    </row>
    <row r="802" spans="1:15" x14ac:dyDescent="0.3">
      <c r="A802" s="1">
        <v>45944</v>
      </c>
      <c r="B802" s="3" t="s">
        <v>15</v>
      </c>
      <c r="C802" s="3">
        <v>2493</v>
      </c>
      <c r="D802" s="3">
        <v>2509.1999999999998</v>
      </c>
      <c r="E802" s="3">
        <v>2482.3000000000002</v>
      </c>
      <c r="F802" s="3">
        <v>2492.8000000000002</v>
      </c>
      <c r="G802" s="3">
        <v>2502</v>
      </c>
      <c r="H802" s="3">
        <v>2502.3000000000002</v>
      </c>
      <c r="I802" s="3">
        <v>2500.58</v>
      </c>
      <c r="J802" s="3">
        <v>2804.7</v>
      </c>
      <c r="K802" s="3">
        <v>2136</v>
      </c>
      <c r="L802">
        <v>1461017</v>
      </c>
      <c r="M802" s="2">
        <v>3653393248.1999998</v>
      </c>
      <c r="N802">
        <v>64421</v>
      </c>
      <c r="O802" t="s">
        <v>19</v>
      </c>
    </row>
    <row r="803" spans="1:15" x14ac:dyDescent="0.3">
      <c r="A803" s="1">
        <v>45943</v>
      </c>
      <c r="B803" s="3" t="s">
        <v>15</v>
      </c>
      <c r="C803" s="3">
        <v>2519.1999999999998</v>
      </c>
      <c r="D803" s="3">
        <v>2531.6</v>
      </c>
      <c r="E803" s="3">
        <v>2485.4</v>
      </c>
      <c r="F803" s="3">
        <v>2528.9</v>
      </c>
      <c r="G803" s="3">
        <v>2496.6</v>
      </c>
      <c r="H803" s="3">
        <v>2492.8000000000002</v>
      </c>
      <c r="I803" s="3">
        <v>2497.33</v>
      </c>
      <c r="J803" s="3">
        <v>2804.7</v>
      </c>
      <c r="K803" s="3">
        <v>2136</v>
      </c>
      <c r="L803">
        <v>1114750</v>
      </c>
      <c r="M803" s="2">
        <v>2783896682</v>
      </c>
      <c r="N803">
        <v>49171</v>
      </c>
      <c r="O803" t="s">
        <v>19</v>
      </c>
    </row>
    <row r="804" spans="1:15" x14ac:dyDescent="0.3">
      <c r="A804" s="1">
        <v>45940</v>
      </c>
      <c r="B804" s="3" t="s">
        <v>15</v>
      </c>
      <c r="C804" s="3">
        <v>2510</v>
      </c>
      <c r="D804" s="3">
        <v>2534.9</v>
      </c>
      <c r="E804" s="3">
        <v>2506.5</v>
      </c>
      <c r="F804" s="3">
        <v>2517.6</v>
      </c>
      <c r="G804" s="3">
        <v>2526</v>
      </c>
      <c r="H804" s="3">
        <v>2528.9</v>
      </c>
      <c r="I804" s="3">
        <v>2523.6</v>
      </c>
      <c r="J804" s="3">
        <v>2886</v>
      </c>
      <c r="K804" s="3">
        <v>2136</v>
      </c>
      <c r="L804">
        <v>1018875</v>
      </c>
      <c r="M804" s="2">
        <v>2571231935.5999999</v>
      </c>
      <c r="N804">
        <v>57092</v>
      </c>
      <c r="O804" t="s">
        <v>19</v>
      </c>
    </row>
    <row r="805" spans="1:15" x14ac:dyDescent="0.3">
      <c r="A805" s="1">
        <v>45939</v>
      </c>
      <c r="B805" s="3" t="s">
        <v>15</v>
      </c>
      <c r="C805" s="3">
        <v>2501</v>
      </c>
      <c r="D805" s="3">
        <v>2523</v>
      </c>
      <c r="E805" s="3">
        <v>2498.3000000000002</v>
      </c>
      <c r="F805" s="3">
        <v>2500.1</v>
      </c>
      <c r="G805" s="3">
        <v>2522.4</v>
      </c>
      <c r="H805" s="3">
        <v>2517.6</v>
      </c>
      <c r="I805" s="3">
        <v>2514.04</v>
      </c>
      <c r="J805" s="3">
        <v>2886</v>
      </c>
      <c r="K805" s="3">
        <v>2136</v>
      </c>
      <c r="L805">
        <v>1259173</v>
      </c>
      <c r="M805" s="2">
        <v>3165612003.0999999</v>
      </c>
      <c r="N805">
        <v>75193</v>
      </c>
      <c r="O805" t="s">
        <v>19</v>
      </c>
    </row>
    <row r="806" spans="1:15" x14ac:dyDescent="0.3">
      <c r="A806" s="1">
        <v>45938</v>
      </c>
      <c r="B806" s="3" t="s">
        <v>15</v>
      </c>
      <c r="C806" s="3">
        <v>2511</v>
      </c>
      <c r="D806" s="3">
        <v>2525</v>
      </c>
      <c r="E806" s="3">
        <v>2486.1</v>
      </c>
      <c r="F806" s="3">
        <v>2517.1999999999998</v>
      </c>
      <c r="G806" s="3">
        <v>2496</v>
      </c>
      <c r="H806" s="3">
        <v>2500.1</v>
      </c>
      <c r="I806" s="3">
        <v>2505.48</v>
      </c>
      <c r="J806" s="3">
        <v>2886</v>
      </c>
      <c r="K806" s="3">
        <v>2136</v>
      </c>
      <c r="L806">
        <v>1225128</v>
      </c>
      <c r="M806" s="2">
        <v>3069533352.6999998</v>
      </c>
      <c r="N806">
        <v>58033</v>
      </c>
      <c r="O806" t="s">
        <v>19</v>
      </c>
    </row>
    <row r="807" spans="1:15" x14ac:dyDescent="0.3">
      <c r="A807" s="1">
        <v>45937</v>
      </c>
      <c r="B807" s="3" t="s">
        <v>15</v>
      </c>
      <c r="C807" s="3">
        <v>2540</v>
      </c>
      <c r="D807" s="3">
        <v>2559.4</v>
      </c>
      <c r="E807" s="3">
        <v>2508.3000000000002</v>
      </c>
      <c r="F807" s="3">
        <v>2541.8000000000002</v>
      </c>
      <c r="G807" s="3">
        <v>2530</v>
      </c>
      <c r="H807" s="3">
        <v>2517.1999999999998</v>
      </c>
      <c r="I807" s="3">
        <v>2521.6799999999998</v>
      </c>
      <c r="J807" s="3">
        <v>2886</v>
      </c>
      <c r="K807" s="3">
        <v>2136</v>
      </c>
      <c r="L807">
        <v>1291750</v>
      </c>
      <c r="M807" s="2">
        <v>3257385826.8000002</v>
      </c>
      <c r="N807">
        <v>68679</v>
      </c>
      <c r="O807" t="s">
        <v>19</v>
      </c>
    </row>
    <row r="808" spans="1:15" x14ac:dyDescent="0.3">
      <c r="A808" s="1">
        <v>45936</v>
      </c>
      <c r="B808" s="3" t="s">
        <v>15</v>
      </c>
      <c r="C808" s="3">
        <v>2535.1999999999998</v>
      </c>
      <c r="D808" s="3">
        <v>2549.6</v>
      </c>
      <c r="E808" s="3">
        <v>2520.1999999999998</v>
      </c>
      <c r="F808" s="3">
        <v>2544.9</v>
      </c>
      <c r="G808" s="3">
        <v>2541</v>
      </c>
      <c r="H808" s="3">
        <v>2541.8000000000002</v>
      </c>
      <c r="I808" s="3">
        <v>2538.4299999999998</v>
      </c>
      <c r="J808" s="3">
        <v>2886</v>
      </c>
      <c r="K808" s="3">
        <v>2136</v>
      </c>
      <c r="L808">
        <v>818923</v>
      </c>
      <c r="M808" s="2">
        <v>2078776424.5999999</v>
      </c>
      <c r="N808">
        <v>44250</v>
      </c>
      <c r="O808" t="s">
        <v>19</v>
      </c>
    </row>
    <row r="809" spans="1:15" x14ac:dyDescent="0.3">
      <c r="A809" s="1">
        <v>45933</v>
      </c>
      <c r="B809" s="3" t="s">
        <v>15</v>
      </c>
      <c r="C809" s="3">
        <v>2536.1999999999998</v>
      </c>
      <c r="D809" s="3">
        <v>2548.6</v>
      </c>
      <c r="E809" s="3">
        <v>2508.3000000000002</v>
      </c>
      <c r="F809" s="3">
        <v>2536.1999999999998</v>
      </c>
      <c r="G809" s="3">
        <v>2539</v>
      </c>
      <c r="H809" s="3">
        <v>2544.9</v>
      </c>
      <c r="I809" s="3">
        <v>2534.63</v>
      </c>
      <c r="J809" s="3">
        <v>2997.9</v>
      </c>
      <c r="K809" s="3">
        <v>2136</v>
      </c>
      <c r="L809">
        <v>1242611</v>
      </c>
      <c r="M809" s="2">
        <v>3149563863.9000001</v>
      </c>
      <c r="N809">
        <v>60549</v>
      </c>
      <c r="O809" t="s">
        <v>19</v>
      </c>
    </row>
    <row r="810" spans="1:15" x14ac:dyDescent="0.3">
      <c r="A810" s="1">
        <v>45931</v>
      </c>
      <c r="B810" s="3" t="s">
        <v>15</v>
      </c>
      <c r="C810" s="3">
        <v>2515.4</v>
      </c>
      <c r="D810" s="3">
        <v>2550</v>
      </c>
      <c r="E810" s="3">
        <v>2497.9</v>
      </c>
      <c r="F810" s="3">
        <v>2514.4</v>
      </c>
      <c r="G810" s="3">
        <v>2535</v>
      </c>
      <c r="H810" s="3">
        <v>2536.1999999999998</v>
      </c>
      <c r="I810" s="3">
        <v>2526.75</v>
      </c>
      <c r="J810" s="3">
        <v>2997.9</v>
      </c>
      <c r="K810" s="3">
        <v>2136</v>
      </c>
      <c r="L810">
        <v>1483899</v>
      </c>
      <c r="M810" s="2">
        <v>3749435075.5999999</v>
      </c>
      <c r="N810">
        <v>65146</v>
      </c>
      <c r="O810" t="s">
        <v>19</v>
      </c>
    </row>
    <row r="811" spans="1:15" x14ac:dyDescent="0.3">
      <c r="A811" s="1">
        <v>45930</v>
      </c>
      <c r="B811" s="3" t="s">
        <v>15</v>
      </c>
      <c r="C811" s="3">
        <v>2497.9</v>
      </c>
      <c r="D811" s="3">
        <v>2526.3000000000002</v>
      </c>
      <c r="E811" s="3">
        <v>2491.6</v>
      </c>
      <c r="F811" s="3">
        <v>2497.9</v>
      </c>
      <c r="G811" s="3">
        <v>2516.3000000000002</v>
      </c>
      <c r="H811" s="3">
        <v>2514.4</v>
      </c>
      <c r="I811" s="3">
        <v>2512.0500000000002</v>
      </c>
      <c r="J811" s="3">
        <v>2997.9</v>
      </c>
      <c r="K811" s="3">
        <v>2136</v>
      </c>
      <c r="L811">
        <v>1678088</v>
      </c>
      <c r="M811" s="2">
        <v>4215447351.9000001</v>
      </c>
      <c r="N811">
        <v>87438</v>
      </c>
      <c r="O811" t="s">
        <v>19</v>
      </c>
    </row>
    <row r="812" spans="1:15" x14ac:dyDescent="0.3">
      <c r="A812" s="1">
        <v>45929</v>
      </c>
      <c r="B812" s="3" t="s">
        <v>15</v>
      </c>
      <c r="C812" s="3">
        <v>2495</v>
      </c>
      <c r="D812" s="3">
        <v>2517.4</v>
      </c>
      <c r="E812" s="3">
        <v>2443</v>
      </c>
      <c r="F812" s="3">
        <v>2511.8000000000002</v>
      </c>
      <c r="G812" s="3">
        <v>2501.1</v>
      </c>
      <c r="H812" s="3">
        <v>2497.9</v>
      </c>
      <c r="I812" s="3">
        <v>2493.2800000000002</v>
      </c>
      <c r="J812" s="3">
        <v>2997.9</v>
      </c>
      <c r="K812" s="3">
        <v>2136</v>
      </c>
      <c r="L812">
        <v>2403556</v>
      </c>
      <c r="M812" s="2">
        <v>5992748858.6999998</v>
      </c>
      <c r="N812">
        <v>108089</v>
      </c>
      <c r="O812" t="s">
        <v>19</v>
      </c>
    </row>
    <row r="813" spans="1:15" x14ac:dyDescent="0.3">
      <c r="A813" s="1">
        <v>45926</v>
      </c>
      <c r="B813" s="3" t="s">
        <v>15</v>
      </c>
      <c r="C813" s="3">
        <v>2535</v>
      </c>
      <c r="D813" s="3">
        <v>2545.4</v>
      </c>
      <c r="E813" s="3">
        <v>2499.4</v>
      </c>
      <c r="F813" s="3">
        <v>2538.3000000000002</v>
      </c>
      <c r="G813" s="3">
        <v>2512</v>
      </c>
      <c r="H813" s="3">
        <v>2511.8000000000002</v>
      </c>
      <c r="I813" s="3">
        <v>2511.29</v>
      </c>
      <c r="J813" s="3">
        <v>3035</v>
      </c>
      <c r="K813" s="3">
        <v>2136</v>
      </c>
      <c r="L813">
        <v>885612</v>
      </c>
      <c r="M813" s="2">
        <v>2224030604.1999998</v>
      </c>
      <c r="N813">
        <v>73464</v>
      </c>
      <c r="O813" t="s">
        <v>19</v>
      </c>
    </row>
    <row r="814" spans="1:15" x14ac:dyDescent="0.3">
      <c r="A814" s="1">
        <v>45925</v>
      </c>
      <c r="B814" s="3" t="s">
        <v>15</v>
      </c>
      <c r="C814" s="3">
        <v>2546</v>
      </c>
      <c r="D814" s="3">
        <v>2567.5</v>
      </c>
      <c r="E814" s="3">
        <v>2531.8000000000002</v>
      </c>
      <c r="F814" s="3">
        <v>2549.5</v>
      </c>
      <c r="G814" s="3">
        <v>2542.9</v>
      </c>
      <c r="H814" s="3">
        <v>2538.3000000000002</v>
      </c>
      <c r="I814" s="3">
        <v>2546.09</v>
      </c>
      <c r="J814" s="3">
        <v>3035</v>
      </c>
      <c r="K814" s="3">
        <v>2136</v>
      </c>
      <c r="L814">
        <v>1624258</v>
      </c>
      <c r="M814" s="2">
        <v>4135502470.6999998</v>
      </c>
      <c r="N814">
        <v>108114</v>
      </c>
      <c r="O814" t="s">
        <v>19</v>
      </c>
    </row>
    <row r="815" spans="1:15" x14ac:dyDescent="0.3">
      <c r="A815" s="1">
        <v>45924</v>
      </c>
      <c r="B815" s="3" t="s">
        <v>15</v>
      </c>
      <c r="C815" s="3">
        <v>2522.1999999999998</v>
      </c>
      <c r="D815" s="3">
        <v>2576</v>
      </c>
      <c r="E815" s="3">
        <v>2510</v>
      </c>
      <c r="F815" s="3">
        <v>2522.1999999999998</v>
      </c>
      <c r="G815" s="3">
        <v>2556.6</v>
      </c>
      <c r="H815" s="3">
        <v>2549.5</v>
      </c>
      <c r="I815" s="3">
        <v>2554.2399999999998</v>
      </c>
      <c r="J815" s="3">
        <v>3035</v>
      </c>
      <c r="K815" s="3">
        <v>2136</v>
      </c>
      <c r="L815">
        <v>1882881</v>
      </c>
      <c r="M815" s="2">
        <v>4809338011.8999996</v>
      </c>
      <c r="N815">
        <v>113008</v>
      </c>
      <c r="O815" t="s">
        <v>19</v>
      </c>
    </row>
    <row r="816" spans="1:15" x14ac:dyDescent="0.3">
      <c r="A816" s="1">
        <v>45923</v>
      </c>
      <c r="B816" s="3" t="s">
        <v>15</v>
      </c>
      <c r="C816" s="3">
        <v>2568.9</v>
      </c>
      <c r="D816" s="3">
        <v>2575.3000000000002</v>
      </c>
      <c r="E816" s="3">
        <v>2518.1999999999998</v>
      </c>
      <c r="F816" s="3">
        <v>2572.1999999999998</v>
      </c>
      <c r="G816" s="3">
        <v>2524.9</v>
      </c>
      <c r="H816" s="3">
        <v>2522.1999999999998</v>
      </c>
      <c r="I816" s="3">
        <v>2533.19</v>
      </c>
      <c r="J816" s="3">
        <v>3035</v>
      </c>
      <c r="K816" s="3">
        <v>2136</v>
      </c>
      <c r="L816">
        <v>1430474</v>
      </c>
      <c r="M816" s="2">
        <v>3623668085.9000001</v>
      </c>
      <c r="N816">
        <v>74139</v>
      </c>
      <c r="O816" t="s">
        <v>19</v>
      </c>
    </row>
    <row r="817" spans="1:15" x14ac:dyDescent="0.3">
      <c r="A817" s="1">
        <v>45922</v>
      </c>
      <c r="B817" s="3" t="s">
        <v>15</v>
      </c>
      <c r="C817" s="3">
        <v>2569</v>
      </c>
      <c r="D817" s="3">
        <v>2587.1999999999998</v>
      </c>
      <c r="E817" s="3">
        <v>2560.1999999999998</v>
      </c>
      <c r="F817" s="3">
        <v>2559.6</v>
      </c>
      <c r="G817" s="3">
        <v>2568.5</v>
      </c>
      <c r="H817" s="3">
        <v>2572.1999999999998</v>
      </c>
      <c r="I817" s="3">
        <v>2574.69</v>
      </c>
      <c r="J817" s="3">
        <v>3035</v>
      </c>
      <c r="K817" s="3">
        <v>2136</v>
      </c>
      <c r="L817">
        <v>1174161</v>
      </c>
      <c r="M817" s="2">
        <v>3023096185.1999998</v>
      </c>
      <c r="N817">
        <v>56229</v>
      </c>
      <c r="O817" t="s">
        <v>19</v>
      </c>
    </row>
    <row r="818" spans="1:15" x14ac:dyDescent="0.3">
      <c r="A818" s="1">
        <v>45919</v>
      </c>
      <c r="B818" s="3" t="s">
        <v>15</v>
      </c>
      <c r="C818" s="3">
        <v>2600</v>
      </c>
      <c r="D818" s="3">
        <v>2604.6999999999998</v>
      </c>
      <c r="E818" s="3">
        <v>2554.8000000000002</v>
      </c>
      <c r="F818" s="3">
        <v>2586.8000000000002</v>
      </c>
      <c r="G818" s="3">
        <v>2564</v>
      </c>
      <c r="H818" s="3">
        <v>2559.6</v>
      </c>
      <c r="I818" s="3">
        <v>2566.9299999999998</v>
      </c>
      <c r="J818" s="3">
        <v>3035</v>
      </c>
      <c r="K818" s="3">
        <v>2136</v>
      </c>
      <c r="L818">
        <v>2214708</v>
      </c>
      <c r="M818" s="2">
        <v>5685009456.1000004</v>
      </c>
      <c r="N818">
        <v>68208</v>
      </c>
      <c r="O818" t="s">
        <v>19</v>
      </c>
    </row>
    <row r="819" spans="1:15" x14ac:dyDescent="0.3">
      <c r="A819" s="1">
        <v>45918</v>
      </c>
      <c r="B819" s="3" t="s">
        <v>15</v>
      </c>
      <c r="C819" s="3">
        <v>2570.9</v>
      </c>
      <c r="D819" s="3">
        <v>2609.9</v>
      </c>
      <c r="E819" s="3">
        <v>2570.9</v>
      </c>
      <c r="F819" s="3">
        <v>2569.6999999999998</v>
      </c>
      <c r="G819" s="3">
        <v>2580.3000000000002</v>
      </c>
      <c r="H819" s="3">
        <v>2586.8000000000002</v>
      </c>
      <c r="I819" s="3">
        <v>2588.2399999999998</v>
      </c>
      <c r="J819" s="3">
        <v>3035</v>
      </c>
      <c r="K819" s="3">
        <v>2136</v>
      </c>
      <c r="L819">
        <v>1550153</v>
      </c>
      <c r="M819" s="2">
        <v>4012160949.6999998</v>
      </c>
      <c r="N819">
        <v>79692</v>
      </c>
      <c r="O819" t="s">
        <v>19</v>
      </c>
    </row>
    <row r="820" spans="1:15" x14ac:dyDescent="0.3">
      <c r="A820" s="1">
        <v>45917</v>
      </c>
      <c r="B820" s="3" t="s">
        <v>15</v>
      </c>
      <c r="C820" s="3">
        <v>2587</v>
      </c>
      <c r="D820" s="3">
        <v>2591.1</v>
      </c>
      <c r="E820" s="3">
        <v>2566.5</v>
      </c>
      <c r="F820" s="3">
        <v>2580.9</v>
      </c>
      <c r="G820" s="3">
        <v>2574</v>
      </c>
      <c r="H820" s="3">
        <v>2569.6999999999998</v>
      </c>
      <c r="I820" s="3">
        <v>2574.34</v>
      </c>
      <c r="J820" s="3">
        <v>3035</v>
      </c>
      <c r="K820" s="3">
        <v>2136</v>
      </c>
      <c r="L820">
        <v>970247</v>
      </c>
      <c r="M820" s="2">
        <v>2497750076.4000001</v>
      </c>
      <c r="N820">
        <v>41039</v>
      </c>
      <c r="O820" t="s">
        <v>19</v>
      </c>
    </row>
    <row r="821" spans="1:15" x14ac:dyDescent="0.3">
      <c r="A821" s="1">
        <v>45916</v>
      </c>
      <c r="B821" s="3" t="s">
        <v>15</v>
      </c>
      <c r="C821" s="3">
        <v>2588.1999999999998</v>
      </c>
      <c r="D821" s="3">
        <v>2590</v>
      </c>
      <c r="E821" s="3">
        <v>2572.6</v>
      </c>
      <c r="F821" s="3">
        <v>2581</v>
      </c>
      <c r="G821" s="3">
        <v>2585</v>
      </c>
      <c r="H821" s="3">
        <v>2580.9</v>
      </c>
      <c r="I821" s="3">
        <v>2581.14</v>
      </c>
      <c r="J821" s="3">
        <v>3035</v>
      </c>
      <c r="K821" s="3">
        <v>2136</v>
      </c>
      <c r="L821">
        <v>1040928</v>
      </c>
      <c r="M821" s="2">
        <v>2686777880.9000001</v>
      </c>
      <c r="N821">
        <v>47475</v>
      </c>
      <c r="O821" t="s">
        <v>19</v>
      </c>
    </row>
    <row r="822" spans="1:15" x14ac:dyDescent="0.3">
      <c r="A822" s="1">
        <v>45915</v>
      </c>
      <c r="B822" s="3" t="s">
        <v>15</v>
      </c>
      <c r="C822" s="3">
        <v>2580.5</v>
      </c>
      <c r="D822" s="3">
        <v>2593.4</v>
      </c>
      <c r="E822" s="3">
        <v>2568.4</v>
      </c>
      <c r="F822" s="3">
        <v>2580.5</v>
      </c>
      <c r="G822" s="3">
        <v>2580</v>
      </c>
      <c r="H822" s="3">
        <v>2581</v>
      </c>
      <c r="I822" s="3">
        <v>2582.91</v>
      </c>
      <c r="J822" s="3">
        <v>3035</v>
      </c>
      <c r="K822" s="3">
        <v>2136</v>
      </c>
      <c r="L822">
        <v>752745</v>
      </c>
      <c r="M822" s="2">
        <v>1944272199.4000001</v>
      </c>
      <c r="N822">
        <v>57453</v>
      </c>
      <c r="O822" t="s">
        <v>19</v>
      </c>
    </row>
    <row r="823" spans="1:15" x14ac:dyDescent="0.3">
      <c r="A823" s="1">
        <v>45912</v>
      </c>
      <c r="B823" s="3" t="s">
        <v>15</v>
      </c>
      <c r="C823" s="3">
        <v>2625</v>
      </c>
      <c r="D823" s="3">
        <v>2628.9</v>
      </c>
      <c r="E823" s="3">
        <v>2569</v>
      </c>
      <c r="F823" s="3">
        <v>2622</v>
      </c>
      <c r="G823" s="3">
        <v>2582</v>
      </c>
      <c r="H823" s="3">
        <v>2580.5</v>
      </c>
      <c r="I823" s="3">
        <v>2583.5</v>
      </c>
      <c r="J823" s="3">
        <v>3035</v>
      </c>
      <c r="K823" s="3">
        <v>2136</v>
      </c>
      <c r="L823">
        <v>1368380</v>
      </c>
      <c r="M823" s="2">
        <v>3535210740.1999998</v>
      </c>
      <c r="N823">
        <v>91975</v>
      </c>
      <c r="O823" t="s">
        <v>19</v>
      </c>
    </row>
    <row r="824" spans="1:15" x14ac:dyDescent="0.3">
      <c r="A824" s="1">
        <v>45911</v>
      </c>
      <c r="B824" s="3" t="s">
        <v>15</v>
      </c>
      <c r="C824" s="3">
        <v>2643.8</v>
      </c>
      <c r="D824" s="3">
        <v>2657.7</v>
      </c>
      <c r="E824" s="3">
        <v>2614</v>
      </c>
      <c r="F824" s="3">
        <v>2643.5</v>
      </c>
      <c r="G824" s="3">
        <v>2626.7</v>
      </c>
      <c r="H824" s="3">
        <v>2622</v>
      </c>
      <c r="I824" s="3">
        <v>2630.95</v>
      </c>
      <c r="J824" s="3">
        <v>3035</v>
      </c>
      <c r="K824" s="3">
        <v>2136</v>
      </c>
      <c r="L824">
        <v>1212707</v>
      </c>
      <c r="M824" s="2">
        <v>3190567298.5999999</v>
      </c>
      <c r="N824">
        <v>110722</v>
      </c>
      <c r="O824" t="s">
        <v>19</v>
      </c>
    </row>
    <row r="825" spans="1:15" x14ac:dyDescent="0.3">
      <c r="A825" s="1">
        <v>45910</v>
      </c>
      <c r="B825" s="3" t="s">
        <v>15</v>
      </c>
      <c r="C825" s="3">
        <v>2642</v>
      </c>
      <c r="D825" s="3">
        <v>2652.9</v>
      </c>
      <c r="E825" s="3">
        <v>2619</v>
      </c>
      <c r="F825" s="3">
        <v>2642</v>
      </c>
      <c r="G825" s="3">
        <v>2646</v>
      </c>
      <c r="H825" s="3">
        <v>2643.5</v>
      </c>
      <c r="I825" s="3">
        <v>2638.3</v>
      </c>
      <c r="J825" s="3">
        <v>3035</v>
      </c>
      <c r="K825" s="3">
        <v>2136</v>
      </c>
      <c r="L825">
        <v>1031486</v>
      </c>
      <c r="M825" s="2">
        <v>2721366883.4000001</v>
      </c>
      <c r="N825">
        <v>74808</v>
      </c>
      <c r="O825" t="s">
        <v>19</v>
      </c>
    </row>
    <row r="826" spans="1:15" x14ac:dyDescent="0.3">
      <c r="A826" s="1">
        <v>45909</v>
      </c>
      <c r="B826" s="3" t="s">
        <v>15</v>
      </c>
      <c r="C826" s="3">
        <v>2637</v>
      </c>
      <c r="D826" s="3">
        <v>2646.2</v>
      </c>
      <c r="E826" s="3">
        <v>2611.3000000000002</v>
      </c>
      <c r="F826" s="3">
        <v>2623.9</v>
      </c>
      <c r="G826" s="3">
        <v>2640.2</v>
      </c>
      <c r="H826" s="3">
        <v>2642</v>
      </c>
      <c r="I826" s="3">
        <v>2634.15</v>
      </c>
      <c r="J826" s="3">
        <v>3035</v>
      </c>
      <c r="K826" s="3">
        <v>2136</v>
      </c>
      <c r="L826">
        <v>1610956</v>
      </c>
      <c r="M826" s="2">
        <v>4243495950.9000001</v>
      </c>
      <c r="N826">
        <v>74995</v>
      </c>
      <c r="O826" t="s">
        <v>19</v>
      </c>
    </row>
    <row r="827" spans="1:15" x14ac:dyDescent="0.3">
      <c r="A827" s="1">
        <v>45908</v>
      </c>
      <c r="B827" s="3" t="s">
        <v>15</v>
      </c>
      <c r="C827" s="3">
        <v>2630</v>
      </c>
      <c r="D827" s="3">
        <v>2644.6</v>
      </c>
      <c r="E827" s="3">
        <v>2618.8000000000002</v>
      </c>
      <c r="F827" s="3">
        <v>2633.4</v>
      </c>
      <c r="G827" s="3">
        <v>2629</v>
      </c>
      <c r="H827" s="3">
        <v>2623.9</v>
      </c>
      <c r="I827" s="3">
        <v>2628.45</v>
      </c>
      <c r="J827" s="3">
        <v>3035</v>
      </c>
      <c r="K827" s="3">
        <v>2136</v>
      </c>
      <c r="L827">
        <v>903410</v>
      </c>
      <c r="M827" s="2">
        <v>2374564752.5</v>
      </c>
      <c r="N827">
        <v>74852</v>
      </c>
      <c r="O827" t="s">
        <v>19</v>
      </c>
    </row>
    <row r="828" spans="1:15" x14ac:dyDescent="0.3">
      <c r="A828" s="1">
        <v>45905</v>
      </c>
      <c r="B828" s="3" t="s">
        <v>15</v>
      </c>
      <c r="C828" s="3">
        <v>2667.6</v>
      </c>
      <c r="D828" s="3">
        <v>2672.9</v>
      </c>
      <c r="E828" s="3">
        <v>2623.8</v>
      </c>
      <c r="F828" s="3">
        <v>2666.6</v>
      </c>
      <c r="G828" s="3">
        <v>2628</v>
      </c>
      <c r="H828" s="3">
        <v>2633.4</v>
      </c>
      <c r="I828" s="3">
        <v>2642.92</v>
      </c>
      <c r="J828" s="3">
        <v>3035</v>
      </c>
      <c r="K828" s="3">
        <v>2136</v>
      </c>
      <c r="L828">
        <v>944879</v>
      </c>
      <c r="M828" s="2">
        <v>2497241215.9000001</v>
      </c>
      <c r="N828">
        <v>60689</v>
      </c>
      <c r="O828" t="s">
        <v>19</v>
      </c>
    </row>
    <row r="829" spans="1:15" x14ac:dyDescent="0.3">
      <c r="A829" s="1">
        <v>45904</v>
      </c>
      <c r="B829" s="3" t="s">
        <v>15</v>
      </c>
      <c r="C829" s="3">
        <v>2750</v>
      </c>
      <c r="D829" s="3">
        <v>2750</v>
      </c>
      <c r="E829" s="3">
        <v>2655.5</v>
      </c>
      <c r="F829" s="3">
        <v>2664.7</v>
      </c>
      <c r="G829" s="3">
        <v>2665</v>
      </c>
      <c r="H829" s="3">
        <v>2666.6</v>
      </c>
      <c r="I829" s="3">
        <v>2694.62</v>
      </c>
      <c r="J829" s="3">
        <v>3035</v>
      </c>
      <c r="K829" s="3">
        <v>2136</v>
      </c>
      <c r="L829">
        <v>2494678</v>
      </c>
      <c r="M829" s="2">
        <v>6722201756.8999996</v>
      </c>
      <c r="N829">
        <v>123249</v>
      </c>
      <c r="O829" t="s">
        <v>19</v>
      </c>
    </row>
    <row r="830" spans="1:15" x14ac:dyDescent="0.3">
      <c r="A830" s="1">
        <v>45903</v>
      </c>
      <c r="B830" s="3" t="s">
        <v>15</v>
      </c>
      <c r="C830" s="3">
        <v>2681</v>
      </c>
      <c r="D830" s="3">
        <v>2686.9</v>
      </c>
      <c r="E830" s="3">
        <v>2658.3</v>
      </c>
      <c r="F830" s="3">
        <v>2677</v>
      </c>
      <c r="G830" s="3">
        <v>2670</v>
      </c>
      <c r="H830" s="3">
        <v>2664.7</v>
      </c>
      <c r="I830" s="3">
        <v>2668</v>
      </c>
      <c r="J830" s="3">
        <v>3035</v>
      </c>
      <c r="K830" s="3">
        <v>2136</v>
      </c>
      <c r="L830">
        <v>1010692</v>
      </c>
      <c r="M830" s="2">
        <v>2696528429.5</v>
      </c>
      <c r="N830">
        <v>47874</v>
      </c>
      <c r="O830" t="s">
        <v>19</v>
      </c>
    </row>
    <row r="831" spans="1:15" x14ac:dyDescent="0.3">
      <c r="A831" s="1">
        <v>45902</v>
      </c>
      <c r="B831" s="3" t="s">
        <v>15</v>
      </c>
      <c r="C831" s="3">
        <v>2649</v>
      </c>
      <c r="D831" s="3">
        <v>2692.4</v>
      </c>
      <c r="E831" s="3">
        <v>2645.1</v>
      </c>
      <c r="F831" s="3">
        <v>2649.5</v>
      </c>
      <c r="G831" s="3">
        <v>2680</v>
      </c>
      <c r="H831" s="3">
        <v>2677</v>
      </c>
      <c r="I831" s="3">
        <v>2679.92</v>
      </c>
      <c r="J831" s="3">
        <v>3035</v>
      </c>
      <c r="K831" s="3">
        <v>2136</v>
      </c>
      <c r="L831">
        <v>1525106</v>
      </c>
      <c r="M831" s="2">
        <v>4087161608.1999998</v>
      </c>
      <c r="N831">
        <v>86034</v>
      </c>
      <c r="O831" t="s">
        <v>19</v>
      </c>
    </row>
    <row r="832" spans="1:15" x14ac:dyDescent="0.3">
      <c r="A832" s="1">
        <v>45901</v>
      </c>
      <c r="B832" s="3" t="s">
        <v>15</v>
      </c>
      <c r="C832" s="3">
        <v>2659.8</v>
      </c>
      <c r="D832" s="3">
        <v>2673.3</v>
      </c>
      <c r="E832" s="3">
        <v>2639.3</v>
      </c>
      <c r="F832" s="3">
        <v>2659.8</v>
      </c>
      <c r="G832" s="3">
        <v>2645</v>
      </c>
      <c r="H832" s="3">
        <v>2649.5</v>
      </c>
      <c r="I832" s="3">
        <v>2653.31</v>
      </c>
      <c r="J832" s="3">
        <v>3035</v>
      </c>
      <c r="K832" s="3">
        <v>2136</v>
      </c>
      <c r="L832">
        <v>1096729</v>
      </c>
      <c r="M832" s="2">
        <v>2909965291.0999999</v>
      </c>
      <c r="N832">
        <v>65078</v>
      </c>
      <c r="O832" t="s">
        <v>19</v>
      </c>
    </row>
    <row r="833" spans="1:15" x14ac:dyDescent="0.3">
      <c r="A833" s="1">
        <v>45898</v>
      </c>
      <c r="B833" s="3" t="s">
        <v>15</v>
      </c>
      <c r="C833" s="3">
        <v>2664.8</v>
      </c>
      <c r="D833" s="3">
        <v>2723</v>
      </c>
      <c r="E833" s="3">
        <v>2641.4</v>
      </c>
      <c r="F833" s="3">
        <v>2654.4</v>
      </c>
      <c r="G833" s="3">
        <v>2660</v>
      </c>
      <c r="H833" s="3">
        <v>2659.8</v>
      </c>
      <c r="I833" s="3">
        <v>2666.51</v>
      </c>
      <c r="J833" s="3">
        <v>3035</v>
      </c>
      <c r="K833" s="3">
        <v>2136</v>
      </c>
      <c r="L833">
        <v>1972773</v>
      </c>
      <c r="M833" s="2">
        <v>5260411726</v>
      </c>
      <c r="N833">
        <v>93460</v>
      </c>
      <c r="O833" t="s">
        <v>19</v>
      </c>
    </row>
    <row r="834" spans="1:15" x14ac:dyDescent="0.3">
      <c r="A834" s="1">
        <v>45897</v>
      </c>
      <c r="B834" s="3" t="s">
        <v>15</v>
      </c>
      <c r="C834" s="3">
        <v>2748</v>
      </c>
      <c r="D834" s="3">
        <v>2748</v>
      </c>
      <c r="E834" s="3">
        <v>2646.8</v>
      </c>
      <c r="F834" s="3">
        <v>2692.6</v>
      </c>
      <c r="G834" s="3">
        <v>2653.8</v>
      </c>
      <c r="H834" s="3">
        <v>2654.4</v>
      </c>
      <c r="I834" s="3">
        <v>2678.28</v>
      </c>
      <c r="J834" s="3">
        <v>3035</v>
      </c>
      <c r="K834" s="3">
        <v>2136</v>
      </c>
      <c r="L834">
        <v>3198743</v>
      </c>
      <c r="M834" s="2">
        <v>8567118649.8000002</v>
      </c>
      <c r="N834">
        <v>145385</v>
      </c>
      <c r="O834" t="s">
        <v>19</v>
      </c>
    </row>
    <row r="835" spans="1:15" x14ac:dyDescent="0.3">
      <c r="A835" s="1">
        <v>45895</v>
      </c>
      <c r="B835" s="3" t="s">
        <v>15</v>
      </c>
      <c r="C835" s="3">
        <v>2624.6</v>
      </c>
      <c r="D835" s="3">
        <v>2705</v>
      </c>
      <c r="E835" s="3">
        <v>2624.6</v>
      </c>
      <c r="F835" s="3">
        <v>2631.6</v>
      </c>
      <c r="G835" s="3">
        <v>2692.7</v>
      </c>
      <c r="H835" s="3">
        <v>2692.6</v>
      </c>
      <c r="I835" s="3">
        <v>2684.6</v>
      </c>
      <c r="J835" s="3">
        <v>3035</v>
      </c>
      <c r="K835" s="3">
        <v>2136</v>
      </c>
      <c r="L835">
        <v>4348648</v>
      </c>
      <c r="M835" s="2">
        <v>11674362191.299999</v>
      </c>
      <c r="N835">
        <v>193966</v>
      </c>
      <c r="O835" t="s">
        <v>19</v>
      </c>
    </row>
    <row r="836" spans="1:15" x14ac:dyDescent="0.3">
      <c r="A836" s="1">
        <v>45894</v>
      </c>
      <c r="B836" s="3" t="s">
        <v>15</v>
      </c>
      <c r="C836" s="3">
        <v>2643</v>
      </c>
      <c r="D836" s="3">
        <v>2643</v>
      </c>
      <c r="E836" s="3">
        <v>2615.1999999999998</v>
      </c>
      <c r="F836" s="3">
        <v>2629.9</v>
      </c>
      <c r="G836" s="3">
        <v>2628</v>
      </c>
      <c r="H836" s="3">
        <v>2631.6</v>
      </c>
      <c r="I836" s="3">
        <v>2630.11</v>
      </c>
      <c r="J836" s="3">
        <v>3035</v>
      </c>
      <c r="K836" s="3">
        <v>2136</v>
      </c>
      <c r="L836">
        <v>667598</v>
      </c>
      <c r="M836" s="2">
        <v>1755858039.5999999</v>
      </c>
      <c r="N836">
        <v>35409</v>
      </c>
      <c r="O836" t="s">
        <v>19</v>
      </c>
    </row>
    <row r="837" spans="1:15" x14ac:dyDescent="0.3">
      <c r="A837" s="1">
        <v>45891</v>
      </c>
      <c r="B837" s="3" t="s">
        <v>15</v>
      </c>
      <c r="C837" s="3">
        <v>2647</v>
      </c>
      <c r="D837" s="3">
        <v>2658.5</v>
      </c>
      <c r="E837" s="3">
        <v>2619</v>
      </c>
      <c r="F837" s="3">
        <v>2648</v>
      </c>
      <c r="G837" s="3">
        <v>2631.9</v>
      </c>
      <c r="H837" s="3">
        <v>2629.9</v>
      </c>
      <c r="I837" s="3">
        <v>2631.27</v>
      </c>
      <c r="J837" s="3">
        <v>3035</v>
      </c>
      <c r="K837" s="3">
        <v>2136</v>
      </c>
      <c r="L837">
        <v>1223445</v>
      </c>
      <c r="M837" s="2">
        <v>3219214615.6999998</v>
      </c>
      <c r="N837">
        <v>68993</v>
      </c>
      <c r="O837" t="s">
        <v>19</v>
      </c>
    </row>
    <row r="838" spans="1:15" x14ac:dyDescent="0.3">
      <c r="A838" s="1">
        <v>45890</v>
      </c>
      <c r="B838" s="3" t="s">
        <v>15</v>
      </c>
      <c r="C838" s="3">
        <v>2667.1</v>
      </c>
      <c r="D838" s="3">
        <v>2667.1</v>
      </c>
      <c r="E838" s="3">
        <v>2627.3</v>
      </c>
      <c r="F838" s="3">
        <v>2669.8</v>
      </c>
      <c r="G838" s="3">
        <v>2640</v>
      </c>
      <c r="H838" s="3">
        <v>2648</v>
      </c>
      <c r="I838" s="3">
        <v>2647.08</v>
      </c>
      <c r="J838" s="3">
        <v>3035</v>
      </c>
      <c r="K838" s="3">
        <v>2136</v>
      </c>
      <c r="L838">
        <v>2235686</v>
      </c>
      <c r="M838" s="2">
        <v>5918046935.5</v>
      </c>
      <c r="N838">
        <v>89852</v>
      </c>
      <c r="O838" t="s">
        <v>19</v>
      </c>
    </row>
    <row r="839" spans="1:15" x14ac:dyDescent="0.3">
      <c r="A839" s="1">
        <v>45889</v>
      </c>
      <c r="B839" s="3" t="s">
        <v>15</v>
      </c>
      <c r="C839" s="3">
        <v>2599</v>
      </c>
      <c r="D839" s="3">
        <v>2680</v>
      </c>
      <c r="E839" s="3">
        <v>2588.5</v>
      </c>
      <c r="F839" s="3">
        <v>2604.8000000000002</v>
      </c>
      <c r="G839" s="3">
        <v>2668</v>
      </c>
      <c r="H839" s="3">
        <v>2669.8</v>
      </c>
      <c r="I839" s="3">
        <v>2659.05</v>
      </c>
      <c r="J839" s="3">
        <v>3035</v>
      </c>
      <c r="K839" s="3">
        <v>2136</v>
      </c>
      <c r="L839">
        <v>3156954</v>
      </c>
      <c r="M839" s="2">
        <v>8394511304.3000002</v>
      </c>
      <c r="N839">
        <v>133377</v>
      </c>
      <c r="O839" t="s">
        <v>19</v>
      </c>
    </row>
    <row r="840" spans="1:15" x14ac:dyDescent="0.3">
      <c r="A840" s="1">
        <v>45888</v>
      </c>
      <c r="B840" s="3" t="s">
        <v>15</v>
      </c>
      <c r="C840" s="3">
        <v>2572.1999999999998</v>
      </c>
      <c r="D840" s="3">
        <v>2615</v>
      </c>
      <c r="E840" s="3">
        <v>2558.4</v>
      </c>
      <c r="F840" s="3">
        <v>2568.1</v>
      </c>
      <c r="G840" s="3">
        <v>2604</v>
      </c>
      <c r="H840" s="3">
        <v>2604.8000000000002</v>
      </c>
      <c r="I840" s="3">
        <v>2588.2199999999998</v>
      </c>
      <c r="J840" s="3">
        <v>3035</v>
      </c>
      <c r="K840" s="3">
        <v>2136</v>
      </c>
      <c r="L840">
        <v>1400717</v>
      </c>
      <c r="M840" s="2">
        <v>3625365899.3000002</v>
      </c>
      <c r="N840">
        <v>54506</v>
      </c>
      <c r="O840" t="s">
        <v>19</v>
      </c>
    </row>
    <row r="841" spans="1:15" x14ac:dyDescent="0.3">
      <c r="A841" s="1">
        <v>45887</v>
      </c>
      <c r="B841" s="3" t="s">
        <v>15</v>
      </c>
      <c r="C841" s="3">
        <v>2539</v>
      </c>
      <c r="D841" s="3">
        <v>2597</v>
      </c>
      <c r="E841" s="3">
        <v>2521.3000000000002</v>
      </c>
      <c r="F841" s="3">
        <v>2480.6</v>
      </c>
      <c r="G841" s="3">
        <v>2565</v>
      </c>
      <c r="H841" s="3">
        <v>2568.1</v>
      </c>
      <c r="I841" s="3">
        <v>2574.34</v>
      </c>
      <c r="J841" s="3">
        <v>3035</v>
      </c>
      <c r="K841" s="3">
        <v>2136</v>
      </c>
      <c r="L841">
        <v>3089136</v>
      </c>
      <c r="M841" s="2">
        <v>7952483958.8000002</v>
      </c>
      <c r="N841">
        <v>153069</v>
      </c>
      <c r="O841" t="s">
        <v>19</v>
      </c>
    </row>
    <row r="842" spans="1:15" x14ac:dyDescent="0.3">
      <c r="A842" s="1">
        <v>45883</v>
      </c>
      <c r="B842" s="3" t="s">
        <v>15</v>
      </c>
      <c r="C842" s="3">
        <v>2498.9</v>
      </c>
      <c r="D842" s="3">
        <v>2509</v>
      </c>
      <c r="E842" s="3">
        <v>2473.1999999999998</v>
      </c>
      <c r="F842" s="3">
        <v>2495.1</v>
      </c>
      <c r="G842" s="3">
        <v>2479</v>
      </c>
      <c r="H842" s="3">
        <v>2480.6</v>
      </c>
      <c r="I842" s="3">
        <v>2490.61</v>
      </c>
      <c r="J842" s="3">
        <v>3035</v>
      </c>
      <c r="K842" s="3">
        <v>2136</v>
      </c>
      <c r="L842">
        <v>1104362</v>
      </c>
      <c r="M842" s="2">
        <v>2750531986.5999999</v>
      </c>
      <c r="N842">
        <v>53283</v>
      </c>
      <c r="O842" t="s">
        <v>19</v>
      </c>
    </row>
    <row r="843" spans="1:15" x14ac:dyDescent="0.3">
      <c r="A843" s="1">
        <v>45882</v>
      </c>
      <c r="B843" s="3" t="s">
        <v>15</v>
      </c>
      <c r="C843" s="3">
        <v>2485</v>
      </c>
      <c r="D843" s="3">
        <v>2501.5</v>
      </c>
      <c r="E843" s="3">
        <v>2473.4</v>
      </c>
      <c r="F843" s="3">
        <v>2483.8000000000002</v>
      </c>
      <c r="G843" s="3">
        <v>2493.4</v>
      </c>
      <c r="H843" s="3">
        <v>2495.1</v>
      </c>
      <c r="I843" s="3">
        <v>2488.5</v>
      </c>
      <c r="J843" s="3">
        <v>3035</v>
      </c>
      <c r="K843" s="3">
        <v>2136</v>
      </c>
      <c r="L843">
        <v>969803</v>
      </c>
      <c r="M843" s="2">
        <v>2413358492.5</v>
      </c>
      <c r="N843">
        <v>42554</v>
      </c>
      <c r="O843" t="s">
        <v>19</v>
      </c>
    </row>
    <row r="844" spans="1:15" x14ac:dyDescent="0.3">
      <c r="A844" s="1">
        <v>45881</v>
      </c>
      <c r="B844" s="3" t="s">
        <v>15</v>
      </c>
      <c r="C844" s="3">
        <v>2518</v>
      </c>
      <c r="D844" s="3">
        <v>2536.6</v>
      </c>
      <c r="E844" s="3">
        <v>2480.1</v>
      </c>
      <c r="F844" s="3">
        <v>2518.4</v>
      </c>
      <c r="G844" s="3">
        <v>2484</v>
      </c>
      <c r="H844" s="3">
        <v>2483.8000000000002</v>
      </c>
      <c r="I844" s="3">
        <v>2498.11</v>
      </c>
      <c r="J844" s="3">
        <v>3035</v>
      </c>
      <c r="K844" s="3">
        <v>2136</v>
      </c>
      <c r="L844">
        <v>1406211</v>
      </c>
      <c r="M844" s="2">
        <v>3512876642.9000001</v>
      </c>
      <c r="N844">
        <v>70674</v>
      </c>
      <c r="O844" t="s">
        <v>19</v>
      </c>
    </row>
    <row r="845" spans="1:15" x14ac:dyDescent="0.3">
      <c r="A845" s="1">
        <v>45880</v>
      </c>
      <c r="B845" s="3" t="s">
        <v>15</v>
      </c>
      <c r="C845" s="3">
        <v>2490.1</v>
      </c>
      <c r="D845" s="3">
        <v>2524.5</v>
      </c>
      <c r="E845" s="3">
        <v>2478.5</v>
      </c>
      <c r="F845" s="3">
        <v>2498.6</v>
      </c>
      <c r="G845" s="3">
        <v>2509</v>
      </c>
      <c r="H845" s="3">
        <v>2518.4</v>
      </c>
      <c r="I845" s="3">
        <v>2504.14</v>
      </c>
      <c r="J845" s="3">
        <v>3035</v>
      </c>
      <c r="K845" s="3">
        <v>2136</v>
      </c>
      <c r="L845">
        <v>992436</v>
      </c>
      <c r="M845" s="2">
        <v>2485196993.6999998</v>
      </c>
      <c r="N845">
        <v>68671</v>
      </c>
      <c r="O845" t="s">
        <v>19</v>
      </c>
    </row>
    <row r="846" spans="1:15" x14ac:dyDescent="0.3">
      <c r="A846" s="1">
        <v>45877</v>
      </c>
      <c r="B846" s="3" t="s">
        <v>15</v>
      </c>
      <c r="C846" s="3">
        <v>2516</v>
      </c>
      <c r="D846" s="3">
        <v>2529.9</v>
      </c>
      <c r="E846" s="3">
        <v>2486.6</v>
      </c>
      <c r="F846" s="3">
        <v>2517.5</v>
      </c>
      <c r="G846" s="3">
        <v>2500</v>
      </c>
      <c r="H846" s="3">
        <v>2498.6</v>
      </c>
      <c r="I846" s="3">
        <v>2501.61</v>
      </c>
      <c r="J846" s="3">
        <v>3035</v>
      </c>
      <c r="K846" s="3">
        <v>2136</v>
      </c>
      <c r="L846">
        <v>839794</v>
      </c>
      <c r="M846" s="2">
        <v>2100837838.9000001</v>
      </c>
      <c r="N846">
        <v>58282</v>
      </c>
      <c r="O846" t="s">
        <v>19</v>
      </c>
    </row>
    <row r="847" spans="1:15" x14ac:dyDescent="0.3">
      <c r="A847" s="1">
        <v>45876</v>
      </c>
      <c r="B847" s="3" t="s">
        <v>15</v>
      </c>
      <c r="C847" s="3">
        <v>2535.6999999999998</v>
      </c>
      <c r="D847" s="3">
        <v>2544</v>
      </c>
      <c r="E847" s="3">
        <v>2495</v>
      </c>
      <c r="F847" s="3">
        <v>2535.6</v>
      </c>
      <c r="G847" s="3">
        <v>2516</v>
      </c>
      <c r="H847" s="3">
        <v>2517.5</v>
      </c>
      <c r="I847" s="3">
        <v>2514.0100000000002</v>
      </c>
      <c r="J847" s="3">
        <v>3035</v>
      </c>
      <c r="K847" s="3">
        <v>2136</v>
      </c>
      <c r="L847">
        <v>847151</v>
      </c>
      <c r="M847" s="2">
        <v>2129742731</v>
      </c>
      <c r="N847">
        <v>46870</v>
      </c>
      <c r="O847" t="s">
        <v>19</v>
      </c>
    </row>
    <row r="848" spans="1:15" x14ac:dyDescent="0.3">
      <c r="A848" s="1">
        <v>45875</v>
      </c>
      <c r="B848" s="3" t="s">
        <v>15</v>
      </c>
      <c r="C848" s="3">
        <v>2538.6999999999998</v>
      </c>
      <c r="D848" s="3">
        <v>2563.1</v>
      </c>
      <c r="E848" s="3">
        <v>2526.6</v>
      </c>
      <c r="F848" s="3">
        <v>2534.6999999999998</v>
      </c>
      <c r="G848" s="3">
        <v>2540</v>
      </c>
      <c r="H848" s="3">
        <v>2535.6</v>
      </c>
      <c r="I848" s="3">
        <v>2539.12</v>
      </c>
      <c r="J848" s="3">
        <v>3035</v>
      </c>
      <c r="K848" s="3">
        <v>2136</v>
      </c>
      <c r="L848">
        <v>885487</v>
      </c>
      <c r="M848" s="2">
        <v>2248361224.6999998</v>
      </c>
      <c r="N848">
        <v>54477</v>
      </c>
      <c r="O848" t="s">
        <v>19</v>
      </c>
    </row>
    <row r="849" spans="1:15" x14ac:dyDescent="0.3">
      <c r="A849" s="1">
        <v>45874</v>
      </c>
      <c r="B849" s="3" t="s">
        <v>15</v>
      </c>
      <c r="C849" s="3">
        <v>2537.5</v>
      </c>
      <c r="D849" s="3">
        <v>2553</v>
      </c>
      <c r="E849" s="3">
        <v>2517.3000000000002</v>
      </c>
      <c r="F849" s="3">
        <v>2543.6999999999998</v>
      </c>
      <c r="G849" s="3">
        <v>2532.4</v>
      </c>
      <c r="H849" s="3">
        <v>2534.6999999999998</v>
      </c>
      <c r="I849" s="3">
        <v>2530.15</v>
      </c>
      <c r="J849" s="3">
        <v>3035</v>
      </c>
      <c r="K849" s="3">
        <v>2136</v>
      </c>
      <c r="L849">
        <v>756361</v>
      </c>
      <c r="M849" s="2">
        <v>1913705140.4000001</v>
      </c>
      <c r="N849">
        <v>50234</v>
      </c>
      <c r="O849" t="s">
        <v>19</v>
      </c>
    </row>
    <row r="850" spans="1:15" x14ac:dyDescent="0.3">
      <c r="A850" s="1">
        <v>45873</v>
      </c>
      <c r="B850" s="3" t="s">
        <v>15</v>
      </c>
      <c r="C850" s="3">
        <v>2547</v>
      </c>
      <c r="D850" s="3">
        <v>2583.1999999999998</v>
      </c>
      <c r="E850" s="3">
        <v>2535.1</v>
      </c>
      <c r="F850" s="3">
        <v>2553.6999999999998</v>
      </c>
      <c r="G850" s="3">
        <v>2541</v>
      </c>
      <c r="H850" s="3">
        <v>2543.6999999999998</v>
      </c>
      <c r="I850" s="3">
        <v>2550.67</v>
      </c>
      <c r="J850" s="3">
        <v>3035</v>
      </c>
      <c r="K850" s="3">
        <v>2136</v>
      </c>
      <c r="L850">
        <v>1293028</v>
      </c>
      <c r="M850" s="2">
        <v>3298092510.5999999</v>
      </c>
      <c r="N850">
        <v>73288</v>
      </c>
      <c r="O850" t="s">
        <v>19</v>
      </c>
    </row>
    <row r="851" spans="1:15" x14ac:dyDescent="0.3">
      <c r="A851" s="1">
        <v>45870</v>
      </c>
      <c r="B851" s="3" t="s">
        <v>15</v>
      </c>
      <c r="C851" s="3">
        <v>2550</v>
      </c>
      <c r="D851" s="3">
        <v>2727.5</v>
      </c>
      <c r="E851" s="3">
        <v>2536.9</v>
      </c>
      <c r="F851" s="3">
        <v>2521.1999999999998</v>
      </c>
      <c r="G851" s="3">
        <v>2554</v>
      </c>
      <c r="H851" s="3">
        <v>2553.6999999999998</v>
      </c>
      <c r="I851" s="3">
        <v>2585.85</v>
      </c>
      <c r="J851" s="3">
        <v>3035</v>
      </c>
      <c r="K851" s="3">
        <v>2136</v>
      </c>
      <c r="L851">
        <v>4259653</v>
      </c>
      <c r="M851" s="2">
        <v>11014830685.200001</v>
      </c>
      <c r="N851">
        <v>207561</v>
      </c>
      <c r="O851" t="s">
        <v>19</v>
      </c>
    </row>
    <row r="852" spans="1:15" x14ac:dyDescent="0.3">
      <c r="A852" s="1">
        <v>45869</v>
      </c>
      <c r="B852" s="3" t="s">
        <v>15</v>
      </c>
      <c r="C852" s="3">
        <v>2420.1</v>
      </c>
      <c r="D852" s="3">
        <v>2549</v>
      </c>
      <c r="E852" s="3">
        <v>2420.1</v>
      </c>
      <c r="F852" s="3">
        <v>2437.4</v>
      </c>
      <c r="G852" s="3">
        <v>2524</v>
      </c>
      <c r="H852" s="3">
        <v>2521.1999999999998</v>
      </c>
      <c r="I852" s="3">
        <v>2510.11</v>
      </c>
      <c r="J852" s="3">
        <v>3035</v>
      </c>
      <c r="K852" s="3">
        <v>2136</v>
      </c>
      <c r="L852">
        <v>5505507</v>
      </c>
      <c r="M852" s="2">
        <v>13819442836.200001</v>
      </c>
      <c r="N852">
        <v>281542</v>
      </c>
      <c r="O852" t="s">
        <v>19</v>
      </c>
    </row>
    <row r="853" spans="1:15" x14ac:dyDescent="0.3">
      <c r="A853" s="1">
        <v>45868</v>
      </c>
      <c r="B853" s="3" t="s">
        <v>15</v>
      </c>
      <c r="C853" s="3">
        <v>2442</v>
      </c>
      <c r="D853" s="3">
        <v>2452.9</v>
      </c>
      <c r="E853" s="3">
        <v>2398.5</v>
      </c>
      <c r="F853" s="3">
        <v>2453.6</v>
      </c>
      <c r="G853" s="3">
        <v>2433.9</v>
      </c>
      <c r="H853" s="3">
        <v>2437.4</v>
      </c>
      <c r="I853" s="3">
        <v>2430.0700000000002</v>
      </c>
      <c r="J853" s="3">
        <v>3035</v>
      </c>
      <c r="K853" s="3">
        <v>2136</v>
      </c>
      <c r="L853">
        <v>1224146</v>
      </c>
      <c r="M853" s="2">
        <v>2974759654.8000002</v>
      </c>
      <c r="N853">
        <v>105143</v>
      </c>
      <c r="O853" t="s">
        <v>19</v>
      </c>
    </row>
    <row r="854" spans="1:15" x14ac:dyDescent="0.3">
      <c r="A854" s="1">
        <v>45867</v>
      </c>
      <c r="B854" s="3" t="s">
        <v>15</v>
      </c>
      <c r="C854" s="3">
        <v>2444.8000000000002</v>
      </c>
      <c r="D854" s="3">
        <v>2457.5</v>
      </c>
      <c r="E854" s="3">
        <v>2429.6999999999998</v>
      </c>
      <c r="F854" s="3">
        <v>2441.6</v>
      </c>
      <c r="G854" s="3">
        <v>2456.4</v>
      </c>
      <c r="H854" s="3">
        <v>2453.6</v>
      </c>
      <c r="I854" s="3">
        <v>2446.4699999999998</v>
      </c>
      <c r="J854" s="3">
        <v>3035</v>
      </c>
      <c r="K854" s="3">
        <v>2136</v>
      </c>
      <c r="L854">
        <v>732282</v>
      </c>
      <c r="M854" s="2">
        <v>1791506000.5999999</v>
      </c>
      <c r="N854">
        <v>37935</v>
      </c>
      <c r="O854" t="s">
        <v>19</v>
      </c>
    </row>
    <row r="855" spans="1:15" x14ac:dyDescent="0.3">
      <c r="A855" s="1">
        <v>45866</v>
      </c>
      <c r="B855" s="3" t="s">
        <v>15</v>
      </c>
      <c r="C855" s="3">
        <v>2415.4</v>
      </c>
      <c r="D855" s="3">
        <v>2448.3000000000002</v>
      </c>
      <c r="E855" s="3">
        <v>2412.3000000000002</v>
      </c>
      <c r="F855" s="3">
        <v>2415.4</v>
      </c>
      <c r="G855" s="3">
        <v>2439</v>
      </c>
      <c r="H855" s="3">
        <v>2441.6</v>
      </c>
      <c r="I855" s="3">
        <v>2433.86</v>
      </c>
      <c r="J855" s="3">
        <v>3035</v>
      </c>
      <c r="K855" s="3">
        <v>2136</v>
      </c>
      <c r="L855">
        <v>987995</v>
      </c>
      <c r="M855" s="2">
        <v>2404643848.6999998</v>
      </c>
      <c r="N855">
        <v>73222</v>
      </c>
      <c r="O855" t="s">
        <v>19</v>
      </c>
    </row>
    <row r="856" spans="1:15" x14ac:dyDescent="0.3">
      <c r="A856" s="1">
        <v>45863</v>
      </c>
      <c r="B856" s="3" t="s">
        <v>15</v>
      </c>
      <c r="C856" s="3">
        <v>2426.1</v>
      </c>
      <c r="D856" s="3">
        <v>2428.6</v>
      </c>
      <c r="E856" s="3">
        <v>2405.4</v>
      </c>
      <c r="F856" s="3">
        <v>2437.8000000000002</v>
      </c>
      <c r="G856" s="3">
        <v>2417</v>
      </c>
      <c r="H856" s="3">
        <v>2415.4</v>
      </c>
      <c r="I856" s="3">
        <v>2414.3200000000002</v>
      </c>
      <c r="J856" s="3">
        <v>3035</v>
      </c>
      <c r="K856" s="3">
        <v>2136</v>
      </c>
      <c r="L856">
        <v>769388</v>
      </c>
      <c r="M856" s="2">
        <v>1857549654.5999999</v>
      </c>
      <c r="N856">
        <v>61664</v>
      </c>
      <c r="O856" t="s">
        <v>19</v>
      </c>
    </row>
    <row r="857" spans="1:15" x14ac:dyDescent="0.3">
      <c r="A857" s="1">
        <v>45862</v>
      </c>
      <c r="B857" s="3" t="s">
        <v>15</v>
      </c>
      <c r="C857" s="3">
        <v>2455.9</v>
      </c>
      <c r="D857" s="3">
        <v>2466</v>
      </c>
      <c r="E857" s="3">
        <v>2421</v>
      </c>
      <c r="F857" s="3">
        <v>2450.4</v>
      </c>
      <c r="G857" s="3">
        <v>2435</v>
      </c>
      <c r="H857" s="3">
        <v>2437.8000000000002</v>
      </c>
      <c r="I857" s="3">
        <v>2438.17</v>
      </c>
      <c r="J857" s="3">
        <v>3035</v>
      </c>
      <c r="K857" s="3">
        <v>2136</v>
      </c>
      <c r="L857">
        <v>693984</v>
      </c>
      <c r="M857" s="2">
        <v>1692052114.0999999</v>
      </c>
      <c r="N857">
        <v>49869</v>
      </c>
      <c r="O857" t="s">
        <v>19</v>
      </c>
    </row>
    <row r="858" spans="1:15" x14ac:dyDescent="0.3">
      <c r="A858" s="1">
        <v>45861</v>
      </c>
      <c r="B858" s="3" t="s">
        <v>15</v>
      </c>
      <c r="C858" s="3">
        <v>2481</v>
      </c>
      <c r="D858" s="3">
        <v>2487</v>
      </c>
      <c r="E858" s="3">
        <v>2442</v>
      </c>
      <c r="F858" s="3">
        <v>2479.6999999999998</v>
      </c>
      <c r="G858" s="3">
        <v>2456.8000000000002</v>
      </c>
      <c r="H858" s="3">
        <v>2450.4</v>
      </c>
      <c r="I858" s="3">
        <v>2453.2199999999998</v>
      </c>
      <c r="J858" s="3">
        <v>3035</v>
      </c>
      <c r="K858" s="3">
        <v>2136</v>
      </c>
      <c r="L858">
        <v>1320795</v>
      </c>
      <c r="M858" s="2">
        <v>3240198536.9000001</v>
      </c>
      <c r="N858">
        <v>54984</v>
      </c>
      <c r="O858" t="s">
        <v>19</v>
      </c>
    </row>
    <row r="859" spans="1:15" x14ac:dyDescent="0.3">
      <c r="A859" s="1">
        <v>45860</v>
      </c>
      <c r="B859" s="3" t="s">
        <v>15</v>
      </c>
      <c r="C859" s="3">
        <v>2470</v>
      </c>
      <c r="D859" s="3">
        <v>2485</v>
      </c>
      <c r="E859" s="3">
        <v>2452.6</v>
      </c>
      <c r="F859" s="3">
        <v>2464.9</v>
      </c>
      <c r="G859" s="3">
        <v>2482.5</v>
      </c>
      <c r="H859" s="3">
        <v>2479.6999999999998</v>
      </c>
      <c r="I859" s="3">
        <v>2471.98</v>
      </c>
      <c r="J859" s="3">
        <v>3035</v>
      </c>
      <c r="K859" s="3">
        <v>2136</v>
      </c>
      <c r="L859">
        <v>861632</v>
      </c>
      <c r="M859" s="2">
        <v>2129937831</v>
      </c>
      <c r="N859">
        <v>46124</v>
      </c>
      <c r="O859" t="s">
        <v>19</v>
      </c>
    </row>
    <row r="860" spans="1:15" x14ac:dyDescent="0.3">
      <c r="A860" s="1">
        <v>45859</v>
      </c>
      <c r="B860" s="3" t="s">
        <v>15</v>
      </c>
      <c r="C860" s="3">
        <v>2490.9</v>
      </c>
      <c r="D860" s="3">
        <v>2493.6</v>
      </c>
      <c r="E860" s="3">
        <v>2455.4</v>
      </c>
      <c r="F860" s="3">
        <v>2489.6</v>
      </c>
      <c r="G860" s="3">
        <v>2464.9</v>
      </c>
      <c r="H860" s="3">
        <v>2464.9</v>
      </c>
      <c r="I860" s="3">
        <v>2469.83</v>
      </c>
      <c r="J860" s="3">
        <v>3035</v>
      </c>
      <c r="K860" s="3">
        <v>2136</v>
      </c>
      <c r="L860">
        <v>1169960</v>
      </c>
      <c r="M860" s="2">
        <v>2889607558.3000002</v>
      </c>
      <c r="N860">
        <v>61953</v>
      </c>
      <c r="O860" t="s">
        <v>19</v>
      </c>
    </row>
    <row r="861" spans="1:15" x14ac:dyDescent="0.3">
      <c r="A861" s="1">
        <v>45856</v>
      </c>
      <c r="B861" s="3" t="s">
        <v>15</v>
      </c>
      <c r="C861" s="3">
        <v>2514.9</v>
      </c>
      <c r="D861" s="3">
        <v>2514.9</v>
      </c>
      <c r="E861" s="3">
        <v>2481.5</v>
      </c>
      <c r="F861" s="3">
        <v>2509.8000000000002</v>
      </c>
      <c r="G861" s="3">
        <v>2488.1</v>
      </c>
      <c r="H861" s="3">
        <v>2489.6</v>
      </c>
      <c r="I861" s="3">
        <v>2492.2199999999998</v>
      </c>
      <c r="J861" s="3">
        <v>3035</v>
      </c>
      <c r="K861" s="3">
        <v>2136</v>
      </c>
      <c r="L861">
        <v>771112</v>
      </c>
      <c r="M861" s="2">
        <v>1921782877.7</v>
      </c>
      <c r="N861">
        <v>45074</v>
      </c>
      <c r="O861" t="s">
        <v>19</v>
      </c>
    </row>
    <row r="862" spans="1:15" x14ac:dyDescent="0.3">
      <c r="A862" s="1">
        <v>45855</v>
      </c>
      <c r="B862" s="3" t="s">
        <v>15</v>
      </c>
      <c r="C862" s="3">
        <v>2513</v>
      </c>
      <c r="D862" s="3">
        <v>2525.4</v>
      </c>
      <c r="E862" s="3">
        <v>2506.1999999999998</v>
      </c>
      <c r="F862" s="3">
        <v>2517.6</v>
      </c>
      <c r="G862" s="3">
        <v>2513</v>
      </c>
      <c r="H862" s="3">
        <v>2509.8000000000002</v>
      </c>
      <c r="I862" s="3">
        <v>2516.23</v>
      </c>
      <c r="J862" s="3">
        <v>3035</v>
      </c>
      <c r="K862" s="3">
        <v>2136</v>
      </c>
      <c r="L862">
        <v>807474</v>
      </c>
      <c r="M862" s="2">
        <v>2031788319.4000001</v>
      </c>
      <c r="N862">
        <v>47864</v>
      </c>
      <c r="O862" t="s">
        <v>19</v>
      </c>
    </row>
    <row r="863" spans="1:15" x14ac:dyDescent="0.3">
      <c r="A863" s="1">
        <v>45854</v>
      </c>
      <c r="B863" s="3" t="s">
        <v>15</v>
      </c>
      <c r="C863" s="3">
        <v>2526.3000000000002</v>
      </c>
      <c r="D863" s="3">
        <v>2532.9</v>
      </c>
      <c r="E863" s="3">
        <v>2507.5</v>
      </c>
      <c r="F863" s="3">
        <v>2526.9</v>
      </c>
      <c r="G863" s="3">
        <v>2510</v>
      </c>
      <c r="H863" s="3">
        <v>2517.6</v>
      </c>
      <c r="I863" s="3">
        <v>2522.42</v>
      </c>
      <c r="J863" s="3">
        <v>3035</v>
      </c>
      <c r="K863" s="3">
        <v>2136</v>
      </c>
      <c r="L863">
        <v>1284379</v>
      </c>
      <c r="M863" s="2">
        <v>3239739295.1999998</v>
      </c>
      <c r="N863">
        <v>47859</v>
      </c>
      <c r="O863" t="s">
        <v>19</v>
      </c>
    </row>
    <row r="864" spans="1:15" x14ac:dyDescent="0.3">
      <c r="A864" s="1">
        <v>45853</v>
      </c>
      <c r="B864" s="3" t="s">
        <v>15</v>
      </c>
      <c r="C864" s="3">
        <v>2520.6999999999998</v>
      </c>
      <c r="D864" s="3">
        <v>2529.9</v>
      </c>
      <c r="E864" s="3">
        <v>2510</v>
      </c>
      <c r="F864" s="3">
        <v>2516.6</v>
      </c>
      <c r="G864" s="3">
        <v>2524.6999999999998</v>
      </c>
      <c r="H864" s="3">
        <v>2526.9</v>
      </c>
      <c r="I864" s="3">
        <v>2522.9299999999998</v>
      </c>
      <c r="J864" s="3">
        <v>3035</v>
      </c>
      <c r="K864" s="3">
        <v>2136</v>
      </c>
      <c r="L864">
        <v>1700294</v>
      </c>
      <c r="M864" s="2">
        <v>4289716703</v>
      </c>
      <c r="N864">
        <v>70430</v>
      </c>
      <c r="O864" t="s">
        <v>19</v>
      </c>
    </row>
    <row r="865" spans="1:15" x14ac:dyDescent="0.3">
      <c r="A865" s="1">
        <v>45852</v>
      </c>
      <c r="B865" s="3" t="s">
        <v>15</v>
      </c>
      <c r="C865" s="3">
        <v>2500</v>
      </c>
      <c r="D865" s="3">
        <v>2532.5</v>
      </c>
      <c r="E865" s="3">
        <v>2490</v>
      </c>
      <c r="F865" s="3">
        <v>2519.6</v>
      </c>
      <c r="G865" s="3">
        <v>2517.4</v>
      </c>
      <c r="H865" s="3">
        <v>2516.6</v>
      </c>
      <c r="I865" s="3">
        <v>2512.77</v>
      </c>
      <c r="J865" s="3">
        <v>3035</v>
      </c>
      <c r="K865" s="3">
        <v>2136</v>
      </c>
      <c r="L865">
        <v>2427712</v>
      </c>
      <c r="M865" s="2">
        <v>6100289947.1999998</v>
      </c>
      <c r="N865">
        <v>73611</v>
      </c>
      <c r="O865" t="s">
        <v>19</v>
      </c>
    </row>
    <row r="866" spans="1:15" x14ac:dyDescent="0.3">
      <c r="A866" s="1">
        <v>45849</v>
      </c>
      <c r="B866" s="3" t="s">
        <v>15</v>
      </c>
      <c r="C866" s="3">
        <v>2500</v>
      </c>
      <c r="D866" s="3">
        <v>2530</v>
      </c>
      <c r="E866" s="3">
        <v>2461</v>
      </c>
      <c r="F866" s="3">
        <v>2408.4</v>
      </c>
      <c r="G866" s="3">
        <v>2520</v>
      </c>
      <c r="H866" s="3">
        <v>2519.6</v>
      </c>
      <c r="I866" s="3">
        <v>2514.19</v>
      </c>
      <c r="J866" s="3">
        <v>3035</v>
      </c>
      <c r="K866" s="3">
        <v>2136</v>
      </c>
      <c r="L866">
        <v>7242235</v>
      </c>
      <c r="M866" s="2">
        <v>18208328733.299999</v>
      </c>
      <c r="N866">
        <v>231877</v>
      </c>
      <c r="O866" t="s">
        <v>19</v>
      </c>
    </row>
    <row r="867" spans="1:15" x14ac:dyDescent="0.3">
      <c r="A867" s="1">
        <v>45848</v>
      </c>
      <c r="B867" s="3" t="s">
        <v>15</v>
      </c>
      <c r="C867" s="3">
        <v>2423.4</v>
      </c>
      <c r="D867" s="3">
        <v>2434</v>
      </c>
      <c r="E867" s="3">
        <v>2397.6</v>
      </c>
      <c r="F867" s="3">
        <v>2423.4</v>
      </c>
      <c r="G867" s="3">
        <v>2407</v>
      </c>
      <c r="H867" s="3">
        <v>2408.4</v>
      </c>
      <c r="I867" s="3">
        <v>2413.88</v>
      </c>
      <c r="J867" s="3">
        <v>3035</v>
      </c>
      <c r="K867" s="3">
        <v>2136</v>
      </c>
      <c r="L867">
        <v>1053695</v>
      </c>
      <c r="M867" s="2">
        <v>2543498300</v>
      </c>
      <c r="N867">
        <v>59529</v>
      </c>
      <c r="O867" t="s">
        <v>19</v>
      </c>
    </row>
    <row r="868" spans="1:15" x14ac:dyDescent="0.3">
      <c r="A868" s="1">
        <v>45847</v>
      </c>
      <c r="B868" s="3" t="s">
        <v>15</v>
      </c>
      <c r="C868" s="3">
        <v>2399</v>
      </c>
      <c r="D868" s="3">
        <v>2439.6999999999998</v>
      </c>
      <c r="E868" s="3">
        <v>2397.1</v>
      </c>
      <c r="F868" s="3">
        <v>2392.6999999999998</v>
      </c>
      <c r="G868" s="3">
        <v>2421.3000000000002</v>
      </c>
      <c r="H868" s="3">
        <v>2423.4</v>
      </c>
      <c r="I868" s="3">
        <v>2424.04</v>
      </c>
      <c r="J868" s="3">
        <v>3035</v>
      </c>
      <c r="K868" s="3">
        <v>2136</v>
      </c>
      <c r="L868">
        <v>1741690</v>
      </c>
      <c r="M868" s="2">
        <v>4221929533.5999999</v>
      </c>
      <c r="N868">
        <v>88529</v>
      </c>
      <c r="O868" t="s">
        <v>19</v>
      </c>
    </row>
    <row r="869" spans="1:15" x14ac:dyDescent="0.3">
      <c r="A869" s="1">
        <v>45846</v>
      </c>
      <c r="B869" s="3" t="s">
        <v>15</v>
      </c>
      <c r="C869" s="3">
        <v>2405.4</v>
      </c>
      <c r="D869" s="3">
        <v>2418.5</v>
      </c>
      <c r="E869" s="3">
        <v>2386</v>
      </c>
      <c r="F869" s="3">
        <v>2410.4</v>
      </c>
      <c r="G869" s="3">
        <v>2400</v>
      </c>
      <c r="H869" s="3">
        <v>2392.6999999999998</v>
      </c>
      <c r="I869" s="3">
        <v>2398.59</v>
      </c>
      <c r="J869" s="3">
        <v>3035</v>
      </c>
      <c r="K869" s="3">
        <v>2136</v>
      </c>
      <c r="L869">
        <v>1471046</v>
      </c>
      <c r="M869" s="2">
        <v>3528430095.3000002</v>
      </c>
      <c r="N869">
        <v>65914</v>
      </c>
      <c r="O869" t="s">
        <v>19</v>
      </c>
    </row>
    <row r="870" spans="1:15" x14ac:dyDescent="0.3">
      <c r="A870" s="1">
        <v>45845</v>
      </c>
      <c r="B870" s="3" t="s">
        <v>15</v>
      </c>
      <c r="C870" s="3">
        <v>2341</v>
      </c>
      <c r="D870" s="3">
        <v>2415.6999999999998</v>
      </c>
      <c r="E870" s="3">
        <v>2341</v>
      </c>
      <c r="F870" s="3">
        <v>2339.3000000000002</v>
      </c>
      <c r="G870" s="3">
        <v>2408.6999999999998</v>
      </c>
      <c r="H870" s="3">
        <v>2410.4</v>
      </c>
      <c r="I870" s="3">
        <v>2396.6799999999998</v>
      </c>
      <c r="J870" s="3">
        <v>3035</v>
      </c>
      <c r="K870" s="3">
        <v>2136</v>
      </c>
      <c r="L870">
        <v>2701583</v>
      </c>
      <c r="M870" s="2">
        <v>6474824763.3000002</v>
      </c>
      <c r="N870">
        <v>137873</v>
      </c>
      <c r="O870" t="s">
        <v>19</v>
      </c>
    </row>
    <row r="871" spans="1:15" x14ac:dyDescent="0.3">
      <c r="A871" s="1">
        <v>45842</v>
      </c>
      <c r="B871" s="3" t="s">
        <v>15</v>
      </c>
      <c r="C871" s="3">
        <v>2318</v>
      </c>
      <c r="D871" s="3">
        <v>2341.4</v>
      </c>
      <c r="E871" s="3">
        <v>2310.3000000000002</v>
      </c>
      <c r="F871" s="3">
        <v>2313.4</v>
      </c>
      <c r="G871" s="3">
        <v>2341.3000000000002</v>
      </c>
      <c r="H871" s="3">
        <v>2339.3000000000002</v>
      </c>
      <c r="I871" s="3">
        <v>2330.87</v>
      </c>
      <c r="J871" s="3">
        <v>3035</v>
      </c>
      <c r="K871" s="3">
        <v>2136</v>
      </c>
      <c r="L871">
        <v>1242346</v>
      </c>
      <c r="M871" s="2">
        <v>2895742841</v>
      </c>
      <c r="N871">
        <v>57377</v>
      </c>
      <c r="O871" t="s">
        <v>19</v>
      </c>
    </row>
    <row r="872" spans="1:15" x14ac:dyDescent="0.3">
      <c r="A872" s="1">
        <v>45841</v>
      </c>
      <c r="B872" s="3" t="s">
        <v>15</v>
      </c>
      <c r="C872" s="3">
        <v>2310</v>
      </c>
      <c r="D872" s="3">
        <v>2326.9</v>
      </c>
      <c r="E872" s="3">
        <v>2304</v>
      </c>
      <c r="F872" s="3">
        <v>2307.1</v>
      </c>
      <c r="G872" s="3">
        <v>2314.8000000000002</v>
      </c>
      <c r="H872" s="3">
        <v>2313.4</v>
      </c>
      <c r="I872" s="3">
        <v>2316.37</v>
      </c>
      <c r="J872" s="3">
        <v>3035</v>
      </c>
      <c r="K872" s="3">
        <v>2136</v>
      </c>
      <c r="L872">
        <v>1060039</v>
      </c>
      <c r="M872" s="2">
        <v>2455440560.5999999</v>
      </c>
      <c r="N872">
        <v>56694</v>
      </c>
      <c r="O872" t="s">
        <v>19</v>
      </c>
    </row>
    <row r="873" spans="1:15" x14ac:dyDescent="0.3">
      <c r="A873" s="1">
        <v>45840</v>
      </c>
      <c r="B873" s="3" t="s">
        <v>15</v>
      </c>
      <c r="C873" s="3">
        <v>2295</v>
      </c>
      <c r="D873" s="3">
        <v>2309</v>
      </c>
      <c r="E873" s="3">
        <v>2287.6</v>
      </c>
      <c r="F873" s="3">
        <v>2295.5</v>
      </c>
      <c r="G873" s="3">
        <v>2306.9</v>
      </c>
      <c r="H873" s="3">
        <v>2307.1</v>
      </c>
      <c r="I873" s="3">
        <v>2300.65</v>
      </c>
      <c r="J873" s="3">
        <v>3035</v>
      </c>
      <c r="K873" s="3">
        <v>2136</v>
      </c>
      <c r="L873">
        <v>1128034</v>
      </c>
      <c r="M873" s="2">
        <v>2595212391.0999999</v>
      </c>
      <c r="N873">
        <v>46377</v>
      </c>
      <c r="O873" t="s">
        <v>19</v>
      </c>
    </row>
    <row r="874" spans="1:15" x14ac:dyDescent="0.3">
      <c r="A874" s="1">
        <v>45839</v>
      </c>
      <c r="B874" s="3" t="s">
        <v>15</v>
      </c>
      <c r="C874" s="3">
        <v>2300</v>
      </c>
      <c r="D874" s="3">
        <v>2302.6</v>
      </c>
      <c r="E874" s="3">
        <v>2286.6</v>
      </c>
      <c r="F874" s="3">
        <v>2294.6</v>
      </c>
      <c r="G874" s="3">
        <v>2298</v>
      </c>
      <c r="H874" s="3">
        <v>2295.5</v>
      </c>
      <c r="I874" s="3">
        <v>2294.62</v>
      </c>
      <c r="J874" s="3">
        <v>3035</v>
      </c>
      <c r="K874" s="3">
        <v>2136</v>
      </c>
      <c r="L874">
        <v>759914</v>
      </c>
      <c r="M874" s="2">
        <v>1743712239.8</v>
      </c>
      <c r="N874">
        <v>44581</v>
      </c>
      <c r="O874" t="s">
        <v>19</v>
      </c>
    </row>
    <row r="875" spans="1:15" x14ac:dyDescent="0.3">
      <c r="A875" s="1">
        <v>45838</v>
      </c>
      <c r="B875" s="3" t="s">
        <v>15</v>
      </c>
      <c r="C875" s="3">
        <v>2309.9</v>
      </c>
      <c r="D875" s="3">
        <v>2317</v>
      </c>
      <c r="E875" s="3">
        <v>2288</v>
      </c>
      <c r="F875" s="3">
        <v>2306.9</v>
      </c>
      <c r="G875" s="3">
        <v>2295.9</v>
      </c>
      <c r="H875" s="3">
        <v>2294.6</v>
      </c>
      <c r="I875" s="3">
        <v>2299.75</v>
      </c>
      <c r="J875" s="3">
        <v>3035</v>
      </c>
      <c r="K875" s="3">
        <v>2136</v>
      </c>
      <c r="L875">
        <v>1403754</v>
      </c>
      <c r="M875" s="2">
        <v>3228288072</v>
      </c>
      <c r="N875">
        <v>89204</v>
      </c>
      <c r="O875" t="s">
        <v>19</v>
      </c>
    </row>
    <row r="876" spans="1:15" x14ac:dyDescent="0.3">
      <c r="A876" s="1">
        <v>45835</v>
      </c>
      <c r="B876" s="3" t="s">
        <v>15</v>
      </c>
      <c r="C876" s="3">
        <v>2280.8000000000002</v>
      </c>
      <c r="D876" s="3">
        <v>2310.5</v>
      </c>
      <c r="E876" s="3">
        <v>2279.3000000000002</v>
      </c>
      <c r="F876" s="3">
        <v>2280.8000000000002</v>
      </c>
      <c r="G876" s="3">
        <v>2308.1</v>
      </c>
      <c r="H876" s="3">
        <v>2306.9</v>
      </c>
      <c r="I876" s="3">
        <v>2300.34</v>
      </c>
      <c r="J876" s="3">
        <v>3035</v>
      </c>
      <c r="K876" s="3">
        <v>2136</v>
      </c>
      <c r="L876">
        <v>1050745</v>
      </c>
      <c r="M876" s="2">
        <v>2417069888.1999998</v>
      </c>
      <c r="N876">
        <v>64425</v>
      </c>
      <c r="O876" t="s">
        <v>19</v>
      </c>
    </row>
    <row r="877" spans="1:15" x14ac:dyDescent="0.3">
      <c r="A877" s="1">
        <v>45834</v>
      </c>
      <c r="B877" s="3" t="s">
        <v>15</v>
      </c>
      <c r="C877" s="3">
        <v>2288.9</v>
      </c>
      <c r="D877" s="3">
        <v>2291</v>
      </c>
      <c r="E877" s="3">
        <v>2271.6</v>
      </c>
      <c r="F877" s="3">
        <v>2278.6999999999998</v>
      </c>
      <c r="G877" s="3">
        <v>2280.9</v>
      </c>
      <c r="H877" s="3">
        <v>2280.8000000000002</v>
      </c>
      <c r="I877" s="3">
        <v>2280.59</v>
      </c>
      <c r="J877" s="3">
        <v>3035</v>
      </c>
      <c r="K877" s="3">
        <v>2136</v>
      </c>
      <c r="L877">
        <v>1874722</v>
      </c>
      <c r="M877" s="2">
        <v>4275481346</v>
      </c>
      <c r="N877">
        <v>68684</v>
      </c>
      <c r="O877" t="s">
        <v>19</v>
      </c>
    </row>
    <row r="878" spans="1:15" x14ac:dyDescent="0.3">
      <c r="A878" s="1">
        <v>45833</v>
      </c>
      <c r="B878" s="3" t="s">
        <v>15</v>
      </c>
      <c r="C878" s="3">
        <v>2279</v>
      </c>
      <c r="D878" s="3">
        <v>2290.5</v>
      </c>
      <c r="E878" s="3">
        <v>2271.4</v>
      </c>
      <c r="F878" s="3">
        <v>2263.1</v>
      </c>
      <c r="G878" s="3">
        <v>2277</v>
      </c>
      <c r="H878" s="3">
        <v>2278.6999999999998</v>
      </c>
      <c r="I878" s="3">
        <v>2279.46</v>
      </c>
      <c r="J878" s="3">
        <v>3035</v>
      </c>
      <c r="K878" s="3">
        <v>2136</v>
      </c>
      <c r="L878">
        <v>1047270</v>
      </c>
      <c r="M878" s="2">
        <v>2387208951.0999999</v>
      </c>
      <c r="N878">
        <v>61222</v>
      </c>
      <c r="O878" t="s">
        <v>19</v>
      </c>
    </row>
    <row r="879" spans="1:15" x14ac:dyDescent="0.3">
      <c r="A879" s="1">
        <v>45832</v>
      </c>
      <c r="B879" s="3" t="s">
        <v>15</v>
      </c>
      <c r="C879" s="3">
        <v>2295</v>
      </c>
      <c r="D879" s="3">
        <v>2301</v>
      </c>
      <c r="E879" s="3">
        <v>2260.3000000000002</v>
      </c>
      <c r="F879" s="3">
        <v>2275.1</v>
      </c>
      <c r="G879" s="3">
        <v>2267.5</v>
      </c>
      <c r="H879" s="3">
        <v>2263.1</v>
      </c>
      <c r="I879" s="3">
        <v>2274.92</v>
      </c>
      <c r="J879" s="3">
        <v>3035</v>
      </c>
      <c r="K879" s="3">
        <v>2136</v>
      </c>
      <c r="L879">
        <v>2440747</v>
      </c>
      <c r="M879" s="2">
        <v>5552506058.5</v>
      </c>
      <c r="N879">
        <v>110169</v>
      </c>
      <c r="O879" t="s">
        <v>19</v>
      </c>
    </row>
    <row r="880" spans="1:15" x14ac:dyDescent="0.3">
      <c r="A880" s="1">
        <v>45831</v>
      </c>
      <c r="B880" s="3" t="s">
        <v>15</v>
      </c>
      <c r="C880" s="3">
        <v>2283.4</v>
      </c>
      <c r="D880" s="3">
        <v>2286</v>
      </c>
      <c r="E880" s="3">
        <v>2258.6999999999998</v>
      </c>
      <c r="F880" s="3">
        <v>2306.1999999999998</v>
      </c>
      <c r="G880" s="3">
        <v>2276</v>
      </c>
      <c r="H880" s="3">
        <v>2275.1</v>
      </c>
      <c r="I880" s="3">
        <v>2271.88</v>
      </c>
      <c r="J880" s="3">
        <v>3035</v>
      </c>
      <c r="K880" s="3">
        <v>2136</v>
      </c>
      <c r="L880">
        <v>842856</v>
      </c>
      <c r="M880" s="2">
        <v>1914869023</v>
      </c>
      <c r="N880">
        <v>54582</v>
      </c>
      <c r="O880" t="s">
        <v>19</v>
      </c>
    </row>
    <row r="881" spans="1:15" x14ac:dyDescent="0.3">
      <c r="A881" s="1">
        <v>45828</v>
      </c>
      <c r="B881" s="3" t="s">
        <v>15</v>
      </c>
      <c r="C881" s="3">
        <v>2295</v>
      </c>
      <c r="D881" s="3">
        <v>2313</v>
      </c>
      <c r="E881" s="3">
        <v>2292.4</v>
      </c>
      <c r="F881" s="3">
        <v>2294.1999999999998</v>
      </c>
      <c r="G881" s="3">
        <v>2302</v>
      </c>
      <c r="H881" s="3">
        <v>2306.1999999999998</v>
      </c>
      <c r="I881" s="3">
        <v>2304.39</v>
      </c>
      <c r="J881" s="3">
        <v>3035</v>
      </c>
      <c r="K881" s="3">
        <v>2136</v>
      </c>
      <c r="L881">
        <v>2685864</v>
      </c>
      <c r="M881" s="2">
        <v>6189290806.1999998</v>
      </c>
      <c r="N881">
        <v>75830</v>
      </c>
      <c r="O881" t="s">
        <v>19</v>
      </c>
    </row>
    <row r="882" spans="1:15" x14ac:dyDescent="0.3">
      <c r="A882" s="1">
        <v>45827</v>
      </c>
      <c r="B882" s="3" t="s">
        <v>15</v>
      </c>
      <c r="C882" s="3">
        <v>2300.1</v>
      </c>
      <c r="D882" s="3">
        <v>2307.8000000000002</v>
      </c>
      <c r="E882" s="3">
        <v>2290.3000000000002</v>
      </c>
      <c r="F882" s="3">
        <v>2297.3000000000002</v>
      </c>
      <c r="G882" s="3">
        <v>2292</v>
      </c>
      <c r="H882" s="3">
        <v>2294.1999999999998</v>
      </c>
      <c r="I882" s="3">
        <v>2297.81</v>
      </c>
      <c r="J882" s="3">
        <v>3035</v>
      </c>
      <c r="K882" s="3">
        <v>2136</v>
      </c>
      <c r="L882">
        <v>1214549</v>
      </c>
      <c r="M882" s="2">
        <v>2790798321.9000001</v>
      </c>
      <c r="N882">
        <v>86978</v>
      </c>
      <c r="O882" t="s">
        <v>19</v>
      </c>
    </row>
    <row r="883" spans="1:15" x14ac:dyDescent="0.3">
      <c r="A883" s="1">
        <v>45826</v>
      </c>
      <c r="B883" s="3" t="s">
        <v>15</v>
      </c>
      <c r="C883" s="3">
        <v>2327.6999999999998</v>
      </c>
      <c r="D883" s="3">
        <v>2331.4</v>
      </c>
      <c r="E883" s="3">
        <v>2285.5</v>
      </c>
      <c r="F883" s="3">
        <v>2328.6</v>
      </c>
      <c r="G883" s="3">
        <v>2295.1</v>
      </c>
      <c r="H883" s="3">
        <v>2297.3000000000002</v>
      </c>
      <c r="I883" s="3">
        <v>2302.0500000000002</v>
      </c>
      <c r="J883" s="3">
        <v>3035</v>
      </c>
      <c r="K883" s="3">
        <v>2136</v>
      </c>
      <c r="L883">
        <v>2056563</v>
      </c>
      <c r="M883" s="2">
        <v>4734313425.6000004</v>
      </c>
      <c r="N883">
        <v>72649</v>
      </c>
      <c r="O883" t="s">
        <v>19</v>
      </c>
    </row>
    <row r="884" spans="1:15" x14ac:dyDescent="0.3">
      <c r="A884" s="1">
        <v>45825</v>
      </c>
      <c r="B884" s="3" t="s">
        <v>15</v>
      </c>
      <c r="C884" s="3">
        <v>2320</v>
      </c>
      <c r="D884" s="3">
        <v>2333.1</v>
      </c>
      <c r="E884" s="3">
        <v>2313.1</v>
      </c>
      <c r="F884" s="3">
        <v>2327.4</v>
      </c>
      <c r="G884" s="3">
        <v>2328</v>
      </c>
      <c r="H884" s="3">
        <v>2328.6</v>
      </c>
      <c r="I884" s="3">
        <v>2324.83</v>
      </c>
      <c r="J884" s="3">
        <v>3035</v>
      </c>
      <c r="K884" s="3">
        <v>2136</v>
      </c>
      <c r="L884">
        <v>1119284</v>
      </c>
      <c r="M884" s="2">
        <v>2602141118.5</v>
      </c>
      <c r="N884">
        <v>66866</v>
      </c>
      <c r="O884" t="s">
        <v>19</v>
      </c>
    </row>
    <row r="885" spans="1:15" x14ac:dyDescent="0.3">
      <c r="A885" s="1">
        <v>45824</v>
      </c>
      <c r="B885" s="3" t="s">
        <v>15</v>
      </c>
      <c r="C885" s="3">
        <v>2320</v>
      </c>
      <c r="D885" s="3">
        <v>2336.6</v>
      </c>
      <c r="E885" s="3">
        <v>2313.1</v>
      </c>
      <c r="F885" s="3">
        <v>2319</v>
      </c>
      <c r="G885" s="3">
        <v>2326.1</v>
      </c>
      <c r="H885" s="3">
        <v>2327.4</v>
      </c>
      <c r="I885" s="3">
        <v>2327.5500000000002</v>
      </c>
      <c r="J885" s="3">
        <v>3035</v>
      </c>
      <c r="K885" s="3">
        <v>2136</v>
      </c>
      <c r="L885">
        <v>1105297</v>
      </c>
      <c r="M885" s="2">
        <v>2572630185.1999998</v>
      </c>
      <c r="N885">
        <v>66228</v>
      </c>
      <c r="O885" t="s">
        <v>19</v>
      </c>
    </row>
    <row r="886" spans="1:15" x14ac:dyDescent="0.3">
      <c r="A886" s="1">
        <v>45821</v>
      </c>
      <c r="B886" s="3" t="s">
        <v>15</v>
      </c>
      <c r="C886" s="3">
        <v>2305</v>
      </c>
      <c r="D886" s="3">
        <v>2324.9</v>
      </c>
      <c r="E886" s="3">
        <v>2302</v>
      </c>
      <c r="F886" s="3">
        <v>2332.6999999999998</v>
      </c>
      <c r="G886" s="3">
        <v>2320</v>
      </c>
      <c r="H886" s="3">
        <v>2319</v>
      </c>
      <c r="I886" s="3">
        <v>2314.9899999999998</v>
      </c>
      <c r="J886" s="3">
        <v>3035</v>
      </c>
      <c r="K886" s="3">
        <v>2136</v>
      </c>
      <c r="L886">
        <v>1740682</v>
      </c>
      <c r="M886" s="2">
        <v>4029653861.5</v>
      </c>
      <c r="N886">
        <v>81022</v>
      </c>
      <c r="O886" t="s">
        <v>19</v>
      </c>
    </row>
    <row r="887" spans="1:15" x14ac:dyDescent="0.3">
      <c r="A887" s="1">
        <v>45820</v>
      </c>
      <c r="B887" s="3" t="s">
        <v>15</v>
      </c>
      <c r="C887" s="3">
        <v>2386.9</v>
      </c>
      <c r="D887" s="3">
        <v>2388</v>
      </c>
      <c r="E887" s="3">
        <v>2324.1</v>
      </c>
      <c r="F887" s="3">
        <v>2376.4</v>
      </c>
      <c r="G887" s="3">
        <v>2337.1</v>
      </c>
      <c r="H887" s="3">
        <v>2332.6999999999998</v>
      </c>
      <c r="I887" s="3">
        <v>2343.3000000000002</v>
      </c>
      <c r="J887" s="3">
        <v>3035</v>
      </c>
      <c r="K887" s="3">
        <v>2136</v>
      </c>
      <c r="L887">
        <v>3339584</v>
      </c>
      <c r="M887" s="2">
        <v>7825633464.8999996</v>
      </c>
      <c r="N887">
        <v>169885</v>
      </c>
      <c r="O887" t="s">
        <v>19</v>
      </c>
    </row>
    <row r="888" spans="1:15" x14ac:dyDescent="0.3">
      <c r="A888" s="1">
        <v>45819</v>
      </c>
      <c r="B888" s="3" t="s">
        <v>15</v>
      </c>
      <c r="C888" s="3">
        <v>2395.1999999999998</v>
      </c>
      <c r="D888" s="3">
        <v>2402.9</v>
      </c>
      <c r="E888" s="3">
        <v>2371.3000000000002</v>
      </c>
      <c r="F888" s="3">
        <v>2395.1999999999998</v>
      </c>
      <c r="G888" s="3">
        <v>2372.6999999999998</v>
      </c>
      <c r="H888" s="3">
        <v>2376.4</v>
      </c>
      <c r="I888" s="3">
        <v>2384.36</v>
      </c>
      <c r="J888" s="3">
        <v>3035</v>
      </c>
      <c r="K888" s="3">
        <v>2136</v>
      </c>
      <c r="L888">
        <v>1977707</v>
      </c>
      <c r="M888" s="2">
        <v>4715561549.8000002</v>
      </c>
      <c r="N888">
        <v>86408</v>
      </c>
      <c r="O888" t="s">
        <v>19</v>
      </c>
    </row>
    <row r="889" spans="1:15" x14ac:dyDescent="0.3">
      <c r="A889" s="1">
        <v>45818</v>
      </c>
      <c r="B889" s="3" t="s">
        <v>15</v>
      </c>
      <c r="C889" s="3">
        <v>2393.4</v>
      </c>
      <c r="D889" s="3">
        <v>2400.1999999999998</v>
      </c>
      <c r="E889" s="3">
        <v>2378.4</v>
      </c>
      <c r="F889" s="3">
        <v>2393.1999999999998</v>
      </c>
      <c r="G889" s="3">
        <v>2392</v>
      </c>
      <c r="H889" s="3">
        <v>2395.1999999999998</v>
      </c>
      <c r="I889" s="3">
        <v>2393.06</v>
      </c>
      <c r="J889" s="3">
        <v>3035</v>
      </c>
      <c r="K889" s="3">
        <v>2136</v>
      </c>
      <c r="L889">
        <v>1778782</v>
      </c>
      <c r="M889" s="2">
        <v>4256731769.9000001</v>
      </c>
      <c r="N889">
        <v>71612</v>
      </c>
      <c r="O889" t="s">
        <v>19</v>
      </c>
    </row>
    <row r="890" spans="1:15" x14ac:dyDescent="0.3">
      <c r="A890" s="1">
        <v>45817</v>
      </c>
      <c r="B890" s="3" t="s">
        <v>15</v>
      </c>
      <c r="C890" s="3">
        <v>2394</v>
      </c>
      <c r="D890" s="3">
        <v>2399</v>
      </c>
      <c r="E890" s="3">
        <v>2378.3000000000002</v>
      </c>
      <c r="F890" s="3">
        <v>2389.8000000000002</v>
      </c>
      <c r="G890" s="3">
        <v>2390</v>
      </c>
      <c r="H890" s="3">
        <v>2393.1999999999998</v>
      </c>
      <c r="I890" s="3">
        <v>2392.2600000000002</v>
      </c>
      <c r="J890" s="3">
        <v>3035</v>
      </c>
      <c r="K890" s="3">
        <v>2136</v>
      </c>
      <c r="L890">
        <v>1293622</v>
      </c>
      <c r="M890" s="2">
        <v>3094676118.6999998</v>
      </c>
      <c r="N890">
        <v>67389</v>
      </c>
      <c r="O890" t="s">
        <v>19</v>
      </c>
    </row>
    <row r="891" spans="1:15" x14ac:dyDescent="0.3">
      <c r="A891" s="1">
        <v>45814</v>
      </c>
      <c r="B891" s="3" t="s">
        <v>15</v>
      </c>
      <c r="C891" s="3">
        <v>2373.3000000000002</v>
      </c>
      <c r="D891" s="3">
        <v>2396.5</v>
      </c>
      <c r="E891" s="3">
        <v>2370.1</v>
      </c>
      <c r="F891" s="3">
        <v>2376.4</v>
      </c>
      <c r="G891" s="3">
        <v>2389</v>
      </c>
      <c r="H891" s="3">
        <v>2389.8000000000002</v>
      </c>
      <c r="I891" s="3">
        <v>2384.61</v>
      </c>
      <c r="J891" s="3">
        <v>3035</v>
      </c>
      <c r="K891" s="3">
        <v>2136</v>
      </c>
      <c r="L891">
        <v>997488</v>
      </c>
      <c r="M891" s="2">
        <v>2378623797.5999999</v>
      </c>
      <c r="N891">
        <v>53934</v>
      </c>
      <c r="O891" t="s">
        <v>19</v>
      </c>
    </row>
    <row r="892" spans="1:15" x14ac:dyDescent="0.3">
      <c r="A892" s="1">
        <v>45813</v>
      </c>
      <c r="B892" s="3" t="s">
        <v>15</v>
      </c>
      <c r="C892" s="3">
        <v>2364.5</v>
      </c>
      <c r="D892" s="3">
        <v>2380</v>
      </c>
      <c r="E892" s="3">
        <v>2348.9</v>
      </c>
      <c r="F892" s="3">
        <v>2364.5</v>
      </c>
      <c r="G892" s="3">
        <v>2376</v>
      </c>
      <c r="H892" s="3">
        <v>2376.4</v>
      </c>
      <c r="I892" s="3">
        <v>2371.3200000000002</v>
      </c>
      <c r="J892" s="3">
        <v>3035</v>
      </c>
      <c r="K892" s="3">
        <v>2136</v>
      </c>
      <c r="L892">
        <v>1787978</v>
      </c>
      <c r="M892" s="2">
        <v>4239865309</v>
      </c>
      <c r="N892">
        <v>56991</v>
      </c>
      <c r="O892" t="s">
        <v>19</v>
      </c>
    </row>
    <row r="893" spans="1:15" x14ac:dyDescent="0.3">
      <c r="A893" s="1">
        <v>45812</v>
      </c>
      <c r="B893" s="3" t="s">
        <v>15</v>
      </c>
      <c r="C893" s="3">
        <v>2359.5</v>
      </c>
      <c r="D893" s="3">
        <v>2367.6</v>
      </c>
      <c r="E893" s="3">
        <v>2342.1</v>
      </c>
      <c r="F893" s="3">
        <v>2352.3000000000002</v>
      </c>
      <c r="G893" s="3">
        <v>2365</v>
      </c>
      <c r="H893" s="3">
        <v>2364.5</v>
      </c>
      <c r="I893" s="3">
        <v>2349.65</v>
      </c>
      <c r="J893" s="3">
        <v>3035</v>
      </c>
      <c r="K893" s="3">
        <v>2136</v>
      </c>
      <c r="L893">
        <v>3287896</v>
      </c>
      <c r="M893" s="2">
        <v>7725419253.8999996</v>
      </c>
      <c r="N893">
        <v>67671</v>
      </c>
      <c r="O893" t="s">
        <v>19</v>
      </c>
    </row>
    <row r="894" spans="1:15" x14ac:dyDescent="0.3">
      <c r="A894" s="1">
        <v>45811</v>
      </c>
      <c r="B894" s="3" t="s">
        <v>15</v>
      </c>
      <c r="C894" s="3">
        <v>2365.1</v>
      </c>
      <c r="D894" s="3">
        <v>2379.5</v>
      </c>
      <c r="E894" s="3">
        <v>2342.6</v>
      </c>
      <c r="F894" s="3">
        <v>2371.6</v>
      </c>
      <c r="G894" s="3">
        <v>2356</v>
      </c>
      <c r="H894" s="3">
        <v>2352.3000000000002</v>
      </c>
      <c r="I894" s="3">
        <v>2352.14</v>
      </c>
      <c r="J894" s="3">
        <v>3035</v>
      </c>
      <c r="K894" s="3">
        <v>2136</v>
      </c>
      <c r="L894">
        <v>1643913</v>
      </c>
      <c r="M894" s="2">
        <v>3866709347.0999999</v>
      </c>
      <c r="N894">
        <v>107654</v>
      </c>
      <c r="O894" t="s">
        <v>19</v>
      </c>
    </row>
    <row r="895" spans="1:15" x14ac:dyDescent="0.3">
      <c r="A895" s="1">
        <v>45810</v>
      </c>
      <c r="B895" s="3" t="s">
        <v>15</v>
      </c>
      <c r="C895" s="3">
        <v>2347.9</v>
      </c>
      <c r="D895" s="3">
        <v>2384</v>
      </c>
      <c r="E895" s="3">
        <v>2343.6</v>
      </c>
      <c r="F895" s="3">
        <v>2348.3000000000002</v>
      </c>
      <c r="G895" s="3">
        <v>2367.9</v>
      </c>
      <c r="H895" s="3">
        <v>2371.6</v>
      </c>
      <c r="I895" s="3">
        <v>2369.77</v>
      </c>
      <c r="J895" s="3">
        <v>3035</v>
      </c>
      <c r="K895" s="3">
        <v>2136</v>
      </c>
      <c r="L895">
        <v>1178205</v>
      </c>
      <c r="M895" s="2">
        <v>2792069352.6999998</v>
      </c>
      <c r="N895">
        <v>52751</v>
      </c>
      <c r="O895" t="s">
        <v>19</v>
      </c>
    </row>
    <row r="896" spans="1:15" x14ac:dyDescent="0.3">
      <c r="A896" s="1">
        <v>45807</v>
      </c>
      <c r="B896" s="3" t="s">
        <v>15</v>
      </c>
      <c r="C896" s="3">
        <v>2360</v>
      </c>
      <c r="D896" s="3">
        <v>2374.9</v>
      </c>
      <c r="E896" s="3">
        <v>2343.5</v>
      </c>
      <c r="F896" s="3">
        <v>2366.6999999999998</v>
      </c>
      <c r="G896" s="3">
        <v>2346</v>
      </c>
      <c r="H896" s="3">
        <v>2348.3000000000002</v>
      </c>
      <c r="I896" s="3">
        <v>2351.39</v>
      </c>
      <c r="J896" s="3">
        <v>3035</v>
      </c>
      <c r="K896" s="3">
        <v>2136</v>
      </c>
      <c r="L896">
        <v>3288892</v>
      </c>
      <c r="M896" s="2">
        <v>7733475792.1999998</v>
      </c>
      <c r="N896">
        <v>65016</v>
      </c>
      <c r="O896" t="s">
        <v>19</v>
      </c>
    </row>
    <row r="897" spans="1:15" x14ac:dyDescent="0.3">
      <c r="A897" s="1">
        <v>45806</v>
      </c>
      <c r="B897" s="3" t="s">
        <v>15</v>
      </c>
      <c r="C897" s="3">
        <v>2369</v>
      </c>
      <c r="D897" s="3">
        <v>2376</v>
      </c>
      <c r="E897" s="3">
        <v>2355.5</v>
      </c>
      <c r="F897" s="3">
        <v>2362</v>
      </c>
      <c r="G897" s="3">
        <v>2364.1999999999998</v>
      </c>
      <c r="H897" s="3">
        <v>2366.6999999999998</v>
      </c>
      <c r="I897" s="3">
        <v>2366.46</v>
      </c>
      <c r="J897" s="3">
        <v>3035</v>
      </c>
      <c r="K897" s="3">
        <v>2136</v>
      </c>
      <c r="L897">
        <v>1111275</v>
      </c>
      <c r="M897" s="2">
        <v>2629791496.3000002</v>
      </c>
      <c r="N897">
        <v>54853</v>
      </c>
      <c r="O897" t="s">
        <v>19</v>
      </c>
    </row>
    <row r="898" spans="1:15" x14ac:dyDescent="0.3">
      <c r="A898" s="1">
        <v>45805</v>
      </c>
      <c r="B898" s="3" t="s">
        <v>15</v>
      </c>
      <c r="C898" s="3">
        <v>2388</v>
      </c>
      <c r="D898" s="3">
        <v>2388</v>
      </c>
      <c r="E898" s="3">
        <v>2352</v>
      </c>
      <c r="F898" s="3">
        <v>2380.1999999999998</v>
      </c>
      <c r="G898" s="3">
        <v>2365</v>
      </c>
      <c r="H898" s="3">
        <v>2362</v>
      </c>
      <c r="I898" s="3">
        <v>2367.42</v>
      </c>
      <c r="J898" s="3">
        <v>3035</v>
      </c>
      <c r="K898" s="3">
        <v>2136</v>
      </c>
      <c r="L898">
        <v>897517</v>
      </c>
      <c r="M898" s="2">
        <v>2124799272.9000001</v>
      </c>
      <c r="N898">
        <v>41610</v>
      </c>
      <c r="O898" t="s">
        <v>19</v>
      </c>
    </row>
    <row r="899" spans="1:15" x14ac:dyDescent="0.3">
      <c r="A899" s="1">
        <v>45804</v>
      </c>
      <c r="B899" s="3" t="s">
        <v>15</v>
      </c>
      <c r="C899" s="3">
        <v>2394.1</v>
      </c>
      <c r="D899" s="3">
        <v>2409.5</v>
      </c>
      <c r="E899" s="3">
        <v>2360.3000000000002</v>
      </c>
      <c r="F899" s="3">
        <v>2394.1</v>
      </c>
      <c r="G899" s="3">
        <v>2383</v>
      </c>
      <c r="H899" s="3">
        <v>2380.1999999999998</v>
      </c>
      <c r="I899" s="3">
        <v>2379.54</v>
      </c>
      <c r="J899" s="3">
        <v>3035</v>
      </c>
      <c r="K899" s="3">
        <v>2136</v>
      </c>
      <c r="L899">
        <v>1865258</v>
      </c>
      <c r="M899" s="2">
        <v>4438450191</v>
      </c>
      <c r="N899">
        <v>97756</v>
      </c>
      <c r="O899" t="s">
        <v>19</v>
      </c>
    </row>
    <row r="900" spans="1:15" x14ac:dyDescent="0.3">
      <c r="A900" s="1">
        <v>45803</v>
      </c>
      <c r="B900" s="3" t="s">
        <v>15</v>
      </c>
      <c r="C900" s="3">
        <v>2368</v>
      </c>
      <c r="D900" s="3">
        <v>2397.3000000000002</v>
      </c>
      <c r="E900" s="3">
        <v>2364.1</v>
      </c>
      <c r="F900" s="3">
        <v>2359.1999999999998</v>
      </c>
      <c r="G900" s="3">
        <v>2391.1999999999998</v>
      </c>
      <c r="H900" s="3">
        <v>2394.1</v>
      </c>
      <c r="I900" s="3">
        <v>2385.3000000000002</v>
      </c>
      <c r="J900" s="3">
        <v>3035</v>
      </c>
      <c r="K900" s="3">
        <v>2136</v>
      </c>
      <c r="L900">
        <v>892618</v>
      </c>
      <c r="M900" s="2">
        <v>2129165706.9000001</v>
      </c>
      <c r="N900">
        <v>50530</v>
      </c>
      <c r="O900" t="s">
        <v>19</v>
      </c>
    </row>
    <row r="901" spans="1:15" x14ac:dyDescent="0.3">
      <c r="A901" s="1">
        <v>45800</v>
      </c>
      <c r="B901" s="3" t="s">
        <v>15</v>
      </c>
      <c r="C901" s="3">
        <v>2336.9</v>
      </c>
      <c r="D901" s="3">
        <v>2364.5</v>
      </c>
      <c r="E901" s="3">
        <v>2329.6</v>
      </c>
      <c r="F901" s="3">
        <v>2330.6999999999998</v>
      </c>
      <c r="G901" s="3">
        <v>2355</v>
      </c>
      <c r="H901" s="3">
        <v>2359.1999999999998</v>
      </c>
      <c r="I901" s="3">
        <v>2353.59</v>
      </c>
      <c r="J901" s="3">
        <v>3035</v>
      </c>
      <c r="K901" s="3">
        <v>2136</v>
      </c>
      <c r="L901">
        <v>844118</v>
      </c>
      <c r="M901" s="2">
        <v>1986709021.0999999</v>
      </c>
      <c r="N901">
        <v>37992</v>
      </c>
      <c r="O901" t="s">
        <v>19</v>
      </c>
    </row>
    <row r="902" spans="1:15" x14ac:dyDescent="0.3">
      <c r="A902" s="1">
        <v>45799</v>
      </c>
      <c r="B902" s="3" t="s">
        <v>15</v>
      </c>
      <c r="C902" s="3">
        <v>2355</v>
      </c>
      <c r="D902" s="3">
        <v>2363.1</v>
      </c>
      <c r="E902" s="3">
        <v>2313.1</v>
      </c>
      <c r="F902" s="3">
        <v>2363.9</v>
      </c>
      <c r="G902" s="3">
        <v>2330.6999999999998</v>
      </c>
      <c r="H902" s="3">
        <v>2330.6999999999998</v>
      </c>
      <c r="I902" s="3">
        <v>2329.0500000000002</v>
      </c>
      <c r="J902" s="3">
        <v>3035</v>
      </c>
      <c r="K902" s="3">
        <v>2136</v>
      </c>
      <c r="L902">
        <v>2423653</v>
      </c>
      <c r="M902" s="2">
        <v>5644798899.5</v>
      </c>
      <c r="N902">
        <v>110122</v>
      </c>
      <c r="O902" t="s">
        <v>19</v>
      </c>
    </row>
    <row r="903" spans="1:15" x14ac:dyDescent="0.3">
      <c r="A903" s="1">
        <v>45798</v>
      </c>
      <c r="B903" s="3" t="s">
        <v>15</v>
      </c>
      <c r="C903" s="3">
        <v>2346</v>
      </c>
      <c r="D903" s="3">
        <v>2375.6999999999998</v>
      </c>
      <c r="E903" s="3">
        <v>2345</v>
      </c>
      <c r="F903" s="3">
        <v>2341.1</v>
      </c>
      <c r="G903" s="3">
        <v>2360.1</v>
      </c>
      <c r="H903" s="3">
        <v>2363.9</v>
      </c>
      <c r="I903" s="3">
        <v>2366.42</v>
      </c>
      <c r="J903" s="3">
        <v>3035</v>
      </c>
      <c r="K903" s="3">
        <v>2136</v>
      </c>
      <c r="L903">
        <v>1570754</v>
      </c>
      <c r="M903" s="2">
        <v>3717059033.4000001</v>
      </c>
      <c r="N903">
        <v>74337</v>
      </c>
      <c r="O903" t="s">
        <v>19</v>
      </c>
    </row>
    <row r="904" spans="1:15" x14ac:dyDescent="0.3">
      <c r="A904" s="1">
        <v>45797</v>
      </c>
      <c r="B904" s="3" t="s">
        <v>15</v>
      </c>
      <c r="C904" s="3">
        <v>2394.6</v>
      </c>
      <c r="D904" s="3">
        <v>2394.6</v>
      </c>
      <c r="E904" s="3">
        <v>2338.5</v>
      </c>
      <c r="F904" s="3">
        <v>2382.6999999999998</v>
      </c>
      <c r="G904" s="3">
        <v>2348</v>
      </c>
      <c r="H904" s="3">
        <v>2341.1</v>
      </c>
      <c r="I904" s="3">
        <v>2352.5700000000002</v>
      </c>
      <c r="J904" s="3">
        <v>3035</v>
      </c>
      <c r="K904" s="3">
        <v>2136</v>
      </c>
      <c r="L904">
        <v>1617408</v>
      </c>
      <c r="M904" s="2">
        <v>3805072264.8000002</v>
      </c>
      <c r="N904">
        <v>71972</v>
      </c>
      <c r="O904" t="s">
        <v>19</v>
      </c>
    </row>
    <row r="905" spans="1:15" x14ac:dyDescent="0.3">
      <c r="A905" s="1">
        <v>45796</v>
      </c>
      <c r="B905" s="3" t="s">
        <v>15</v>
      </c>
      <c r="C905" s="3">
        <v>2375</v>
      </c>
      <c r="D905" s="3">
        <v>2405</v>
      </c>
      <c r="E905" s="3">
        <v>2375</v>
      </c>
      <c r="F905" s="3">
        <v>2381.4</v>
      </c>
      <c r="G905" s="3">
        <v>2381</v>
      </c>
      <c r="H905" s="3">
        <v>2382.6999999999998</v>
      </c>
      <c r="I905" s="3">
        <v>2388.7800000000002</v>
      </c>
      <c r="J905" s="3">
        <v>3035</v>
      </c>
      <c r="K905" s="3">
        <v>2136</v>
      </c>
      <c r="L905">
        <v>936655</v>
      </c>
      <c r="M905" s="2">
        <v>2237460516.5</v>
      </c>
      <c r="N905">
        <v>62075</v>
      </c>
      <c r="O905" t="s">
        <v>19</v>
      </c>
    </row>
    <row r="906" spans="1:15" x14ac:dyDescent="0.3">
      <c r="A906" s="1">
        <v>45793</v>
      </c>
      <c r="B906" s="3" t="s">
        <v>15</v>
      </c>
      <c r="C906" s="3">
        <v>2360</v>
      </c>
      <c r="D906" s="3">
        <v>2387</v>
      </c>
      <c r="E906" s="3">
        <v>2349</v>
      </c>
      <c r="F906" s="3">
        <v>2355.1999999999998</v>
      </c>
      <c r="G906" s="3">
        <v>2380</v>
      </c>
      <c r="H906" s="3">
        <v>2381.4</v>
      </c>
      <c r="I906" s="3">
        <v>2364.8200000000002</v>
      </c>
      <c r="J906" s="3">
        <v>3035</v>
      </c>
      <c r="K906" s="3">
        <v>2136</v>
      </c>
      <c r="L906">
        <v>1473000</v>
      </c>
      <c r="M906" s="2">
        <v>3483386515.9000001</v>
      </c>
      <c r="N906">
        <v>68020</v>
      </c>
      <c r="O906" t="s">
        <v>19</v>
      </c>
    </row>
    <row r="907" spans="1:15" x14ac:dyDescent="0.3">
      <c r="A907" s="1">
        <v>45792</v>
      </c>
      <c r="B907" s="3" t="s">
        <v>15</v>
      </c>
      <c r="C907" s="3">
        <v>2351.6</v>
      </c>
      <c r="D907" s="3">
        <v>2369.9</v>
      </c>
      <c r="E907" s="3">
        <v>2340</v>
      </c>
      <c r="F907" s="3">
        <v>2350.5</v>
      </c>
      <c r="G907" s="3">
        <v>2355</v>
      </c>
      <c r="H907" s="3">
        <v>2355.1999999999998</v>
      </c>
      <c r="I907" s="3">
        <v>2355.0100000000002</v>
      </c>
      <c r="J907" s="3">
        <v>3035</v>
      </c>
      <c r="K907" s="3">
        <v>2136</v>
      </c>
      <c r="L907">
        <v>3236681</v>
      </c>
      <c r="M907" s="2">
        <v>7622408947</v>
      </c>
      <c r="N907">
        <v>145637</v>
      </c>
      <c r="O907" t="s">
        <v>19</v>
      </c>
    </row>
    <row r="908" spans="1:15" x14ac:dyDescent="0.3">
      <c r="A908" s="1">
        <v>45791</v>
      </c>
      <c r="B908" s="3" t="s">
        <v>15</v>
      </c>
      <c r="C908" s="3">
        <v>2370</v>
      </c>
      <c r="D908" s="3">
        <v>2370</v>
      </c>
      <c r="E908" s="3">
        <v>2338.5</v>
      </c>
      <c r="F908" s="3">
        <v>2360</v>
      </c>
      <c r="G908" s="3">
        <v>2351.6999999999998</v>
      </c>
      <c r="H908" s="3">
        <v>2350.5</v>
      </c>
      <c r="I908" s="3">
        <v>2348.36</v>
      </c>
      <c r="J908" s="3">
        <v>3035</v>
      </c>
      <c r="K908" s="3">
        <v>2136</v>
      </c>
      <c r="L908">
        <v>1568111</v>
      </c>
      <c r="M908" s="2">
        <v>3682482875.5999999</v>
      </c>
      <c r="N908">
        <v>89391</v>
      </c>
      <c r="O908" t="s">
        <v>19</v>
      </c>
    </row>
    <row r="909" spans="1:15" x14ac:dyDescent="0.3">
      <c r="A909" s="1">
        <v>45790</v>
      </c>
      <c r="B909" s="3" t="s">
        <v>15</v>
      </c>
      <c r="C909" s="3">
        <v>2375.6</v>
      </c>
      <c r="D909" s="3">
        <v>2398</v>
      </c>
      <c r="E909" s="3">
        <v>2352.8000000000002</v>
      </c>
      <c r="F909" s="3">
        <v>2382.5</v>
      </c>
      <c r="G909" s="3">
        <v>2359.6999999999998</v>
      </c>
      <c r="H909" s="3">
        <v>2360</v>
      </c>
      <c r="I909" s="3">
        <v>2365.67</v>
      </c>
      <c r="J909" s="3">
        <v>3035</v>
      </c>
      <c r="K909" s="3">
        <v>2136</v>
      </c>
      <c r="L909">
        <v>1929665</v>
      </c>
      <c r="M909" s="2">
        <v>4564943492</v>
      </c>
      <c r="N909">
        <v>102660</v>
      </c>
      <c r="O909" t="s">
        <v>19</v>
      </c>
    </row>
    <row r="910" spans="1:15" x14ac:dyDescent="0.3">
      <c r="A910" s="1">
        <v>45789</v>
      </c>
      <c r="B910" s="3" t="s">
        <v>15</v>
      </c>
      <c r="C910" s="3">
        <v>2360</v>
      </c>
      <c r="D910" s="3">
        <v>2387</v>
      </c>
      <c r="E910" s="3">
        <v>2346.1</v>
      </c>
      <c r="F910" s="3">
        <v>2332.9</v>
      </c>
      <c r="G910" s="3">
        <v>2381.6999999999998</v>
      </c>
      <c r="H910" s="3">
        <v>2382.5</v>
      </c>
      <c r="I910" s="3">
        <v>2377.71</v>
      </c>
      <c r="J910" s="3">
        <v>3035</v>
      </c>
      <c r="K910" s="3">
        <v>2136</v>
      </c>
      <c r="L910">
        <v>1274873</v>
      </c>
      <c r="M910" s="2">
        <v>3031275467.6999998</v>
      </c>
      <c r="N910">
        <v>61649</v>
      </c>
      <c r="O910" t="s">
        <v>19</v>
      </c>
    </row>
    <row r="911" spans="1:15" x14ac:dyDescent="0.3">
      <c r="A911" s="1">
        <v>45786</v>
      </c>
      <c r="B911" s="3" t="s">
        <v>15</v>
      </c>
      <c r="C911" s="3">
        <v>2330</v>
      </c>
      <c r="D911" s="3">
        <v>2342.6999999999998</v>
      </c>
      <c r="E911" s="3">
        <v>2302.3000000000002</v>
      </c>
      <c r="F911" s="3">
        <v>2354.9</v>
      </c>
      <c r="G911" s="3">
        <v>2336</v>
      </c>
      <c r="H911" s="3">
        <v>2332.9</v>
      </c>
      <c r="I911" s="3">
        <v>2325.81</v>
      </c>
      <c r="J911" s="3">
        <v>3035</v>
      </c>
      <c r="K911" s="3">
        <v>2136</v>
      </c>
      <c r="L911">
        <v>1805685</v>
      </c>
      <c r="M911" s="2">
        <v>4199687091.6999998</v>
      </c>
      <c r="N911">
        <v>99944</v>
      </c>
      <c r="O911" t="s">
        <v>19</v>
      </c>
    </row>
    <row r="912" spans="1:15" x14ac:dyDescent="0.3">
      <c r="A912" s="1">
        <v>45785</v>
      </c>
      <c r="B912" s="3" t="s">
        <v>15</v>
      </c>
      <c r="C912" s="3">
        <v>2361.6999999999998</v>
      </c>
      <c r="D912" s="3">
        <v>2371.9</v>
      </c>
      <c r="E912" s="3">
        <v>2341</v>
      </c>
      <c r="F912" s="3">
        <v>2370.8000000000002</v>
      </c>
      <c r="G912" s="3">
        <v>2346.8000000000002</v>
      </c>
      <c r="H912" s="3">
        <v>2354.9</v>
      </c>
      <c r="I912" s="3">
        <v>2355.19</v>
      </c>
      <c r="J912" s="3">
        <v>3035</v>
      </c>
      <c r="K912" s="3">
        <v>2136</v>
      </c>
      <c r="L912">
        <v>2323073</v>
      </c>
      <c r="M912" s="2">
        <v>5471266856.1999998</v>
      </c>
      <c r="N912">
        <v>115982</v>
      </c>
      <c r="O912" t="s">
        <v>19</v>
      </c>
    </row>
    <row r="913" spans="1:15" x14ac:dyDescent="0.3">
      <c r="A913" s="1">
        <v>45784</v>
      </c>
      <c r="B913" s="3" t="s">
        <v>15</v>
      </c>
      <c r="C913" s="3">
        <v>2369</v>
      </c>
      <c r="D913" s="3">
        <v>2386.9</v>
      </c>
      <c r="E913" s="3">
        <v>2355.3000000000002</v>
      </c>
      <c r="F913" s="3">
        <v>2381.8000000000002</v>
      </c>
      <c r="G913" s="3">
        <v>2367.1</v>
      </c>
      <c r="H913" s="3">
        <v>2370.8000000000002</v>
      </c>
      <c r="I913" s="3">
        <v>2373.36</v>
      </c>
      <c r="J913" s="3">
        <v>3035</v>
      </c>
      <c r="K913" s="3">
        <v>2136</v>
      </c>
      <c r="L913">
        <v>1610400</v>
      </c>
      <c r="M913" s="2">
        <v>3822055801.1999998</v>
      </c>
      <c r="N913">
        <v>69587</v>
      </c>
      <c r="O913" t="s">
        <v>19</v>
      </c>
    </row>
    <row r="914" spans="1:15" x14ac:dyDescent="0.3">
      <c r="A914" s="1">
        <v>45783</v>
      </c>
      <c r="B914" s="3" t="s">
        <v>15</v>
      </c>
      <c r="C914" s="3">
        <v>2340.1999999999998</v>
      </c>
      <c r="D914" s="3">
        <v>2390.1</v>
      </c>
      <c r="E914" s="3">
        <v>2340.1999999999998</v>
      </c>
      <c r="F914" s="3">
        <v>2348.6</v>
      </c>
      <c r="G914" s="3">
        <v>2381.6</v>
      </c>
      <c r="H914" s="3">
        <v>2381.8000000000002</v>
      </c>
      <c r="I914" s="3">
        <v>2374.17</v>
      </c>
      <c r="J914" s="3">
        <v>3035</v>
      </c>
      <c r="K914" s="3">
        <v>2136</v>
      </c>
      <c r="L914">
        <v>1888125</v>
      </c>
      <c r="M914" s="2">
        <v>4482731038.3000002</v>
      </c>
      <c r="N914">
        <v>98625</v>
      </c>
      <c r="O914" t="s">
        <v>19</v>
      </c>
    </row>
    <row r="915" spans="1:15" x14ac:dyDescent="0.3">
      <c r="A915" s="1">
        <v>45782</v>
      </c>
      <c r="B915" s="3" t="s">
        <v>15</v>
      </c>
      <c r="C915" s="3">
        <v>2324.1</v>
      </c>
      <c r="D915" s="3">
        <v>2354.9</v>
      </c>
      <c r="E915" s="3">
        <v>2319.1</v>
      </c>
      <c r="F915" s="3">
        <v>2323.9</v>
      </c>
      <c r="G915" s="3">
        <v>2346.5</v>
      </c>
      <c r="H915" s="3">
        <v>2348.6</v>
      </c>
      <c r="I915" s="3">
        <v>2345.9</v>
      </c>
      <c r="J915" s="3">
        <v>3035</v>
      </c>
      <c r="K915" s="3">
        <v>2136</v>
      </c>
      <c r="L915">
        <v>2074103</v>
      </c>
      <c r="M915" s="2">
        <v>4865631673.3000002</v>
      </c>
      <c r="N915">
        <v>77265</v>
      </c>
      <c r="O915" t="s">
        <v>19</v>
      </c>
    </row>
    <row r="916" spans="1:15" x14ac:dyDescent="0.3">
      <c r="A916" s="1">
        <v>45779</v>
      </c>
      <c r="B916" s="3" t="s">
        <v>15</v>
      </c>
      <c r="C916" s="3">
        <v>2334.1</v>
      </c>
      <c r="D916" s="3">
        <v>2345</v>
      </c>
      <c r="E916" s="3">
        <v>2310</v>
      </c>
      <c r="F916" s="3">
        <v>2342.1</v>
      </c>
      <c r="G916" s="3">
        <v>2318.6</v>
      </c>
      <c r="H916" s="3">
        <v>2323.9</v>
      </c>
      <c r="I916" s="3">
        <v>2326.0500000000002</v>
      </c>
      <c r="J916" s="3">
        <v>3035</v>
      </c>
      <c r="K916" s="3">
        <v>2136</v>
      </c>
      <c r="L916">
        <v>1953078</v>
      </c>
      <c r="M916" s="2">
        <v>4542956706.3999996</v>
      </c>
      <c r="N916">
        <v>82367</v>
      </c>
      <c r="O916" t="s">
        <v>19</v>
      </c>
    </row>
    <row r="917" spans="1:15" x14ac:dyDescent="0.3">
      <c r="A917" s="1">
        <v>45777</v>
      </c>
      <c r="B917" s="3" t="s">
        <v>15</v>
      </c>
      <c r="C917" s="3">
        <v>2320</v>
      </c>
      <c r="D917" s="3">
        <v>2352.5</v>
      </c>
      <c r="E917" s="3">
        <v>2316</v>
      </c>
      <c r="F917" s="3">
        <v>2321.6999999999998</v>
      </c>
      <c r="G917" s="3">
        <v>2335.5</v>
      </c>
      <c r="H917" s="3">
        <v>2342.1</v>
      </c>
      <c r="I917" s="3">
        <v>2342.17</v>
      </c>
      <c r="J917" s="3">
        <v>3035</v>
      </c>
      <c r="K917" s="3">
        <v>2136</v>
      </c>
      <c r="L917">
        <v>2083807</v>
      </c>
      <c r="M917" s="2">
        <v>4880621395.3999996</v>
      </c>
      <c r="N917">
        <v>133969</v>
      </c>
      <c r="O917" t="s">
        <v>19</v>
      </c>
    </row>
    <row r="918" spans="1:15" x14ac:dyDescent="0.3">
      <c r="A918" s="1">
        <v>45776</v>
      </c>
      <c r="B918" s="3" t="s">
        <v>15</v>
      </c>
      <c r="C918" s="3">
        <v>2328</v>
      </c>
      <c r="D918" s="3">
        <v>2332.5</v>
      </c>
      <c r="E918" s="3">
        <v>2312.6</v>
      </c>
      <c r="F918" s="3">
        <v>2318.6</v>
      </c>
      <c r="G918" s="3">
        <v>2325</v>
      </c>
      <c r="H918" s="3">
        <v>2321.6999999999998</v>
      </c>
      <c r="I918" s="3">
        <v>2322.81</v>
      </c>
      <c r="J918" s="3">
        <v>3035</v>
      </c>
      <c r="K918" s="3">
        <v>2136</v>
      </c>
      <c r="L918">
        <v>1896387</v>
      </c>
      <c r="M918" s="2">
        <v>4404947519.1999998</v>
      </c>
      <c r="N918">
        <v>76093</v>
      </c>
      <c r="O918" t="s">
        <v>19</v>
      </c>
    </row>
    <row r="919" spans="1:15" x14ac:dyDescent="0.3">
      <c r="A919" s="1">
        <v>45775</v>
      </c>
      <c r="B919" s="3" t="s">
        <v>15</v>
      </c>
      <c r="C919" s="3">
        <v>2345</v>
      </c>
      <c r="D919" s="3">
        <v>2349</v>
      </c>
      <c r="E919" s="3">
        <v>2315</v>
      </c>
      <c r="F919" s="3">
        <v>2332.1999999999998</v>
      </c>
      <c r="G919" s="3">
        <v>2317.6</v>
      </c>
      <c r="H919" s="3">
        <v>2318.6</v>
      </c>
      <c r="I919" s="3">
        <v>2325.52</v>
      </c>
      <c r="J919" s="3">
        <v>3035</v>
      </c>
      <c r="K919" s="3">
        <v>2136</v>
      </c>
      <c r="L919">
        <v>1555660</v>
      </c>
      <c r="M919" s="2">
        <v>3617715983.8000002</v>
      </c>
      <c r="N919">
        <v>77606</v>
      </c>
      <c r="O919" t="s">
        <v>19</v>
      </c>
    </row>
    <row r="920" spans="1:15" x14ac:dyDescent="0.3">
      <c r="A920" s="1">
        <v>45772</v>
      </c>
      <c r="B920" s="3" t="s">
        <v>15</v>
      </c>
      <c r="C920" s="3">
        <v>2331.9</v>
      </c>
      <c r="D920" s="3">
        <v>2341.9</v>
      </c>
      <c r="E920" s="3">
        <v>2294.4</v>
      </c>
      <c r="F920" s="3">
        <v>2325.3000000000002</v>
      </c>
      <c r="G920" s="3">
        <v>2328.1</v>
      </c>
      <c r="H920" s="3">
        <v>2332.1999999999998</v>
      </c>
      <c r="I920" s="3">
        <v>2314.91</v>
      </c>
      <c r="J920" s="3">
        <v>3035</v>
      </c>
      <c r="K920" s="3">
        <v>2136</v>
      </c>
      <c r="L920">
        <v>2859858</v>
      </c>
      <c r="M920" s="2">
        <v>6620321627.8999996</v>
      </c>
      <c r="N920">
        <v>167193</v>
      </c>
      <c r="O920" t="s">
        <v>19</v>
      </c>
    </row>
    <row r="921" spans="1:15" x14ac:dyDescent="0.3">
      <c r="A921" s="1">
        <v>45771</v>
      </c>
      <c r="B921" s="3" t="s">
        <v>15</v>
      </c>
      <c r="C921" s="3">
        <v>2423.8000000000002</v>
      </c>
      <c r="D921" s="3">
        <v>2487.4</v>
      </c>
      <c r="E921" s="3">
        <v>2317.1</v>
      </c>
      <c r="F921" s="3">
        <v>2423.8000000000002</v>
      </c>
      <c r="G921" s="3">
        <v>2324</v>
      </c>
      <c r="H921" s="3">
        <v>2325.3000000000002</v>
      </c>
      <c r="I921" s="3">
        <v>2357.73</v>
      </c>
      <c r="J921" s="3">
        <v>3035</v>
      </c>
      <c r="K921" s="3">
        <v>2136</v>
      </c>
      <c r="L921">
        <v>7065430</v>
      </c>
      <c r="M921" s="2">
        <v>16658408483.5</v>
      </c>
      <c r="N921">
        <v>291862</v>
      </c>
      <c r="O921" t="s">
        <v>19</v>
      </c>
    </row>
    <row r="922" spans="1:15" x14ac:dyDescent="0.3">
      <c r="A922" s="1">
        <v>45770</v>
      </c>
      <c r="B922" s="3" t="s">
        <v>15</v>
      </c>
      <c r="C922" s="3">
        <v>2410</v>
      </c>
      <c r="D922" s="3">
        <v>2438</v>
      </c>
      <c r="E922" s="3">
        <v>2393.4</v>
      </c>
      <c r="F922" s="3">
        <v>2398.6999999999998</v>
      </c>
      <c r="G922" s="3">
        <v>2422</v>
      </c>
      <c r="H922" s="3">
        <v>2423.8000000000002</v>
      </c>
      <c r="I922" s="3">
        <v>2419.6999999999998</v>
      </c>
      <c r="J922" s="3">
        <v>3035</v>
      </c>
      <c r="K922" s="3">
        <v>2136</v>
      </c>
      <c r="L922">
        <v>2226066</v>
      </c>
      <c r="M922" s="2">
        <v>5386401195.6000004</v>
      </c>
      <c r="N922">
        <v>107014</v>
      </c>
      <c r="O922" t="s">
        <v>19</v>
      </c>
    </row>
    <row r="923" spans="1:15" x14ac:dyDescent="0.3">
      <c r="A923" s="1">
        <v>45769</v>
      </c>
      <c r="B923" s="3" t="s">
        <v>15</v>
      </c>
      <c r="C923" s="3">
        <v>2370</v>
      </c>
      <c r="D923" s="3">
        <v>2406</v>
      </c>
      <c r="E923" s="3">
        <v>2355.1</v>
      </c>
      <c r="F923" s="3">
        <v>2351</v>
      </c>
      <c r="G923" s="3">
        <v>2403</v>
      </c>
      <c r="H923" s="3">
        <v>2398.6999999999998</v>
      </c>
      <c r="I923" s="3">
        <v>2385.63</v>
      </c>
      <c r="J923" s="3">
        <v>3035</v>
      </c>
      <c r="K923" s="3">
        <v>2136</v>
      </c>
      <c r="L923">
        <v>2352346</v>
      </c>
      <c r="M923" s="2">
        <v>5611821276.1000004</v>
      </c>
      <c r="N923">
        <v>108902</v>
      </c>
      <c r="O923" t="s">
        <v>19</v>
      </c>
    </row>
    <row r="924" spans="1:15" x14ac:dyDescent="0.3">
      <c r="A924" s="1">
        <v>45768</v>
      </c>
      <c r="B924" s="3" t="s">
        <v>15</v>
      </c>
      <c r="C924" s="3">
        <v>2368.1</v>
      </c>
      <c r="D924" s="3">
        <v>2372.4</v>
      </c>
      <c r="E924" s="3">
        <v>2348.8000000000002</v>
      </c>
      <c r="F924" s="3">
        <v>2375</v>
      </c>
      <c r="G924" s="3">
        <v>2352</v>
      </c>
      <c r="H924" s="3">
        <v>2351</v>
      </c>
      <c r="I924" s="3">
        <v>2354.29</v>
      </c>
      <c r="J924" s="3">
        <v>3035</v>
      </c>
      <c r="K924" s="3">
        <v>2136</v>
      </c>
      <c r="L924">
        <v>1478430</v>
      </c>
      <c r="M924" s="2">
        <v>3480657060.3000002</v>
      </c>
      <c r="N924">
        <v>95682</v>
      </c>
      <c r="O924" t="s">
        <v>19</v>
      </c>
    </row>
    <row r="925" spans="1:15" x14ac:dyDescent="0.3">
      <c r="A925" s="1">
        <v>45764</v>
      </c>
      <c r="B925" s="3" t="s">
        <v>15</v>
      </c>
      <c r="C925" s="3">
        <v>2357.1</v>
      </c>
      <c r="D925" s="3">
        <v>2379.9</v>
      </c>
      <c r="E925" s="3">
        <v>2343.1</v>
      </c>
      <c r="F925" s="3">
        <v>2366.6</v>
      </c>
      <c r="G925" s="3">
        <v>2372.5</v>
      </c>
      <c r="H925" s="3">
        <v>2375</v>
      </c>
      <c r="I925" s="3">
        <v>2365.08</v>
      </c>
      <c r="J925" s="3">
        <v>3035</v>
      </c>
      <c r="K925" s="3">
        <v>2136</v>
      </c>
      <c r="L925">
        <v>1962402</v>
      </c>
      <c r="M925" s="2">
        <v>4641234269.1000004</v>
      </c>
      <c r="N925">
        <v>123489</v>
      </c>
      <c r="O925" t="s">
        <v>19</v>
      </c>
    </row>
    <row r="926" spans="1:15" x14ac:dyDescent="0.3">
      <c r="A926" s="1">
        <v>45763</v>
      </c>
      <c r="B926" s="3" t="s">
        <v>15</v>
      </c>
      <c r="C926" s="3">
        <v>2351</v>
      </c>
      <c r="D926" s="3">
        <v>2376</v>
      </c>
      <c r="E926" s="3">
        <v>2351</v>
      </c>
      <c r="F926" s="3">
        <v>2361.5</v>
      </c>
      <c r="G926" s="3">
        <v>2364.5</v>
      </c>
      <c r="H926" s="3">
        <v>2366.6</v>
      </c>
      <c r="I926" s="3">
        <v>2364.89</v>
      </c>
      <c r="J926" s="3">
        <v>3035</v>
      </c>
      <c r="K926" s="3">
        <v>2136</v>
      </c>
      <c r="L926">
        <v>1131979</v>
      </c>
      <c r="M926" s="2">
        <v>2677007573.4000001</v>
      </c>
      <c r="N926">
        <v>58736</v>
      </c>
      <c r="O926" t="s">
        <v>19</v>
      </c>
    </row>
    <row r="927" spans="1:15" x14ac:dyDescent="0.3">
      <c r="A927" s="1">
        <v>45762</v>
      </c>
      <c r="B927" s="3" t="s">
        <v>15</v>
      </c>
      <c r="C927" s="3">
        <v>2400</v>
      </c>
      <c r="D927" s="3">
        <v>2400</v>
      </c>
      <c r="E927" s="3">
        <v>2345.1999999999998</v>
      </c>
      <c r="F927" s="3">
        <v>2366.15</v>
      </c>
      <c r="G927" s="3">
        <v>2368</v>
      </c>
      <c r="H927" s="3">
        <v>2361.5</v>
      </c>
      <c r="I927" s="3">
        <v>2360.91</v>
      </c>
      <c r="J927" s="3">
        <v>3035</v>
      </c>
      <c r="K927" s="3">
        <v>2136</v>
      </c>
      <c r="L927">
        <v>3042779</v>
      </c>
      <c r="M927" s="2">
        <v>7183724031.3999996</v>
      </c>
      <c r="N927">
        <v>102995</v>
      </c>
      <c r="O927" t="s">
        <v>19</v>
      </c>
    </row>
    <row r="928" spans="1:15" x14ac:dyDescent="0.3">
      <c r="A928" s="1">
        <v>45758</v>
      </c>
      <c r="B928" s="3" t="s">
        <v>15</v>
      </c>
      <c r="C928" s="3">
        <v>2394.6</v>
      </c>
      <c r="D928" s="3">
        <v>2394.85</v>
      </c>
      <c r="E928" s="3">
        <v>2344.35</v>
      </c>
      <c r="F928" s="3">
        <v>2350</v>
      </c>
      <c r="G928" s="3">
        <v>2362.1</v>
      </c>
      <c r="H928" s="3">
        <v>2366.15</v>
      </c>
      <c r="I928" s="3">
        <v>2362.4299999999998</v>
      </c>
      <c r="J928" s="3">
        <v>3035</v>
      </c>
      <c r="K928" s="3">
        <v>2136</v>
      </c>
      <c r="L928">
        <v>3836083</v>
      </c>
      <c r="M928" s="2">
        <v>9062473924.8999996</v>
      </c>
      <c r="N928">
        <v>150510</v>
      </c>
      <c r="O928" t="s">
        <v>19</v>
      </c>
    </row>
    <row r="929" spans="1:15" x14ac:dyDescent="0.3">
      <c r="A929" s="1">
        <v>45756</v>
      </c>
      <c r="B929" s="3" t="s">
        <v>15</v>
      </c>
      <c r="C929" s="3">
        <v>2293.9499999999998</v>
      </c>
      <c r="D929" s="3">
        <v>2354.15</v>
      </c>
      <c r="E929" s="3">
        <v>2289.5</v>
      </c>
      <c r="F929" s="3">
        <v>2289.25</v>
      </c>
      <c r="G929" s="3">
        <v>2349</v>
      </c>
      <c r="H929" s="3">
        <v>2350</v>
      </c>
      <c r="I929" s="3">
        <v>2341.4499999999998</v>
      </c>
      <c r="J929" s="3">
        <v>3035</v>
      </c>
      <c r="K929" s="3">
        <v>2136</v>
      </c>
      <c r="L929">
        <v>2989089</v>
      </c>
      <c r="M929" s="2">
        <v>6998787700.25</v>
      </c>
      <c r="N929">
        <v>138810</v>
      </c>
      <c r="O929" t="s">
        <v>19</v>
      </c>
    </row>
    <row r="930" spans="1:15" x14ac:dyDescent="0.3">
      <c r="A930" s="1">
        <v>45755</v>
      </c>
      <c r="B930" s="3" t="s">
        <v>15</v>
      </c>
      <c r="C930" s="3">
        <v>2268.3000000000002</v>
      </c>
      <c r="D930" s="3">
        <v>2306.1999999999998</v>
      </c>
      <c r="E930" s="3">
        <v>2252.35</v>
      </c>
      <c r="F930" s="3">
        <v>2249.4</v>
      </c>
      <c r="G930" s="3">
        <v>2293.9499999999998</v>
      </c>
      <c r="H930" s="3">
        <v>2289.25</v>
      </c>
      <c r="I930" s="3">
        <v>2285.4299999999998</v>
      </c>
      <c r="J930" s="3">
        <v>3035</v>
      </c>
      <c r="K930" s="3">
        <v>2136</v>
      </c>
      <c r="L930">
        <v>2774874</v>
      </c>
      <c r="M930" s="2">
        <v>6341793092.6000004</v>
      </c>
      <c r="N930">
        <v>145572</v>
      </c>
      <c r="O930" t="s">
        <v>19</v>
      </c>
    </row>
    <row r="931" spans="1:15" x14ac:dyDescent="0.3">
      <c r="A931" s="1">
        <v>45754</v>
      </c>
      <c r="B931" s="3" t="s">
        <v>15</v>
      </c>
      <c r="C931" s="3">
        <v>2150</v>
      </c>
      <c r="D931" s="3">
        <v>2261.6</v>
      </c>
      <c r="E931" s="3">
        <v>2150</v>
      </c>
      <c r="F931" s="3">
        <v>2244.5500000000002</v>
      </c>
      <c r="G931" s="3">
        <v>2250</v>
      </c>
      <c r="H931" s="3">
        <v>2249.4</v>
      </c>
      <c r="I931" s="3">
        <v>2234.34</v>
      </c>
      <c r="J931" s="3">
        <v>3035</v>
      </c>
      <c r="K931" s="3">
        <v>2136</v>
      </c>
      <c r="L931">
        <v>3435185</v>
      </c>
      <c r="M931" s="2">
        <v>7675370702.9499998</v>
      </c>
      <c r="N931">
        <v>194418</v>
      </c>
      <c r="O931" t="s">
        <v>19</v>
      </c>
    </row>
    <row r="932" spans="1:15" x14ac:dyDescent="0.3">
      <c r="A932" s="1">
        <v>45751</v>
      </c>
      <c r="B932" s="3" t="s">
        <v>15</v>
      </c>
      <c r="C932" s="3">
        <v>2230</v>
      </c>
      <c r="D932" s="3">
        <v>2267.0500000000002</v>
      </c>
      <c r="E932" s="3">
        <v>2222</v>
      </c>
      <c r="F932" s="3">
        <v>2244.5500000000002</v>
      </c>
      <c r="G932" s="3">
        <v>2243.35</v>
      </c>
      <c r="H932" s="3">
        <v>2244.5500000000002</v>
      </c>
      <c r="I932" s="3">
        <v>2245.11</v>
      </c>
      <c r="J932" s="3">
        <v>3035</v>
      </c>
      <c r="K932" s="3">
        <v>2136</v>
      </c>
      <c r="L932">
        <v>1120226</v>
      </c>
      <c r="M932" s="2">
        <v>2515030830.0999999</v>
      </c>
      <c r="N932">
        <v>61995</v>
      </c>
      <c r="O932" t="s">
        <v>19</v>
      </c>
    </row>
    <row r="933" spans="1:15" x14ac:dyDescent="0.3">
      <c r="A933" s="1">
        <v>45750</v>
      </c>
      <c r="B933" s="3" t="s">
        <v>15</v>
      </c>
      <c r="C933" s="3">
        <v>2225.4499999999998</v>
      </c>
      <c r="D933" s="3">
        <v>2252.9</v>
      </c>
      <c r="E933" s="3">
        <v>2220.6</v>
      </c>
      <c r="F933" s="3">
        <v>2237.9</v>
      </c>
      <c r="G933" s="3">
        <v>2241.65</v>
      </c>
      <c r="H933" s="3">
        <v>2244.5500000000002</v>
      </c>
      <c r="I933" s="3">
        <v>2240.4699999999998</v>
      </c>
      <c r="J933" s="3">
        <v>3035</v>
      </c>
      <c r="K933" s="3">
        <v>2136</v>
      </c>
      <c r="L933">
        <v>1310088</v>
      </c>
      <c r="M933" s="2">
        <v>2935218323.8000002</v>
      </c>
      <c r="N933">
        <v>73387</v>
      </c>
      <c r="O933" t="s">
        <v>19</v>
      </c>
    </row>
    <row r="934" spans="1:15" x14ac:dyDescent="0.3">
      <c r="A934" s="1">
        <v>45749</v>
      </c>
      <c r="B934" s="3" t="s">
        <v>15</v>
      </c>
      <c r="C934" s="3">
        <v>2243.6999999999998</v>
      </c>
      <c r="D934" s="3">
        <v>2243.6999999999998</v>
      </c>
      <c r="E934" s="3">
        <v>2190.0500000000002</v>
      </c>
      <c r="F934" s="3">
        <v>2233.85</v>
      </c>
      <c r="G934" s="3">
        <v>2237</v>
      </c>
      <c r="H934" s="3">
        <v>2237.9</v>
      </c>
      <c r="I934" s="3">
        <v>2225.48</v>
      </c>
      <c r="J934" s="3">
        <v>3035</v>
      </c>
      <c r="K934" s="3">
        <v>2136</v>
      </c>
      <c r="L934">
        <v>1351493</v>
      </c>
      <c r="M934" s="2">
        <v>3007727207.1999998</v>
      </c>
      <c r="N934">
        <v>73173</v>
      </c>
      <c r="O934" t="s">
        <v>19</v>
      </c>
    </row>
    <row r="935" spans="1:15" x14ac:dyDescent="0.3">
      <c r="A935" s="1">
        <v>45748</v>
      </c>
      <c r="B935" s="3" t="s">
        <v>15</v>
      </c>
      <c r="C935" s="3">
        <v>2259</v>
      </c>
      <c r="D935" s="3">
        <v>2284.65</v>
      </c>
      <c r="E935" s="3">
        <v>2220</v>
      </c>
      <c r="F935" s="3">
        <v>2258.85</v>
      </c>
      <c r="G935" s="3">
        <v>2237</v>
      </c>
      <c r="H935" s="3">
        <v>2233.85</v>
      </c>
      <c r="I935" s="3">
        <v>2241.96</v>
      </c>
      <c r="J935" s="3">
        <v>3035</v>
      </c>
      <c r="K935" s="3">
        <v>2136</v>
      </c>
      <c r="L935">
        <v>2495962</v>
      </c>
      <c r="M935" s="2">
        <v>5595842112.6000004</v>
      </c>
      <c r="N935">
        <v>107898</v>
      </c>
      <c r="O935" t="s">
        <v>19</v>
      </c>
    </row>
    <row r="936" spans="1:15" x14ac:dyDescent="0.3">
      <c r="A936" s="1">
        <v>45744</v>
      </c>
      <c r="B936" s="3" t="s">
        <v>15</v>
      </c>
      <c r="C936" s="3">
        <v>2247</v>
      </c>
      <c r="D936" s="3">
        <v>2296</v>
      </c>
      <c r="E936" s="3">
        <v>2240.3000000000002</v>
      </c>
      <c r="F936" s="3">
        <v>2244.65</v>
      </c>
      <c r="G936" s="3">
        <v>2257.85</v>
      </c>
      <c r="H936" s="3">
        <v>2258.85</v>
      </c>
      <c r="I936" s="3">
        <v>2269.13</v>
      </c>
      <c r="J936" s="3">
        <v>3035</v>
      </c>
      <c r="K936" s="3">
        <v>2136</v>
      </c>
      <c r="L936">
        <v>2280152</v>
      </c>
      <c r="M936" s="2">
        <v>5173964115.8500004</v>
      </c>
      <c r="N936">
        <v>98348</v>
      </c>
      <c r="O936" t="s">
        <v>19</v>
      </c>
    </row>
    <row r="937" spans="1:15" x14ac:dyDescent="0.3">
      <c r="A937" s="1">
        <v>45743</v>
      </c>
      <c r="B937" s="3" t="s">
        <v>15</v>
      </c>
      <c r="C937" s="3">
        <v>2244.1999999999998</v>
      </c>
      <c r="D937" s="3">
        <v>2260.9</v>
      </c>
      <c r="E937" s="3">
        <v>2200</v>
      </c>
      <c r="F937" s="3">
        <v>2245.9499999999998</v>
      </c>
      <c r="G937" s="3">
        <v>2243.85</v>
      </c>
      <c r="H937" s="3">
        <v>2244.65</v>
      </c>
      <c r="I937" s="3">
        <v>2245.33</v>
      </c>
      <c r="J937" s="3">
        <v>3035</v>
      </c>
      <c r="K937" s="3">
        <v>2136</v>
      </c>
      <c r="L937">
        <v>3752627</v>
      </c>
      <c r="M937" s="2">
        <v>8425874289.3500004</v>
      </c>
      <c r="N937">
        <v>105998</v>
      </c>
      <c r="O937" t="s">
        <v>19</v>
      </c>
    </row>
    <row r="938" spans="1:15" x14ac:dyDescent="0.3">
      <c r="A938" s="1">
        <v>45742</v>
      </c>
      <c r="B938" s="3" t="s">
        <v>15</v>
      </c>
      <c r="C938" s="3">
        <v>2272</v>
      </c>
      <c r="D938" s="3">
        <v>2279.9</v>
      </c>
      <c r="E938" s="3">
        <v>2237.8000000000002</v>
      </c>
      <c r="F938" s="3">
        <v>2271.3000000000002</v>
      </c>
      <c r="G938" s="3">
        <v>2246.3000000000002</v>
      </c>
      <c r="H938" s="3">
        <v>2245.9499999999998</v>
      </c>
      <c r="I938" s="3">
        <v>2258.6799999999998</v>
      </c>
      <c r="J938" s="3">
        <v>3035</v>
      </c>
      <c r="K938" s="3">
        <v>2136</v>
      </c>
      <c r="L938">
        <v>1416907</v>
      </c>
      <c r="M938" s="2">
        <v>3200333405.75</v>
      </c>
      <c r="N938">
        <v>96908</v>
      </c>
      <c r="O938" t="s">
        <v>19</v>
      </c>
    </row>
    <row r="939" spans="1:15" x14ac:dyDescent="0.3">
      <c r="A939" s="1">
        <v>45741</v>
      </c>
      <c r="B939" s="3" t="s">
        <v>15</v>
      </c>
      <c r="C939" s="3">
        <v>2250.75</v>
      </c>
      <c r="D939" s="3">
        <v>2292</v>
      </c>
      <c r="E939" s="3">
        <v>2243.35</v>
      </c>
      <c r="F939" s="3">
        <v>2256.1999999999998</v>
      </c>
      <c r="G939" s="3">
        <v>2264.6999999999998</v>
      </c>
      <c r="H939" s="3">
        <v>2271.3000000000002</v>
      </c>
      <c r="I939" s="3">
        <v>2271.3000000000002</v>
      </c>
      <c r="J939" s="3">
        <v>3035</v>
      </c>
      <c r="K939" s="3">
        <v>2136</v>
      </c>
      <c r="L939">
        <v>2229340</v>
      </c>
      <c r="M939" s="2">
        <v>5063505026.4499998</v>
      </c>
      <c r="N939">
        <v>113061</v>
      </c>
      <c r="O939" t="s">
        <v>19</v>
      </c>
    </row>
    <row r="940" spans="1:15" x14ac:dyDescent="0.3">
      <c r="A940" s="1">
        <v>45740</v>
      </c>
      <c r="B940" s="3" t="s">
        <v>15</v>
      </c>
      <c r="C940" s="3">
        <v>2250.25</v>
      </c>
      <c r="D940" s="3">
        <v>2266</v>
      </c>
      <c r="E940" s="3">
        <v>2241</v>
      </c>
      <c r="F940" s="3">
        <v>2246.1999999999998</v>
      </c>
      <c r="G940" s="3">
        <v>2265.15</v>
      </c>
      <c r="H940" s="3">
        <v>2256.1999999999998</v>
      </c>
      <c r="I940" s="3">
        <v>2251.0100000000002</v>
      </c>
      <c r="J940" s="3">
        <v>3035</v>
      </c>
      <c r="K940" s="3">
        <v>2136</v>
      </c>
      <c r="L940">
        <v>1454404</v>
      </c>
      <c r="M940" s="2">
        <v>3273876899.0999999</v>
      </c>
      <c r="N940">
        <v>66657</v>
      </c>
      <c r="O940" t="s">
        <v>19</v>
      </c>
    </row>
    <row r="941" spans="1:15" x14ac:dyDescent="0.3">
      <c r="A941" s="1">
        <v>45737</v>
      </c>
      <c r="B941" s="3" t="s">
        <v>15</v>
      </c>
      <c r="C941" s="3">
        <v>2245</v>
      </c>
      <c r="D941" s="3">
        <v>2255.1999999999998</v>
      </c>
      <c r="E941" s="3">
        <v>2225.8000000000002</v>
      </c>
      <c r="F941" s="3">
        <v>2242.4</v>
      </c>
      <c r="G941" s="3">
        <v>2247.5</v>
      </c>
      <c r="H941" s="3">
        <v>2246.1999999999998</v>
      </c>
      <c r="I941" s="3">
        <v>2244.27</v>
      </c>
      <c r="J941" s="3">
        <v>3035</v>
      </c>
      <c r="K941" s="3">
        <v>2136</v>
      </c>
      <c r="L941">
        <v>2152415</v>
      </c>
      <c r="M941" s="2">
        <v>4830600492.8999996</v>
      </c>
      <c r="N941">
        <v>89511</v>
      </c>
      <c r="O941" t="s">
        <v>19</v>
      </c>
    </row>
    <row r="942" spans="1:15" x14ac:dyDescent="0.3">
      <c r="A942" s="1">
        <v>45736</v>
      </c>
      <c r="B942" s="3" t="s">
        <v>15</v>
      </c>
      <c r="C942" s="3">
        <v>2203.9</v>
      </c>
      <c r="D942" s="3">
        <v>2248.9</v>
      </c>
      <c r="E942" s="3">
        <v>2188.4499999999998</v>
      </c>
      <c r="F942" s="3">
        <v>2200.0500000000002</v>
      </c>
      <c r="G942" s="3">
        <v>2239.4499999999998</v>
      </c>
      <c r="H942" s="3">
        <v>2242.4</v>
      </c>
      <c r="I942" s="3">
        <v>2231.62</v>
      </c>
      <c r="J942" s="3">
        <v>3035</v>
      </c>
      <c r="K942" s="3">
        <v>2136</v>
      </c>
      <c r="L942">
        <v>1426689</v>
      </c>
      <c r="M942" s="2">
        <v>3183821438.5500002</v>
      </c>
      <c r="N942">
        <v>75743</v>
      </c>
      <c r="O942" t="s">
        <v>19</v>
      </c>
    </row>
    <row r="943" spans="1:15" x14ac:dyDescent="0.3">
      <c r="A943" s="1">
        <v>45735</v>
      </c>
      <c r="B943" s="3" t="s">
        <v>15</v>
      </c>
      <c r="C943" s="3">
        <v>2207</v>
      </c>
      <c r="D943" s="3">
        <v>2212.85</v>
      </c>
      <c r="E943" s="3">
        <v>2193.4499999999998</v>
      </c>
      <c r="F943" s="3">
        <v>2201.4</v>
      </c>
      <c r="G943" s="3">
        <v>2198.9499999999998</v>
      </c>
      <c r="H943" s="3">
        <v>2200.0500000000002</v>
      </c>
      <c r="I943" s="3">
        <v>2200.94</v>
      </c>
      <c r="J943" s="3">
        <v>3035</v>
      </c>
      <c r="K943" s="3">
        <v>2136</v>
      </c>
      <c r="L943">
        <v>1341405</v>
      </c>
      <c r="M943" s="2">
        <v>2952352215.3499999</v>
      </c>
      <c r="N943">
        <v>68294</v>
      </c>
      <c r="O943" t="s">
        <v>19</v>
      </c>
    </row>
    <row r="944" spans="1:15" x14ac:dyDescent="0.3">
      <c r="A944" s="1">
        <v>45734</v>
      </c>
      <c r="B944" s="3" t="s">
        <v>15</v>
      </c>
      <c r="C944" s="3">
        <v>2189.65</v>
      </c>
      <c r="D944" s="3">
        <v>2215</v>
      </c>
      <c r="E944" s="3">
        <v>2175</v>
      </c>
      <c r="F944" s="3">
        <v>2171.25</v>
      </c>
      <c r="G944" s="3">
        <v>2204.9</v>
      </c>
      <c r="H944" s="3">
        <v>2201.4</v>
      </c>
      <c r="I944" s="3">
        <v>2200.91</v>
      </c>
      <c r="J944" s="3">
        <v>3035</v>
      </c>
      <c r="K944" s="3">
        <v>2136</v>
      </c>
      <c r="L944">
        <v>1475585</v>
      </c>
      <c r="M944" s="2">
        <v>3247633509.0999999</v>
      </c>
      <c r="N944">
        <v>74920</v>
      </c>
      <c r="O944" t="s">
        <v>19</v>
      </c>
    </row>
    <row r="945" spans="1:15" x14ac:dyDescent="0.3">
      <c r="A945" s="1">
        <v>45733</v>
      </c>
      <c r="B945" s="3" t="s">
        <v>15</v>
      </c>
      <c r="C945" s="3">
        <v>2161</v>
      </c>
      <c r="D945" s="3">
        <v>2195.4499999999998</v>
      </c>
      <c r="E945" s="3">
        <v>2156.5</v>
      </c>
      <c r="F945" s="3">
        <v>2174.8000000000002</v>
      </c>
      <c r="G945" s="3">
        <v>2172.5</v>
      </c>
      <c r="H945" s="3">
        <v>2171.25</v>
      </c>
      <c r="I945" s="3">
        <v>2169.2600000000002</v>
      </c>
      <c r="J945" s="3">
        <v>3035</v>
      </c>
      <c r="K945" s="3">
        <v>2136</v>
      </c>
      <c r="L945">
        <v>1111886</v>
      </c>
      <c r="M945" s="2">
        <v>2411964953.4000001</v>
      </c>
      <c r="N945">
        <v>77099</v>
      </c>
      <c r="O945" t="s">
        <v>19</v>
      </c>
    </row>
    <row r="946" spans="1:15" x14ac:dyDescent="0.3">
      <c r="A946" s="1">
        <v>45729</v>
      </c>
      <c r="B946" s="3" t="s">
        <v>15</v>
      </c>
      <c r="C946" s="3">
        <v>2185</v>
      </c>
      <c r="D946" s="3">
        <v>2209.9499999999998</v>
      </c>
      <c r="E946" s="3">
        <v>2164.4499999999998</v>
      </c>
      <c r="F946" s="3">
        <v>2192.9</v>
      </c>
      <c r="G946" s="3">
        <v>2177</v>
      </c>
      <c r="H946" s="3">
        <v>2174.8000000000002</v>
      </c>
      <c r="I946" s="3">
        <v>2185.5300000000002</v>
      </c>
      <c r="J946" s="3">
        <v>3035</v>
      </c>
      <c r="K946" s="3">
        <v>2136</v>
      </c>
      <c r="L946">
        <v>1845629</v>
      </c>
      <c r="M946" s="2">
        <v>4033679411.75</v>
      </c>
      <c r="N946">
        <v>97573</v>
      </c>
      <c r="O946" t="s">
        <v>19</v>
      </c>
    </row>
    <row r="947" spans="1:15" x14ac:dyDescent="0.3">
      <c r="A947" s="1">
        <v>45728</v>
      </c>
      <c r="B947" s="3" t="s">
        <v>15</v>
      </c>
      <c r="C947" s="3">
        <v>2217.35</v>
      </c>
      <c r="D947" s="3">
        <v>2229.9499999999998</v>
      </c>
      <c r="E947" s="3">
        <v>2185</v>
      </c>
      <c r="F947" s="3">
        <v>2216.9499999999998</v>
      </c>
      <c r="G947" s="3">
        <v>2194.65</v>
      </c>
      <c r="H947" s="3">
        <v>2192.9</v>
      </c>
      <c r="I947" s="3">
        <v>2209.6</v>
      </c>
      <c r="J947" s="3">
        <v>3035</v>
      </c>
      <c r="K947" s="3">
        <v>2136</v>
      </c>
      <c r="L947">
        <v>1526212</v>
      </c>
      <c r="M947" s="2">
        <v>3372315447.6999998</v>
      </c>
      <c r="N947">
        <v>73258</v>
      </c>
      <c r="O947" t="s">
        <v>19</v>
      </c>
    </row>
    <row r="948" spans="1:15" x14ac:dyDescent="0.3">
      <c r="A948" s="1">
        <v>45727</v>
      </c>
      <c r="B948" s="3" t="s">
        <v>15</v>
      </c>
      <c r="C948" s="3">
        <v>2240</v>
      </c>
      <c r="D948" s="3">
        <v>2262.4499999999998</v>
      </c>
      <c r="E948" s="3">
        <v>2211.25</v>
      </c>
      <c r="F948" s="3">
        <v>2247.75</v>
      </c>
      <c r="G948" s="3">
        <v>2220</v>
      </c>
      <c r="H948" s="3">
        <v>2216.9499999999998</v>
      </c>
      <c r="I948" s="3">
        <v>2237.31</v>
      </c>
      <c r="J948" s="3">
        <v>3035</v>
      </c>
      <c r="K948" s="3">
        <v>2136</v>
      </c>
      <c r="L948">
        <v>1325891</v>
      </c>
      <c r="M948" s="2">
        <v>2966434804.4000001</v>
      </c>
      <c r="N948">
        <v>94027</v>
      </c>
      <c r="O948" t="s">
        <v>19</v>
      </c>
    </row>
    <row r="949" spans="1:15" x14ac:dyDescent="0.3">
      <c r="A949" s="1">
        <v>45726</v>
      </c>
      <c r="B949" s="3" t="s">
        <v>15</v>
      </c>
      <c r="C949" s="3">
        <v>2208</v>
      </c>
      <c r="D949" s="3">
        <v>2267.15</v>
      </c>
      <c r="E949" s="3">
        <v>2194.65</v>
      </c>
      <c r="F949" s="3">
        <v>2204.5500000000002</v>
      </c>
      <c r="G949" s="3">
        <v>2246.5</v>
      </c>
      <c r="H949" s="3">
        <v>2247.75</v>
      </c>
      <c r="I949" s="3">
        <v>2249.5100000000002</v>
      </c>
      <c r="J949" s="3">
        <v>3035</v>
      </c>
      <c r="K949" s="3">
        <v>2136</v>
      </c>
      <c r="L949">
        <v>1242387</v>
      </c>
      <c r="M949" s="2">
        <v>2794766542.5999999</v>
      </c>
      <c r="N949">
        <v>100482</v>
      </c>
      <c r="O949" t="s">
        <v>19</v>
      </c>
    </row>
    <row r="950" spans="1:15" x14ac:dyDescent="0.3">
      <c r="A950" s="1">
        <v>45723</v>
      </c>
      <c r="B950" s="3" t="s">
        <v>15</v>
      </c>
      <c r="C950" s="3">
        <v>2226.6999999999998</v>
      </c>
      <c r="D950" s="3">
        <v>2226.6999999999998</v>
      </c>
      <c r="E950" s="3">
        <v>2189.1999999999998</v>
      </c>
      <c r="F950" s="3">
        <v>2218.9499999999998</v>
      </c>
      <c r="G950" s="3">
        <v>2207.9499999999998</v>
      </c>
      <c r="H950" s="3">
        <v>2204.5500000000002</v>
      </c>
      <c r="I950" s="3">
        <v>2202.48</v>
      </c>
      <c r="J950" s="3">
        <v>3035</v>
      </c>
      <c r="K950" s="3">
        <v>2136</v>
      </c>
      <c r="L950">
        <v>1738356</v>
      </c>
      <c r="M950" s="2">
        <v>3828688639.3000002</v>
      </c>
      <c r="N950">
        <v>56239</v>
      </c>
      <c r="O950" t="s">
        <v>19</v>
      </c>
    </row>
    <row r="951" spans="1:15" x14ac:dyDescent="0.3">
      <c r="A951" s="1">
        <v>45722</v>
      </c>
      <c r="B951" s="3" t="s">
        <v>15</v>
      </c>
      <c r="C951" s="3">
        <v>2175</v>
      </c>
      <c r="D951" s="3">
        <v>2229.8000000000002</v>
      </c>
      <c r="E951" s="3">
        <v>2163.75</v>
      </c>
      <c r="F951" s="3">
        <v>2170.4499999999998</v>
      </c>
      <c r="G951" s="3">
        <v>2221.85</v>
      </c>
      <c r="H951" s="3">
        <v>2218.9499999999998</v>
      </c>
      <c r="I951" s="3">
        <v>2204.64</v>
      </c>
      <c r="J951" s="3">
        <v>3035</v>
      </c>
      <c r="K951" s="3">
        <v>2136</v>
      </c>
      <c r="L951">
        <v>1856868</v>
      </c>
      <c r="M951" s="2">
        <v>4093724918.4000001</v>
      </c>
      <c r="N951">
        <v>118991</v>
      </c>
      <c r="O951" t="s">
        <v>19</v>
      </c>
    </row>
    <row r="952" spans="1:15" x14ac:dyDescent="0.3">
      <c r="A952" s="1">
        <v>45721</v>
      </c>
      <c r="B952" s="3" t="s">
        <v>15</v>
      </c>
      <c r="C952" s="3">
        <v>2152</v>
      </c>
      <c r="D952" s="3">
        <v>2191.9</v>
      </c>
      <c r="E952" s="3">
        <v>2150</v>
      </c>
      <c r="F952" s="3">
        <v>2157.35</v>
      </c>
      <c r="G952" s="3">
        <v>2175</v>
      </c>
      <c r="H952" s="3">
        <v>2170.4499999999998</v>
      </c>
      <c r="I952" s="3">
        <v>2174.2199999999998</v>
      </c>
      <c r="J952" s="3">
        <v>3035</v>
      </c>
      <c r="K952" s="3">
        <v>2136</v>
      </c>
      <c r="L952">
        <v>1145673</v>
      </c>
      <c r="M952" s="2">
        <v>2490948849.5999999</v>
      </c>
      <c r="N952">
        <v>74606</v>
      </c>
      <c r="O952" t="s">
        <v>19</v>
      </c>
    </row>
    <row r="953" spans="1:15" x14ac:dyDescent="0.3">
      <c r="A953" s="1">
        <v>45720</v>
      </c>
      <c r="B953" s="3" t="s">
        <v>15</v>
      </c>
      <c r="C953" s="3">
        <v>2179.9499999999998</v>
      </c>
      <c r="D953" s="3">
        <v>2180</v>
      </c>
      <c r="E953" s="3">
        <v>2136</v>
      </c>
      <c r="F953" s="3">
        <v>2176.85</v>
      </c>
      <c r="G953" s="3">
        <v>2152.5</v>
      </c>
      <c r="H953" s="3">
        <v>2157.35</v>
      </c>
      <c r="I953" s="3">
        <v>2154.7600000000002</v>
      </c>
      <c r="J953" s="3">
        <v>3035</v>
      </c>
      <c r="K953" s="3">
        <v>2136</v>
      </c>
      <c r="L953">
        <v>1800330</v>
      </c>
      <c r="M953" s="2">
        <v>3879276706.0500002</v>
      </c>
      <c r="N953">
        <v>93829</v>
      </c>
      <c r="O953" t="s">
        <v>19</v>
      </c>
    </row>
    <row r="954" spans="1:15" x14ac:dyDescent="0.3">
      <c r="A954" s="1">
        <v>45719</v>
      </c>
      <c r="B954" s="3" t="s">
        <v>15</v>
      </c>
      <c r="C954" s="3">
        <v>2199</v>
      </c>
      <c r="D954" s="3">
        <v>2199</v>
      </c>
      <c r="E954" s="3">
        <v>2158.5</v>
      </c>
      <c r="F954" s="3">
        <v>2190.25</v>
      </c>
      <c r="G954" s="3">
        <v>2180</v>
      </c>
      <c r="H954" s="3">
        <v>2176.85</v>
      </c>
      <c r="I954" s="3">
        <v>2171.46</v>
      </c>
      <c r="J954" s="3">
        <v>3035</v>
      </c>
      <c r="K954" s="3">
        <v>2158.5</v>
      </c>
      <c r="L954">
        <v>1306470</v>
      </c>
      <c r="M954" s="2">
        <v>2836946795.25</v>
      </c>
      <c r="N954">
        <v>87808</v>
      </c>
      <c r="O954" t="s">
        <v>19</v>
      </c>
    </row>
    <row r="955" spans="1:15" x14ac:dyDescent="0.3">
      <c r="A955" s="1">
        <v>45716</v>
      </c>
      <c r="B955" s="3" t="s">
        <v>15</v>
      </c>
      <c r="C955" s="3">
        <v>2245.0500000000002</v>
      </c>
      <c r="D955" s="3">
        <v>2249.6</v>
      </c>
      <c r="E955" s="3">
        <v>2185.85</v>
      </c>
      <c r="F955" s="3">
        <v>2244.9499999999998</v>
      </c>
      <c r="G955" s="3">
        <v>2196</v>
      </c>
      <c r="H955" s="3">
        <v>2190.25</v>
      </c>
      <c r="I955" s="3">
        <v>2199.62</v>
      </c>
      <c r="J955" s="3">
        <v>3035</v>
      </c>
      <c r="K955" s="3">
        <v>2172.0500000000002</v>
      </c>
      <c r="L955">
        <v>3683249</v>
      </c>
      <c r="M955" s="2">
        <v>8101755687.5500002</v>
      </c>
      <c r="N955">
        <v>124357</v>
      </c>
      <c r="O955" t="s">
        <v>19</v>
      </c>
    </row>
    <row r="956" spans="1:15" x14ac:dyDescent="0.3">
      <c r="A956" s="1">
        <v>45715</v>
      </c>
      <c r="B956" s="3" t="s">
        <v>15</v>
      </c>
      <c r="C956" s="3">
        <v>2269.65</v>
      </c>
      <c r="D956" s="3">
        <v>2269.65</v>
      </c>
      <c r="E956" s="3">
        <v>2233.1</v>
      </c>
      <c r="F956" s="3">
        <v>2259.3000000000002</v>
      </c>
      <c r="G956" s="3">
        <v>2243.5500000000002</v>
      </c>
      <c r="H956" s="3">
        <v>2244.9499999999998</v>
      </c>
      <c r="I956" s="3">
        <v>2248.58</v>
      </c>
      <c r="J956" s="3">
        <v>3035</v>
      </c>
      <c r="K956" s="3">
        <v>2172.0500000000002</v>
      </c>
      <c r="L956">
        <v>1699658</v>
      </c>
      <c r="M956" s="2">
        <v>3821812211.8499999</v>
      </c>
      <c r="N956">
        <v>93485</v>
      </c>
      <c r="O956" t="s">
        <v>19</v>
      </c>
    </row>
    <row r="957" spans="1:15" x14ac:dyDescent="0.3">
      <c r="A957" s="1">
        <v>45713</v>
      </c>
      <c r="B957" s="3" t="s">
        <v>15</v>
      </c>
      <c r="C957" s="3">
        <v>2243</v>
      </c>
      <c r="D957" s="3">
        <v>2269.6</v>
      </c>
      <c r="E957" s="3">
        <v>2237.9499999999998</v>
      </c>
      <c r="F957" s="3">
        <v>2241.4499999999998</v>
      </c>
      <c r="G957" s="3">
        <v>2254</v>
      </c>
      <c r="H957" s="3">
        <v>2259.3000000000002</v>
      </c>
      <c r="I957" s="3">
        <v>2256.4299999999998</v>
      </c>
      <c r="J957" s="3">
        <v>3035</v>
      </c>
      <c r="K957" s="3">
        <v>2172.0500000000002</v>
      </c>
      <c r="L957">
        <v>1988040</v>
      </c>
      <c r="M957" s="2">
        <v>4485870450.1999998</v>
      </c>
      <c r="N957">
        <v>101737</v>
      </c>
      <c r="O957" t="s">
        <v>19</v>
      </c>
    </row>
    <row r="958" spans="1:15" x14ac:dyDescent="0.3">
      <c r="A958" s="1">
        <v>45712</v>
      </c>
      <c r="B958" s="3" t="s">
        <v>15</v>
      </c>
      <c r="C958" s="3">
        <v>2230</v>
      </c>
      <c r="D958" s="3">
        <v>2251</v>
      </c>
      <c r="E958" s="3">
        <v>2218.8000000000002</v>
      </c>
      <c r="F958" s="3">
        <v>2241.65</v>
      </c>
      <c r="G958" s="3">
        <v>2241.1999999999998</v>
      </c>
      <c r="H958" s="3">
        <v>2241.4499999999998</v>
      </c>
      <c r="I958" s="3">
        <v>2236.1999999999998</v>
      </c>
      <c r="J958" s="3">
        <v>3035</v>
      </c>
      <c r="K958" s="3">
        <v>2172.0500000000002</v>
      </c>
      <c r="L958">
        <v>1627949</v>
      </c>
      <c r="M958" s="2">
        <v>3640425365.6500001</v>
      </c>
      <c r="N958">
        <v>102226</v>
      </c>
      <c r="O958" t="s">
        <v>19</v>
      </c>
    </row>
    <row r="959" spans="1:15" x14ac:dyDescent="0.3">
      <c r="A959" s="1">
        <v>45709</v>
      </c>
      <c r="B959" s="3" t="s">
        <v>15</v>
      </c>
      <c r="C959" s="3">
        <v>2248.0500000000002</v>
      </c>
      <c r="D959" s="3">
        <v>2253.5500000000002</v>
      </c>
      <c r="E959" s="3">
        <v>2226.4</v>
      </c>
      <c r="F959" s="3">
        <v>2248.0500000000002</v>
      </c>
      <c r="G959" s="3">
        <v>2238.5</v>
      </c>
      <c r="H959" s="3">
        <v>2241.65</v>
      </c>
      <c r="I959" s="3">
        <v>2238.8000000000002</v>
      </c>
      <c r="J959" s="3">
        <v>3035</v>
      </c>
      <c r="K959" s="3">
        <v>2172.0500000000002</v>
      </c>
      <c r="L959">
        <v>1781509</v>
      </c>
      <c r="M959" s="2">
        <v>3988450488.8000002</v>
      </c>
      <c r="N959">
        <v>107600</v>
      </c>
      <c r="O959" t="s">
        <v>19</v>
      </c>
    </row>
    <row r="960" spans="1:15" x14ac:dyDescent="0.3">
      <c r="A960" s="1">
        <v>45708</v>
      </c>
      <c r="B960" s="3" t="s">
        <v>15</v>
      </c>
      <c r="C960" s="3">
        <v>2250.4</v>
      </c>
      <c r="D960" s="3">
        <v>2254.4499999999998</v>
      </c>
      <c r="E960" s="3">
        <v>2226.5</v>
      </c>
      <c r="F960" s="3">
        <v>2250.4</v>
      </c>
      <c r="G960" s="3">
        <v>2247.5500000000002</v>
      </c>
      <c r="H960" s="3">
        <v>2248.0500000000002</v>
      </c>
      <c r="I960" s="3">
        <v>2242.73</v>
      </c>
      <c r="J960" s="3">
        <v>3035</v>
      </c>
      <c r="K960" s="3">
        <v>2172.0500000000002</v>
      </c>
      <c r="L960">
        <v>2206196</v>
      </c>
      <c r="M960" s="2">
        <v>4947912584.0500002</v>
      </c>
      <c r="N960">
        <v>121656</v>
      </c>
      <c r="O960" t="s">
        <v>19</v>
      </c>
    </row>
    <row r="961" spans="1:15" x14ac:dyDescent="0.3">
      <c r="A961" s="1">
        <v>45707</v>
      </c>
      <c r="B961" s="3" t="s">
        <v>15</v>
      </c>
      <c r="C961" s="3">
        <v>2298.75</v>
      </c>
      <c r="D961" s="3">
        <v>2305.6999999999998</v>
      </c>
      <c r="E961" s="3">
        <v>2248</v>
      </c>
      <c r="F961" s="3">
        <v>2296</v>
      </c>
      <c r="G961" s="3">
        <v>2250</v>
      </c>
      <c r="H961" s="3">
        <v>2250.4</v>
      </c>
      <c r="I961" s="3">
        <v>2259.2399999999998</v>
      </c>
      <c r="J961" s="3">
        <v>3035</v>
      </c>
      <c r="K961" s="3">
        <v>2172.0500000000002</v>
      </c>
      <c r="L961">
        <v>1521343</v>
      </c>
      <c r="M961" s="2">
        <v>3437076584.9000001</v>
      </c>
      <c r="N961">
        <v>119114</v>
      </c>
      <c r="O961" t="s">
        <v>19</v>
      </c>
    </row>
    <row r="962" spans="1:15" x14ac:dyDescent="0.3">
      <c r="A962" s="1">
        <v>45706</v>
      </c>
      <c r="B962" s="3" t="s">
        <v>15</v>
      </c>
      <c r="C962" s="3">
        <v>2329.4</v>
      </c>
      <c r="D962" s="3">
        <v>2338.5500000000002</v>
      </c>
      <c r="E962" s="3">
        <v>2288</v>
      </c>
      <c r="F962" s="3">
        <v>2329.4</v>
      </c>
      <c r="G962" s="3">
        <v>2297.5</v>
      </c>
      <c r="H962" s="3">
        <v>2296</v>
      </c>
      <c r="I962" s="3">
        <v>2304.96</v>
      </c>
      <c r="J962" s="3">
        <v>3035</v>
      </c>
      <c r="K962" s="3">
        <v>2172.0500000000002</v>
      </c>
      <c r="L962">
        <v>1035705</v>
      </c>
      <c r="M962" s="2">
        <v>2387257469.4000001</v>
      </c>
      <c r="N962">
        <v>74925</v>
      </c>
      <c r="O962" t="s">
        <v>19</v>
      </c>
    </row>
    <row r="963" spans="1:15" x14ac:dyDescent="0.3">
      <c r="A963" s="1">
        <v>45705</v>
      </c>
      <c r="B963" s="3" t="s">
        <v>15</v>
      </c>
      <c r="C963" s="3">
        <v>2318.35</v>
      </c>
      <c r="D963" s="3">
        <v>2336</v>
      </c>
      <c r="E963" s="3">
        <v>2300</v>
      </c>
      <c r="F963" s="3">
        <v>2318.35</v>
      </c>
      <c r="G963" s="3">
        <v>2326</v>
      </c>
      <c r="H963" s="3">
        <v>2329.4</v>
      </c>
      <c r="I963" s="3">
        <v>2320.37</v>
      </c>
      <c r="J963" s="3">
        <v>3035</v>
      </c>
      <c r="K963" s="3">
        <v>2172.0500000000002</v>
      </c>
      <c r="L963">
        <v>1409168</v>
      </c>
      <c r="M963" s="2">
        <v>3269794822.9499998</v>
      </c>
      <c r="N963">
        <v>81591</v>
      </c>
      <c r="O963" t="s">
        <v>19</v>
      </c>
    </row>
    <row r="964" spans="1:15" x14ac:dyDescent="0.3">
      <c r="A964" s="1">
        <v>45702</v>
      </c>
      <c r="B964" s="3" t="s">
        <v>15</v>
      </c>
      <c r="C964" s="3">
        <v>2322</v>
      </c>
      <c r="D964" s="3">
        <v>2366</v>
      </c>
      <c r="E964" s="3">
        <v>2313.4</v>
      </c>
      <c r="F964" s="3">
        <v>2321.5</v>
      </c>
      <c r="G964" s="3">
        <v>2317.8000000000002</v>
      </c>
      <c r="H964" s="3">
        <v>2318.35</v>
      </c>
      <c r="I964" s="3">
        <v>2333.21</v>
      </c>
      <c r="J964" s="3">
        <v>3035</v>
      </c>
      <c r="K964" s="3">
        <v>2172.0500000000002</v>
      </c>
      <c r="L964">
        <v>1135380</v>
      </c>
      <c r="M964" s="2">
        <v>2649076295.4000001</v>
      </c>
      <c r="N964">
        <v>82057</v>
      </c>
      <c r="O964" t="s">
        <v>19</v>
      </c>
    </row>
    <row r="965" spans="1:15" x14ac:dyDescent="0.3">
      <c r="A965" s="1">
        <v>45701</v>
      </c>
      <c r="B965" s="3" t="s">
        <v>15</v>
      </c>
      <c r="C965" s="3">
        <v>2330.1</v>
      </c>
      <c r="D965" s="3">
        <v>2345.6</v>
      </c>
      <c r="E965" s="3">
        <v>2313.35</v>
      </c>
      <c r="F965" s="3">
        <v>2332.5</v>
      </c>
      <c r="G965" s="3">
        <v>2319.6</v>
      </c>
      <c r="H965" s="3">
        <v>2321.5</v>
      </c>
      <c r="I965" s="3">
        <v>2328.4</v>
      </c>
      <c r="J965" s="3">
        <v>3035</v>
      </c>
      <c r="K965" s="3">
        <v>2172.0500000000002</v>
      </c>
      <c r="L965">
        <v>1334967</v>
      </c>
      <c r="M965" s="2">
        <v>3108334189.75</v>
      </c>
      <c r="N965">
        <v>82367</v>
      </c>
      <c r="O965" t="s">
        <v>19</v>
      </c>
    </row>
    <row r="966" spans="1:15" x14ac:dyDescent="0.3">
      <c r="A966" s="1">
        <v>45700</v>
      </c>
      <c r="B966" s="3" t="s">
        <v>15</v>
      </c>
      <c r="C966" s="3">
        <v>2325.6999999999998</v>
      </c>
      <c r="D966" s="3">
        <v>2339.9</v>
      </c>
      <c r="E966" s="3">
        <v>2305.1</v>
      </c>
      <c r="F966" s="3">
        <v>2315.25</v>
      </c>
      <c r="G966" s="3">
        <v>2331</v>
      </c>
      <c r="H966" s="3">
        <v>2332.5</v>
      </c>
      <c r="I966" s="3">
        <v>2326.1799999999998</v>
      </c>
      <c r="J966" s="3">
        <v>3035</v>
      </c>
      <c r="K966" s="3">
        <v>2172.0500000000002</v>
      </c>
      <c r="L966">
        <v>1341909</v>
      </c>
      <c r="M966" s="2">
        <v>3121517789.0999999</v>
      </c>
      <c r="N966">
        <v>78808</v>
      </c>
      <c r="O966" t="s">
        <v>19</v>
      </c>
    </row>
    <row r="967" spans="1:15" x14ac:dyDescent="0.3">
      <c r="A967" s="1">
        <v>45699</v>
      </c>
      <c r="B967" s="3" t="s">
        <v>15</v>
      </c>
      <c r="C967" s="3">
        <v>2371</v>
      </c>
      <c r="D967" s="3">
        <v>2377.9499999999998</v>
      </c>
      <c r="E967" s="3">
        <v>2296.5500000000002</v>
      </c>
      <c r="F967" s="3">
        <v>2361.4499999999998</v>
      </c>
      <c r="G967" s="3">
        <v>2321.9</v>
      </c>
      <c r="H967" s="3">
        <v>2315.25</v>
      </c>
      <c r="I967" s="3">
        <v>2326.89</v>
      </c>
      <c r="J967" s="3">
        <v>3035</v>
      </c>
      <c r="K967" s="3">
        <v>2172.0500000000002</v>
      </c>
      <c r="L967">
        <v>1389260</v>
      </c>
      <c r="M967" s="2">
        <v>3232657580.3000002</v>
      </c>
      <c r="N967">
        <v>116191</v>
      </c>
      <c r="O967" t="s">
        <v>19</v>
      </c>
    </row>
    <row r="968" spans="1:15" x14ac:dyDescent="0.3">
      <c r="A968" s="1">
        <v>45698</v>
      </c>
      <c r="B968" s="3" t="s">
        <v>15</v>
      </c>
      <c r="C968" s="3">
        <v>2370.9</v>
      </c>
      <c r="D968" s="3">
        <v>2398</v>
      </c>
      <c r="E968" s="3">
        <v>2352.0500000000002</v>
      </c>
      <c r="F968" s="3">
        <v>2363.85</v>
      </c>
      <c r="G968" s="3">
        <v>2356.5</v>
      </c>
      <c r="H968" s="3">
        <v>2361.4499999999998</v>
      </c>
      <c r="I968" s="3">
        <v>2370.6799999999998</v>
      </c>
      <c r="J968" s="3">
        <v>3035</v>
      </c>
      <c r="K968" s="3">
        <v>2172.0500000000002</v>
      </c>
      <c r="L968">
        <v>1326354</v>
      </c>
      <c r="M968" s="2">
        <v>3144355523.0500002</v>
      </c>
      <c r="N968">
        <v>76507</v>
      </c>
      <c r="O968" t="s">
        <v>19</v>
      </c>
    </row>
    <row r="969" spans="1:15" x14ac:dyDescent="0.3">
      <c r="A969" s="1">
        <v>45695</v>
      </c>
      <c r="B969" s="3" t="s">
        <v>15</v>
      </c>
      <c r="C969" s="3">
        <v>2380</v>
      </c>
      <c r="D969" s="3">
        <v>2381.9499999999998</v>
      </c>
      <c r="E969" s="3">
        <v>2336.1</v>
      </c>
      <c r="F969" s="3">
        <v>2372.6999999999998</v>
      </c>
      <c r="G969" s="3">
        <v>2364.3000000000002</v>
      </c>
      <c r="H969" s="3">
        <v>2363.85</v>
      </c>
      <c r="I969" s="3">
        <v>2359.9699999999998</v>
      </c>
      <c r="J969" s="3">
        <v>3035</v>
      </c>
      <c r="K969" s="3">
        <v>2172.0500000000002</v>
      </c>
      <c r="L969">
        <v>855602</v>
      </c>
      <c r="M969" s="2">
        <v>2019196871.4000001</v>
      </c>
      <c r="N969">
        <v>63809</v>
      </c>
      <c r="O969" t="s">
        <v>19</v>
      </c>
    </row>
    <row r="970" spans="1:15" x14ac:dyDescent="0.3">
      <c r="A970" s="1">
        <v>45694</v>
      </c>
      <c r="B970" s="3" t="s">
        <v>15</v>
      </c>
      <c r="C970" s="3">
        <v>2400</v>
      </c>
      <c r="D970" s="3">
        <v>2408.9499999999998</v>
      </c>
      <c r="E970" s="3">
        <v>2360.3000000000002</v>
      </c>
      <c r="F970" s="3">
        <v>2391.0500000000002</v>
      </c>
      <c r="G970" s="3">
        <v>2375.5</v>
      </c>
      <c r="H970" s="3">
        <v>2372.6999999999998</v>
      </c>
      <c r="I970" s="3">
        <v>2378.98</v>
      </c>
      <c r="J970" s="3">
        <v>3035</v>
      </c>
      <c r="K970" s="3">
        <v>2172.0500000000002</v>
      </c>
      <c r="L970">
        <v>1132113</v>
      </c>
      <c r="M970" s="2">
        <v>2693270250.5</v>
      </c>
      <c r="N970">
        <v>80657</v>
      </c>
      <c r="O970" t="s">
        <v>19</v>
      </c>
    </row>
    <row r="971" spans="1:15" x14ac:dyDescent="0.3">
      <c r="A971" s="1">
        <v>45693</v>
      </c>
      <c r="B971" s="3" t="s">
        <v>15</v>
      </c>
      <c r="C971" s="3">
        <v>2453</v>
      </c>
      <c r="D971" s="3">
        <v>2453</v>
      </c>
      <c r="E971" s="3">
        <v>2387</v>
      </c>
      <c r="F971" s="3">
        <v>2438.0500000000002</v>
      </c>
      <c r="G971" s="3">
        <v>2392.85</v>
      </c>
      <c r="H971" s="3">
        <v>2391.0500000000002</v>
      </c>
      <c r="I971" s="3">
        <v>2406.59</v>
      </c>
      <c r="J971" s="3">
        <v>3035</v>
      </c>
      <c r="K971" s="3">
        <v>2172.0500000000002</v>
      </c>
      <c r="L971">
        <v>1357416</v>
      </c>
      <c r="M971" s="2">
        <v>3266742267.3499999</v>
      </c>
      <c r="N971">
        <v>86373</v>
      </c>
      <c r="O971" t="s">
        <v>19</v>
      </c>
    </row>
    <row r="972" spans="1:15" x14ac:dyDescent="0.3">
      <c r="A972" s="1">
        <v>45692</v>
      </c>
      <c r="B972" s="3" t="s">
        <v>15</v>
      </c>
      <c r="C972" s="3">
        <v>2450</v>
      </c>
      <c r="D972" s="3">
        <v>2450</v>
      </c>
      <c r="E972" s="3">
        <v>2402.85</v>
      </c>
      <c r="F972" s="3">
        <v>2441.9499999999998</v>
      </c>
      <c r="G972" s="3">
        <v>2433</v>
      </c>
      <c r="H972" s="3">
        <v>2438.0500000000002</v>
      </c>
      <c r="I972" s="3">
        <v>2428.06</v>
      </c>
      <c r="J972" s="3">
        <v>3035</v>
      </c>
      <c r="K972" s="3">
        <v>2172.0500000000002</v>
      </c>
      <c r="L972">
        <v>1992474</v>
      </c>
      <c r="M972" s="2">
        <v>4837851363.0500002</v>
      </c>
      <c r="N972">
        <v>111192</v>
      </c>
      <c r="O972" t="s">
        <v>19</v>
      </c>
    </row>
    <row r="973" spans="1:15" x14ac:dyDescent="0.3">
      <c r="A973" s="1">
        <v>45691</v>
      </c>
      <c r="B973" s="3" t="s">
        <v>15</v>
      </c>
      <c r="C973" s="3">
        <v>2505</v>
      </c>
      <c r="D973" s="3">
        <v>2520</v>
      </c>
      <c r="E973" s="3">
        <v>2416.5</v>
      </c>
      <c r="F973" s="3">
        <v>2506.0500000000002</v>
      </c>
      <c r="G973" s="3">
        <v>2445.3000000000002</v>
      </c>
      <c r="H973" s="3">
        <v>2441.9499999999998</v>
      </c>
      <c r="I973" s="3">
        <v>2453.98</v>
      </c>
      <c r="J973" s="3">
        <v>3035</v>
      </c>
      <c r="K973" s="3">
        <v>2172.0500000000002</v>
      </c>
      <c r="L973">
        <v>2528480</v>
      </c>
      <c r="M973" s="2">
        <v>6204847461.8000002</v>
      </c>
      <c r="N973">
        <v>142095</v>
      </c>
      <c r="O973" t="s">
        <v>19</v>
      </c>
    </row>
    <row r="974" spans="1:15" x14ac:dyDescent="0.3">
      <c r="A974" s="1">
        <v>45689</v>
      </c>
      <c r="B974" s="3" t="s">
        <v>15</v>
      </c>
      <c r="C974" s="3">
        <v>2475</v>
      </c>
      <c r="D974" s="3">
        <v>2602</v>
      </c>
      <c r="E974" s="3">
        <v>2435.15</v>
      </c>
      <c r="F974" s="3">
        <v>2468.8000000000002</v>
      </c>
      <c r="G974" s="3">
        <v>2505</v>
      </c>
      <c r="H974" s="3">
        <v>2506.0500000000002</v>
      </c>
      <c r="I974" s="3">
        <v>2536.1</v>
      </c>
      <c r="J974" s="3">
        <v>3035</v>
      </c>
      <c r="K974" s="3">
        <v>2172.0500000000002</v>
      </c>
      <c r="L974">
        <v>2970999</v>
      </c>
      <c r="M974" s="2">
        <v>7534758009</v>
      </c>
      <c r="N974">
        <v>192649</v>
      </c>
      <c r="O974" t="s">
        <v>19</v>
      </c>
    </row>
    <row r="975" spans="1:15" x14ac:dyDescent="0.3">
      <c r="A975" s="1">
        <v>45688</v>
      </c>
      <c r="B975" s="3" t="s">
        <v>15</v>
      </c>
      <c r="C975" s="3">
        <v>2401.5</v>
      </c>
      <c r="D975" s="3">
        <v>2479</v>
      </c>
      <c r="E975" s="3">
        <v>2401.5</v>
      </c>
      <c r="F975" s="3">
        <v>2408.75</v>
      </c>
      <c r="G975" s="3">
        <v>2473.65</v>
      </c>
      <c r="H975" s="3">
        <v>2468.8000000000002</v>
      </c>
      <c r="I975" s="3">
        <v>2452.41</v>
      </c>
      <c r="J975" s="3">
        <v>3035</v>
      </c>
      <c r="K975" s="3">
        <v>2172.0500000000002</v>
      </c>
      <c r="L975">
        <v>2116148</v>
      </c>
      <c r="M975" s="2">
        <v>5189670977.25</v>
      </c>
      <c r="N975">
        <v>138898</v>
      </c>
      <c r="O975" t="s">
        <v>19</v>
      </c>
    </row>
    <row r="976" spans="1:15" x14ac:dyDescent="0.3">
      <c r="A976" s="1">
        <v>45687</v>
      </c>
      <c r="B976" s="3" t="s">
        <v>15</v>
      </c>
      <c r="C976" s="3">
        <v>2384</v>
      </c>
      <c r="D976" s="3">
        <v>2425</v>
      </c>
      <c r="E976" s="3">
        <v>2384</v>
      </c>
      <c r="F976" s="3">
        <v>2383.9499999999998</v>
      </c>
      <c r="G976" s="3">
        <v>2420</v>
      </c>
      <c r="H976" s="3">
        <v>2408.75</v>
      </c>
      <c r="I976" s="3">
        <v>2402.4699999999998</v>
      </c>
      <c r="J976" s="3">
        <v>3035</v>
      </c>
      <c r="K976" s="3">
        <v>2172.0500000000002</v>
      </c>
      <c r="L976">
        <v>1419960</v>
      </c>
      <c r="M976" s="2">
        <v>3411412576</v>
      </c>
      <c r="N976">
        <v>82042</v>
      </c>
      <c r="O976" t="s">
        <v>19</v>
      </c>
    </row>
    <row r="977" spans="1:15" x14ac:dyDescent="0.3">
      <c r="A977" s="1">
        <v>45686</v>
      </c>
      <c r="B977" s="3" t="s">
        <v>15</v>
      </c>
      <c r="C977" s="3">
        <v>2385.15</v>
      </c>
      <c r="D977" s="3">
        <v>2396</v>
      </c>
      <c r="E977" s="3">
        <v>2364</v>
      </c>
      <c r="F977" s="3">
        <v>2388.85</v>
      </c>
      <c r="G977" s="3">
        <v>2386.5</v>
      </c>
      <c r="H977" s="3">
        <v>2383.9499999999998</v>
      </c>
      <c r="I977" s="3">
        <v>2382.85</v>
      </c>
      <c r="J977" s="3">
        <v>3035</v>
      </c>
      <c r="K977" s="3">
        <v>2172.0500000000002</v>
      </c>
      <c r="L977">
        <v>699576</v>
      </c>
      <c r="M977" s="2">
        <v>1666986081.7</v>
      </c>
      <c r="N977">
        <v>70138</v>
      </c>
      <c r="O977" t="s">
        <v>19</v>
      </c>
    </row>
    <row r="978" spans="1:15" x14ac:dyDescent="0.3">
      <c r="A978" s="1">
        <v>45685</v>
      </c>
      <c r="B978" s="3" t="s">
        <v>15</v>
      </c>
      <c r="C978" s="3">
        <v>2401</v>
      </c>
      <c r="D978" s="3">
        <v>2407</v>
      </c>
      <c r="E978" s="3">
        <v>2379.4499999999998</v>
      </c>
      <c r="F978" s="3">
        <v>2392.85</v>
      </c>
      <c r="G978" s="3">
        <v>2383.0500000000002</v>
      </c>
      <c r="H978" s="3">
        <v>2388.85</v>
      </c>
      <c r="I978" s="3">
        <v>2392.35</v>
      </c>
      <c r="J978" s="3">
        <v>3035</v>
      </c>
      <c r="K978" s="3">
        <v>2172.0500000000002</v>
      </c>
      <c r="L978">
        <v>1892156</v>
      </c>
      <c r="M978" s="2">
        <v>4526694538.1000004</v>
      </c>
      <c r="N978">
        <v>102612</v>
      </c>
      <c r="O978" t="s">
        <v>19</v>
      </c>
    </row>
    <row r="979" spans="1:15" x14ac:dyDescent="0.3">
      <c r="A979" s="1">
        <v>45684</v>
      </c>
      <c r="B979" s="3" t="s">
        <v>15</v>
      </c>
      <c r="C979" s="3">
        <v>2365</v>
      </c>
      <c r="D979" s="3">
        <v>2409.6999999999998</v>
      </c>
      <c r="E979" s="3">
        <v>2361.15</v>
      </c>
      <c r="F979" s="3">
        <v>2368.1</v>
      </c>
      <c r="G979" s="3">
        <v>2391.0500000000002</v>
      </c>
      <c r="H979" s="3">
        <v>2392.85</v>
      </c>
      <c r="I979" s="3">
        <v>2392.29</v>
      </c>
      <c r="J979" s="3">
        <v>3035</v>
      </c>
      <c r="K979" s="3">
        <v>2172.0500000000002</v>
      </c>
      <c r="L979">
        <v>2477358</v>
      </c>
      <c r="M979" s="2">
        <v>5926571142.8500004</v>
      </c>
      <c r="N979">
        <v>126605</v>
      </c>
      <c r="O979" t="s">
        <v>19</v>
      </c>
    </row>
    <row r="980" spans="1:15" x14ac:dyDescent="0.3">
      <c r="A980" s="1">
        <v>45681</v>
      </c>
      <c r="B980" s="3" t="s">
        <v>15</v>
      </c>
      <c r="C980" s="3">
        <v>2332.85</v>
      </c>
      <c r="D980" s="3">
        <v>2380.8000000000002</v>
      </c>
      <c r="E980" s="3">
        <v>2323</v>
      </c>
      <c r="F980" s="3">
        <v>2321.6999999999998</v>
      </c>
      <c r="G980" s="3">
        <v>2380.1</v>
      </c>
      <c r="H980" s="3">
        <v>2368.1</v>
      </c>
      <c r="I980" s="3">
        <v>2358.9499999999998</v>
      </c>
      <c r="J980" s="3">
        <v>3035</v>
      </c>
      <c r="K980" s="3">
        <v>2172.0500000000002</v>
      </c>
      <c r="L980">
        <v>1688664</v>
      </c>
      <c r="M980" s="2">
        <v>3983465854.1500001</v>
      </c>
      <c r="N980">
        <v>90539</v>
      </c>
      <c r="O980" t="s">
        <v>19</v>
      </c>
    </row>
    <row r="981" spans="1:15" x14ac:dyDescent="0.3">
      <c r="A981" s="1">
        <v>45680</v>
      </c>
      <c r="B981" s="3" t="s">
        <v>15</v>
      </c>
      <c r="C981" s="3">
        <v>2315</v>
      </c>
      <c r="D981" s="3">
        <v>2341.3000000000002</v>
      </c>
      <c r="E981" s="3">
        <v>2253.85</v>
      </c>
      <c r="F981" s="3">
        <v>2342.9499999999998</v>
      </c>
      <c r="G981" s="3">
        <v>2325.9</v>
      </c>
      <c r="H981" s="3">
        <v>2321.6999999999998</v>
      </c>
      <c r="I981" s="3">
        <v>2309.71</v>
      </c>
      <c r="J981" s="3">
        <v>3035</v>
      </c>
      <c r="K981" s="3">
        <v>2172.0500000000002</v>
      </c>
      <c r="L981">
        <v>3408925</v>
      </c>
      <c r="M981" s="2">
        <v>7873633933.5500002</v>
      </c>
      <c r="N981">
        <v>198293</v>
      </c>
      <c r="O981" t="s">
        <v>19</v>
      </c>
    </row>
    <row r="982" spans="1:15" x14ac:dyDescent="0.3">
      <c r="A982" s="1">
        <v>45679</v>
      </c>
      <c r="B982" s="3" t="s">
        <v>15</v>
      </c>
      <c r="C982" s="3">
        <v>2342.5500000000002</v>
      </c>
      <c r="D982" s="3">
        <v>2362</v>
      </c>
      <c r="E982" s="3">
        <v>2332.1999999999998</v>
      </c>
      <c r="F982" s="3">
        <v>2340.5</v>
      </c>
      <c r="G982" s="3">
        <v>2340</v>
      </c>
      <c r="H982" s="3">
        <v>2342.9499999999998</v>
      </c>
      <c r="I982" s="3">
        <v>2345.4699999999998</v>
      </c>
      <c r="J982" s="3">
        <v>3035</v>
      </c>
      <c r="K982" s="3">
        <v>2172.0500000000002</v>
      </c>
      <c r="L982">
        <v>2658047</v>
      </c>
      <c r="M982" s="2">
        <v>6234358198.1000004</v>
      </c>
      <c r="N982">
        <v>112774</v>
      </c>
      <c r="O982" t="s">
        <v>19</v>
      </c>
    </row>
    <row r="983" spans="1:15" x14ac:dyDescent="0.3">
      <c r="A983" s="1">
        <v>45678</v>
      </c>
      <c r="B983" s="3" t="s">
        <v>15</v>
      </c>
      <c r="C983" s="3">
        <v>2353.5</v>
      </c>
      <c r="D983" s="3">
        <v>2377.3000000000002</v>
      </c>
      <c r="E983" s="3">
        <v>2332.4499999999998</v>
      </c>
      <c r="F983" s="3">
        <v>2345.1999999999998</v>
      </c>
      <c r="G983" s="3">
        <v>2344.15</v>
      </c>
      <c r="H983" s="3">
        <v>2340.5</v>
      </c>
      <c r="I983" s="3">
        <v>2352.85</v>
      </c>
      <c r="J983" s="3">
        <v>3035</v>
      </c>
      <c r="K983" s="3">
        <v>2172.0500000000002</v>
      </c>
      <c r="L983">
        <v>1842885</v>
      </c>
      <c r="M983" s="2">
        <v>4336026636.1499996</v>
      </c>
      <c r="N983">
        <v>113425</v>
      </c>
      <c r="O983" t="s">
        <v>19</v>
      </c>
    </row>
    <row r="984" spans="1:15" x14ac:dyDescent="0.3">
      <c r="A984" s="1">
        <v>45677</v>
      </c>
      <c r="B984" s="3" t="s">
        <v>15</v>
      </c>
      <c r="C984" s="3">
        <v>2356.4499999999998</v>
      </c>
      <c r="D984" s="3">
        <v>2368</v>
      </c>
      <c r="E984" s="3">
        <v>2335.65</v>
      </c>
      <c r="F984" s="3">
        <v>2354</v>
      </c>
      <c r="G984" s="3">
        <v>2345.5500000000002</v>
      </c>
      <c r="H984" s="3">
        <v>2345.1999999999998</v>
      </c>
      <c r="I984" s="3">
        <v>2355.89</v>
      </c>
      <c r="J984" s="3">
        <v>3035</v>
      </c>
      <c r="K984" s="3">
        <v>2172.0500000000002</v>
      </c>
      <c r="L984">
        <v>1382273</v>
      </c>
      <c r="M984" s="2">
        <v>3256489786.3499999</v>
      </c>
      <c r="N984">
        <v>67506</v>
      </c>
      <c r="O984" t="s">
        <v>19</v>
      </c>
    </row>
    <row r="985" spans="1:15" x14ac:dyDescent="0.3">
      <c r="A985" s="1">
        <v>45674</v>
      </c>
      <c r="B985" s="3" t="s">
        <v>15</v>
      </c>
      <c r="C985" s="3">
        <v>2350</v>
      </c>
      <c r="D985" s="3">
        <v>2379.3000000000002</v>
      </c>
      <c r="E985" s="3">
        <v>2343</v>
      </c>
      <c r="F985" s="3">
        <v>2345</v>
      </c>
      <c r="G985" s="3">
        <v>2362</v>
      </c>
      <c r="H985" s="3">
        <v>2354</v>
      </c>
      <c r="I985" s="3">
        <v>2365.15</v>
      </c>
      <c r="J985" s="3">
        <v>3035</v>
      </c>
      <c r="K985" s="3">
        <v>2172.0500000000002</v>
      </c>
      <c r="L985">
        <v>1333005</v>
      </c>
      <c r="M985" s="2">
        <v>3152760450.5500002</v>
      </c>
      <c r="N985">
        <v>68739</v>
      </c>
      <c r="O985" t="s">
        <v>19</v>
      </c>
    </row>
    <row r="986" spans="1:15" x14ac:dyDescent="0.3">
      <c r="A986" s="1">
        <v>45673</v>
      </c>
      <c r="B986" s="3" t="s">
        <v>15</v>
      </c>
      <c r="C986" s="3">
        <v>2376.9499999999998</v>
      </c>
      <c r="D986" s="3">
        <v>2380</v>
      </c>
      <c r="E986" s="3">
        <v>2326.0500000000002</v>
      </c>
      <c r="F986" s="3">
        <v>2373</v>
      </c>
      <c r="G986" s="3">
        <v>2349.5</v>
      </c>
      <c r="H986" s="3">
        <v>2345</v>
      </c>
      <c r="I986" s="3">
        <v>2343.9299999999998</v>
      </c>
      <c r="J986" s="3">
        <v>3035</v>
      </c>
      <c r="K986" s="3">
        <v>2172.0500000000002</v>
      </c>
      <c r="L986">
        <v>2762596</v>
      </c>
      <c r="M986" s="2">
        <v>6475344420.1999998</v>
      </c>
      <c r="N986">
        <v>128063</v>
      </c>
      <c r="O986" t="s">
        <v>19</v>
      </c>
    </row>
    <row r="987" spans="1:15" x14ac:dyDescent="0.3">
      <c r="A987" s="1">
        <v>45672</v>
      </c>
      <c r="B987" s="3" t="s">
        <v>15</v>
      </c>
      <c r="C987" s="3">
        <v>2373.9</v>
      </c>
      <c r="D987" s="3">
        <v>2384.9</v>
      </c>
      <c r="E987" s="3">
        <v>2350.1</v>
      </c>
      <c r="F987" s="3">
        <v>2367.9499999999998</v>
      </c>
      <c r="G987" s="3">
        <v>2376.8000000000002</v>
      </c>
      <c r="H987" s="3">
        <v>2373</v>
      </c>
      <c r="I987" s="3">
        <v>2366.1999999999998</v>
      </c>
      <c r="J987" s="3">
        <v>3035</v>
      </c>
      <c r="K987" s="3">
        <v>2172.0500000000002</v>
      </c>
      <c r="L987">
        <v>1215150</v>
      </c>
      <c r="M987" s="2">
        <v>2875284855.9499998</v>
      </c>
      <c r="N987">
        <v>92165</v>
      </c>
      <c r="O987" t="s">
        <v>19</v>
      </c>
    </row>
    <row r="988" spans="1:15" x14ac:dyDescent="0.3">
      <c r="A988" s="1">
        <v>45671</v>
      </c>
      <c r="B988" s="3" t="s">
        <v>15</v>
      </c>
      <c r="C988" s="3">
        <v>2465</v>
      </c>
      <c r="D988" s="3">
        <v>2468</v>
      </c>
      <c r="E988" s="3">
        <v>2364.1</v>
      </c>
      <c r="F988" s="3">
        <v>2451</v>
      </c>
      <c r="G988" s="3">
        <v>2369</v>
      </c>
      <c r="H988" s="3">
        <v>2367.9499999999998</v>
      </c>
      <c r="I988" s="3">
        <v>2394.77</v>
      </c>
      <c r="J988" s="3">
        <v>3035</v>
      </c>
      <c r="K988" s="3">
        <v>2172.0500000000002</v>
      </c>
      <c r="L988">
        <v>2052741</v>
      </c>
      <c r="M988" s="2">
        <v>4915846431.3500004</v>
      </c>
      <c r="N988">
        <v>157018</v>
      </c>
      <c r="O988" t="s">
        <v>19</v>
      </c>
    </row>
    <row r="989" spans="1:15" x14ac:dyDescent="0.3">
      <c r="A989" s="1">
        <v>45670</v>
      </c>
      <c r="B989" s="3" t="s">
        <v>15</v>
      </c>
      <c r="C989" s="3">
        <v>2417.0500000000002</v>
      </c>
      <c r="D989" s="3">
        <v>2460.5</v>
      </c>
      <c r="E989" s="3">
        <v>2409.0500000000002</v>
      </c>
      <c r="F989" s="3">
        <v>2442.0500000000002</v>
      </c>
      <c r="G989" s="3">
        <v>2445.1</v>
      </c>
      <c r="H989" s="3">
        <v>2451</v>
      </c>
      <c r="I989" s="3">
        <v>2442.56</v>
      </c>
      <c r="J989" s="3">
        <v>3035</v>
      </c>
      <c r="K989" s="3">
        <v>2172.0500000000002</v>
      </c>
      <c r="L989">
        <v>2595013</v>
      </c>
      <c r="M989" s="2">
        <v>6338474538.5</v>
      </c>
      <c r="N989">
        <v>104958</v>
      </c>
      <c r="O989" t="s">
        <v>19</v>
      </c>
    </row>
    <row r="990" spans="1:15" x14ac:dyDescent="0.3">
      <c r="A990" s="1">
        <v>45667</v>
      </c>
      <c r="B990" s="3" t="s">
        <v>15</v>
      </c>
      <c r="C990" s="3">
        <v>2435.4</v>
      </c>
      <c r="D990" s="3">
        <v>2456</v>
      </c>
      <c r="E990" s="3">
        <v>2413.8000000000002</v>
      </c>
      <c r="F990" s="3">
        <v>2435.4</v>
      </c>
      <c r="G990" s="3">
        <v>2440</v>
      </c>
      <c r="H990" s="3">
        <v>2442.0500000000002</v>
      </c>
      <c r="I990" s="3">
        <v>2442.5500000000002</v>
      </c>
      <c r="J990" s="3">
        <v>3035</v>
      </c>
      <c r="K990" s="3">
        <v>2172.0500000000002</v>
      </c>
      <c r="L990">
        <v>1651911</v>
      </c>
      <c r="M990" s="2">
        <v>4034881031.3000002</v>
      </c>
      <c r="N990">
        <v>97429</v>
      </c>
      <c r="O990" t="s">
        <v>19</v>
      </c>
    </row>
    <row r="991" spans="1:15" x14ac:dyDescent="0.3">
      <c r="A991" s="1">
        <v>45666</v>
      </c>
      <c r="B991" s="3" t="s">
        <v>15</v>
      </c>
      <c r="C991" s="3">
        <v>2405.0500000000002</v>
      </c>
      <c r="D991" s="3">
        <v>2473.65</v>
      </c>
      <c r="E991" s="3">
        <v>2386.4</v>
      </c>
      <c r="F991" s="3">
        <v>2401</v>
      </c>
      <c r="G991" s="3">
        <v>2440</v>
      </c>
      <c r="H991" s="3">
        <v>2435.4</v>
      </c>
      <c r="I991" s="3">
        <v>2444.3000000000002</v>
      </c>
      <c r="J991" s="3">
        <v>3035</v>
      </c>
      <c r="K991" s="3">
        <v>2172.0500000000002</v>
      </c>
      <c r="L991">
        <v>2425267</v>
      </c>
      <c r="M991" s="2">
        <v>5928073050.8000002</v>
      </c>
      <c r="N991">
        <v>192379</v>
      </c>
      <c r="O991" t="s">
        <v>19</v>
      </c>
    </row>
    <row r="992" spans="1:15" x14ac:dyDescent="0.3">
      <c r="A992" s="1">
        <v>45665</v>
      </c>
      <c r="B992" s="3" t="s">
        <v>15</v>
      </c>
      <c r="C992" s="3">
        <v>2391</v>
      </c>
      <c r="D992" s="3">
        <v>2409</v>
      </c>
      <c r="E992" s="3">
        <v>2368</v>
      </c>
      <c r="F992" s="3">
        <v>2390.8000000000002</v>
      </c>
      <c r="G992" s="3">
        <v>2400</v>
      </c>
      <c r="H992" s="3">
        <v>2401</v>
      </c>
      <c r="I992" s="3">
        <v>2393.65</v>
      </c>
      <c r="J992" s="3">
        <v>3035</v>
      </c>
      <c r="K992" s="3">
        <v>2172.0500000000002</v>
      </c>
      <c r="L992">
        <v>953351</v>
      </c>
      <c r="M992" s="2">
        <v>2281990630.75</v>
      </c>
      <c r="N992">
        <v>130405</v>
      </c>
      <c r="O992" t="s">
        <v>19</v>
      </c>
    </row>
    <row r="993" spans="1:15" x14ac:dyDescent="0.3">
      <c r="A993" s="1">
        <v>45664</v>
      </c>
      <c r="B993" s="3" t="s">
        <v>15</v>
      </c>
      <c r="C993" s="3">
        <v>2377.15</v>
      </c>
      <c r="D993" s="3">
        <v>2402.25</v>
      </c>
      <c r="E993" s="3">
        <v>2375.25</v>
      </c>
      <c r="F993" s="3">
        <v>2376.1999999999998</v>
      </c>
      <c r="G993" s="3">
        <v>2390.25</v>
      </c>
      <c r="H993" s="3">
        <v>2390.8000000000002</v>
      </c>
      <c r="I993" s="3">
        <v>2388.79</v>
      </c>
      <c r="J993" s="3">
        <v>3035</v>
      </c>
      <c r="K993" s="3">
        <v>2172.0500000000002</v>
      </c>
      <c r="L993">
        <v>922768</v>
      </c>
      <c r="M993" s="2">
        <v>2204302406.5500002</v>
      </c>
      <c r="N993">
        <v>71444</v>
      </c>
      <c r="O993" t="s">
        <v>19</v>
      </c>
    </row>
    <row r="994" spans="1:15" x14ac:dyDescent="0.3">
      <c r="A994" s="1">
        <v>45663</v>
      </c>
      <c r="B994" s="3" t="s">
        <v>15</v>
      </c>
      <c r="C994" s="3">
        <v>2418</v>
      </c>
      <c r="D994" s="3">
        <v>2418.9499999999998</v>
      </c>
      <c r="E994" s="3">
        <v>2361.65</v>
      </c>
      <c r="F994" s="3">
        <v>2406.25</v>
      </c>
      <c r="G994" s="3">
        <v>2379.65</v>
      </c>
      <c r="H994" s="3">
        <v>2376.1999999999998</v>
      </c>
      <c r="I994" s="3">
        <v>2377.9899999999998</v>
      </c>
      <c r="J994" s="3">
        <v>3035</v>
      </c>
      <c r="K994" s="3">
        <v>2172.0500000000002</v>
      </c>
      <c r="L994">
        <v>900419</v>
      </c>
      <c r="M994" s="2">
        <v>2141189399.05</v>
      </c>
      <c r="N994">
        <v>74651</v>
      </c>
      <c r="O994" t="s">
        <v>19</v>
      </c>
    </row>
    <row r="995" spans="1:15" x14ac:dyDescent="0.3">
      <c r="A995" s="1">
        <v>45660</v>
      </c>
      <c r="B995" s="3" t="s">
        <v>15</v>
      </c>
      <c r="C995" s="3">
        <v>2381.85</v>
      </c>
      <c r="D995" s="3">
        <v>2414.6</v>
      </c>
      <c r="E995" s="3">
        <v>2364.8000000000002</v>
      </c>
      <c r="F995" s="3">
        <v>2370</v>
      </c>
      <c r="G995" s="3">
        <v>2403</v>
      </c>
      <c r="H995" s="3">
        <v>2406.25</v>
      </c>
      <c r="I995" s="3">
        <v>2393.44</v>
      </c>
      <c r="J995" s="3">
        <v>3035</v>
      </c>
      <c r="K995" s="3">
        <v>2172.0500000000002</v>
      </c>
      <c r="L995">
        <v>1274239</v>
      </c>
      <c r="M995" s="2">
        <v>3049814135.1999998</v>
      </c>
      <c r="N995">
        <v>87897</v>
      </c>
      <c r="O995" t="s">
        <v>19</v>
      </c>
    </row>
    <row r="996" spans="1:15" x14ac:dyDescent="0.3">
      <c r="A996" s="1">
        <v>45659</v>
      </c>
      <c r="B996" s="3" t="s">
        <v>15</v>
      </c>
      <c r="C996" s="3">
        <v>2330</v>
      </c>
      <c r="D996" s="3">
        <v>2379.65</v>
      </c>
      <c r="E996" s="3">
        <v>2315.5</v>
      </c>
      <c r="F996" s="3">
        <v>2322.1</v>
      </c>
      <c r="G996" s="3">
        <v>2368.5</v>
      </c>
      <c r="H996" s="3">
        <v>2370</v>
      </c>
      <c r="I996" s="3">
        <v>2358.14</v>
      </c>
      <c r="J996" s="3">
        <v>3035</v>
      </c>
      <c r="K996" s="3">
        <v>2172.0500000000002</v>
      </c>
      <c r="L996">
        <v>1650744</v>
      </c>
      <c r="M996" s="2">
        <v>3892688213.0999999</v>
      </c>
      <c r="N996">
        <v>100398</v>
      </c>
      <c r="O996" t="s">
        <v>19</v>
      </c>
    </row>
    <row r="997" spans="1:15" x14ac:dyDescent="0.3">
      <c r="A997" s="1">
        <v>45658</v>
      </c>
      <c r="B997" s="3" t="s">
        <v>15</v>
      </c>
      <c r="C997" s="3">
        <v>2325</v>
      </c>
      <c r="D997" s="3">
        <v>2337.15</v>
      </c>
      <c r="E997" s="3">
        <v>2320.25</v>
      </c>
      <c r="F997" s="3">
        <v>2326.85</v>
      </c>
      <c r="G997" s="3">
        <v>2324.4499999999998</v>
      </c>
      <c r="H997" s="3">
        <v>2322.1</v>
      </c>
      <c r="I997" s="3">
        <v>2326.59</v>
      </c>
      <c r="J997" s="3">
        <v>3035</v>
      </c>
      <c r="K997" s="3">
        <v>2172.0500000000002</v>
      </c>
      <c r="L997">
        <v>559893</v>
      </c>
      <c r="M997" s="2">
        <v>1302642477.4000001</v>
      </c>
      <c r="N997">
        <v>57042</v>
      </c>
      <c r="O997" t="s">
        <v>19</v>
      </c>
    </row>
    <row r="998" spans="1:15" x14ac:dyDescent="0.3">
      <c r="A998" s="1">
        <v>46022</v>
      </c>
      <c r="B998" t="s">
        <v>15</v>
      </c>
      <c r="C998" s="3">
        <v>1342.8</v>
      </c>
      <c r="D998" s="3">
        <v>1350</v>
      </c>
      <c r="E998" s="3">
        <v>1339.5</v>
      </c>
      <c r="F998" s="3">
        <v>1342.5</v>
      </c>
      <c r="G998" s="3">
        <v>1343</v>
      </c>
      <c r="H998" s="3">
        <v>1342.9</v>
      </c>
      <c r="I998" s="3">
        <v>1344.37</v>
      </c>
      <c r="J998" s="3">
        <v>1500</v>
      </c>
      <c r="K998" s="3">
        <v>1186</v>
      </c>
      <c r="L998" s="2">
        <v>6150634</v>
      </c>
      <c r="M998" s="2">
        <v>8268715778.6000004</v>
      </c>
      <c r="N998" s="2">
        <v>133779</v>
      </c>
      <c r="O998" t="s">
        <v>20</v>
      </c>
    </row>
    <row r="999" spans="1:15" x14ac:dyDescent="0.3">
      <c r="A999" s="1">
        <v>46021</v>
      </c>
      <c r="B999" t="s">
        <v>15</v>
      </c>
      <c r="C999" s="3">
        <v>1343.3</v>
      </c>
      <c r="D999" s="3">
        <v>1347.1</v>
      </c>
      <c r="E999" s="3">
        <v>1338.1</v>
      </c>
      <c r="F999" s="3">
        <v>1343.3</v>
      </c>
      <c r="G999" s="3">
        <v>1347</v>
      </c>
      <c r="H999" s="3">
        <v>1342.5</v>
      </c>
      <c r="I999" s="3">
        <v>1341.94</v>
      </c>
      <c r="J999" s="3">
        <v>1500</v>
      </c>
      <c r="K999" s="3">
        <v>1186</v>
      </c>
      <c r="L999" s="2">
        <v>18621277</v>
      </c>
      <c r="M999" s="2">
        <v>24988603546.5</v>
      </c>
      <c r="N999" s="2">
        <v>261375</v>
      </c>
      <c r="O999" t="s">
        <v>20</v>
      </c>
    </row>
    <row r="1000" spans="1:15" x14ac:dyDescent="0.3">
      <c r="A1000" s="1">
        <v>46020</v>
      </c>
      <c r="B1000" t="s">
        <v>15</v>
      </c>
      <c r="C1000" s="3">
        <v>1352.1</v>
      </c>
      <c r="D1000" s="3">
        <v>1355.7</v>
      </c>
      <c r="E1000" s="3">
        <v>1341.5</v>
      </c>
      <c r="F1000" s="3">
        <v>1350.4</v>
      </c>
      <c r="G1000" s="3">
        <v>1343.6</v>
      </c>
      <c r="H1000" s="3">
        <v>1343.3</v>
      </c>
      <c r="I1000" s="3">
        <v>1346.07</v>
      </c>
      <c r="J1000" s="3">
        <v>1500</v>
      </c>
      <c r="K1000" s="3">
        <v>1186</v>
      </c>
      <c r="L1000" s="2">
        <v>6057201</v>
      </c>
      <c r="M1000" s="2">
        <v>8153410855.3999996</v>
      </c>
      <c r="N1000" s="2">
        <v>145962</v>
      </c>
      <c r="O1000" t="s">
        <v>20</v>
      </c>
    </row>
    <row r="1001" spans="1:15" x14ac:dyDescent="0.3">
      <c r="A1001" s="1">
        <v>46017</v>
      </c>
      <c r="B1001" t="s">
        <v>15</v>
      </c>
      <c r="C1001" s="3">
        <v>1356.5</v>
      </c>
      <c r="D1001" s="3">
        <v>1362</v>
      </c>
      <c r="E1001" s="3">
        <v>1348.5</v>
      </c>
      <c r="F1001" s="3">
        <v>1359.8</v>
      </c>
      <c r="G1001" s="3">
        <v>1351</v>
      </c>
      <c r="H1001" s="3">
        <v>1350.4</v>
      </c>
      <c r="I1001" s="3">
        <v>1353.25</v>
      </c>
      <c r="J1001" s="3">
        <v>1500</v>
      </c>
      <c r="K1001" s="3">
        <v>1186</v>
      </c>
      <c r="L1001" s="2">
        <v>2812144</v>
      </c>
      <c r="M1001" s="2">
        <v>3805533190</v>
      </c>
      <c r="N1001" s="2">
        <v>92194</v>
      </c>
      <c r="O1001" t="s">
        <v>20</v>
      </c>
    </row>
    <row r="1002" spans="1:15" x14ac:dyDescent="0.3">
      <c r="A1002" s="1">
        <v>46015</v>
      </c>
      <c r="B1002" t="s">
        <v>15</v>
      </c>
      <c r="C1002" s="3">
        <v>1363.8</v>
      </c>
      <c r="D1002" s="3">
        <v>1368.2</v>
      </c>
      <c r="E1002" s="3">
        <v>1357.6</v>
      </c>
      <c r="F1002" s="3">
        <v>1363</v>
      </c>
      <c r="G1002" s="3">
        <v>1359</v>
      </c>
      <c r="H1002" s="3">
        <v>1359.8</v>
      </c>
      <c r="I1002" s="3">
        <v>1362.26</v>
      </c>
      <c r="J1002" s="3">
        <v>1500</v>
      </c>
      <c r="K1002" s="3">
        <v>1186</v>
      </c>
      <c r="L1002" s="2">
        <v>8955140</v>
      </c>
      <c r="M1002" s="2">
        <v>12199271454</v>
      </c>
      <c r="N1002" s="2">
        <v>163168</v>
      </c>
      <c r="O1002" t="s">
        <v>20</v>
      </c>
    </row>
    <row r="1003" spans="1:15" x14ac:dyDescent="0.3">
      <c r="A1003" s="1">
        <v>46014</v>
      </c>
      <c r="B1003" t="s">
        <v>15</v>
      </c>
      <c r="C1003" s="3">
        <v>1361.1</v>
      </c>
      <c r="D1003" s="3">
        <v>1365</v>
      </c>
      <c r="E1003" s="3">
        <v>1357</v>
      </c>
      <c r="F1003" s="3">
        <v>1368.5</v>
      </c>
      <c r="G1003" s="3">
        <v>1362.4</v>
      </c>
      <c r="H1003" s="3">
        <v>1363</v>
      </c>
      <c r="I1003" s="3">
        <v>1361.81</v>
      </c>
      <c r="J1003" s="3">
        <v>1500</v>
      </c>
      <c r="K1003" s="3">
        <v>1186</v>
      </c>
      <c r="L1003" s="2">
        <v>9105467</v>
      </c>
      <c r="M1003" s="2">
        <v>12399897178.6</v>
      </c>
      <c r="N1003" s="2">
        <v>231134</v>
      </c>
      <c r="O1003" t="s">
        <v>20</v>
      </c>
    </row>
    <row r="1004" spans="1:15" x14ac:dyDescent="0.3">
      <c r="A1004" s="1">
        <v>46013</v>
      </c>
      <c r="B1004" t="s">
        <v>15</v>
      </c>
      <c r="C1004" s="3">
        <v>1358</v>
      </c>
      <c r="D1004" s="3">
        <v>1371.3</v>
      </c>
      <c r="E1004" s="3">
        <v>1354.8</v>
      </c>
      <c r="F1004" s="3">
        <v>1354.1</v>
      </c>
      <c r="G1004" s="3">
        <v>1367.5</v>
      </c>
      <c r="H1004" s="3">
        <v>1368.5</v>
      </c>
      <c r="I1004" s="3">
        <v>1365.67</v>
      </c>
      <c r="J1004" s="3">
        <v>1500</v>
      </c>
      <c r="K1004" s="3">
        <v>1186</v>
      </c>
      <c r="L1004" s="2">
        <v>9375294</v>
      </c>
      <c r="M1004" s="2">
        <v>12803546328.799999</v>
      </c>
      <c r="N1004" s="2">
        <v>204189</v>
      </c>
      <c r="O1004" t="s">
        <v>20</v>
      </c>
    </row>
    <row r="1005" spans="1:15" x14ac:dyDescent="0.3">
      <c r="A1005" s="1">
        <v>46010</v>
      </c>
      <c r="B1005" t="s">
        <v>15</v>
      </c>
      <c r="C1005" s="3">
        <v>1354</v>
      </c>
      <c r="D1005" s="3">
        <v>1360.4</v>
      </c>
      <c r="E1005" s="3">
        <v>1350.8</v>
      </c>
      <c r="F1005" s="3">
        <v>1356.8</v>
      </c>
      <c r="G1005" s="3">
        <v>1354.3</v>
      </c>
      <c r="H1005" s="3">
        <v>1354.1</v>
      </c>
      <c r="I1005" s="3">
        <v>1354.21</v>
      </c>
      <c r="J1005" s="3">
        <v>1500</v>
      </c>
      <c r="K1005" s="3">
        <v>1186</v>
      </c>
      <c r="L1005" s="2">
        <v>14318512</v>
      </c>
      <c r="M1005" s="2">
        <v>19390242360.799999</v>
      </c>
      <c r="N1005" s="2">
        <v>224715</v>
      </c>
      <c r="O1005" t="s">
        <v>20</v>
      </c>
    </row>
    <row r="1006" spans="1:15" x14ac:dyDescent="0.3">
      <c r="A1006" s="1">
        <v>46009</v>
      </c>
      <c r="B1006" t="s">
        <v>15</v>
      </c>
      <c r="C1006" s="3">
        <v>1346.3</v>
      </c>
      <c r="D1006" s="3">
        <v>1369.5</v>
      </c>
      <c r="E1006" s="3">
        <v>1345.5</v>
      </c>
      <c r="F1006" s="3">
        <v>1352.4</v>
      </c>
      <c r="G1006" s="3">
        <v>1357</v>
      </c>
      <c r="H1006" s="3">
        <v>1356.8</v>
      </c>
      <c r="I1006" s="3">
        <v>1360.11</v>
      </c>
      <c r="J1006" s="3">
        <v>1500</v>
      </c>
      <c r="K1006" s="3">
        <v>1186</v>
      </c>
      <c r="L1006" s="2">
        <v>7314573</v>
      </c>
      <c r="M1006" s="2">
        <v>9948607088.3999996</v>
      </c>
      <c r="N1006" s="2">
        <v>207464</v>
      </c>
      <c r="O1006" t="s">
        <v>20</v>
      </c>
    </row>
    <row r="1007" spans="1:15" x14ac:dyDescent="0.3">
      <c r="A1007" s="1">
        <v>46008</v>
      </c>
      <c r="B1007" t="s">
        <v>15</v>
      </c>
      <c r="C1007" s="3">
        <v>1365</v>
      </c>
      <c r="D1007" s="3">
        <v>1365</v>
      </c>
      <c r="E1007" s="3">
        <v>1343.1</v>
      </c>
      <c r="F1007" s="3">
        <v>1366</v>
      </c>
      <c r="G1007" s="3">
        <v>1353.5</v>
      </c>
      <c r="H1007" s="3">
        <v>1352.4</v>
      </c>
      <c r="I1007" s="3">
        <v>1350.59</v>
      </c>
      <c r="J1007" s="3">
        <v>1500</v>
      </c>
      <c r="K1007" s="3">
        <v>1186</v>
      </c>
      <c r="L1007" s="2">
        <v>9440391</v>
      </c>
      <c r="M1007" s="2">
        <v>12750064577.5</v>
      </c>
      <c r="N1007" s="2">
        <v>199498</v>
      </c>
      <c r="O1007" t="s">
        <v>20</v>
      </c>
    </row>
    <row r="1008" spans="1:15" x14ac:dyDescent="0.3">
      <c r="A1008" s="1">
        <v>46007</v>
      </c>
      <c r="B1008" t="s">
        <v>15</v>
      </c>
      <c r="C1008" s="3">
        <v>1364</v>
      </c>
      <c r="D1008" s="3">
        <v>1368.7</v>
      </c>
      <c r="E1008" s="3">
        <v>1355.5</v>
      </c>
      <c r="F1008" s="3">
        <v>1365.2</v>
      </c>
      <c r="G1008" s="3">
        <v>1366.6</v>
      </c>
      <c r="H1008" s="3">
        <v>1366</v>
      </c>
      <c r="I1008" s="3">
        <v>1363.69</v>
      </c>
      <c r="J1008" s="3">
        <v>1500</v>
      </c>
      <c r="K1008" s="3">
        <v>1186</v>
      </c>
      <c r="L1008" s="2">
        <v>12359741</v>
      </c>
      <c r="M1008" s="2">
        <v>16854916855</v>
      </c>
      <c r="N1008" s="2">
        <v>345540</v>
      </c>
      <c r="O1008" t="s">
        <v>20</v>
      </c>
    </row>
    <row r="1009" spans="1:15" x14ac:dyDescent="0.3">
      <c r="A1009" s="1">
        <v>46006</v>
      </c>
      <c r="B1009" t="s">
        <v>15</v>
      </c>
      <c r="C1009" s="3">
        <v>1356.1</v>
      </c>
      <c r="D1009" s="3">
        <v>1370</v>
      </c>
      <c r="E1009" s="3">
        <v>1356.1</v>
      </c>
      <c r="F1009" s="3">
        <v>1366</v>
      </c>
      <c r="G1009" s="3">
        <v>1365</v>
      </c>
      <c r="H1009" s="3">
        <v>1365.2</v>
      </c>
      <c r="I1009" s="3">
        <v>1364.54</v>
      </c>
      <c r="J1009" s="3">
        <v>1500</v>
      </c>
      <c r="K1009" s="3">
        <v>1186</v>
      </c>
      <c r="L1009" s="2">
        <v>5342530</v>
      </c>
      <c r="M1009" s="2">
        <v>7290105034.8999996</v>
      </c>
      <c r="N1009" s="2">
        <v>267792</v>
      </c>
      <c r="O1009" t="s">
        <v>20</v>
      </c>
    </row>
    <row r="1010" spans="1:15" x14ac:dyDescent="0.3">
      <c r="A1010" s="1">
        <v>46003</v>
      </c>
      <c r="B1010" t="s">
        <v>15</v>
      </c>
      <c r="C1010" s="3">
        <v>1368</v>
      </c>
      <c r="D1010" s="3">
        <v>1370.7</v>
      </c>
      <c r="E1010" s="3">
        <v>1363.3</v>
      </c>
      <c r="F1010" s="3">
        <v>1360</v>
      </c>
      <c r="G1010" s="3">
        <v>1366</v>
      </c>
      <c r="H1010" s="3">
        <v>1366</v>
      </c>
      <c r="I1010" s="3">
        <v>1366.43</v>
      </c>
      <c r="J1010" s="3">
        <v>1500</v>
      </c>
      <c r="K1010" s="3">
        <v>1186</v>
      </c>
      <c r="L1010" s="2">
        <v>3890885</v>
      </c>
      <c r="M1010" s="2">
        <v>5316635958.1999998</v>
      </c>
      <c r="N1010" s="2">
        <v>113064</v>
      </c>
      <c r="O1010" t="s">
        <v>20</v>
      </c>
    </row>
    <row r="1011" spans="1:15" x14ac:dyDescent="0.3">
      <c r="A1011" s="1">
        <v>46002</v>
      </c>
      <c r="B1011" t="s">
        <v>15</v>
      </c>
      <c r="C1011" s="3">
        <v>1363.7</v>
      </c>
      <c r="D1011" s="3">
        <v>1366.6</v>
      </c>
      <c r="E1011" s="3">
        <v>1352.8</v>
      </c>
      <c r="F1011" s="3">
        <v>1363.6</v>
      </c>
      <c r="G1011" s="3">
        <v>1361</v>
      </c>
      <c r="H1011" s="3">
        <v>1360</v>
      </c>
      <c r="I1011" s="3">
        <v>1360.4</v>
      </c>
      <c r="J1011" s="3">
        <v>1500</v>
      </c>
      <c r="K1011" s="3">
        <v>1186</v>
      </c>
      <c r="L1011" s="2">
        <v>6734750</v>
      </c>
      <c r="M1011" s="2">
        <v>9161934313.7000008</v>
      </c>
      <c r="N1011" s="2">
        <v>166103</v>
      </c>
      <c r="O1011" t="s">
        <v>20</v>
      </c>
    </row>
    <row r="1012" spans="1:15" x14ac:dyDescent="0.3">
      <c r="A1012" s="1">
        <v>46001</v>
      </c>
      <c r="B1012" t="s">
        <v>15</v>
      </c>
      <c r="C1012" s="3">
        <v>1377.9</v>
      </c>
      <c r="D1012" s="3">
        <v>1379.4</v>
      </c>
      <c r="E1012" s="3">
        <v>1357.9</v>
      </c>
      <c r="F1012" s="3">
        <v>1375.2</v>
      </c>
      <c r="G1012" s="3">
        <v>1364.5</v>
      </c>
      <c r="H1012" s="3">
        <v>1363.6</v>
      </c>
      <c r="I1012" s="3">
        <v>1366.49</v>
      </c>
      <c r="J1012" s="3">
        <v>1500</v>
      </c>
      <c r="K1012" s="3">
        <v>1186</v>
      </c>
      <c r="L1012" s="2">
        <v>8725381</v>
      </c>
      <c r="M1012" s="2">
        <v>11923188503.5</v>
      </c>
      <c r="N1012" s="2">
        <v>164913</v>
      </c>
      <c r="O1012" t="s">
        <v>20</v>
      </c>
    </row>
    <row r="1013" spans="1:15" x14ac:dyDescent="0.3">
      <c r="A1013" s="1">
        <v>46000</v>
      </c>
      <c r="B1013" t="s">
        <v>15</v>
      </c>
      <c r="C1013" s="3">
        <v>1379.9</v>
      </c>
      <c r="D1013" s="3">
        <v>1384.3</v>
      </c>
      <c r="E1013" s="3">
        <v>1373.4</v>
      </c>
      <c r="F1013" s="3">
        <v>1389.6</v>
      </c>
      <c r="G1013" s="3">
        <v>1375</v>
      </c>
      <c r="H1013" s="3">
        <v>1375.2</v>
      </c>
      <c r="I1013" s="3">
        <v>1377.4</v>
      </c>
      <c r="J1013" s="3">
        <v>1500</v>
      </c>
      <c r="K1013" s="3">
        <v>1186</v>
      </c>
      <c r="L1013" s="2">
        <v>10492030</v>
      </c>
      <c r="M1013" s="2">
        <v>14451676568.299999</v>
      </c>
      <c r="N1013" s="2">
        <v>175866</v>
      </c>
      <c r="O1013" t="s">
        <v>20</v>
      </c>
    </row>
    <row r="1014" spans="1:15" x14ac:dyDescent="0.3">
      <c r="A1014" s="1">
        <v>45999</v>
      </c>
      <c r="B1014" t="s">
        <v>15</v>
      </c>
      <c r="C1014" s="3">
        <v>1387</v>
      </c>
      <c r="D1014" s="3">
        <v>1394.9</v>
      </c>
      <c r="E1014" s="3">
        <v>1383.3</v>
      </c>
      <c r="F1014" s="3">
        <v>1392.5</v>
      </c>
      <c r="G1014" s="3">
        <v>1387.5</v>
      </c>
      <c r="H1014" s="3">
        <v>1389.6</v>
      </c>
      <c r="I1014" s="3">
        <v>1388.87</v>
      </c>
      <c r="J1014" s="3">
        <v>1500</v>
      </c>
      <c r="K1014" s="3">
        <v>1186</v>
      </c>
      <c r="L1014" s="2">
        <v>7826227</v>
      </c>
      <c r="M1014" s="2">
        <v>10869628559.200001</v>
      </c>
      <c r="N1014" s="2">
        <v>177670</v>
      </c>
      <c r="O1014" t="s">
        <v>20</v>
      </c>
    </row>
    <row r="1015" spans="1:15" x14ac:dyDescent="0.3">
      <c r="A1015" s="1">
        <v>45996</v>
      </c>
      <c r="B1015" t="s">
        <v>15</v>
      </c>
      <c r="C1015" s="3">
        <v>1381</v>
      </c>
      <c r="D1015" s="3">
        <v>1395.3</v>
      </c>
      <c r="E1015" s="3">
        <v>1381</v>
      </c>
      <c r="F1015" s="3">
        <v>1386.7</v>
      </c>
      <c r="G1015" s="3">
        <v>1392.5</v>
      </c>
      <c r="H1015" s="3">
        <v>1392.5</v>
      </c>
      <c r="I1015" s="3">
        <v>1390.49</v>
      </c>
      <c r="J1015" s="3">
        <v>1500</v>
      </c>
      <c r="K1015" s="3">
        <v>1186</v>
      </c>
      <c r="L1015" s="2">
        <v>4942638</v>
      </c>
      <c r="M1015" s="2">
        <v>6872704506.8999996</v>
      </c>
      <c r="N1015" s="2">
        <v>130513</v>
      </c>
      <c r="O1015" t="s">
        <v>20</v>
      </c>
    </row>
    <row r="1016" spans="1:15" x14ac:dyDescent="0.3">
      <c r="A1016" s="1">
        <v>45995</v>
      </c>
      <c r="B1016" t="s">
        <v>15</v>
      </c>
      <c r="C1016" s="3">
        <v>1387</v>
      </c>
      <c r="D1016" s="3">
        <v>1391.6</v>
      </c>
      <c r="E1016" s="3">
        <v>1379.9</v>
      </c>
      <c r="F1016" s="3">
        <v>1391.5</v>
      </c>
      <c r="G1016" s="3">
        <v>1386</v>
      </c>
      <c r="H1016" s="3">
        <v>1386.7</v>
      </c>
      <c r="I1016" s="3">
        <v>1385.21</v>
      </c>
      <c r="J1016" s="3">
        <v>1500</v>
      </c>
      <c r="K1016" s="3">
        <v>1186</v>
      </c>
      <c r="L1016" s="2">
        <v>7373909</v>
      </c>
      <c r="M1016" s="2">
        <v>10214431633.6</v>
      </c>
      <c r="N1016" s="2">
        <v>189163</v>
      </c>
      <c r="O1016" t="s">
        <v>20</v>
      </c>
    </row>
    <row r="1017" spans="1:15" x14ac:dyDescent="0.3">
      <c r="A1017" s="1">
        <v>45994</v>
      </c>
      <c r="B1017" t="s">
        <v>15</v>
      </c>
      <c r="C1017" s="3">
        <v>1367</v>
      </c>
      <c r="D1017" s="3">
        <v>1394.2</v>
      </c>
      <c r="E1017" s="3">
        <v>1367</v>
      </c>
      <c r="F1017" s="3">
        <v>1373</v>
      </c>
      <c r="G1017" s="3">
        <v>1392</v>
      </c>
      <c r="H1017" s="3">
        <v>1391.5</v>
      </c>
      <c r="I1017" s="3">
        <v>1383</v>
      </c>
      <c r="J1017" s="3">
        <v>1500</v>
      </c>
      <c r="K1017" s="3">
        <v>1186</v>
      </c>
      <c r="L1017" s="2">
        <v>7955933</v>
      </c>
      <c r="M1017" s="2">
        <v>11003040759.700001</v>
      </c>
      <c r="N1017" s="2">
        <v>182044</v>
      </c>
      <c r="O1017" t="s">
        <v>20</v>
      </c>
    </row>
    <row r="1018" spans="1:15" x14ac:dyDescent="0.3">
      <c r="A1018" s="1">
        <v>45993</v>
      </c>
      <c r="B1018" t="s">
        <v>15</v>
      </c>
      <c r="C1018" s="3">
        <v>1381.8</v>
      </c>
      <c r="D1018" s="3">
        <v>1381.8</v>
      </c>
      <c r="E1018" s="3">
        <v>1370.6</v>
      </c>
      <c r="F1018" s="3">
        <v>1390.1</v>
      </c>
      <c r="G1018" s="3">
        <v>1373.8</v>
      </c>
      <c r="H1018" s="3">
        <v>1373</v>
      </c>
      <c r="I1018" s="3">
        <v>1374.68</v>
      </c>
      <c r="J1018" s="3">
        <v>1500</v>
      </c>
      <c r="K1018" s="3">
        <v>1186</v>
      </c>
      <c r="L1018" s="2">
        <v>12126396</v>
      </c>
      <c r="M1018" s="2">
        <v>16669881069.6</v>
      </c>
      <c r="N1018" s="2">
        <v>335552</v>
      </c>
      <c r="O1018" t="s">
        <v>20</v>
      </c>
    </row>
    <row r="1019" spans="1:15" x14ac:dyDescent="0.3">
      <c r="A1019" s="1">
        <v>45992</v>
      </c>
      <c r="B1019" t="s">
        <v>15</v>
      </c>
      <c r="C1019" s="3">
        <v>1394</v>
      </c>
      <c r="D1019" s="3">
        <v>1400</v>
      </c>
      <c r="E1019" s="3">
        <v>1385.4</v>
      </c>
      <c r="F1019" s="3">
        <v>1388.8</v>
      </c>
      <c r="G1019" s="3">
        <v>1390.2</v>
      </c>
      <c r="H1019" s="3">
        <v>1390.1</v>
      </c>
      <c r="I1019" s="3">
        <v>1393.22</v>
      </c>
      <c r="J1019" s="3">
        <v>1500</v>
      </c>
      <c r="K1019" s="3">
        <v>1186</v>
      </c>
      <c r="L1019" s="2">
        <v>8867593</v>
      </c>
      <c r="M1019" s="2">
        <v>12354467146.1</v>
      </c>
      <c r="N1019" s="2">
        <v>225630</v>
      </c>
      <c r="O1019" t="s">
        <v>20</v>
      </c>
    </row>
    <row r="1020" spans="1:15" x14ac:dyDescent="0.3">
      <c r="A1020" s="1">
        <v>45989</v>
      </c>
      <c r="B1020" t="s">
        <v>15</v>
      </c>
      <c r="C1020" s="3">
        <v>1392</v>
      </c>
      <c r="D1020" s="3">
        <v>1398.5</v>
      </c>
      <c r="E1020" s="3">
        <v>1385.6</v>
      </c>
      <c r="F1020" s="3">
        <v>1392.2</v>
      </c>
      <c r="G1020" s="3">
        <v>1388.4</v>
      </c>
      <c r="H1020" s="3">
        <v>1388.8</v>
      </c>
      <c r="I1020" s="3">
        <v>1390.33</v>
      </c>
      <c r="J1020" s="3">
        <v>1500</v>
      </c>
      <c r="K1020" s="3">
        <v>1186</v>
      </c>
      <c r="L1020" s="2">
        <v>7683986</v>
      </c>
      <c r="M1020" s="2">
        <v>10683252227</v>
      </c>
      <c r="N1020" s="2">
        <v>198302</v>
      </c>
      <c r="O1020" t="s">
        <v>20</v>
      </c>
    </row>
    <row r="1021" spans="1:15" x14ac:dyDescent="0.3">
      <c r="A1021" s="1">
        <v>45988</v>
      </c>
      <c r="B1021" t="s">
        <v>15</v>
      </c>
      <c r="C1021" s="3">
        <v>1379</v>
      </c>
      <c r="D1021" s="3">
        <v>1394</v>
      </c>
      <c r="E1021" s="3">
        <v>1375.7</v>
      </c>
      <c r="F1021" s="3">
        <v>1375</v>
      </c>
      <c r="G1021" s="3">
        <v>1393.9</v>
      </c>
      <c r="H1021" s="3">
        <v>1392.2</v>
      </c>
      <c r="I1021" s="3">
        <v>1388.89</v>
      </c>
      <c r="J1021" s="3">
        <v>1500</v>
      </c>
      <c r="K1021" s="3">
        <v>1186</v>
      </c>
      <c r="L1021" s="2">
        <v>15158741</v>
      </c>
      <c r="M1021" s="2">
        <v>21053799768.400002</v>
      </c>
      <c r="N1021" s="2">
        <v>232290</v>
      </c>
      <c r="O1021" t="s">
        <v>20</v>
      </c>
    </row>
    <row r="1022" spans="1:15" x14ac:dyDescent="0.3">
      <c r="A1022" s="1">
        <v>45987</v>
      </c>
      <c r="B1022" t="s">
        <v>15</v>
      </c>
      <c r="C1022" s="3">
        <v>1360</v>
      </c>
      <c r="D1022" s="3">
        <v>1377</v>
      </c>
      <c r="E1022" s="3">
        <v>1359.9</v>
      </c>
      <c r="F1022" s="3">
        <v>1357.8</v>
      </c>
      <c r="G1022" s="3">
        <v>1375</v>
      </c>
      <c r="H1022" s="3">
        <v>1375</v>
      </c>
      <c r="I1022" s="3">
        <v>1369.92</v>
      </c>
      <c r="J1022" s="3">
        <v>1500</v>
      </c>
      <c r="K1022" s="3">
        <v>1186</v>
      </c>
      <c r="L1022" s="2">
        <v>9659004</v>
      </c>
      <c r="M1022" s="2">
        <v>13232068784.9</v>
      </c>
      <c r="N1022" s="2">
        <v>140169</v>
      </c>
      <c r="O1022" t="s">
        <v>20</v>
      </c>
    </row>
    <row r="1023" spans="1:15" x14ac:dyDescent="0.3">
      <c r="A1023" s="1">
        <v>45986</v>
      </c>
      <c r="B1023" t="s">
        <v>15</v>
      </c>
      <c r="C1023" s="3">
        <v>1365</v>
      </c>
      <c r="D1023" s="3">
        <v>1376.9</v>
      </c>
      <c r="E1023" s="3">
        <v>1354.3</v>
      </c>
      <c r="F1023" s="3">
        <v>1368.4</v>
      </c>
      <c r="G1023" s="3">
        <v>1356.9</v>
      </c>
      <c r="H1023" s="3">
        <v>1357.8</v>
      </c>
      <c r="I1023" s="3">
        <v>1362.23</v>
      </c>
      <c r="J1023" s="3">
        <v>1500</v>
      </c>
      <c r="K1023" s="3">
        <v>1186</v>
      </c>
      <c r="L1023" s="2">
        <v>12235000</v>
      </c>
      <c r="M1023" s="2">
        <v>16666909341.5</v>
      </c>
      <c r="N1023" s="2">
        <v>217159</v>
      </c>
      <c r="O1023" t="s">
        <v>20</v>
      </c>
    </row>
    <row r="1024" spans="1:15" x14ac:dyDescent="0.3">
      <c r="A1024" s="1">
        <v>45985</v>
      </c>
      <c r="B1024" t="s">
        <v>15</v>
      </c>
      <c r="C1024" s="3">
        <v>1373.3</v>
      </c>
      <c r="D1024" s="3">
        <v>1377</v>
      </c>
      <c r="E1024" s="3">
        <v>1361.5</v>
      </c>
      <c r="F1024" s="3">
        <v>1369.5</v>
      </c>
      <c r="G1024" s="3">
        <v>1366</v>
      </c>
      <c r="H1024" s="3">
        <v>1368.4</v>
      </c>
      <c r="I1024" s="3">
        <v>1369.72</v>
      </c>
      <c r="J1024" s="3">
        <v>1500</v>
      </c>
      <c r="K1024" s="3">
        <v>1186</v>
      </c>
      <c r="L1024" s="2">
        <v>15896003</v>
      </c>
      <c r="M1024" s="2">
        <v>21773146809.900002</v>
      </c>
      <c r="N1024" s="2">
        <v>192513</v>
      </c>
      <c r="O1024" t="s">
        <v>20</v>
      </c>
    </row>
    <row r="1025" spans="1:15" x14ac:dyDescent="0.3">
      <c r="A1025" s="1">
        <v>45982</v>
      </c>
      <c r="B1025" t="s">
        <v>15</v>
      </c>
      <c r="C1025" s="3">
        <v>1373</v>
      </c>
      <c r="D1025" s="3">
        <v>1376</v>
      </c>
      <c r="E1025" s="3">
        <v>1364.6</v>
      </c>
      <c r="F1025" s="3">
        <v>1383</v>
      </c>
      <c r="G1025" s="3">
        <v>1369</v>
      </c>
      <c r="H1025" s="3">
        <v>1369.5</v>
      </c>
      <c r="I1025" s="3">
        <v>1369.27</v>
      </c>
      <c r="J1025" s="3">
        <v>1500</v>
      </c>
      <c r="K1025" s="3">
        <v>1186</v>
      </c>
      <c r="L1025" s="2">
        <v>11483595</v>
      </c>
      <c r="M1025" s="2">
        <v>15724108014.6</v>
      </c>
      <c r="N1025" s="2">
        <v>171633</v>
      </c>
      <c r="O1025" t="s">
        <v>20</v>
      </c>
    </row>
    <row r="1026" spans="1:15" x14ac:dyDescent="0.3">
      <c r="A1026" s="1">
        <v>45981</v>
      </c>
      <c r="B1026" t="s">
        <v>15</v>
      </c>
      <c r="C1026" s="3">
        <v>1380.1</v>
      </c>
      <c r="D1026" s="3">
        <v>1388.3</v>
      </c>
      <c r="E1026" s="3">
        <v>1375.4</v>
      </c>
      <c r="F1026" s="3">
        <v>1383.1</v>
      </c>
      <c r="G1026" s="3">
        <v>1382</v>
      </c>
      <c r="H1026" s="3">
        <v>1383</v>
      </c>
      <c r="I1026" s="3">
        <v>1381.32</v>
      </c>
      <c r="J1026" s="3">
        <v>1500</v>
      </c>
      <c r="K1026" s="3">
        <v>1186</v>
      </c>
      <c r="L1026" s="2">
        <v>10131863</v>
      </c>
      <c r="M1026" s="2">
        <v>13995331858.299999</v>
      </c>
      <c r="N1026" s="2">
        <v>199484</v>
      </c>
      <c r="O1026" t="s">
        <v>20</v>
      </c>
    </row>
    <row r="1027" spans="1:15" x14ac:dyDescent="0.3">
      <c r="A1027" s="1">
        <v>45980</v>
      </c>
      <c r="B1027" t="s">
        <v>15</v>
      </c>
      <c r="C1027" s="3">
        <v>1373.5</v>
      </c>
      <c r="D1027" s="3">
        <v>1384</v>
      </c>
      <c r="E1027" s="3">
        <v>1371.6</v>
      </c>
      <c r="F1027" s="3">
        <v>1373.4</v>
      </c>
      <c r="G1027" s="3">
        <v>1383.1</v>
      </c>
      <c r="H1027" s="3">
        <v>1383.1</v>
      </c>
      <c r="I1027" s="3">
        <v>1379.61</v>
      </c>
      <c r="J1027" s="3">
        <v>1500</v>
      </c>
      <c r="K1027" s="3">
        <v>1186</v>
      </c>
      <c r="L1027" s="2">
        <v>10393918</v>
      </c>
      <c r="M1027" s="2">
        <v>14339582068.9</v>
      </c>
      <c r="N1027" s="2">
        <v>152320</v>
      </c>
      <c r="O1027" t="s">
        <v>20</v>
      </c>
    </row>
    <row r="1028" spans="1:15" x14ac:dyDescent="0.3">
      <c r="A1028" s="1">
        <v>45979</v>
      </c>
      <c r="B1028" t="s">
        <v>15</v>
      </c>
      <c r="C1028" s="3">
        <v>1380.2</v>
      </c>
      <c r="D1028" s="3">
        <v>1382.8</v>
      </c>
      <c r="E1028" s="3">
        <v>1369.1</v>
      </c>
      <c r="F1028" s="3">
        <v>1379</v>
      </c>
      <c r="G1028" s="3">
        <v>1370</v>
      </c>
      <c r="H1028" s="3">
        <v>1373.4</v>
      </c>
      <c r="I1028" s="3">
        <v>1374.73</v>
      </c>
      <c r="J1028" s="3">
        <v>1500</v>
      </c>
      <c r="K1028" s="3">
        <v>1186</v>
      </c>
      <c r="L1028" s="2">
        <v>9529560</v>
      </c>
      <c r="M1028" s="2">
        <v>13100617263.5</v>
      </c>
      <c r="N1028" s="2">
        <v>143242</v>
      </c>
      <c r="O1028" t="s">
        <v>20</v>
      </c>
    </row>
    <row r="1029" spans="1:15" x14ac:dyDescent="0.3">
      <c r="A1029" s="1">
        <v>45978</v>
      </c>
      <c r="B1029" t="s">
        <v>15</v>
      </c>
      <c r="C1029" s="3">
        <v>1375.1</v>
      </c>
      <c r="D1029" s="3">
        <v>1382.5</v>
      </c>
      <c r="E1029" s="3">
        <v>1373.6</v>
      </c>
      <c r="F1029" s="3">
        <v>1373</v>
      </c>
      <c r="G1029" s="3">
        <v>1379.1</v>
      </c>
      <c r="H1029" s="3">
        <v>1379</v>
      </c>
      <c r="I1029" s="3">
        <v>1378.91</v>
      </c>
      <c r="J1029" s="3">
        <v>1500</v>
      </c>
      <c r="K1029" s="3">
        <v>1186</v>
      </c>
      <c r="L1029" s="2">
        <v>7660717</v>
      </c>
      <c r="M1029" s="2">
        <v>10563473675.799999</v>
      </c>
      <c r="N1029" s="2">
        <v>109085</v>
      </c>
      <c r="O1029" t="s">
        <v>20</v>
      </c>
    </row>
    <row r="1030" spans="1:15" x14ac:dyDescent="0.3">
      <c r="A1030" s="1">
        <v>45975</v>
      </c>
      <c r="B1030" t="s">
        <v>15</v>
      </c>
      <c r="C1030" s="3">
        <v>1374</v>
      </c>
      <c r="D1030" s="3">
        <v>1381.2</v>
      </c>
      <c r="E1030" s="3">
        <v>1363.2</v>
      </c>
      <c r="F1030" s="3">
        <v>1385.9</v>
      </c>
      <c r="G1030" s="3">
        <v>1373.2</v>
      </c>
      <c r="H1030" s="3">
        <v>1373</v>
      </c>
      <c r="I1030" s="3">
        <v>1370.92</v>
      </c>
      <c r="J1030" s="3">
        <v>1500</v>
      </c>
      <c r="K1030" s="3">
        <v>1186</v>
      </c>
      <c r="L1030" s="2">
        <v>9694498</v>
      </c>
      <c r="M1030" s="2">
        <v>13290412846.700001</v>
      </c>
      <c r="N1030" s="2">
        <v>190956</v>
      </c>
      <c r="O1030" t="s">
        <v>20</v>
      </c>
    </row>
    <row r="1031" spans="1:15" x14ac:dyDescent="0.3">
      <c r="A1031" s="1">
        <v>45974</v>
      </c>
      <c r="B1031" t="s">
        <v>15</v>
      </c>
      <c r="C1031" s="3">
        <v>1358.9</v>
      </c>
      <c r="D1031" s="3">
        <v>1390.4</v>
      </c>
      <c r="E1031" s="3">
        <v>1358.5</v>
      </c>
      <c r="F1031" s="3">
        <v>1358.9</v>
      </c>
      <c r="G1031" s="3">
        <v>1385.4</v>
      </c>
      <c r="H1031" s="3">
        <v>1385.9</v>
      </c>
      <c r="I1031" s="3">
        <v>1383.47</v>
      </c>
      <c r="J1031" s="3">
        <v>1500</v>
      </c>
      <c r="K1031" s="3">
        <v>1186</v>
      </c>
      <c r="L1031" s="2">
        <v>18296626</v>
      </c>
      <c r="M1031" s="2">
        <v>25312823046.700001</v>
      </c>
      <c r="N1031" s="2">
        <v>239327</v>
      </c>
      <c r="O1031" t="s">
        <v>20</v>
      </c>
    </row>
    <row r="1032" spans="1:15" x14ac:dyDescent="0.3">
      <c r="A1032" s="1">
        <v>45973</v>
      </c>
      <c r="B1032" t="s">
        <v>15</v>
      </c>
      <c r="C1032" s="3">
        <v>1370</v>
      </c>
      <c r="D1032" s="3">
        <v>1370</v>
      </c>
      <c r="E1032" s="3">
        <v>1355.4</v>
      </c>
      <c r="F1032" s="3">
        <v>1358.3</v>
      </c>
      <c r="G1032" s="3">
        <v>1358.5</v>
      </c>
      <c r="H1032" s="3">
        <v>1358.9</v>
      </c>
      <c r="I1032" s="3">
        <v>1361.79</v>
      </c>
      <c r="J1032" s="3">
        <v>1500</v>
      </c>
      <c r="K1032" s="3">
        <v>1186</v>
      </c>
      <c r="L1032" s="2">
        <v>9736761</v>
      </c>
      <c r="M1032" s="2">
        <v>13259441993.5</v>
      </c>
      <c r="N1032" s="2">
        <v>168204</v>
      </c>
      <c r="O1032" t="s">
        <v>20</v>
      </c>
    </row>
    <row r="1033" spans="1:15" x14ac:dyDescent="0.3">
      <c r="A1033" s="1">
        <v>45972</v>
      </c>
      <c r="B1033" t="s">
        <v>15</v>
      </c>
      <c r="C1033" s="3">
        <v>1349</v>
      </c>
      <c r="D1033" s="3">
        <v>1360.4</v>
      </c>
      <c r="E1033" s="3">
        <v>1346.2</v>
      </c>
      <c r="F1033" s="3">
        <v>1348</v>
      </c>
      <c r="G1033" s="3">
        <v>1359</v>
      </c>
      <c r="H1033" s="3">
        <v>1358.3</v>
      </c>
      <c r="I1033" s="3">
        <v>1354.89</v>
      </c>
      <c r="J1033" s="3">
        <v>1500</v>
      </c>
      <c r="K1033" s="3">
        <v>1186</v>
      </c>
      <c r="L1033" s="2">
        <v>8305184</v>
      </c>
      <c r="M1033" s="2">
        <v>11252612832.299999</v>
      </c>
      <c r="N1033" s="2">
        <v>208140</v>
      </c>
      <c r="O1033" t="s">
        <v>20</v>
      </c>
    </row>
    <row r="1034" spans="1:15" x14ac:dyDescent="0.3">
      <c r="A1034" s="1">
        <v>45971</v>
      </c>
      <c r="B1034" t="s">
        <v>15</v>
      </c>
      <c r="C1034" s="3">
        <v>1342.9</v>
      </c>
      <c r="D1034" s="3">
        <v>1349.6</v>
      </c>
      <c r="E1034" s="3">
        <v>1341</v>
      </c>
      <c r="F1034" s="3">
        <v>1343</v>
      </c>
      <c r="G1034" s="3">
        <v>1346.8</v>
      </c>
      <c r="H1034" s="3">
        <v>1348</v>
      </c>
      <c r="I1034" s="3">
        <v>1345.91</v>
      </c>
      <c r="J1034" s="3">
        <v>1500</v>
      </c>
      <c r="K1034" s="3">
        <v>1186</v>
      </c>
      <c r="L1034" s="2">
        <v>8542340</v>
      </c>
      <c r="M1034" s="2">
        <v>11497241405.299999</v>
      </c>
      <c r="N1034" s="2">
        <v>155442</v>
      </c>
      <c r="O1034" t="s">
        <v>20</v>
      </c>
    </row>
    <row r="1035" spans="1:15" x14ac:dyDescent="0.3">
      <c r="A1035" s="1">
        <v>45968</v>
      </c>
      <c r="B1035" t="s">
        <v>15</v>
      </c>
      <c r="C1035" s="3">
        <v>1320.4</v>
      </c>
      <c r="D1035" s="3">
        <v>1344.3</v>
      </c>
      <c r="E1035" s="3">
        <v>1318.6</v>
      </c>
      <c r="F1035" s="3">
        <v>1320.4</v>
      </c>
      <c r="G1035" s="3">
        <v>1342.6</v>
      </c>
      <c r="H1035" s="3">
        <v>1343</v>
      </c>
      <c r="I1035" s="3">
        <v>1337.7</v>
      </c>
      <c r="J1035" s="3">
        <v>1500</v>
      </c>
      <c r="K1035" s="3">
        <v>1186</v>
      </c>
      <c r="L1035" s="2">
        <v>7719245</v>
      </c>
      <c r="M1035" s="2">
        <v>10326029497</v>
      </c>
      <c r="N1035" s="2">
        <v>149776</v>
      </c>
      <c r="O1035" t="s">
        <v>20</v>
      </c>
    </row>
    <row r="1036" spans="1:15" x14ac:dyDescent="0.3">
      <c r="A1036" s="1">
        <v>45967</v>
      </c>
      <c r="B1036" t="s">
        <v>15</v>
      </c>
      <c r="C1036" s="3">
        <v>1330</v>
      </c>
      <c r="D1036" s="3">
        <v>1342.2</v>
      </c>
      <c r="E1036" s="3">
        <v>1317.4</v>
      </c>
      <c r="F1036" s="3">
        <v>1336.9</v>
      </c>
      <c r="G1036" s="3">
        <v>1320.3</v>
      </c>
      <c r="H1036" s="3">
        <v>1320.4</v>
      </c>
      <c r="I1036" s="3">
        <v>1324.61</v>
      </c>
      <c r="J1036" s="3">
        <v>1500</v>
      </c>
      <c r="K1036" s="3">
        <v>1186</v>
      </c>
      <c r="L1036" s="2">
        <v>24221853</v>
      </c>
      <c r="M1036" s="2">
        <v>32084516054.799999</v>
      </c>
      <c r="N1036" s="2">
        <v>368806</v>
      </c>
      <c r="O1036" t="s">
        <v>20</v>
      </c>
    </row>
    <row r="1037" spans="1:15" x14ac:dyDescent="0.3">
      <c r="A1037" s="1">
        <v>45965</v>
      </c>
      <c r="B1037" t="s">
        <v>15</v>
      </c>
      <c r="C1037" s="3">
        <v>1342.6</v>
      </c>
      <c r="D1037" s="3">
        <v>1349.8</v>
      </c>
      <c r="E1037" s="3">
        <v>1333.2</v>
      </c>
      <c r="F1037" s="3">
        <v>1346.4</v>
      </c>
      <c r="G1037" s="3">
        <v>1336.9</v>
      </c>
      <c r="H1037" s="3">
        <v>1336.9</v>
      </c>
      <c r="I1037" s="3">
        <v>1337.49</v>
      </c>
      <c r="J1037" s="3">
        <v>1500</v>
      </c>
      <c r="K1037" s="3">
        <v>1186</v>
      </c>
      <c r="L1037" s="2">
        <v>15211183</v>
      </c>
      <c r="M1037" s="2">
        <v>20344838007</v>
      </c>
      <c r="N1037" s="2">
        <v>276007</v>
      </c>
      <c r="O1037" t="s">
        <v>20</v>
      </c>
    </row>
    <row r="1038" spans="1:15" x14ac:dyDescent="0.3">
      <c r="A1038" s="1">
        <v>45964</v>
      </c>
      <c r="B1038" t="s">
        <v>15</v>
      </c>
      <c r="C1038" s="3">
        <v>1340.5</v>
      </c>
      <c r="D1038" s="3">
        <v>1351.6</v>
      </c>
      <c r="E1038" s="3">
        <v>1337.9</v>
      </c>
      <c r="F1038" s="3">
        <v>1345.3</v>
      </c>
      <c r="G1038" s="3">
        <v>1349</v>
      </c>
      <c r="H1038" s="3">
        <v>1346.4</v>
      </c>
      <c r="I1038" s="3">
        <v>1344.89</v>
      </c>
      <c r="J1038" s="3">
        <v>1500</v>
      </c>
      <c r="K1038" s="3">
        <v>1186</v>
      </c>
      <c r="L1038" s="2">
        <v>11071450</v>
      </c>
      <c r="M1038" s="2">
        <v>14889921391</v>
      </c>
      <c r="N1038" s="2">
        <v>301531</v>
      </c>
      <c r="O1038" t="s">
        <v>20</v>
      </c>
    </row>
    <row r="1039" spans="1:15" x14ac:dyDescent="0.3">
      <c r="A1039" s="1">
        <v>45961</v>
      </c>
      <c r="B1039" t="s">
        <v>15</v>
      </c>
      <c r="C1039" s="3">
        <v>1357</v>
      </c>
      <c r="D1039" s="3">
        <v>1362</v>
      </c>
      <c r="E1039" s="3">
        <v>1343.3</v>
      </c>
      <c r="F1039" s="3">
        <v>1362.4</v>
      </c>
      <c r="G1039" s="3">
        <v>1345.5</v>
      </c>
      <c r="H1039" s="3">
        <v>1345.3</v>
      </c>
      <c r="I1039" s="3">
        <v>1349.3</v>
      </c>
      <c r="J1039" s="3">
        <v>1500</v>
      </c>
      <c r="K1039" s="3">
        <v>1186</v>
      </c>
      <c r="L1039" s="2">
        <v>15926798</v>
      </c>
      <c r="M1039" s="2">
        <v>21489988727.799999</v>
      </c>
      <c r="N1039" s="2">
        <v>309384</v>
      </c>
      <c r="O1039" t="s">
        <v>20</v>
      </c>
    </row>
    <row r="1040" spans="1:15" x14ac:dyDescent="0.3">
      <c r="A1040" s="1">
        <v>45960</v>
      </c>
      <c r="B1040" t="s">
        <v>15</v>
      </c>
      <c r="C1040" s="3">
        <v>1362.4</v>
      </c>
      <c r="D1040" s="3">
        <v>1370.2</v>
      </c>
      <c r="E1040" s="3">
        <v>1361.3</v>
      </c>
      <c r="F1040" s="3">
        <v>1370.4</v>
      </c>
      <c r="G1040" s="3">
        <v>1362.4</v>
      </c>
      <c r="H1040" s="3">
        <v>1362.4</v>
      </c>
      <c r="I1040" s="3">
        <v>1364.23</v>
      </c>
      <c r="J1040" s="3">
        <v>1500</v>
      </c>
      <c r="K1040" s="3">
        <v>1186</v>
      </c>
      <c r="L1040" s="2">
        <v>9324401</v>
      </c>
      <c r="M1040" s="2">
        <v>12720637741.299999</v>
      </c>
      <c r="N1040" s="2">
        <v>301933</v>
      </c>
      <c r="O1040" t="s">
        <v>20</v>
      </c>
    </row>
    <row r="1041" spans="1:15" x14ac:dyDescent="0.3">
      <c r="A1041" s="1">
        <v>45959</v>
      </c>
      <c r="B1041" t="s">
        <v>15</v>
      </c>
      <c r="C1041" s="3">
        <v>1364.6</v>
      </c>
      <c r="D1041" s="3">
        <v>1371.7</v>
      </c>
      <c r="E1041" s="3">
        <v>1358.4</v>
      </c>
      <c r="F1041" s="3">
        <v>1363.1</v>
      </c>
      <c r="G1041" s="3">
        <v>1371.6</v>
      </c>
      <c r="H1041" s="3">
        <v>1370.4</v>
      </c>
      <c r="I1041" s="3">
        <v>1365.15</v>
      </c>
      <c r="J1041" s="3">
        <v>1500</v>
      </c>
      <c r="K1041" s="3">
        <v>1186</v>
      </c>
      <c r="L1041" s="2">
        <v>16129382</v>
      </c>
      <c r="M1041" s="2">
        <v>22019031340.900002</v>
      </c>
      <c r="N1041" s="2">
        <v>353776</v>
      </c>
      <c r="O1041" t="s">
        <v>20</v>
      </c>
    </row>
    <row r="1042" spans="1:15" x14ac:dyDescent="0.3">
      <c r="A1042" s="1">
        <v>45958</v>
      </c>
      <c r="B1042" t="s">
        <v>15</v>
      </c>
      <c r="C1042" s="3">
        <v>1373</v>
      </c>
      <c r="D1042" s="3">
        <v>1375.8</v>
      </c>
      <c r="E1042" s="3">
        <v>1356.2</v>
      </c>
      <c r="F1042" s="3">
        <v>1377.6</v>
      </c>
      <c r="G1042" s="3">
        <v>1366.2</v>
      </c>
      <c r="H1042" s="3">
        <v>1363.1</v>
      </c>
      <c r="I1042" s="3">
        <v>1361.81</v>
      </c>
      <c r="J1042" s="3">
        <v>1500</v>
      </c>
      <c r="K1042" s="3">
        <v>1186</v>
      </c>
      <c r="L1042" s="2">
        <v>26477914</v>
      </c>
      <c r="M1042" s="2">
        <v>36057949499.5</v>
      </c>
      <c r="N1042" s="2">
        <v>480704</v>
      </c>
      <c r="O1042" t="s">
        <v>20</v>
      </c>
    </row>
    <row r="1043" spans="1:15" x14ac:dyDescent="0.3">
      <c r="A1043" s="1">
        <v>45957</v>
      </c>
      <c r="B1043" t="s">
        <v>15</v>
      </c>
      <c r="C1043" s="3">
        <v>1382.1</v>
      </c>
      <c r="D1043" s="3">
        <v>1386.8</v>
      </c>
      <c r="E1043" s="3">
        <v>1374</v>
      </c>
      <c r="F1043" s="3">
        <v>1377.7</v>
      </c>
      <c r="G1043" s="3">
        <v>1379.6</v>
      </c>
      <c r="H1043" s="3">
        <v>1377.6</v>
      </c>
      <c r="I1043" s="3">
        <v>1379.13</v>
      </c>
      <c r="J1043" s="3">
        <v>1500</v>
      </c>
      <c r="K1043" s="3">
        <v>1186</v>
      </c>
      <c r="L1043" s="2">
        <v>11499836</v>
      </c>
      <c r="M1043" s="2">
        <v>15859716513.700001</v>
      </c>
      <c r="N1043" s="2">
        <v>296317</v>
      </c>
      <c r="O1043" t="s">
        <v>20</v>
      </c>
    </row>
    <row r="1044" spans="1:15" x14ac:dyDescent="0.3">
      <c r="A1044" s="1">
        <v>45954</v>
      </c>
      <c r="B1044" t="s">
        <v>15</v>
      </c>
      <c r="C1044" s="3">
        <v>1368.1</v>
      </c>
      <c r="D1044" s="3">
        <v>1381.6</v>
      </c>
      <c r="E1044" s="3">
        <v>1368.1</v>
      </c>
      <c r="F1044" s="3">
        <v>1363.7</v>
      </c>
      <c r="G1044" s="3">
        <v>1378</v>
      </c>
      <c r="H1044" s="3">
        <v>1377.7</v>
      </c>
      <c r="I1044" s="3">
        <v>1376.15</v>
      </c>
      <c r="J1044" s="3">
        <v>1500</v>
      </c>
      <c r="K1044" s="3">
        <v>1186</v>
      </c>
      <c r="L1044" s="2">
        <v>10570263</v>
      </c>
      <c r="M1044" s="2">
        <v>14546256446.299999</v>
      </c>
      <c r="N1044" s="2">
        <v>254633</v>
      </c>
      <c r="O1044" t="s">
        <v>20</v>
      </c>
    </row>
    <row r="1045" spans="1:15" x14ac:dyDescent="0.3">
      <c r="A1045" s="1">
        <v>45953</v>
      </c>
      <c r="B1045" t="s">
        <v>15</v>
      </c>
      <c r="C1045" s="3">
        <v>1385</v>
      </c>
      <c r="D1045" s="3">
        <v>1389.8</v>
      </c>
      <c r="E1045" s="3">
        <v>1360.1</v>
      </c>
      <c r="F1045" s="3">
        <v>1382</v>
      </c>
      <c r="G1045" s="3">
        <v>1364.3</v>
      </c>
      <c r="H1045" s="3">
        <v>1363.7</v>
      </c>
      <c r="I1045" s="3">
        <v>1375.57</v>
      </c>
      <c r="J1045" s="3">
        <v>1500</v>
      </c>
      <c r="K1045" s="3">
        <v>1186</v>
      </c>
      <c r="L1045" s="2">
        <v>21124942</v>
      </c>
      <c r="M1045" s="2">
        <v>29058772536.5</v>
      </c>
      <c r="N1045" s="2">
        <v>401439</v>
      </c>
      <c r="O1045" t="s">
        <v>20</v>
      </c>
    </row>
    <row r="1046" spans="1:15" x14ac:dyDescent="0.3">
      <c r="A1046" s="1">
        <v>45951</v>
      </c>
      <c r="B1046" t="s">
        <v>15</v>
      </c>
      <c r="C1046" s="3">
        <v>1384.5</v>
      </c>
      <c r="D1046" s="3">
        <v>1387.6</v>
      </c>
      <c r="E1046" s="3">
        <v>1375.9</v>
      </c>
      <c r="F1046" s="3">
        <v>1390.3</v>
      </c>
      <c r="G1046" s="3">
        <v>1381.3</v>
      </c>
      <c r="H1046" s="3">
        <v>1382</v>
      </c>
      <c r="I1046" s="3">
        <v>1383.19</v>
      </c>
      <c r="J1046" s="3">
        <v>1500</v>
      </c>
      <c r="K1046" s="3">
        <v>1186</v>
      </c>
      <c r="L1046" s="2">
        <v>3415560</v>
      </c>
      <c r="M1046" s="2">
        <v>4724355077.3999996</v>
      </c>
      <c r="N1046" s="2">
        <v>93955</v>
      </c>
      <c r="O1046" t="s">
        <v>20</v>
      </c>
    </row>
    <row r="1047" spans="1:15" x14ac:dyDescent="0.3">
      <c r="A1047" s="1">
        <v>45950</v>
      </c>
      <c r="B1047" t="s">
        <v>15</v>
      </c>
      <c r="C1047" s="3">
        <v>1442</v>
      </c>
      <c r="D1047" s="3">
        <v>1445</v>
      </c>
      <c r="E1047" s="3">
        <v>1389.2</v>
      </c>
      <c r="F1047" s="3">
        <v>1436.6</v>
      </c>
      <c r="G1047" s="3">
        <v>1393</v>
      </c>
      <c r="H1047" s="3">
        <v>1390.3</v>
      </c>
      <c r="I1047" s="3">
        <v>1401.64</v>
      </c>
      <c r="J1047" s="3">
        <v>1500</v>
      </c>
      <c r="K1047" s="3">
        <v>1186</v>
      </c>
      <c r="L1047" s="2">
        <v>23330227</v>
      </c>
      <c r="M1047" s="2">
        <v>32700479176.400002</v>
      </c>
      <c r="N1047" s="2">
        <v>670783</v>
      </c>
      <c r="O1047" t="s">
        <v>20</v>
      </c>
    </row>
    <row r="1048" spans="1:15" x14ac:dyDescent="0.3">
      <c r="A1048" s="1">
        <v>45947</v>
      </c>
      <c r="B1048" t="s">
        <v>15</v>
      </c>
      <c r="C1048" s="3">
        <v>1412</v>
      </c>
      <c r="D1048" s="3">
        <v>1439.6</v>
      </c>
      <c r="E1048" s="3">
        <v>1410.9</v>
      </c>
      <c r="F1048" s="3">
        <v>1417.3</v>
      </c>
      <c r="G1048" s="3">
        <v>1436.6</v>
      </c>
      <c r="H1048" s="3">
        <v>1436.6</v>
      </c>
      <c r="I1048" s="3">
        <v>1427.77</v>
      </c>
      <c r="J1048" s="3">
        <v>1500</v>
      </c>
      <c r="K1048" s="3">
        <v>1186</v>
      </c>
      <c r="L1048" s="2">
        <v>17037215</v>
      </c>
      <c r="M1048" s="2">
        <v>24325273729.900002</v>
      </c>
      <c r="N1048" s="2">
        <v>326926</v>
      </c>
      <c r="O1048" t="s">
        <v>20</v>
      </c>
    </row>
    <row r="1049" spans="1:15" x14ac:dyDescent="0.3">
      <c r="A1049" s="1">
        <v>45946</v>
      </c>
      <c r="B1049" t="s">
        <v>15</v>
      </c>
      <c r="C1049" s="3">
        <v>1401</v>
      </c>
      <c r="D1049" s="3">
        <v>1418.9</v>
      </c>
      <c r="E1049" s="3">
        <v>1399.4</v>
      </c>
      <c r="F1049" s="3">
        <v>1398.4</v>
      </c>
      <c r="G1049" s="3">
        <v>1417.4</v>
      </c>
      <c r="H1049" s="3">
        <v>1417.3</v>
      </c>
      <c r="I1049" s="3">
        <v>1412.88</v>
      </c>
      <c r="J1049" s="3">
        <v>1500</v>
      </c>
      <c r="K1049" s="3">
        <v>1186</v>
      </c>
      <c r="L1049" s="2">
        <v>12185032</v>
      </c>
      <c r="M1049" s="2">
        <v>17215999886.5</v>
      </c>
      <c r="N1049" s="2">
        <v>233599</v>
      </c>
      <c r="O1049" t="s">
        <v>20</v>
      </c>
    </row>
    <row r="1050" spans="1:15" x14ac:dyDescent="0.3">
      <c r="A1050" s="1">
        <v>45945</v>
      </c>
      <c r="B1050" t="s">
        <v>15</v>
      </c>
      <c r="C1050" s="3">
        <v>1386.5</v>
      </c>
      <c r="D1050" s="3">
        <v>1400.4</v>
      </c>
      <c r="E1050" s="3">
        <v>1385.5</v>
      </c>
      <c r="F1050" s="3">
        <v>1384.1</v>
      </c>
      <c r="G1050" s="3">
        <v>1399</v>
      </c>
      <c r="H1050" s="3">
        <v>1398.4</v>
      </c>
      <c r="I1050" s="3">
        <v>1394.81</v>
      </c>
      <c r="J1050" s="3">
        <v>1500</v>
      </c>
      <c r="K1050" s="3">
        <v>1186</v>
      </c>
      <c r="L1050" s="2">
        <v>8988550</v>
      </c>
      <c r="M1050" s="2">
        <v>12537342798.299999</v>
      </c>
      <c r="N1050" s="2">
        <v>244373</v>
      </c>
      <c r="O1050" t="s">
        <v>20</v>
      </c>
    </row>
    <row r="1051" spans="1:15" x14ac:dyDescent="0.3">
      <c r="A1051" s="1">
        <v>45944</v>
      </c>
      <c r="B1051" t="s">
        <v>15</v>
      </c>
      <c r="C1051" s="3">
        <v>1389</v>
      </c>
      <c r="D1051" s="3">
        <v>1389</v>
      </c>
      <c r="E1051" s="3">
        <v>1375.1</v>
      </c>
      <c r="F1051" s="3">
        <v>1379.4</v>
      </c>
      <c r="G1051" s="3">
        <v>1384.8</v>
      </c>
      <c r="H1051" s="3">
        <v>1384.1</v>
      </c>
      <c r="I1051" s="3">
        <v>1381.47</v>
      </c>
      <c r="J1051" s="3">
        <v>1500</v>
      </c>
      <c r="K1051" s="3">
        <v>1186</v>
      </c>
      <c r="L1051" s="2">
        <v>10610855</v>
      </c>
      <c r="M1051" s="2">
        <v>14658607710.700001</v>
      </c>
      <c r="N1051" s="2">
        <v>126104</v>
      </c>
      <c r="O1051" t="s">
        <v>20</v>
      </c>
    </row>
    <row r="1052" spans="1:15" x14ac:dyDescent="0.3">
      <c r="A1052" s="1">
        <v>45943</v>
      </c>
      <c r="B1052" t="s">
        <v>15</v>
      </c>
      <c r="C1052" s="3">
        <v>1373.1</v>
      </c>
      <c r="D1052" s="3">
        <v>1386.4</v>
      </c>
      <c r="E1052" s="3">
        <v>1373.1</v>
      </c>
      <c r="F1052" s="3">
        <v>1380.3</v>
      </c>
      <c r="G1052" s="3">
        <v>1381</v>
      </c>
      <c r="H1052" s="3">
        <v>1379.4</v>
      </c>
      <c r="I1052" s="3">
        <v>1379.11</v>
      </c>
      <c r="J1052" s="3">
        <v>1500</v>
      </c>
      <c r="K1052" s="3">
        <v>1186</v>
      </c>
      <c r="L1052" s="2">
        <v>8923018</v>
      </c>
      <c r="M1052" s="2">
        <v>12305847453.299999</v>
      </c>
      <c r="N1052" s="2">
        <v>295408</v>
      </c>
      <c r="O1052" t="s">
        <v>20</v>
      </c>
    </row>
    <row r="1053" spans="1:15" x14ac:dyDescent="0.3">
      <c r="A1053" s="1">
        <v>45940</v>
      </c>
      <c r="B1053" t="s">
        <v>15</v>
      </c>
      <c r="C1053" s="3">
        <v>1370.3</v>
      </c>
      <c r="D1053" s="3">
        <v>1385</v>
      </c>
      <c r="E1053" s="3">
        <v>1370.3</v>
      </c>
      <c r="F1053" s="3">
        <v>1376.2</v>
      </c>
      <c r="G1053" s="3">
        <v>1380.4</v>
      </c>
      <c r="H1053" s="3">
        <v>1380.3</v>
      </c>
      <c r="I1053" s="3">
        <v>1380.18</v>
      </c>
      <c r="J1053" s="3">
        <v>1500</v>
      </c>
      <c r="K1053" s="3">
        <v>1186</v>
      </c>
      <c r="L1053" s="2">
        <v>7673816</v>
      </c>
      <c r="M1053" s="2">
        <v>10591267726.700001</v>
      </c>
      <c r="N1053" s="2">
        <v>136734</v>
      </c>
      <c r="O1053" t="s">
        <v>20</v>
      </c>
    </row>
    <row r="1054" spans="1:15" x14ac:dyDescent="0.3">
      <c r="A1054" s="1">
        <v>45939</v>
      </c>
      <c r="B1054" t="s">
        <v>15</v>
      </c>
      <c r="C1054" s="3">
        <v>1369.8</v>
      </c>
      <c r="D1054" s="3">
        <v>1378.7</v>
      </c>
      <c r="E1054" s="3">
        <v>1365.1</v>
      </c>
      <c r="F1054" s="3">
        <v>1370.3</v>
      </c>
      <c r="G1054" s="3">
        <v>1374</v>
      </c>
      <c r="H1054" s="3">
        <v>1376.2</v>
      </c>
      <c r="I1054" s="3">
        <v>1374.5</v>
      </c>
      <c r="J1054" s="3">
        <v>1500</v>
      </c>
      <c r="K1054" s="3">
        <v>1186</v>
      </c>
      <c r="L1054" s="2">
        <v>7909575</v>
      </c>
      <c r="M1054" s="2">
        <v>10871677779.1</v>
      </c>
      <c r="N1054" s="2">
        <v>175558</v>
      </c>
      <c r="O1054" t="s">
        <v>20</v>
      </c>
    </row>
    <row r="1055" spans="1:15" x14ac:dyDescent="0.3">
      <c r="A1055" s="1">
        <v>45938</v>
      </c>
      <c r="B1055" t="s">
        <v>15</v>
      </c>
      <c r="C1055" s="3">
        <v>1372.3</v>
      </c>
      <c r="D1055" s="3">
        <v>1381.6</v>
      </c>
      <c r="E1055" s="3">
        <v>1364.3</v>
      </c>
      <c r="F1055" s="3">
        <v>1375.9</v>
      </c>
      <c r="G1055" s="3">
        <v>1367.8</v>
      </c>
      <c r="H1055" s="3">
        <v>1370.3</v>
      </c>
      <c r="I1055" s="3">
        <v>1372.13</v>
      </c>
      <c r="J1055" s="3">
        <v>1500</v>
      </c>
      <c r="K1055" s="3">
        <v>1186</v>
      </c>
      <c r="L1055" s="2">
        <v>8100832</v>
      </c>
      <c r="M1055" s="2">
        <v>11115359090.299999</v>
      </c>
      <c r="N1055" s="2">
        <v>176755</v>
      </c>
      <c r="O1055" t="s">
        <v>20</v>
      </c>
    </row>
    <row r="1056" spans="1:15" x14ac:dyDescent="0.3">
      <c r="A1056" s="1">
        <v>45937</v>
      </c>
      <c r="B1056" t="s">
        <v>15</v>
      </c>
      <c r="C1056" s="3">
        <v>1363.6</v>
      </c>
      <c r="D1056" s="3">
        <v>1383.1</v>
      </c>
      <c r="E1056" s="3">
        <v>1363.6</v>
      </c>
      <c r="F1056" s="3">
        <v>1363.4</v>
      </c>
      <c r="G1056" s="3">
        <v>1375</v>
      </c>
      <c r="H1056" s="3">
        <v>1375.9</v>
      </c>
      <c r="I1056" s="3">
        <v>1377.91</v>
      </c>
      <c r="J1056" s="3">
        <v>1500</v>
      </c>
      <c r="K1056" s="3">
        <v>1186</v>
      </c>
      <c r="L1056" s="2">
        <v>16126464</v>
      </c>
      <c r="M1056" s="2">
        <v>22220830751.099998</v>
      </c>
      <c r="N1056" s="2">
        <v>217688</v>
      </c>
      <c r="O1056" t="s">
        <v>20</v>
      </c>
    </row>
    <row r="1057" spans="1:15" x14ac:dyDescent="0.3">
      <c r="A1057" s="1">
        <v>45936</v>
      </c>
      <c r="B1057" t="s">
        <v>15</v>
      </c>
      <c r="C1057" s="3">
        <v>1371</v>
      </c>
      <c r="D1057" s="3">
        <v>1372.6</v>
      </c>
      <c r="E1057" s="3">
        <v>1359.1</v>
      </c>
      <c r="F1057" s="3">
        <v>1365.2</v>
      </c>
      <c r="G1057" s="3">
        <v>1363.9</v>
      </c>
      <c r="H1057" s="3">
        <v>1363.4</v>
      </c>
      <c r="I1057" s="3">
        <v>1364.15</v>
      </c>
      <c r="J1057" s="3">
        <v>1500</v>
      </c>
      <c r="K1057" s="3">
        <v>1186</v>
      </c>
      <c r="L1057" s="2">
        <v>14314283</v>
      </c>
      <c r="M1057" s="2">
        <v>19526828804.400002</v>
      </c>
      <c r="N1057" s="2">
        <v>200684</v>
      </c>
      <c r="O1057" t="s">
        <v>20</v>
      </c>
    </row>
    <row r="1058" spans="1:15" x14ac:dyDescent="0.3">
      <c r="A1058" s="1">
        <v>45933</v>
      </c>
      <c r="B1058" t="s">
        <v>15</v>
      </c>
      <c r="C1058" s="3">
        <v>1371.9</v>
      </c>
      <c r="D1058" s="3">
        <v>1371.9</v>
      </c>
      <c r="E1058" s="3">
        <v>1361.3</v>
      </c>
      <c r="F1058" s="3">
        <v>1372</v>
      </c>
      <c r="G1058" s="3">
        <v>1365</v>
      </c>
      <c r="H1058" s="3">
        <v>1365.2</v>
      </c>
      <c r="I1058" s="3">
        <v>1366.86</v>
      </c>
      <c r="J1058" s="3">
        <v>1500</v>
      </c>
      <c r="K1058" s="3">
        <v>1186</v>
      </c>
      <c r="L1058" s="2">
        <v>12163695</v>
      </c>
      <c r="M1058" s="2">
        <v>16626122666.1</v>
      </c>
      <c r="N1058" s="2">
        <v>192526</v>
      </c>
      <c r="O1058" t="s">
        <v>20</v>
      </c>
    </row>
    <row r="1059" spans="1:15" x14ac:dyDescent="0.3">
      <c r="A1059" s="1">
        <v>45931</v>
      </c>
      <c r="B1059" t="s">
        <v>15</v>
      </c>
      <c r="C1059" s="3">
        <v>1348</v>
      </c>
      <c r="D1059" s="3">
        <v>1379.4</v>
      </c>
      <c r="E1059" s="3">
        <v>1347.1</v>
      </c>
      <c r="F1059" s="3">
        <v>1348</v>
      </c>
      <c r="G1059" s="3">
        <v>1372</v>
      </c>
      <c r="H1059" s="3">
        <v>1372</v>
      </c>
      <c r="I1059" s="3">
        <v>1368.92</v>
      </c>
      <c r="J1059" s="3">
        <v>1500</v>
      </c>
      <c r="K1059" s="3">
        <v>1186</v>
      </c>
      <c r="L1059" s="2">
        <v>20952632</v>
      </c>
      <c r="M1059" s="2">
        <v>28682559363.900002</v>
      </c>
      <c r="N1059" s="2">
        <v>490279</v>
      </c>
      <c r="O1059" t="s">
        <v>20</v>
      </c>
    </row>
    <row r="1060" spans="1:15" x14ac:dyDescent="0.3">
      <c r="A1060" s="1">
        <v>45930</v>
      </c>
      <c r="B1060" t="s">
        <v>15</v>
      </c>
      <c r="C1060" s="3">
        <v>1353.7</v>
      </c>
      <c r="D1060" s="3">
        <v>1356.6</v>
      </c>
      <c r="E1060" s="3">
        <v>1342.6</v>
      </c>
      <c r="F1060" s="3">
        <v>1348.1</v>
      </c>
      <c r="G1060" s="3">
        <v>1348.9</v>
      </c>
      <c r="H1060" s="3">
        <v>1348</v>
      </c>
      <c r="I1060" s="3">
        <v>1349.21</v>
      </c>
      <c r="J1060" s="3">
        <v>1500</v>
      </c>
      <c r="K1060" s="3">
        <v>1186</v>
      </c>
      <c r="L1060" s="2">
        <v>20166871</v>
      </c>
      <c r="M1060" s="2">
        <v>27209326360.400002</v>
      </c>
      <c r="N1060" s="2">
        <v>214277</v>
      </c>
      <c r="O1060" t="s">
        <v>20</v>
      </c>
    </row>
    <row r="1061" spans="1:15" x14ac:dyDescent="0.3">
      <c r="A1061" s="1">
        <v>45929</v>
      </c>
      <c r="B1061" t="s">
        <v>15</v>
      </c>
      <c r="C1061" s="3">
        <v>1359.6</v>
      </c>
      <c r="D1061" s="3">
        <v>1366.5</v>
      </c>
      <c r="E1061" s="3">
        <v>1346.2</v>
      </c>
      <c r="F1061" s="3">
        <v>1359.6</v>
      </c>
      <c r="G1061" s="3">
        <v>1350</v>
      </c>
      <c r="H1061" s="3">
        <v>1348.1</v>
      </c>
      <c r="I1061" s="3">
        <v>1352.69</v>
      </c>
      <c r="J1061" s="3">
        <v>1500</v>
      </c>
      <c r="K1061" s="3">
        <v>1186</v>
      </c>
      <c r="L1061" s="2">
        <v>20563163</v>
      </c>
      <c r="M1061" s="2">
        <v>27815685218.200001</v>
      </c>
      <c r="N1061" s="2">
        <v>277001</v>
      </c>
      <c r="O1061" t="s">
        <v>20</v>
      </c>
    </row>
    <row r="1062" spans="1:15" x14ac:dyDescent="0.3">
      <c r="A1062" s="1">
        <v>45926</v>
      </c>
      <c r="B1062" t="s">
        <v>15</v>
      </c>
      <c r="C1062" s="3">
        <v>1368</v>
      </c>
      <c r="D1062" s="3">
        <v>1372.7</v>
      </c>
      <c r="E1062" s="3">
        <v>1357</v>
      </c>
      <c r="F1062" s="3">
        <v>1375.8</v>
      </c>
      <c r="G1062" s="3">
        <v>1362.5</v>
      </c>
      <c r="H1062" s="3">
        <v>1359.6</v>
      </c>
      <c r="I1062" s="3">
        <v>1363.33</v>
      </c>
      <c r="J1062" s="3">
        <v>1500</v>
      </c>
      <c r="K1062" s="3">
        <v>1186</v>
      </c>
      <c r="L1062" s="2">
        <v>18342280</v>
      </c>
      <c r="M1062" s="2">
        <v>25006644406.5</v>
      </c>
      <c r="N1062" s="2">
        <v>183369</v>
      </c>
      <c r="O1062" t="s">
        <v>20</v>
      </c>
    </row>
    <row r="1063" spans="1:15" x14ac:dyDescent="0.3">
      <c r="A1063" s="1">
        <v>45925</v>
      </c>
      <c r="B1063" t="s">
        <v>15</v>
      </c>
      <c r="C1063" s="3">
        <v>1377</v>
      </c>
      <c r="D1063" s="3">
        <v>1391.5</v>
      </c>
      <c r="E1063" s="3">
        <v>1371.8</v>
      </c>
      <c r="F1063" s="3">
        <v>1382.7</v>
      </c>
      <c r="G1063" s="3">
        <v>1373.7</v>
      </c>
      <c r="H1063" s="3">
        <v>1375.8</v>
      </c>
      <c r="I1063" s="3">
        <v>1378.32</v>
      </c>
      <c r="J1063" s="3">
        <v>1500</v>
      </c>
      <c r="K1063" s="3">
        <v>1186</v>
      </c>
      <c r="L1063" s="2">
        <v>21613389</v>
      </c>
      <c r="M1063" s="2">
        <v>29790090966.099998</v>
      </c>
      <c r="N1063" s="2">
        <v>196991</v>
      </c>
      <c r="O1063" t="s">
        <v>20</v>
      </c>
    </row>
    <row r="1064" spans="1:15" x14ac:dyDescent="0.3">
      <c r="A1064" s="1">
        <v>45924</v>
      </c>
      <c r="B1064" t="s">
        <v>15</v>
      </c>
      <c r="C1064" s="3">
        <v>1386.4</v>
      </c>
      <c r="D1064" s="3">
        <v>1390.9</v>
      </c>
      <c r="E1064" s="3">
        <v>1376.5</v>
      </c>
      <c r="F1064" s="3">
        <v>1394.3</v>
      </c>
      <c r="G1064" s="3">
        <v>1383</v>
      </c>
      <c r="H1064" s="3">
        <v>1382.7</v>
      </c>
      <c r="I1064" s="3">
        <v>1382.2</v>
      </c>
      <c r="J1064" s="3">
        <v>1500</v>
      </c>
      <c r="K1064" s="3">
        <v>1186</v>
      </c>
      <c r="L1064" s="2">
        <v>9735678</v>
      </c>
      <c r="M1064" s="2">
        <v>13456684266.1</v>
      </c>
      <c r="N1064" s="2">
        <v>210851</v>
      </c>
      <c r="O1064" t="s">
        <v>20</v>
      </c>
    </row>
    <row r="1065" spans="1:15" x14ac:dyDescent="0.3">
      <c r="A1065" s="1">
        <v>45923</v>
      </c>
      <c r="B1065" t="s">
        <v>15</v>
      </c>
      <c r="C1065" s="3">
        <v>1391</v>
      </c>
      <c r="D1065" s="3">
        <v>1403.3</v>
      </c>
      <c r="E1065" s="3">
        <v>1391</v>
      </c>
      <c r="F1065" s="3">
        <v>1401.5</v>
      </c>
      <c r="G1065" s="3">
        <v>1396.1</v>
      </c>
      <c r="H1065" s="3">
        <v>1394.3</v>
      </c>
      <c r="I1065" s="3">
        <v>1396.75</v>
      </c>
      <c r="J1065" s="3">
        <v>1500</v>
      </c>
      <c r="K1065" s="3">
        <v>1186</v>
      </c>
      <c r="L1065" s="2">
        <v>12827524</v>
      </c>
      <c r="M1065" s="2">
        <v>17916801862.900002</v>
      </c>
      <c r="N1065" s="2">
        <v>197247</v>
      </c>
      <c r="O1065" t="s">
        <v>20</v>
      </c>
    </row>
    <row r="1066" spans="1:15" x14ac:dyDescent="0.3">
      <c r="A1066" s="1">
        <v>45922</v>
      </c>
      <c r="B1066" t="s">
        <v>15</v>
      </c>
      <c r="C1066" s="3">
        <v>1403.9</v>
      </c>
      <c r="D1066" s="3">
        <v>1409.9</v>
      </c>
      <c r="E1066" s="3">
        <v>1397.2</v>
      </c>
      <c r="F1066" s="3">
        <v>1402.2</v>
      </c>
      <c r="G1066" s="3">
        <v>1402.2</v>
      </c>
      <c r="H1066" s="3">
        <v>1401.5</v>
      </c>
      <c r="I1066" s="3">
        <v>1403.29</v>
      </c>
      <c r="J1066" s="3">
        <v>1500</v>
      </c>
      <c r="K1066" s="3">
        <v>1186</v>
      </c>
      <c r="L1066" s="2">
        <v>8847948</v>
      </c>
      <c r="M1066" s="2">
        <v>12416209740.200001</v>
      </c>
      <c r="N1066" s="2">
        <v>113260</v>
      </c>
      <c r="O1066" t="s">
        <v>20</v>
      </c>
    </row>
    <row r="1067" spans="1:15" x14ac:dyDescent="0.3">
      <c r="A1067" s="1">
        <v>45919</v>
      </c>
      <c r="B1067" t="s">
        <v>15</v>
      </c>
      <c r="C1067" s="3">
        <v>1416.1</v>
      </c>
      <c r="D1067" s="3">
        <v>1418</v>
      </c>
      <c r="E1067" s="3">
        <v>1400.2</v>
      </c>
      <c r="F1067" s="3">
        <v>1421.7</v>
      </c>
      <c r="G1067" s="3">
        <v>1402.5</v>
      </c>
      <c r="H1067" s="3">
        <v>1402.2</v>
      </c>
      <c r="I1067" s="3">
        <v>1404.18</v>
      </c>
      <c r="J1067" s="3">
        <v>1500</v>
      </c>
      <c r="K1067" s="3">
        <v>1186</v>
      </c>
      <c r="L1067" s="2">
        <v>13457344</v>
      </c>
      <c r="M1067" s="2">
        <v>18896559650.799999</v>
      </c>
      <c r="N1067" s="2">
        <v>172737</v>
      </c>
      <c r="O1067" t="s">
        <v>20</v>
      </c>
    </row>
    <row r="1068" spans="1:15" x14ac:dyDescent="0.3">
      <c r="A1068" s="1">
        <v>45918</v>
      </c>
      <c r="B1068" t="s">
        <v>15</v>
      </c>
      <c r="C1068" s="3">
        <v>1431.1</v>
      </c>
      <c r="D1068" s="3">
        <v>1432.8</v>
      </c>
      <c r="E1068" s="3">
        <v>1415.3</v>
      </c>
      <c r="F1068" s="3">
        <v>1419.2</v>
      </c>
      <c r="G1068" s="3">
        <v>1423</v>
      </c>
      <c r="H1068" s="3">
        <v>1421.7</v>
      </c>
      <c r="I1068" s="3">
        <v>1422.48</v>
      </c>
      <c r="J1068" s="3">
        <v>1500</v>
      </c>
      <c r="K1068" s="3">
        <v>1186</v>
      </c>
      <c r="L1068" s="2">
        <v>8130537</v>
      </c>
      <c r="M1068" s="2">
        <v>11565563636.6</v>
      </c>
      <c r="N1068" s="2">
        <v>165955</v>
      </c>
      <c r="O1068" t="s">
        <v>20</v>
      </c>
    </row>
    <row r="1069" spans="1:15" x14ac:dyDescent="0.3">
      <c r="A1069" s="1">
        <v>45917</v>
      </c>
      <c r="B1069" t="s">
        <v>15</v>
      </c>
      <c r="C1069" s="3">
        <v>1420.1</v>
      </c>
      <c r="D1069" s="3">
        <v>1426.1</v>
      </c>
      <c r="E1069" s="3">
        <v>1416.4</v>
      </c>
      <c r="F1069" s="3">
        <v>1421.6</v>
      </c>
      <c r="G1069" s="3">
        <v>1417.2</v>
      </c>
      <c r="H1069" s="3">
        <v>1419.2</v>
      </c>
      <c r="I1069" s="3">
        <v>1420.85</v>
      </c>
      <c r="J1069" s="3">
        <v>1500</v>
      </c>
      <c r="K1069" s="3">
        <v>1186</v>
      </c>
      <c r="L1069" s="2">
        <v>7484283</v>
      </c>
      <c r="M1069" s="2">
        <v>10634007393.700001</v>
      </c>
      <c r="N1069" s="2">
        <v>131200</v>
      </c>
      <c r="O1069" t="s">
        <v>20</v>
      </c>
    </row>
    <row r="1070" spans="1:15" x14ac:dyDescent="0.3">
      <c r="A1070" s="1">
        <v>45916</v>
      </c>
      <c r="B1070" t="s">
        <v>15</v>
      </c>
      <c r="C1070" s="3">
        <v>1414</v>
      </c>
      <c r="D1070" s="3">
        <v>1424.9</v>
      </c>
      <c r="E1070" s="3">
        <v>1413.7</v>
      </c>
      <c r="F1070" s="3">
        <v>1419.4</v>
      </c>
      <c r="G1070" s="3">
        <v>1422.4</v>
      </c>
      <c r="H1070" s="3">
        <v>1421.6</v>
      </c>
      <c r="I1070" s="3">
        <v>1420.63</v>
      </c>
      <c r="J1070" s="3">
        <v>1500</v>
      </c>
      <c r="K1070" s="3">
        <v>1186</v>
      </c>
      <c r="L1070" s="2">
        <v>8213151</v>
      </c>
      <c r="M1070" s="2">
        <v>11667859743.799999</v>
      </c>
      <c r="N1070" s="2">
        <v>139536</v>
      </c>
      <c r="O1070" t="s">
        <v>20</v>
      </c>
    </row>
    <row r="1071" spans="1:15" x14ac:dyDescent="0.3">
      <c r="A1071" s="1">
        <v>45915</v>
      </c>
      <c r="B1071" t="s">
        <v>15</v>
      </c>
      <c r="C1071" s="3">
        <v>1422</v>
      </c>
      <c r="D1071" s="3">
        <v>1426.8</v>
      </c>
      <c r="E1071" s="3">
        <v>1416.3</v>
      </c>
      <c r="F1071" s="3">
        <v>1417.7</v>
      </c>
      <c r="G1071" s="3">
        <v>1418</v>
      </c>
      <c r="H1071" s="3">
        <v>1419.4</v>
      </c>
      <c r="I1071" s="3">
        <v>1421.99</v>
      </c>
      <c r="J1071" s="3">
        <v>1500</v>
      </c>
      <c r="K1071" s="3">
        <v>1186</v>
      </c>
      <c r="L1071" s="2">
        <v>5845637</v>
      </c>
      <c r="M1071" s="2">
        <v>8312411904.6000004</v>
      </c>
      <c r="N1071" s="2">
        <v>130816</v>
      </c>
      <c r="O1071" t="s">
        <v>20</v>
      </c>
    </row>
    <row r="1072" spans="1:15" x14ac:dyDescent="0.3">
      <c r="A1072" s="1">
        <v>45912</v>
      </c>
      <c r="B1072" t="s">
        <v>15</v>
      </c>
      <c r="C1072" s="3">
        <v>1405.1</v>
      </c>
      <c r="D1072" s="3">
        <v>1419.7</v>
      </c>
      <c r="E1072" s="3">
        <v>1400.1</v>
      </c>
      <c r="F1072" s="3">
        <v>1401.6</v>
      </c>
      <c r="G1072" s="3">
        <v>1417.5</v>
      </c>
      <c r="H1072" s="3">
        <v>1417.7</v>
      </c>
      <c r="I1072" s="3">
        <v>1412.86</v>
      </c>
      <c r="J1072" s="3">
        <v>1500</v>
      </c>
      <c r="K1072" s="3">
        <v>1186</v>
      </c>
      <c r="L1072" s="2">
        <v>7770038</v>
      </c>
      <c r="M1072" s="2">
        <v>10977991343.799999</v>
      </c>
      <c r="N1072" s="2">
        <v>165154</v>
      </c>
      <c r="O1072" t="s">
        <v>20</v>
      </c>
    </row>
    <row r="1073" spans="1:15" x14ac:dyDescent="0.3">
      <c r="A1073" s="1">
        <v>45911</v>
      </c>
      <c r="B1073" t="s">
        <v>15</v>
      </c>
      <c r="C1073" s="3">
        <v>1398</v>
      </c>
      <c r="D1073" s="3">
        <v>1408</v>
      </c>
      <c r="E1073" s="3">
        <v>1396</v>
      </c>
      <c r="F1073" s="3">
        <v>1403.9</v>
      </c>
      <c r="G1073" s="3">
        <v>1401.6</v>
      </c>
      <c r="H1073" s="3">
        <v>1401.6</v>
      </c>
      <c r="I1073" s="3">
        <v>1403.25</v>
      </c>
      <c r="J1073" s="3">
        <v>1500</v>
      </c>
      <c r="K1073" s="3">
        <v>1186</v>
      </c>
      <c r="L1073" s="2">
        <v>10192026</v>
      </c>
      <c r="M1073" s="2">
        <v>14301923215.799999</v>
      </c>
      <c r="N1073" s="2">
        <v>181447</v>
      </c>
      <c r="O1073" t="s">
        <v>20</v>
      </c>
    </row>
    <row r="1074" spans="1:15" x14ac:dyDescent="0.3">
      <c r="A1074" s="1">
        <v>45910</v>
      </c>
      <c r="B1074" t="s">
        <v>15</v>
      </c>
      <c r="C1074" s="3">
        <v>1410</v>
      </c>
      <c r="D1074" s="3">
        <v>1413.7</v>
      </c>
      <c r="E1074" s="3">
        <v>1402.1</v>
      </c>
      <c r="F1074" s="3">
        <v>1403.7</v>
      </c>
      <c r="G1074" s="3">
        <v>1403.3</v>
      </c>
      <c r="H1074" s="3">
        <v>1403.9</v>
      </c>
      <c r="I1074" s="3">
        <v>1407.17</v>
      </c>
      <c r="J1074" s="3">
        <v>1500</v>
      </c>
      <c r="K1074" s="3">
        <v>1186</v>
      </c>
      <c r="L1074" s="2">
        <v>7452347</v>
      </c>
      <c r="M1074" s="2">
        <v>10486722637.700001</v>
      </c>
      <c r="N1074" s="2">
        <v>216180</v>
      </c>
      <c r="O1074" t="s">
        <v>20</v>
      </c>
    </row>
    <row r="1075" spans="1:15" x14ac:dyDescent="0.3">
      <c r="A1075" s="1">
        <v>45909</v>
      </c>
      <c r="B1075" t="s">
        <v>15</v>
      </c>
      <c r="C1075" s="3">
        <v>1399</v>
      </c>
      <c r="D1075" s="3">
        <v>1407.5</v>
      </c>
      <c r="E1075" s="3">
        <v>1395.2</v>
      </c>
      <c r="F1075" s="3">
        <v>1402.7</v>
      </c>
      <c r="G1075" s="3">
        <v>1402.4</v>
      </c>
      <c r="H1075" s="3">
        <v>1403.7</v>
      </c>
      <c r="I1075" s="3">
        <v>1401.81</v>
      </c>
      <c r="J1075" s="3">
        <v>1500</v>
      </c>
      <c r="K1075" s="3">
        <v>1186</v>
      </c>
      <c r="L1075" s="2">
        <v>6470679</v>
      </c>
      <c r="M1075" s="2">
        <v>9070676168.8999996</v>
      </c>
      <c r="N1075" s="2">
        <v>129854</v>
      </c>
      <c r="O1075" t="s">
        <v>20</v>
      </c>
    </row>
    <row r="1076" spans="1:15" x14ac:dyDescent="0.3">
      <c r="A1076" s="1">
        <v>45908</v>
      </c>
      <c r="B1076" t="s">
        <v>15</v>
      </c>
      <c r="C1076" s="3">
        <v>1402.2</v>
      </c>
      <c r="D1076" s="3">
        <v>1410.6</v>
      </c>
      <c r="E1076" s="3">
        <v>1397.6</v>
      </c>
      <c r="F1076" s="3">
        <v>1402.8</v>
      </c>
      <c r="G1076" s="3">
        <v>1403</v>
      </c>
      <c r="H1076" s="3">
        <v>1402.7</v>
      </c>
      <c r="I1076" s="3">
        <v>1404.56</v>
      </c>
      <c r="J1076" s="3">
        <v>1500</v>
      </c>
      <c r="K1076" s="3">
        <v>1186</v>
      </c>
      <c r="L1076" s="2">
        <v>5880943</v>
      </c>
      <c r="M1076" s="2">
        <v>8260153082.3000002</v>
      </c>
      <c r="N1076" s="2">
        <v>133142</v>
      </c>
      <c r="O1076" t="s">
        <v>20</v>
      </c>
    </row>
    <row r="1077" spans="1:15" x14ac:dyDescent="0.3">
      <c r="A1077" s="1">
        <v>45905</v>
      </c>
      <c r="B1077" t="s">
        <v>15</v>
      </c>
      <c r="C1077" s="3">
        <v>1411</v>
      </c>
      <c r="D1077" s="3">
        <v>1411.5</v>
      </c>
      <c r="E1077" s="3">
        <v>1387.7</v>
      </c>
      <c r="F1077" s="3">
        <v>1405.5</v>
      </c>
      <c r="G1077" s="3">
        <v>1402.3</v>
      </c>
      <c r="H1077" s="3">
        <v>1402.8</v>
      </c>
      <c r="I1077" s="3">
        <v>1397.54</v>
      </c>
      <c r="J1077" s="3">
        <v>1500</v>
      </c>
      <c r="K1077" s="3">
        <v>1186</v>
      </c>
      <c r="L1077" s="2">
        <v>6621077</v>
      </c>
      <c r="M1077" s="2">
        <v>9253243890.2999992</v>
      </c>
      <c r="N1077" s="2">
        <v>129950</v>
      </c>
      <c r="O1077" t="s">
        <v>20</v>
      </c>
    </row>
    <row r="1078" spans="1:15" x14ac:dyDescent="0.3">
      <c r="A1078" s="1">
        <v>45904</v>
      </c>
      <c r="B1078" t="s">
        <v>15</v>
      </c>
      <c r="C1078" s="3">
        <v>1409.9</v>
      </c>
      <c r="D1078" s="3">
        <v>1415.1</v>
      </c>
      <c r="E1078" s="3">
        <v>1401.9</v>
      </c>
      <c r="F1078" s="3">
        <v>1397</v>
      </c>
      <c r="G1078" s="3">
        <v>1408</v>
      </c>
      <c r="H1078" s="3">
        <v>1405.5</v>
      </c>
      <c r="I1078" s="3">
        <v>1408.38</v>
      </c>
      <c r="J1078" s="3">
        <v>1500</v>
      </c>
      <c r="K1078" s="3">
        <v>1186</v>
      </c>
      <c r="L1078" s="2">
        <v>10564859</v>
      </c>
      <c r="M1078" s="2">
        <v>14879368496.700001</v>
      </c>
      <c r="N1078" s="2">
        <v>178722</v>
      </c>
      <c r="O1078" t="s">
        <v>20</v>
      </c>
    </row>
    <row r="1079" spans="1:15" x14ac:dyDescent="0.3">
      <c r="A1079" s="1">
        <v>45903</v>
      </c>
      <c r="B1079" t="s">
        <v>15</v>
      </c>
      <c r="C1079" s="3">
        <v>1389</v>
      </c>
      <c r="D1079" s="3">
        <v>1400</v>
      </c>
      <c r="E1079" s="3">
        <v>1384.2</v>
      </c>
      <c r="F1079" s="3">
        <v>1394.2</v>
      </c>
      <c r="G1079" s="3">
        <v>1396.6</v>
      </c>
      <c r="H1079" s="3">
        <v>1397</v>
      </c>
      <c r="I1079" s="3">
        <v>1392.24</v>
      </c>
      <c r="J1079" s="3">
        <v>1500</v>
      </c>
      <c r="K1079" s="3">
        <v>1186</v>
      </c>
      <c r="L1079" s="2">
        <v>9813382</v>
      </c>
      <c r="M1079" s="2">
        <v>13662618272.4</v>
      </c>
      <c r="N1079" s="2">
        <v>215122</v>
      </c>
      <c r="O1079" t="s">
        <v>20</v>
      </c>
    </row>
    <row r="1080" spans="1:15" x14ac:dyDescent="0.3">
      <c r="A1080" s="1">
        <v>45902</v>
      </c>
      <c r="B1080" t="s">
        <v>15</v>
      </c>
      <c r="C1080" s="3">
        <v>1413.9</v>
      </c>
      <c r="D1080" s="3">
        <v>1413.9</v>
      </c>
      <c r="E1080" s="3">
        <v>1390</v>
      </c>
      <c r="F1080" s="3">
        <v>1411</v>
      </c>
      <c r="G1080" s="3">
        <v>1391</v>
      </c>
      <c r="H1080" s="3">
        <v>1394.2</v>
      </c>
      <c r="I1080" s="3">
        <v>1401.96</v>
      </c>
      <c r="J1080" s="3">
        <v>1500</v>
      </c>
      <c r="K1080" s="3">
        <v>1186</v>
      </c>
      <c r="L1080" s="2">
        <v>7163073</v>
      </c>
      <c r="M1080" s="2">
        <v>10042341320.299999</v>
      </c>
      <c r="N1080" s="2">
        <v>207579</v>
      </c>
      <c r="O1080" t="s">
        <v>20</v>
      </c>
    </row>
    <row r="1081" spans="1:15" x14ac:dyDescent="0.3">
      <c r="A1081" s="1">
        <v>45901</v>
      </c>
      <c r="B1081" t="s">
        <v>15</v>
      </c>
      <c r="C1081" s="3">
        <v>1398.1</v>
      </c>
      <c r="D1081" s="3">
        <v>1412.4</v>
      </c>
      <c r="E1081" s="3">
        <v>1398.1</v>
      </c>
      <c r="F1081" s="3">
        <v>1397.8</v>
      </c>
      <c r="G1081" s="3">
        <v>1411</v>
      </c>
      <c r="H1081" s="3">
        <v>1411</v>
      </c>
      <c r="I1081" s="3">
        <v>1406.76</v>
      </c>
      <c r="J1081" s="3">
        <v>1500</v>
      </c>
      <c r="K1081" s="3">
        <v>1186</v>
      </c>
      <c r="L1081" s="2">
        <v>4927348</v>
      </c>
      <c r="M1081" s="2">
        <v>6931617328.6999998</v>
      </c>
      <c r="N1081" s="2">
        <v>137472</v>
      </c>
      <c r="O1081" t="s">
        <v>20</v>
      </c>
    </row>
    <row r="1082" spans="1:15" x14ac:dyDescent="0.3">
      <c r="A1082" s="1">
        <v>45898</v>
      </c>
      <c r="B1082" t="s">
        <v>15</v>
      </c>
      <c r="C1082" s="3">
        <v>1392.1</v>
      </c>
      <c r="D1082" s="3">
        <v>1405</v>
      </c>
      <c r="E1082" s="3">
        <v>1392.1</v>
      </c>
      <c r="F1082" s="3">
        <v>1399.1</v>
      </c>
      <c r="G1082" s="3">
        <v>1396.2</v>
      </c>
      <c r="H1082" s="3">
        <v>1397.8</v>
      </c>
      <c r="I1082" s="3">
        <v>1399.82</v>
      </c>
      <c r="J1082" s="3">
        <v>1500</v>
      </c>
      <c r="K1082" s="3">
        <v>1186</v>
      </c>
      <c r="L1082" s="2">
        <v>8519507</v>
      </c>
      <c r="M1082" s="2">
        <v>11925741661</v>
      </c>
      <c r="N1082" s="2">
        <v>183125</v>
      </c>
      <c r="O1082" t="s">
        <v>20</v>
      </c>
    </row>
    <row r="1083" spans="1:15" x14ac:dyDescent="0.3">
      <c r="A1083" s="1">
        <v>45897</v>
      </c>
      <c r="B1083" t="s">
        <v>15</v>
      </c>
      <c r="C1083" s="3">
        <v>1408</v>
      </c>
      <c r="D1083" s="3">
        <v>1411.8</v>
      </c>
      <c r="E1083" s="3">
        <v>1396.3</v>
      </c>
      <c r="F1083" s="3">
        <v>1416.6</v>
      </c>
      <c r="G1083" s="3">
        <v>1397.6</v>
      </c>
      <c r="H1083" s="3">
        <v>1399.1</v>
      </c>
      <c r="I1083" s="3">
        <v>1403.02</v>
      </c>
      <c r="J1083" s="3">
        <v>1500</v>
      </c>
      <c r="K1083" s="3">
        <v>1186</v>
      </c>
      <c r="L1083" s="2">
        <v>12990789</v>
      </c>
      <c r="M1083" s="2">
        <v>18226341926.400002</v>
      </c>
      <c r="N1083" s="2">
        <v>241173</v>
      </c>
      <c r="O1083" t="s">
        <v>20</v>
      </c>
    </row>
    <row r="1084" spans="1:15" x14ac:dyDescent="0.3">
      <c r="A1084" s="1">
        <v>45895</v>
      </c>
      <c r="B1084" t="s">
        <v>15</v>
      </c>
      <c r="C1084" s="3">
        <v>1427.9</v>
      </c>
      <c r="D1084" s="3">
        <v>1427.9</v>
      </c>
      <c r="E1084" s="3">
        <v>1413.1</v>
      </c>
      <c r="F1084" s="3">
        <v>1433.2</v>
      </c>
      <c r="G1084" s="3">
        <v>1415</v>
      </c>
      <c r="H1084" s="3">
        <v>1416.6</v>
      </c>
      <c r="I1084" s="3">
        <v>1417.47</v>
      </c>
      <c r="J1084" s="3">
        <v>1500</v>
      </c>
      <c r="K1084" s="3">
        <v>1186</v>
      </c>
      <c r="L1084" s="2">
        <v>8720155</v>
      </c>
      <c r="M1084" s="2">
        <v>12360595794</v>
      </c>
      <c r="N1084" s="2">
        <v>201100</v>
      </c>
      <c r="O1084" t="s">
        <v>20</v>
      </c>
    </row>
    <row r="1085" spans="1:15" x14ac:dyDescent="0.3">
      <c r="A1085" s="1">
        <v>45894</v>
      </c>
      <c r="B1085" t="s">
        <v>15</v>
      </c>
      <c r="C1085" s="3">
        <v>1435.9</v>
      </c>
      <c r="D1085" s="3">
        <v>1435.9</v>
      </c>
      <c r="E1085" s="3">
        <v>1424</v>
      </c>
      <c r="F1085" s="3">
        <v>1436.4</v>
      </c>
      <c r="G1085" s="3">
        <v>1430.9</v>
      </c>
      <c r="H1085" s="3">
        <v>1433.2</v>
      </c>
      <c r="I1085" s="3">
        <v>1430.14</v>
      </c>
      <c r="J1085" s="3">
        <v>1500</v>
      </c>
      <c r="K1085" s="3">
        <v>1186</v>
      </c>
      <c r="L1085" s="2">
        <v>6738427</v>
      </c>
      <c r="M1085" s="2">
        <v>9636918576</v>
      </c>
      <c r="N1085" s="2">
        <v>142654</v>
      </c>
      <c r="O1085" t="s">
        <v>20</v>
      </c>
    </row>
    <row r="1086" spans="1:15" x14ac:dyDescent="0.3">
      <c r="A1086" s="1">
        <v>45891</v>
      </c>
      <c r="B1086" t="s">
        <v>15</v>
      </c>
      <c r="C1086" s="3">
        <v>1444.3</v>
      </c>
      <c r="D1086" s="3">
        <v>1446</v>
      </c>
      <c r="E1086" s="3">
        <v>1429.4</v>
      </c>
      <c r="F1086" s="3">
        <v>1446</v>
      </c>
      <c r="G1086" s="3">
        <v>1435.9</v>
      </c>
      <c r="H1086" s="3">
        <v>1436.4</v>
      </c>
      <c r="I1086" s="3">
        <v>1436.69</v>
      </c>
      <c r="J1086" s="3">
        <v>1500</v>
      </c>
      <c r="K1086" s="3">
        <v>1165.0999999999999</v>
      </c>
      <c r="L1086" s="2">
        <v>6657207</v>
      </c>
      <c r="M1086" s="2">
        <v>9564347160.1000004</v>
      </c>
      <c r="N1086" s="2">
        <v>161483</v>
      </c>
      <c r="O1086" t="s">
        <v>20</v>
      </c>
    </row>
    <row r="1087" spans="1:15" x14ac:dyDescent="0.3">
      <c r="A1087" s="1">
        <v>45890</v>
      </c>
      <c r="B1087" t="s">
        <v>15</v>
      </c>
      <c r="C1087" s="3">
        <v>1440.1</v>
      </c>
      <c r="D1087" s="3">
        <v>1447.8</v>
      </c>
      <c r="E1087" s="3">
        <v>1436.4</v>
      </c>
      <c r="F1087" s="3">
        <v>1430.6</v>
      </c>
      <c r="G1087" s="3">
        <v>1444.7</v>
      </c>
      <c r="H1087" s="3">
        <v>1446</v>
      </c>
      <c r="I1087" s="3">
        <v>1442.76</v>
      </c>
      <c r="J1087" s="3">
        <v>1500</v>
      </c>
      <c r="K1087" s="3">
        <v>1165.0999999999999</v>
      </c>
      <c r="L1087" s="2">
        <v>6238645</v>
      </c>
      <c r="M1087" s="2">
        <v>9000876523.3999996</v>
      </c>
      <c r="N1087" s="2">
        <v>161682</v>
      </c>
      <c r="O1087" t="s">
        <v>20</v>
      </c>
    </row>
    <row r="1088" spans="1:15" x14ac:dyDescent="0.3">
      <c r="A1088" s="1">
        <v>45889</v>
      </c>
      <c r="B1088" t="s">
        <v>15</v>
      </c>
      <c r="C1088" s="3">
        <v>1432.6</v>
      </c>
      <c r="D1088" s="3">
        <v>1435.9</v>
      </c>
      <c r="E1088" s="3">
        <v>1423</v>
      </c>
      <c r="F1088" s="3">
        <v>1436.3</v>
      </c>
      <c r="G1088" s="3">
        <v>1430</v>
      </c>
      <c r="H1088" s="3">
        <v>1430.6</v>
      </c>
      <c r="I1088" s="3">
        <v>1429.9</v>
      </c>
      <c r="J1088" s="3">
        <v>1500</v>
      </c>
      <c r="K1088" s="3">
        <v>1165.0999999999999</v>
      </c>
      <c r="L1088" s="2">
        <v>5817858</v>
      </c>
      <c r="M1088" s="2">
        <v>8318955912.5</v>
      </c>
      <c r="N1088" s="2">
        <v>153109</v>
      </c>
      <c r="O1088" t="s">
        <v>20</v>
      </c>
    </row>
    <row r="1089" spans="1:15" x14ac:dyDescent="0.3">
      <c r="A1089" s="1">
        <v>45888</v>
      </c>
      <c r="B1089" t="s">
        <v>15</v>
      </c>
      <c r="C1089" s="3">
        <v>1431.1</v>
      </c>
      <c r="D1089" s="3">
        <v>1438.5</v>
      </c>
      <c r="E1089" s="3">
        <v>1426.3</v>
      </c>
      <c r="F1089" s="3">
        <v>1434.6</v>
      </c>
      <c r="G1089" s="3">
        <v>1436.9</v>
      </c>
      <c r="H1089" s="3">
        <v>1436.3</v>
      </c>
      <c r="I1089" s="3">
        <v>1434.78</v>
      </c>
      <c r="J1089" s="3">
        <v>1500</v>
      </c>
      <c r="K1089" s="3">
        <v>1165.0999999999999</v>
      </c>
      <c r="L1089" s="2">
        <v>6709554</v>
      </c>
      <c r="M1089" s="2">
        <v>9626706605.8999996</v>
      </c>
      <c r="N1089" s="2">
        <v>161273</v>
      </c>
      <c r="O1089" t="s">
        <v>20</v>
      </c>
    </row>
    <row r="1090" spans="1:15" x14ac:dyDescent="0.3">
      <c r="A1090" s="1">
        <v>45887</v>
      </c>
      <c r="B1090" t="s">
        <v>15</v>
      </c>
      <c r="C1090" s="3">
        <v>1450</v>
      </c>
      <c r="D1090" s="3">
        <v>1452.4</v>
      </c>
      <c r="E1090" s="3">
        <v>1431</v>
      </c>
      <c r="F1090" s="3">
        <v>1427.3</v>
      </c>
      <c r="G1090" s="3">
        <v>1436.3</v>
      </c>
      <c r="H1090" s="3">
        <v>1434.6</v>
      </c>
      <c r="I1090" s="3">
        <v>1440.6</v>
      </c>
      <c r="J1090" s="3">
        <v>1500</v>
      </c>
      <c r="K1090" s="3">
        <v>1165.0999999999999</v>
      </c>
      <c r="L1090" s="2">
        <v>6908844</v>
      </c>
      <c r="M1090" s="2">
        <v>9952855665.5</v>
      </c>
      <c r="N1090" s="2">
        <v>150892</v>
      </c>
      <c r="O1090" t="s">
        <v>20</v>
      </c>
    </row>
    <row r="1091" spans="1:15" x14ac:dyDescent="0.3">
      <c r="A1091" s="1">
        <v>45883</v>
      </c>
      <c r="B1091" t="s">
        <v>15</v>
      </c>
      <c r="C1091" s="3">
        <v>1412</v>
      </c>
      <c r="D1091" s="3">
        <v>1431.1</v>
      </c>
      <c r="E1091" s="3">
        <v>1412</v>
      </c>
      <c r="F1091" s="3">
        <v>1420.8</v>
      </c>
      <c r="G1091" s="3">
        <v>1427.6</v>
      </c>
      <c r="H1091" s="3">
        <v>1427.3</v>
      </c>
      <c r="I1091" s="3">
        <v>1426.41</v>
      </c>
      <c r="J1091" s="3">
        <v>1500</v>
      </c>
      <c r="K1091" s="3">
        <v>1153</v>
      </c>
      <c r="L1091" s="2">
        <v>7577793</v>
      </c>
      <c r="M1091" s="2">
        <v>10809059788.700001</v>
      </c>
      <c r="N1091" s="2">
        <v>146431</v>
      </c>
      <c r="O1091" t="s">
        <v>20</v>
      </c>
    </row>
    <row r="1092" spans="1:15" x14ac:dyDescent="0.3">
      <c r="A1092" s="1">
        <v>45882</v>
      </c>
      <c r="B1092" t="s">
        <v>15</v>
      </c>
      <c r="C1092" s="3">
        <v>1424.6</v>
      </c>
      <c r="D1092" s="3">
        <v>1427.7</v>
      </c>
      <c r="E1092" s="3">
        <v>1415.2</v>
      </c>
      <c r="F1092" s="3">
        <v>1422</v>
      </c>
      <c r="G1092" s="3">
        <v>1421.8</v>
      </c>
      <c r="H1092" s="3">
        <v>1420.8</v>
      </c>
      <c r="I1092" s="3">
        <v>1421.23</v>
      </c>
      <c r="J1092" s="3">
        <v>1500</v>
      </c>
      <c r="K1092" s="3">
        <v>1153</v>
      </c>
      <c r="L1092" s="2">
        <v>9009465</v>
      </c>
      <c r="M1092" s="2">
        <v>12804539647.1</v>
      </c>
      <c r="N1092" s="2">
        <v>158523</v>
      </c>
      <c r="O1092" t="s">
        <v>20</v>
      </c>
    </row>
    <row r="1093" spans="1:15" x14ac:dyDescent="0.3">
      <c r="A1093" s="1">
        <v>45881</v>
      </c>
      <c r="B1093" t="s">
        <v>15</v>
      </c>
      <c r="C1093" s="3">
        <v>1431</v>
      </c>
      <c r="D1093" s="3">
        <v>1433.8</v>
      </c>
      <c r="E1093" s="3">
        <v>1420.1</v>
      </c>
      <c r="F1093" s="3">
        <v>1436.6</v>
      </c>
      <c r="G1093" s="3">
        <v>1421.4</v>
      </c>
      <c r="H1093" s="3">
        <v>1422</v>
      </c>
      <c r="I1093" s="3">
        <v>1425.1</v>
      </c>
      <c r="J1093" s="3">
        <v>1500</v>
      </c>
      <c r="K1093" s="3">
        <v>1153</v>
      </c>
      <c r="L1093" s="2">
        <v>5913947</v>
      </c>
      <c r="M1093" s="2">
        <v>8427986637</v>
      </c>
      <c r="N1093" s="2">
        <v>199744</v>
      </c>
      <c r="O1093" t="s">
        <v>20</v>
      </c>
    </row>
    <row r="1094" spans="1:15" x14ac:dyDescent="0.3">
      <c r="A1094" s="1">
        <v>45880</v>
      </c>
      <c r="B1094" t="s">
        <v>15</v>
      </c>
      <c r="C1094" s="3">
        <v>1427.9</v>
      </c>
      <c r="D1094" s="3">
        <v>1438.4</v>
      </c>
      <c r="E1094" s="3">
        <v>1420.4</v>
      </c>
      <c r="F1094" s="3">
        <v>1435.9</v>
      </c>
      <c r="G1094" s="3">
        <v>1437.3</v>
      </c>
      <c r="H1094" s="3">
        <v>1436.6</v>
      </c>
      <c r="I1094" s="3">
        <v>1428.92</v>
      </c>
      <c r="J1094" s="3">
        <v>1500</v>
      </c>
      <c r="K1094" s="3">
        <v>1153</v>
      </c>
      <c r="L1094" s="2">
        <v>8492484</v>
      </c>
      <c r="M1094" s="2">
        <v>12135055891.299999</v>
      </c>
      <c r="N1094" s="2">
        <v>182653</v>
      </c>
      <c r="O1094" t="s">
        <v>20</v>
      </c>
    </row>
    <row r="1095" spans="1:15" x14ac:dyDescent="0.3">
      <c r="A1095" s="1">
        <v>45877</v>
      </c>
      <c r="B1095" t="s">
        <v>15</v>
      </c>
      <c r="C1095" s="3">
        <v>1445.9</v>
      </c>
      <c r="D1095" s="3">
        <v>1447.6</v>
      </c>
      <c r="E1095" s="3">
        <v>1432</v>
      </c>
      <c r="F1095" s="3">
        <v>1440.3</v>
      </c>
      <c r="G1095" s="3">
        <v>1432</v>
      </c>
      <c r="H1095" s="3">
        <v>1435.9</v>
      </c>
      <c r="I1095" s="3">
        <v>1436.99</v>
      </c>
      <c r="J1095" s="3">
        <v>1500</v>
      </c>
      <c r="K1095" s="3">
        <v>1153</v>
      </c>
      <c r="L1095" s="2">
        <v>5415511</v>
      </c>
      <c r="M1095" s="2">
        <v>7782061616.8999996</v>
      </c>
      <c r="N1095" s="2">
        <v>102913</v>
      </c>
      <c r="O1095" t="s">
        <v>20</v>
      </c>
    </row>
    <row r="1096" spans="1:15" x14ac:dyDescent="0.3">
      <c r="A1096" s="1">
        <v>45876</v>
      </c>
      <c r="B1096" t="s">
        <v>15</v>
      </c>
      <c r="C1096" s="3">
        <v>1441.1</v>
      </c>
      <c r="D1096" s="3">
        <v>1447.9</v>
      </c>
      <c r="E1096" s="3">
        <v>1429.1</v>
      </c>
      <c r="F1096" s="3">
        <v>1443.6</v>
      </c>
      <c r="G1096" s="3">
        <v>1441</v>
      </c>
      <c r="H1096" s="3">
        <v>1440.3</v>
      </c>
      <c r="I1096" s="3">
        <v>1435.71</v>
      </c>
      <c r="J1096" s="3">
        <v>1500</v>
      </c>
      <c r="K1096" s="3">
        <v>1153</v>
      </c>
      <c r="L1096" s="2">
        <v>7432535</v>
      </c>
      <c r="M1096" s="2">
        <v>10670930441.9</v>
      </c>
      <c r="N1096" s="2">
        <v>151043</v>
      </c>
      <c r="O1096" t="s">
        <v>20</v>
      </c>
    </row>
    <row r="1097" spans="1:15" x14ac:dyDescent="0.3">
      <c r="A1097" s="1">
        <v>45875</v>
      </c>
      <c r="B1097" t="s">
        <v>15</v>
      </c>
      <c r="C1097" s="3">
        <v>1442.3</v>
      </c>
      <c r="D1097" s="3">
        <v>1454</v>
      </c>
      <c r="E1097" s="3">
        <v>1441.6</v>
      </c>
      <c r="F1097" s="3">
        <v>1444.4</v>
      </c>
      <c r="G1097" s="3">
        <v>1443.5</v>
      </c>
      <c r="H1097" s="3">
        <v>1443.6</v>
      </c>
      <c r="I1097" s="3">
        <v>1446.52</v>
      </c>
      <c r="J1097" s="3">
        <v>1500</v>
      </c>
      <c r="K1097" s="3">
        <v>1153</v>
      </c>
      <c r="L1097" s="2">
        <v>7805252</v>
      </c>
      <c r="M1097" s="2">
        <v>11290438379.5</v>
      </c>
      <c r="N1097" s="2">
        <v>121663</v>
      </c>
      <c r="O1097" t="s">
        <v>20</v>
      </c>
    </row>
    <row r="1098" spans="1:15" x14ac:dyDescent="0.3">
      <c r="A1098" s="1">
        <v>45874</v>
      </c>
      <c r="B1098" t="s">
        <v>15</v>
      </c>
      <c r="C1098" s="3">
        <v>1453</v>
      </c>
      <c r="D1098" s="3">
        <v>1461.5</v>
      </c>
      <c r="E1098" s="3">
        <v>1441</v>
      </c>
      <c r="F1098" s="3">
        <v>1463.2</v>
      </c>
      <c r="G1098" s="3">
        <v>1445</v>
      </c>
      <c r="H1098" s="3">
        <v>1444.4</v>
      </c>
      <c r="I1098" s="3">
        <v>1445.77</v>
      </c>
      <c r="J1098" s="3">
        <v>1500</v>
      </c>
      <c r="K1098" s="3">
        <v>1153</v>
      </c>
      <c r="L1098" s="2">
        <v>14799343</v>
      </c>
      <c r="M1098" s="2">
        <v>21396397537.400002</v>
      </c>
      <c r="N1098" s="2">
        <v>156234</v>
      </c>
      <c r="O1098" t="s">
        <v>20</v>
      </c>
    </row>
    <row r="1099" spans="1:15" x14ac:dyDescent="0.3">
      <c r="A1099" s="1">
        <v>45873</v>
      </c>
      <c r="B1099" t="s">
        <v>15</v>
      </c>
      <c r="C1099" s="3">
        <v>1476.8</v>
      </c>
      <c r="D1099" s="3">
        <v>1478.8</v>
      </c>
      <c r="E1099" s="3">
        <v>1461.3</v>
      </c>
      <c r="F1099" s="3">
        <v>1471.6</v>
      </c>
      <c r="G1099" s="3">
        <v>1463.1</v>
      </c>
      <c r="H1099" s="3">
        <v>1463.2</v>
      </c>
      <c r="I1099" s="3">
        <v>1466.67</v>
      </c>
      <c r="J1099" s="3">
        <v>1500</v>
      </c>
      <c r="K1099" s="3">
        <v>1153</v>
      </c>
      <c r="L1099" s="2">
        <v>6140054</v>
      </c>
      <c r="M1099" s="2">
        <v>9005448862.6000004</v>
      </c>
      <c r="N1099" s="2">
        <v>135797</v>
      </c>
      <c r="O1099" t="s">
        <v>20</v>
      </c>
    </row>
    <row r="1100" spans="1:15" x14ac:dyDescent="0.3">
      <c r="A1100" s="1">
        <v>45870</v>
      </c>
      <c r="B1100" t="s">
        <v>15</v>
      </c>
      <c r="C1100" s="3">
        <v>1480.4</v>
      </c>
      <c r="D1100" s="3">
        <v>1485.1</v>
      </c>
      <c r="E1100" s="3">
        <v>1469.8</v>
      </c>
      <c r="F1100" s="3">
        <v>1481.4</v>
      </c>
      <c r="G1100" s="3">
        <v>1470.1</v>
      </c>
      <c r="H1100" s="3">
        <v>1471.6</v>
      </c>
      <c r="I1100" s="3">
        <v>1474.75</v>
      </c>
      <c r="J1100" s="3">
        <v>1500</v>
      </c>
      <c r="K1100" s="3">
        <v>1153</v>
      </c>
      <c r="L1100" s="2">
        <v>4416771</v>
      </c>
      <c r="M1100" s="2">
        <v>6513645513.8000002</v>
      </c>
      <c r="N1100" s="2">
        <v>142277</v>
      </c>
      <c r="O1100" t="s">
        <v>20</v>
      </c>
    </row>
    <row r="1101" spans="1:15" x14ac:dyDescent="0.3">
      <c r="A1101" s="1">
        <v>45869</v>
      </c>
      <c r="B1101" t="s">
        <v>15</v>
      </c>
      <c r="C1101" s="3">
        <v>1469.9</v>
      </c>
      <c r="D1101" s="3">
        <v>1494.5</v>
      </c>
      <c r="E1101" s="3">
        <v>1464</v>
      </c>
      <c r="F1101" s="3">
        <v>1482.4</v>
      </c>
      <c r="G1101" s="3">
        <v>1485.1</v>
      </c>
      <c r="H1101" s="3">
        <v>1481.4</v>
      </c>
      <c r="I1101" s="3">
        <v>1481.12</v>
      </c>
      <c r="J1101" s="3">
        <v>1500</v>
      </c>
      <c r="K1101" s="3">
        <v>1153</v>
      </c>
      <c r="L1101" s="2">
        <v>12406146</v>
      </c>
      <c r="M1101" s="2">
        <v>18375022495.400002</v>
      </c>
      <c r="N1101" s="2">
        <v>306162</v>
      </c>
      <c r="O1101" t="s">
        <v>20</v>
      </c>
    </row>
    <row r="1102" spans="1:15" x14ac:dyDescent="0.3">
      <c r="A1102" s="1">
        <v>45868</v>
      </c>
      <c r="B1102" t="s">
        <v>15</v>
      </c>
      <c r="C1102" s="3">
        <v>1487.7</v>
      </c>
      <c r="D1102" s="3">
        <v>1488.5</v>
      </c>
      <c r="E1102" s="3">
        <v>1477.3</v>
      </c>
      <c r="F1102" s="3">
        <v>1486.2</v>
      </c>
      <c r="G1102" s="3">
        <v>1480.1</v>
      </c>
      <c r="H1102" s="3">
        <v>1482.4</v>
      </c>
      <c r="I1102" s="3">
        <v>1483.4</v>
      </c>
      <c r="J1102" s="3">
        <v>1500</v>
      </c>
      <c r="K1102" s="3">
        <v>1153</v>
      </c>
      <c r="L1102" s="2">
        <v>7238625</v>
      </c>
      <c r="M1102" s="2">
        <v>10737774608</v>
      </c>
      <c r="N1102" s="2">
        <v>176359</v>
      </c>
      <c r="O1102" t="s">
        <v>20</v>
      </c>
    </row>
    <row r="1103" spans="1:15" x14ac:dyDescent="0.3">
      <c r="A1103" s="1">
        <v>45867</v>
      </c>
      <c r="B1103" t="s">
        <v>15</v>
      </c>
      <c r="C1103" s="3">
        <v>1479.9</v>
      </c>
      <c r="D1103" s="3">
        <v>1489.8</v>
      </c>
      <c r="E1103" s="3">
        <v>1475.4</v>
      </c>
      <c r="F1103" s="3">
        <v>1488.4</v>
      </c>
      <c r="G1103" s="3">
        <v>1484.9</v>
      </c>
      <c r="H1103" s="3">
        <v>1486.2</v>
      </c>
      <c r="I1103" s="3">
        <v>1483.47</v>
      </c>
      <c r="J1103" s="3">
        <v>1500</v>
      </c>
      <c r="K1103" s="3">
        <v>1153</v>
      </c>
      <c r="L1103" s="2">
        <v>9776027</v>
      </c>
      <c r="M1103" s="2">
        <v>14502489122.799999</v>
      </c>
      <c r="N1103" s="2">
        <v>230759</v>
      </c>
      <c r="O1103" t="s">
        <v>20</v>
      </c>
    </row>
    <row r="1104" spans="1:15" x14ac:dyDescent="0.3">
      <c r="A1104" s="1">
        <v>45866</v>
      </c>
      <c r="B1104" t="s">
        <v>15</v>
      </c>
      <c r="C1104" s="3">
        <v>1477.1</v>
      </c>
      <c r="D1104" s="3">
        <v>1493.8</v>
      </c>
      <c r="E1104" s="3">
        <v>1477.1</v>
      </c>
      <c r="F1104" s="3">
        <v>1477.1</v>
      </c>
      <c r="G1104" s="3">
        <v>1488</v>
      </c>
      <c r="H1104" s="3">
        <v>1488.4</v>
      </c>
      <c r="I1104" s="3">
        <v>1487.05</v>
      </c>
      <c r="J1104" s="3">
        <v>1500</v>
      </c>
      <c r="K1104" s="3">
        <v>1153</v>
      </c>
      <c r="L1104" s="2">
        <v>7507479</v>
      </c>
      <c r="M1104" s="2">
        <v>11164017329.700001</v>
      </c>
      <c r="N1104" s="2">
        <v>199416</v>
      </c>
      <c r="O1104" t="s">
        <v>20</v>
      </c>
    </row>
    <row r="1105" spans="1:15" x14ac:dyDescent="0.3">
      <c r="A1105" s="1">
        <v>45863</v>
      </c>
      <c r="B1105" t="s">
        <v>15</v>
      </c>
      <c r="C1105" s="3">
        <v>1500</v>
      </c>
      <c r="D1105" s="3">
        <v>1500</v>
      </c>
      <c r="E1105" s="3">
        <v>1473.6</v>
      </c>
      <c r="F1105" s="3">
        <v>1483.4</v>
      </c>
      <c r="G1105" s="3">
        <v>1477.9</v>
      </c>
      <c r="H1105" s="3">
        <v>1477.1</v>
      </c>
      <c r="I1105" s="3">
        <v>1481.47</v>
      </c>
      <c r="J1105" s="3">
        <v>1500</v>
      </c>
      <c r="K1105" s="3">
        <v>1153</v>
      </c>
      <c r="L1105" s="2">
        <v>8696077</v>
      </c>
      <c r="M1105" s="2">
        <v>12883011018.6</v>
      </c>
      <c r="N1105" s="2">
        <v>193064</v>
      </c>
      <c r="O1105" t="s">
        <v>20</v>
      </c>
    </row>
    <row r="1106" spans="1:15" x14ac:dyDescent="0.3">
      <c r="A1106" s="1">
        <v>45862</v>
      </c>
      <c r="B1106" t="s">
        <v>15</v>
      </c>
      <c r="C1106" s="3">
        <v>1487.7</v>
      </c>
      <c r="D1106" s="3">
        <v>1488.7</v>
      </c>
      <c r="E1106" s="3">
        <v>1478.1</v>
      </c>
      <c r="F1106" s="3">
        <v>1488.6</v>
      </c>
      <c r="G1106" s="3">
        <v>1480.9</v>
      </c>
      <c r="H1106" s="3">
        <v>1483.4</v>
      </c>
      <c r="I1106" s="3">
        <v>1484.44</v>
      </c>
      <c r="J1106" s="3">
        <v>1490</v>
      </c>
      <c r="K1106" s="3">
        <v>1153</v>
      </c>
      <c r="L1106" s="2">
        <v>6700578</v>
      </c>
      <c r="M1106" s="2">
        <v>9946614738.2999992</v>
      </c>
      <c r="N1106" s="2">
        <v>137503</v>
      </c>
      <c r="O1106" t="s">
        <v>20</v>
      </c>
    </row>
    <row r="1107" spans="1:15" x14ac:dyDescent="0.3">
      <c r="A1107" s="1">
        <v>45861</v>
      </c>
      <c r="B1107" t="s">
        <v>15</v>
      </c>
      <c r="C1107" s="3">
        <v>1482.9</v>
      </c>
      <c r="D1107" s="3">
        <v>1490</v>
      </c>
      <c r="E1107" s="3">
        <v>1472.6</v>
      </c>
      <c r="F1107" s="3">
        <v>1473.6</v>
      </c>
      <c r="G1107" s="3">
        <v>1486.6</v>
      </c>
      <c r="H1107" s="3">
        <v>1488.6</v>
      </c>
      <c r="I1107" s="3">
        <v>1483.02</v>
      </c>
      <c r="J1107" s="3">
        <v>1490</v>
      </c>
      <c r="K1107" s="3">
        <v>1153</v>
      </c>
      <c r="L1107" s="2">
        <v>11974174</v>
      </c>
      <c r="M1107" s="2">
        <v>17757890209.5</v>
      </c>
      <c r="N1107" s="2">
        <v>184240</v>
      </c>
      <c r="O1107" t="s">
        <v>20</v>
      </c>
    </row>
    <row r="1108" spans="1:15" x14ac:dyDescent="0.3">
      <c r="A1108" s="1">
        <v>45860</v>
      </c>
      <c r="B1108" t="s">
        <v>15</v>
      </c>
      <c r="C1108" s="3">
        <v>1474.1</v>
      </c>
      <c r="D1108" s="3">
        <v>1482</v>
      </c>
      <c r="E1108" s="3">
        <v>1469.7</v>
      </c>
      <c r="F1108" s="3">
        <v>1465.8</v>
      </c>
      <c r="G1108" s="3">
        <v>1471.6</v>
      </c>
      <c r="H1108" s="3">
        <v>1473.6</v>
      </c>
      <c r="I1108" s="3">
        <v>1474.9</v>
      </c>
      <c r="J1108" s="3">
        <v>1482</v>
      </c>
      <c r="K1108" s="3">
        <v>1153</v>
      </c>
      <c r="L1108" s="2">
        <v>8930165</v>
      </c>
      <c r="M1108" s="2">
        <v>13171093377.9</v>
      </c>
      <c r="N1108" s="2">
        <v>233507</v>
      </c>
      <c r="O1108" t="s">
        <v>20</v>
      </c>
    </row>
    <row r="1109" spans="1:15" x14ac:dyDescent="0.3">
      <c r="A1109" s="1">
        <v>45859</v>
      </c>
      <c r="B1109" t="s">
        <v>15</v>
      </c>
      <c r="C1109" s="3">
        <v>1448</v>
      </c>
      <c r="D1109" s="3">
        <v>1467.7</v>
      </c>
      <c r="E1109" s="3">
        <v>1437</v>
      </c>
      <c r="F1109" s="3">
        <v>1425.8</v>
      </c>
      <c r="G1109" s="3">
        <v>1464.5</v>
      </c>
      <c r="H1109" s="3">
        <v>1465.8</v>
      </c>
      <c r="I1109" s="3">
        <v>1457.79</v>
      </c>
      <c r="J1109" s="3">
        <v>1471.6</v>
      </c>
      <c r="K1109" s="3">
        <v>1153</v>
      </c>
      <c r="L1109" s="2">
        <v>13867136</v>
      </c>
      <c r="M1109" s="2">
        <v>20215422421.299999</v>
      </c>
      <c r="N1109" s="2">
        <v>232151</v>
      </c>
      <c r="O1109" t="s">
        <v>20</v>
      </c>
    </row>
    <row r="1110" spans="1:15" x14ac:dyDescent="0.3">
      <c r="A1110" s="1">
        <v>45856</v>
      </c>
      <c r="B1110" t="s">
        <v>15</v>
      </c>
      <c r="C1110" s="3">
        <v>1415.8</v>
      </c>
      <c r="D1110" s="3">
        <v>1429</v>
      </c>
      <c r="E1110" s="3">
        <v>1408.5</v>
      </c>
      <c r="F1110" s="3">
        <v>1418.7</v>
      </c>
      <c r="G1110" s="3">
        <v>1426.7</v>
      </c>
      <c r="H1110" s="3">
        <v>1425.8</v>
      </c>
      <c r="I1110" s="3">
        <v>1418.92</v>
      </c>
      <c r="J1110" s="3">
        <v>1471.6</v>
      </c>
      <c r="K1110" s="3">
        <v>1153</v>
      </c>
      <c r="L1110" s="2">
        <v>11297246</v>
      </c>
      <c r="M1110" s="2">
        <v>16029882215.200001</v>
      </c>
      <c r="N1110" s="2">
        <v>205005</v>
      </c>
      <c r="O1110" t="s">
        <v>20</v>
      </c>
    </row>
    <row r="1111" spans="1:15" x14ac:dyDescent="0.3">
      <c r="A1111" s="1">
        <v>45855</v>
      </c>
      <c r="B1111" t="s">
        <v>15</v>
      </c>
      <c r="C1111" s="3">
        <v>1421</v>
      </c>
      <c r="D1111" s="3">
        <v>1423.2</v>
      </c>
      <c r="E1111" s="3">
        <v>1409.5</v>
      </c>
      <c r="F1111" s="3">
        <v>1426.4</v>
      </c>
      <c r="G1111" s="3">
        <v>1418.4</v>
      </c>
      <c r="H1111" s="3">
        <v>1418.7</v>
      </c>
      <c r="I1111" s="3">
        <v>1416.65</v>
      </c>
      <c r="J1111" s="3">
        <v>1471.6</v>
      </c>
      <c r="K1111" s="3">
        <v>1153</v>
      </c>
      <c r="L1111" s="2">
        <v>12927394</v>
      </c>
      <c r="M1111" s="2">
        <v>18313603998.400002</v>
      </c>
      <c r="N1111" s="2">
        <v>234109</v>
      </c>
      <c r="O1111" t="s">
        <v>20</v>
      </c>
    </row>
    <row r="1112" spans="1:15" x14ac:dyDescent="0.3">
      <c r="A1112" s="1">
        <v>45854</v>
      </c>
      <c r="B1112" t="s">
        <v>15</v>
      </c>
      <c r="C1112" s="3">
        <v>1426</v>
      </c>
      <c r="D1112" s="3">
        <v>1429.2</v>
      </c>
      <c r="E1112" s="3">
        <v>1419.1</v>
      </c>
      <c r="F1112" s="3">
        <v>1430.8</v>
      </c>
      <c r="G1112" s="3">
        <v>1425.9</v>
      </c>
      <c r="H1112" s="3">
        <v>1426.4</v>
      </c>
      <c r="I1112" s="3">
        <v>1425.18</v>
      </c>
      <c r="J1112" s="3">
        <v>1471.6</v>
      </c>
      <c r="K1112" s="3">
        <v>1153</v>
      </c>
      <c r="L1112" s="2">
        <v>5649093</v>
      </c>
      <c r="M1112" s="2">
        <v>8050995851.3999996</v>
      </c>
      <c r="N1112" s="2">
        <v>121488</v>
      </c>
      <c r="O1112" t="s">
        <v>20</v>
      </c>
    </row>
    <row r="1113" spans="1:15" x14ac:dyDescent="0.3">
      <c r="A1113" s="1">
        <v>45853</v>
      </c>
      <c r="B1113" t="s">
        <v>15</v>
      </c>
      <c r="C1113" s="3">
        <v>1421.1</v>
      </c>
      <c r="D1113" s="3">
        <v>1433.8</v>
      </c>
      <c r="E1113" s="3">
        <v>1419</v>
      </c>
      <c r="F1113" s="3">
        <v>1423</v>
      </c>
      <c r="G1113" s="3">
        <v>1432</v>
      </c>
      <c r="H1113" s="3">
        <v>1430.8</v>
      </c>
      <c r="I1113" s="3">
        <v>1426.47</v>
      </c>
      <c r="J1113" s="3">
        <v>1471.6</v>
      </c>
      <c r="K1113" s="3">
        <v>1153</v>
      </c>
      <c r="L1113" s="2">
        <v>6041457</v>
      </c>
      <c r="M1113" s="2">
        <v>8617966324.8999996</v>
      </c>
      <c r="N1113" s="2">
        <v>175820</v>
      </c>
      <c r="O1113" t="s">
        <v>20</v>
      </c>
    </row>
    <row r="1114" spans="1:15" x14ac:dyDescent="0.3">
      <c r="A1114" s="1">
        <v>45852</v>
      </c>
      <c r="B1114" t="s">
        <v>15</v>
      </c>
      <c r="C1114" s="3">
        <v>1424.9</v>
      </c>
      <c r="D1114" s="3">
        <v>1424.9</v>
      </c>
      <c r="E1114" s="3">
        <v>1416.1</v>
      </c>
      <c r="F1114" s="3">
        <v>1421.9</v>
      </c>
      <c r="G1114" s="3">
        <v>1421.9</v>
      </c>
      <c r="H1114" s="3">
        <v>1423</v>
      </c>
      <c r="I1114" s="3">
        <v>1421.21</v>
      </c>
      <c r="J1114" s="3">
        <v>1471.6</v>
      </c>
      <c r="K1114" s="3">
        <v>1153</v>
      </c>
      <c r="L1114" s="2">
        <v>5846154</v>
      </c>
      <c r="M1114" s="2">
        <v>8308587601.3000002</v>
      </c>
      <c r="N1114" s="2">
        <v>113668</v>
      </c>
      <c r="O1114" t="s">
        <v>20</v>
      </c>
    </row>
    <row r="1115" spans="1:15" x14ac:dyDescent="0.3">
      <c r="A1115" s="1">
        <v>45849</v>
      </c>
      <c r="B1115" t="s">
        <v>15</v>
      </c>
      <c r="C1115" s="3">
        <v>1422</v>
      </c>
      <c r="D1115" s="3">
        <v>1428</v>
      </c>
      <c r="E1115" s="3">
        <v>1414.6</v>
      </c>
      <c r="F1115" s="3">
        <v>1424.1</v>
      </c>
      <c r="G1115" s="3">
        <v>1422</v>
      </c>
      <c r="H1115" s="3">
        <v>1421.9</v>
      </c>
      <c r="I1115" s="3">
        <v>1420.14</v>
      </c>
      <c r="J1115" s="3">
        <v>1471.6</v>
      </c>
      <c r="K1115" s="3">
        <v>1153</v>
      </c>
      <c r="L1115" s="2">
        <v>7158015</v>
      </c>
      <c r="M1115" s="2">
        <v>10165411225.4</v>
      </c>
      <c r="N1115" s="2">
        <v>154732</v>
      </c>
      <c r="O1115" t="s">
        <v>20</v>
      </c>
    </row>
    <row r="1116" spans="1:15" x14ac:dyDescent="0.3">
      <c r="A1116" s="1">
        <v>45848</v>
      </c>
      <c r="B1116" t="s">
        <v>15</v>
      </c>
      <c r="C1116" s="3">
        <v>1436.8</v>
      </c>
      <c r="D1116" s="3">
        <v>1439</v>
      </c>
      <c r="E1116" s="3">
        <v>1422.1</v>
      </c>
      <c r="F1116" s="3">
        <v>1431.9</v>
      </c>
      <c r="G1116" s="3">
        <v>1424</v>
      </c>
      <c r="H1116" s="3">
        <v>1424.1</v>
      </c>
      <c r="I1116" s="3">
        <v>1426.47</v>
      </c>
      <c r="J1116" s="3">
        <v>1471.6</v>
      </c>
      <c r="K1116" s="3">
        <v>1153</v>
      </c>
      <c r="L1116" s="2">
        <v>7795964</v>
      </c>
      <c r="M1116" s="2">
        <v>11120735791.1</v>
      </c>
      <c r="N1116" s="2">
        <v>158233</v>
      </c>
      <c r="O1116" t="s">
        <v>20</v>
      </c>
    </row>
    <row r="1117" spans="1:15" x14ac:dyDescent="0.3">
      <c r="A1117" s="1">
        <v>45847</v>
      </c>
      <c r="B1117" t="s">
        <v>15</v>
      </c>
      <c r="C1117" s="3">
        <v>1436.2</v>
      </c>
      <c r="D1117" s="3">
        <v>1438.7</v>
      </c>
      <c r="E1117" s="3">
        <v>1426.6</v>
      </c>
      <c r="F1117" s="3">
        <v>1442</v>
      </c>
      <c r="G1117" s="3">
        <v>1430.8</v>
      </c>
      <c r="H1117" s="3">
        <v>1431.9</v>
      </c>
      <c r="I1117" s="3">
        <v>1431.91</v>
      </c>
      <c r="J1117" s="3">
        <v>1471.6</v>
      </c>
      <c r="K1117" s="3">
        <v>1153</v>
      </c>
      <c r="L1117" s="2">
        <v>8827347</v>
      </c>
      <c r="M1117" s="2">
        <v>12639971093.5</v>
      </c>
      <c r="N1117" s="2">
        <v>120088</v>
      </c>
      <c r="O1117" t="s">
        <v>20</v>
      </c>
    </row>
    <row r="1118" spans="1:15" x14ac:dyDescent="0.3">
      <c r="A1118" s="1">
        <v>45846</v>
      </c>
      <c r="B1118" t="s">
        <v>15</v>
      </c>
      <c r="C1118" s="3">
        <v>1432</v>
      </c>
      <c r="D1118" s="3">
        <v>1445</v>
      </c>
      <c r="E1118" s="3">
        <v>1430</v>
      </c>
      <c r="F1118" s="3">
        <v>1435.7</v>
      </c>
      <c r="G1118" s="3">
        <v>1443</v>
      </c>
      <c r="H1118" s="3">
        <v>1442</v>
      </c>
      <c r="I1118" s="3">
        <v>1440.56</v>
      </c>
      <c r="J1118" s="3">
        <v>1471.6</v>
      </c>
      <c r="K1118" s="3">
        <v>1153</v>
      </c>
      <c r="L1118" s="2">
        <v>5315847</v>
      </c>
      <c r="M1118" s="2">
        <v>7657790478.1000004</v>
      </c>
      <c r="N1118" s="2">
        <v>123124</v>
      </c>
      <c r="O1118" t="s">
        <v>20</v>
      </c>
    </row>
    <row r="1119" spans="1:15" x14ac:dyDescent="0.3">
      <c r="A1119" s="1">
        <v>45845</v>
      </c>
      <c r="B1119" t="s">
        <v>15</v>
      </c>
      <c r="C1119" s="3">
        <v>1437</v>
      </c>
      <c r="D1119" s="3">
        <v>1440.9</v>
      </c>
      <c r="E1119" s="3">
        <v>1429.6</v>
      </c>
      <c r="F1119" s="3">
        <v>1442.8</v>
      </c>
      <c r="G1119" s="3">
        <v>1435.9</v>
      </c>
      <c r="H1119" s="3">
        <v>1435.7</v>
      </c>
      <c r="I1119" s="3">
        <v>1433.38</v>
      </c>
      <c r="J1119" s="3">
        <v>1471.6</v>
      </c>
      <c r="K1119" s="3">
        <v>1153</v>
      </c>
      <c r="L1119" s="2">
        <v>5177477</v>
      </c>
      <c r="M1119" s="2">
        <v>7421312203.1000004</v>
      </c>
      <c r="N1119" s="2">
        <v>127818</v>
      </c>
      <c r="O1119" t="s">
        <v>20</v>
      </c>
    </row>
    <row r="1120" spans="1:15" x14ac:dyDescent="0.3">
      <c r="A1120" s="1">
        <v>45842</v>
      </c>
      <c r="B1120" t="s">
        <v>15</v>
      </c>
      <c r="C1120" s="3">
        <v>1427</v>
      </c>
      <c r="D1120" s="3">
        <v>1444.4</v>
      </c>
      <c r="E1120" s="3">
        <v>1421.1</v>
      </c>
      <c r="F1120" s="3">
        <v>1425.9</v>
      </c>
      <c r="G1120" s="3">
        <v>1443</v>
      </c>
      <c r="H1120" s="3">
        <v>1442.8</v>
      </c>
      <c r="I1120" s="3">
        <v>1433.52</v>
      </c>
      <c r="J1120" s="3">
        <v>1471.6</v>
      </c>
      <c r="K1120" s="3">
        <v>1153</v>
      </c>
      <c r="L1120" s="2">
        <v>5066503</v>
      </c>
      <c r="M1120" s="2">
        <v>7262913585.5</v>
      </c>
      <c r="N1120" s="2">
        <v>127265</v>
      </c>
      <c r="O1120" t="s">
        <v>20</v>
      </c>
    </row>
    <row r="1121" spans="1:15" x14ac:dyDescent="0.3">
      <c r="A1121" s="1">
        <v>45841</v>
      </c>
      <c r="B1121" t="s">
        <v>15</v>
      </c>
      <c r="C1121" s="3">
        <v>1432.1</v>
      </c>
      <c r="D1121" s="3">
        <v>1446.1</v>
      </c>
      <c r="E1121" s="3">
        <v>1423.7</v>
      </c>
      <c r="F1121" s="3">
        <v>1427.8</v>
      </c>
      <c r="G1121" s="3">
        <v>1427</v>
      </c>
      <c r="H1121" s="3">
        <v>1425.9</v>
      </c>
      <c r="I1121" s="3">
        <v>1429.96</v>
      </c>
      <c r="J1121" s="3">
        <v>1471.6</v>
      </c>
      <c r="K1121" s="3">
        <v>1153</v>
      </c>
      <c r="L1121" s="2">
        <v>10177738</v>
      </c>
      <c r="M1121" s="2">
        <v>14553751194.799999</v>
      </c>
      <c r="N1121" s="2">
        <v>181095</v>
      </c>
      <c r="O1121" t="s">
        <v>20</v>
      </c>
    </row>
    <row r="1122" spans="1:15" x14ac:dyDescent="0.3">
      <c r="A1122" s="1">
        <v>45840</v>
      </c>
      <c r="B1122" t="s">
        <v>15</v>
      </c>
      <c r="C1122" s="3">
        <v>1432.2</v>
      </c>
      <c r="D1122" s="3">
        <v>1451</v>
      </c>
      <c r="E1122" s="3">
        <v>1422.6</v>
      </c>
      <c r="F1122" s="3">
        <v>1432</v>
      </c>
      <c r="G1122" s="3">
        <v>1427.8</v>
      </c>
      <c r="H1122" s="3">
        <v>1427.8</v>
      </c>
      <c r="I1122" s="3">
        <v>1430.58</v>
      </c>
      <c r="J1122" s="3">
        <v>1471.6</v>
      </c>
      <c r="K1122" s="3">
        <v>1153</v>
      </c>
      <c r="L1122" s="2">
        <v>13372280</v>
      </c>
      <c r="M1122" s="2">
        <v>19130157807.700001</v>
      </c>
      <c r="N1122" s="2">
        <v>213176</v>
      </c>
      <c r="O1122" t="s">
        <v>20</v>
      </c>
    </row>
    <row r="1123" spans="1:15" x14ac:dyDescent="0.3">
      <c r="A1123" s="1">
        <v>45839</v>
      </c>
      <c r="B1123" t="s">
        <v>15</v>
      </c>
      <c r="C1123" s="3">
        <v>1445.7</v>
      </c>
      <c r="D1123" s="3">
        <v>1447.6</v>
      </c>
      <c r="E1123" s="3">
        <v>1429.6</v>
      </c>
      <c r="F1123" s="3">
        <v>1445.8</v>
      </c>
      <c r="G1123" s="3">
        <v>1431.7</v>
      </c>
      <c r="H1123" s="3">
        <v>1432</v>
      </c>
      <c r="I1123" s="3">
        <v>1435.52</v>
      </c>
      <c r="J1123" s="3">
        <v>1471.6</v>
      </c>
      <c r="K1123" s="3">
        <v>1153</v>
      </c>
      <c r="L1123" s="2">
        <v>7761449</v>
      </c>
      <c r="M1123" s="2">
        <v>11141735649.700001</v>
      </c>
      <c r="N1123" s="2">
        <v>185345</v>
      </c>
      <c r="O1123" t="s">
        <v>20</v>
      </c>
    </row>
    <row r="1124" spans="1:15" x14ac:dyDescent="0.3">
      <c r="A1124" s="1">
        <v>45838</v>
      </c>
      <c r="B1124" t="s">
        <v>15</v>
      </c>
      <c r="C1124" s="3">
        <v>1461.8</v>
      </c>
      <c r="D1124" s="3">
        <v>1461.9</v>
      </c>
      <c r="E1124" s="3">
        <v>1442.3</v>
      </c>
      <c r="F1124" s="3">
        <v>1462.2</v>
      </c>
      <c r="G1124" s="3">
        <v>1449</v>
      </c>
      <c r="H1124" s="3">
        <v>1445.8</v>
      </c>
      <c r="I1124" s="3">
        <v>1449.97</v>
      </c>
      <c r="J1124" s="3">
        <v>1471.6</v>
      </c>
      <c r="K1124" s="3">
        <v>1153</v>
      </c>
      <c r="L1124" s="2">
        <v>6325073</v>
      </c>
      <c r="M1124" s="2">
        <v>9171182603.2000008</v>
      </c>
      <c r="N1124" s="2">
        <v>187773</v>
      </c>
      <c r="O1124" t="s">
        <v>20</v>
      </c>
    </row>
    <row r="1125" spans="1:15" x14ac:dyDescent="0.3">
      <c r="A1125" s="1">
        <v>45835</v>
      </c>
      <c r="B1125" t="s">
        <v>15</v>
      </c>
      <c r="C1125" s="3">
        <v>1438.9</v>
      </c>
      <c r="D1125" s="3">
        <v>1466</v>
      </c>
      <c r="E1125" s="3">
        <v>1437.1</v>
      </c>
      <c r="F1125" s="3">
        <v>1439.1</v>
      </c>
      <c r="G1125" s="3">
        <v>1457.9</v>
      </c>
      <c r="H1125" s="3">
        <v>1462.2</v>
      </c>
      <c r="I1125" s="3">
        <v>1457.56</v>
      </c>
      <c r="J1125" s="3">
        <v>1471.6</v>
      </c>
      <c r="K1125" s="3">
        <v>1152.6500000000001</v>
      </c>
      <c r="L1125" s="2">
        <v>22532899</v>
      </c>
      <c r="M1125" s="2">
        <v>32843085618.200001</v>
      </c>
      <c r="N1125" s="2">
        <v>217058</v>
      </c>
      <c r="O1125" t="s">
        <v>20</v>
      </c>
    </row>
    <row r="1126" spans="1:15" x14ac:dyDescent="0.3">
      <c r="A1126" s="1">
        <v>45834</v>
      </c>
      <c r="B1126" t="s">
        <v>15</v>
      </c>
      <c r="C1126" s="3">
        <v>1424.8</v>
      </c>
      <c r="D1126" s="3">
        <v>1447.5</v>
      </c>
      <c r="E1126" s="3">
        <v>1421.7</v>
      </c>
      <c r="F1126" s="3">
        <v>1425.8</v>
      </c>
      <c r="G1126" s="3">
        <v>1440</v>
      </c>
      <c r="H1126" s="3">
        <v>1439.1</v>
      </c>
      <c r="I1126" s="3">
        <v>1436.85</v>
      </c>
      <c r="J1126" s="3">
        <v>1471.6</v>
      </c>
      <c r="K1126" s="3">
        <v>1152.6500000000001</v>
      </c>
      <c r="L1126" s="2">
        <v>13617435</v>
      </c>
      <c r="M1126" s="2">
        <v>19566210028.900002</v>
      </c>
      <c r="N1126" s="2">
        <v>220490</v>
      </c>
      <c r="O1126" t="s">
        <v>20</v>
      </c>
    </row>
    <row r="1127" spans="1:15" x14ac:dyDescent="0.3">
      <c r="A1127" s="1">
        <v>45833</v>
      </c>
      <c r="B1127" t="s">
        <v>15</v>
      </c>
      <c r="C1127" s="3">
        <v>1422</v>
      </c>
      <c r="D1127" s="3">
        <v>1428.9</v>
      </c>
      <c r="E1127" s="3">
        <v>1415.3</v>
      </c>
      <c r="F1127" s="3">
        <v>1424.1</v>
      </c>
      <c r="G1127" s="3">
        <v>1424.5</v>
      </c>
      <c r="H1127" s="3">
        <v>1425.8</v>
      </c>
      <c r="I1127" s="3">
        <v>1423.08</v>
      </c>
      <c r="J1127" s="3">
        <v>1471.6</v>
      </c>
      <c r="K1127" s="3">
        <v>1152.6500000000001</v>
      </c>
      <c r="L1127" s="2">
        <v>7527388</v>
      </c>
      <c r="M1127" s="2">
        <v>10712047350.9</v>
      </c>
      <c r="N1127" s="2">
        <v>147548</v>
      </c>
      <c r="O1127" t="s">
        <v>20</v>
      </c>
    </row>
    <row r="1128" spans="1:15" x14ac:dyDescent="0.3">
      <c r="A1128" s="1">
        <v>45832</v>
      </c>
      <c r="B1128" t="s">
        <v>15</v>
      </c>
      <c r="C1128" s="3">
        <v>1427.7</v>
      </c>
      <c r="D1128" s="3">
        <v>1435.9</v>
      </c>
      <c r="E1128" s="3">
        <v>1416.5</v>
      </c>
      <c r="F1128" s="3">
        <v>1420.1</v>
      </c>
      <c r="G1128" s="3">
        <v>1424</v>
      </c>
      <c r="H1128" s="3">
        <v>1424.1</v>
      </c>
      <c r="I1128" s="3">
        <v>1425.61</v>
      </c>
      <c r="J1128" s="3">
        <v>1471.6</v>
      </c>
      <c r="K1128" s="3">
        <v>1152.6500000000001</v>
      </c>
      <c r="L1128" s="2">
        <v>11188438</v>
      </c>
      <c r="M1128" s="2">
        <v>15950352718.799999</v>
      </c>
      <c r="N1128" s="2">
        <v>188014</v>
      </c>
      <c r="O1128" t="s">
        <v>20</v>
      </c>
    </row>
    <row r="1129" spans="1:15" x14ac:dyDescent="0.3">
      <c r="A1129" s="1">
        <v>45831</v>
      </c>
      <c r="B1129" t="s">
        <v>15</v>
      </c>
      <c r="C1129" s="3">
        <v>1417</v>
      </c>
      <c r="D1129" s="3">
        <v>1423.2</v>
      </c>
      <c r="E1129" s="3">
        <v>1411.9</v>
      </c>
      <c r="F1129" s="3">
        <v>1427.1</v>
      </c>
      <c r="G1129" s="3">
        <v>1419.1</v>
      </c>
      <c r="H1129" s="3">
        <v>1420.1</v>
      </c>
      <c r="I1129" s="3">
        <v>1417.98</v>
      </c>
      <c r="J1129" s="3">
        <v>1471.6</v>
      </c>
      <c r="K1129" s="3">
        <v>1152.6500000000001</v>
      </c>
      <c r="L1129" s="2">
        <v>5514384</v>
      </c>
      <c r="M1129" s="2">
        <v>7819302210.1999998</v>
      </c>
      <c r="N1129" s="2">
        <v>160229</v>
      </c>
      <c r="O1129" t="s">
        <v>20</v>
      </c>
    </row>
    <row r="1130" spans="1:15" x14ac:dyDescent="0.3">
      <c r="A1130" s="1">
        <v>45828</v>
      </c>
      <c r="B1130" t="s">
        <v>15</v>
      </c>
      <c r="C1130" s="3">
        <v>1411.3</v>
      </c>
      <c r="D1130" s="3">
        <v>1433.3</v>
      </c>
      <c r="E1130" s="3">
        <v>1410.2</v>
      </c>
      <c r="F1130" s="3">
        <v>1411.3</v>
      </c>
      <c r="G1130" s="3">
        <v>1426.4</v>
      </c>
      <c r="H1130" s="3">
        <v>1427.1</v>
      </c>
      <c r="I1130" s="3">
        <v>1426.55</v>
      </c>
      <c r="J1130" s="3">
        <v>1471.6</v>
      </c>
      <c r="K1130" s="3">
        <v>1101.2</v>
      </c>
      <c r="L1130" s="2">
        <v>12408178</v>
      </c>
      <c r="M1130" s="2">
        <v>17700887653.799999</v>
      </c>
      <c r="N1130" s="2">
        <v>160865</v>
      </c>
      <c r="O1130" t="s">
        <v>20</v>
      </c>
    </row>
    <row r="1131" spans="1:15" x14ac:dyDescent="0.3">
      <c r="A1131" s="1">
        <v>45827</v>
      </c>
      <c r="B1131" t="s">
        <v>15</v>
      </c>
      <c r="C1131" s="3">
        <v>1408</v>
      </c>
      <c r="D1131" s="3">
        <v>1414.7</v>
      </c>
      <c r="E1131" s="3">
        <v>1404.7</v>
      </c>
      <c r="F1131" s="3">
        <v>1412.6</v>
      </c>
      <c r="G1131" s="3">
        <v>1410</v>
      </c>
      <c r="H1131" s="3">
        <v>1411.3</v>
      </c>
      <c r="I1131" s="3">
        <v>1409.62</v>
      </c>
      <c r="J1131" s="3">
        <v>1471.6</v>
      </c>
      <c r="K1131" s="3">
        <v>1101.2</v>
      </c>
      <c r="L1131" s="2">
        <v>8849883</v>
      </c>
      <c r="M1131" s="2">
        <v>12474998015.5</v>
      </c>
      <c r="N1131" s="2">
        <v>342983</v>
      </c>
      <c r="O1131" t="s">
        <v>20</v>
      </c>
    </row>
    <row r="1132" spans="1:15" x14ac:dyDescent="0.3">
      <c r="A1132" s="1">
        <v>45826</v>
      </c>
      <c r="B1132" t="s">
        <v>15</v>
      </c>
      <c r="C1132" s="3">
        <v>1417</v>
      </c>
      <c r="D1132" s="3">
        <v>1432</v>
      </c>
      <c r="E1132" s="3">
        <v>1410.2</v>
      </c>
      <c r="F1132" s="3">
        <v>1423.2</v>
      </c>
      <c r="G1132" s="3">
        <v>1413</v>
      </c>
      <c r="H1132" s="3">
        <v>1412.6</v>
      </c>
      <c r="I1132" s="3">
        <v>1415.55</v>
      </c>
      <c r="J1132" s="3">
        <v>1471.6</v>
      </c>
      <c r="K1132" s="3">
        <v>1101.2</v>
      </c>
      <c r="L1132" s="2">
        <v>6751745</v>
      </c>
      <c r="M1132" s="2">
        <v>9557444212.1000004</v>
      </c>
      <c r="N1132" s="2">
        <v>162388</v>
      </c>
      <c r="O1132" t="s">
        <v>20</v>
      </c>
    </row>
    <row r="1133" spans="1:15" x14ac:dyDescent="0.3">
      <c r="A1133" s="1">
        <v>45825</v>
      </c>
      <c r="B1133" t="s">
        <v>15</v>
      </c>
      <c r="C1133" s="3">
        <v>1426.9</v>
      </c>
      <c r="D1133" s="3">
        <v>1429.8</v>
      </c>
      <c r="E1133" s="3">
        <v>1417.8</v>
      </c>
      <c r="F1133" s="3">
        <v>1426.9</v>
      </c>
      <c r="G1133" s="3">
        <v>1422</v>
      </c>
      <c r="H1133" s="3">
        <v>1423.2</v>
      </c>
      <c r="I1133" s="3">
        <v>1423.27</v>
      </c>
      <c r="J1133" s="3">
        <v>1471.6</v>
      </c>
      <c r="K1133" s="3">
        <v>1101.2</v>
      </c>
      <c r="L1133" s="2">
        <v>6970098</v>
      </c>
      <c r="M1133" s="2">
        <v>9920298395</v>
      </c>
      <c r="N1133" s="2">
        <v>193761</v>
      </c>
      <c r="O1133" t="s">
        <v>20</v>
      </c>
    </row>
    <row r="1134" spans="1:15" x14ac:dyDescent="0.3">
      <c r="A1134" s="1">
        <v>45824</v>
      </c>
      <c r="B1134" t="s">
        <v>15</v>
      </c>
      <c r="C1134" s="3">
        <v>1416.6</v>
      </c>
      <c r="D1134" s="3">
        <v>1429</v>
      </c>
      <c r="E1134" s="3">
        <v>1414.2</v>
      </c>
      <c r="F1134" s="3">
        <v>1416.1</v>
      </c>
      <c r="G1134" s="3">
        <v>1427.9</v>
      </c>
      <c r="H1134" s="3">
        <v>1426.9</v>
      </c>
      <c r="I1134" s="3">
        <v>1423.44</v>
      </c>
      <c r="J1134" s="3">
        <v>1471.6</v>
      </c>
      <c r="K1134" s="3">
        <v>1101.2</v>
      </c>
      <c r="L1134" s="2">
        <v>5451137</v>
      </c>
      <c r="M1134" s="2">
        <v>7759340748.3999996</v>
      </c>
      <c r="N1134" s="2">
        <v>89237</v>
      </c>
      <c r="O1134" t="s">
        <v>20</v>
      </c>
    </row>
    <row r="1135" spans="1:15" x14ac:dyDescent="0.3">
      <c r="A1135" s="1">
        <v>45821</v>
      </c>
      <c r="B1135" t="s">
        <v>15</v>
      </c>
      <c r="C1135" s="3">
        <v>1403.6</v>
      </c>
      <c r="D1135" s="3">
        <v>1421.5</v>
      </c>
      <c r="E1135" s="3">
        <v>1403.6</v>
      </c>
      <c r="F1135" s="3">
        <v>1425.2</v>
      </c>
      <c r="G1135" s="3">
        <v>1417.7</v>
      </c>
      <c r="H1135" s="3">
        <v>1416.1</v>
      </c>
      <c r="I1135" s="3">
        <v>1413.67</v>
      </c>
      <c r="J1135" s="3">
        <v>1471.6</v>
      </c>
      <c r="K1135" s="3">
        <v>1099.45</v>
      </c>
      <c r="L1135" s="2">
        <v>7573103</v>
      </c>
      <c r="M1135" s="2">
        <v>10705843818.299999</v>
      </c>
      <c r="N1135" s="2">
        <v>188584</v>
      </c>
      <c r="O1135" t="s">
        <v>20</v>
      </c>
    </row>
    <row r="1136" spans="1:15" x14ac:dyDescent="0.3">
      <c r="A1136" s="1">
        <v>45820</v>
      </c>
      <c r="B1136" t="s">
        <v>15</v>
      </c>
      <c r="C1136" s="3">
        <v>1430.5</v>
      </c>
      <c r="D1136" s="3">
        <v>1436.5</v>
      </c>
      <c r="E1136" s="3">
        <v>1420</v>
      </c>
      <c r="F1136" s="3">
        <v>1431</v>
      </c>
      <c r="G1136" s="3">
        <v>1424.5</v>
      </c>
      <c r="H1136" s="3">
        <v>1425.2</v>
      </c>
      <c r="I1136" s="3">
        <v>1425.62</v>
      </c>
      <c r="J1136" s="3">
        <v>1471.6</v>
      </c>
      <c r="K1136" s="3">
        <v>1099.45</v>
      </c>
      <c r="L1136" s="2">
        <v>7953247</v>
      </c>
      <c r="M1136" s="2">
        <v>11338280353.6</v>
      </c>
      <c r="N1136" s="2">
        <v>184161</v>
      </c>
      <c r="O1136" t="s">
        <v>20</v>
      </c>
    </row>
    <row r="1137" spans="1:15" x14ac:dyDescent="0.3">
      <c r="A1137" s="1">
        <v>45819</v>
      </c>
      <c r="B1137" t="s">
        <v>15</v>
      </c>
      <c r="C1137" s="3">
        <v>1421.8</v>
      </c>
      <c r="D1137" s="3">
        <v>1434.5</v>
      </c>
      <c r="E1137" s="3">
        <v>1418.6</v>
      </c>
      <c r="F1137" s="3">
        <v>1422.9</v>
      </c>
      <c r="G1137" s="3">
        <v>1430.3</v>
      </c>
      <c r="H1137" s="3">
        <v>1431</v>
      </c>
      <c r="I1137" s="3">
        <v>1430.07</v>
      </c>
      <c r="J1137" s="3">
        <v>1471.6</v>
      </c>
      <c r="K1137" s="3">
        <v>1099.45</v>
      </c>
      <c r="L1137" s="2">
        <v>7136877</v>
      </c>
      <c r="M1137" s="2">
        <v>10206208002.700001</v>
      </c>
      <c r="N1137" s="2">
        <v>234139</v>
      </c>
      <c r="O1137" t="s">
        <v>20</v>
      </c>
    </row>
    <row r="1138" spans="1:15" x14ac:dyDescent="0.3">
      <c r="A1138" s="1">
        <v>45818</v>
      </c>
      <c r="B1138" t="s">
        <v>15</v>
      </c>
      <c r="C1138" s="3">
        <v>1439</v>
      </c>
      <c r="D1138" s="3">
        <v>1441.7</v>
      </c>
      <c r="E1138" s="3">
        <v>1416.5</v>
      </c>
      <c r="F1138" s="3">
        <v>1434.8</v>
      </c>
      <c r="G1138" s="3">
        <v>1421.8</v>
      </c>
      <c r="H1138" s="3">
        <v>1422.9</v>
      </c>
      <c r="I1138" s="3">
        <v>1422.89</v>
      </c>
      <c r="J1138" s="3">
        <v>1471.6</v>
      </c>
      <c r="K1138" s="3">
        <v>1099.45</v>
      </c>
      <c r="L1138" s="2">
        <v>12905272</v>
      </c>
      <c r="M1138" s="2">
        <v>18362844057.099998</v>
      </c>
      <c r="N1138" s="2">
        <v>376346</v>
      </c>
      <c r="O1138" t="s">
        <v>20</v>
      </c>
    </row>
    <row r="1139" spans="1:15" x14ac:dyDescent="0.3">
      <c r="A1139" s="1">
        <v>45817</v>
      </c>
      <c r="B1139" t="s">
        <v>15</v>
      </c>
      <c r="C1139" s="3">
        <v>1465</v>
      </c>
      <c r="D1139" s="3">
        <v>1466.8</v>
      </c>
      <c r="E1139" s="3">
        <v>1433.4</v>
      </c>
      <c r="F1139" s="3">
        <v>1459.7</v>
      </c>
      <c r="G1139" s="3">
        <v>1434.5</v>
      </c>
      <c r="H1139" s="3">
        <v>1434.8</v>
      </c>
      <c r="I1139" s="3">
        <v>1441.92</v>
      </c>
      <c r="J1139" s="3">
        <v>1471.6</v>
      </c>
      <c r="K1139" s="3">
        <v>1099.45</v>
      </c>
      <c r="L1139" s="2">
        <v>11022031</v>
      </c>
      <c r="M1139" s="2">
        <v>15892838386.700001</v>
      </c>
      <c r="N1139" s="2">
        <v>337749</v>
      </c>
      <c r="O1139" t="s">
        <v>20</v>
      </c>
    </row>
    <row r="1140" spans="1:15" x14ac:dyDescent="0.3">
      <c r="A1140" s="1">
        <v>45814</v>
      </c>
      <c r="B1140" t="s">
        <v>15</v>
      </c>
      <c r="C1140" s="3">
        <v>1448.6</v>
      </c>
      <c r="D1140" s="3">
        <v>1461.4</v>
      </c>
      <c r="E1140" s="3">
        <v>1442.1</v>
      </c>
      <c r="F1140" s="3">
        <v>1454.8</v>
      </c>
      <c r="G1140" s="3">
        <v>1460</v>
      </c>
      <c r="H1140" s="3">
        <v>1459.7</v>
      </c>
      <c r="I1140" s="3">
        <v>1455.63</v>
      </c>
      <c r="J1140" s="3">
        <v>1471.6</v>
      </c>
      <c r="K1140" s="3">
        <v>1051.05</v>
      </c>
      <c r="L1140" s="2">
        <v>11580994</v>
      </c>
      <c r="M1140" s="2">
        <v>16857621605.200001</v>
      </c>
      <c r="N1140" s="2">
        <v>215279</v>
      </c>
      <c r="O1140" t="s">
        <v>20</v>
      </c>
    </row>
    <row r="1141" spans="1:15" x14ac:dyDescent="0.3">
      <c r="A1141" s="1">
        <v>45813</v>
      </c>
      <c r="B1141" t="s">
        <v>15</v>
      </c>
      <c r="C1141" s="3">
        <v>1430.9</v>
      </c>
      <c r="D1141" s="3">
        <v>1459</v>
      </c>
      <c r="E1141" s="3">
        <v>1427.3</v>
      </c>
      <c r="F1141" s="3">
        <v>1431</v>
      </c>
      <c r="G1141" s="3">
        <v>1456.3</v>
      </c>
      <c r="H1141" s="3">
        <v>1454.8</v>
      </c>
      <c r="I1141" s="3">
        <v>1448.79</v>
      </c>
      <c r="J1141" s="3">
        <v>1471.6</v>
      </c>
      <c r="K1141" s="3">
        <v>1051.05</v>
      </c>
      <c r="L1141" s="2">
        <v>11385668</v>
      </c>
      <c r="M1141" s="2">
        <v>16495394104.4</v>
      </c>
      <c r="N1141" s="2">
        <v>176086</v>
      </c>
      <c r="O1141" t="s">
        <v>20</v>
      </c>
    </row>
    <row r="1142" spans="1:15" x14ac:dyDescent="0.3">
      <c r="A1142" s="1">
        <v>45812</v>
      </c>
      <c r="B1142" t="s">
        <v>15</v>
      </c>
      <c r="C1142" s="3">
        <v>1437.4</v>
      </c>
      <c r="D1142" s="3">
        <v>1440.1</v>
      </c>
      <c r="E1142" s="3">
        <v>1426.4</v>
      </c>
      <c r="F1142" s="3">
        <v>1437.9</v>
      </c>
      <c r="G1142" s="3">
        <v>1431.1</v>
      </c>
      <c r="H1142" s="3">
        <v>1431</v>
      </c>
      <c r="I1142" s="3">
        <v>1430.63</v>
      </c>
      <c r="J1142" s="3">
        <v>1471.6</v>
      </c>
      <c r="K1142" s="3">
        <v>1051.05</v>
      </c>
      <c r="L1142" s="2">
        <v>8025388</v>
      </c>
      <c r="M1142" s="2">
        <v>11481343481.9</v>
      </c>
      <c r="N1142" s="2">
        <v>147312</v>
      </c>
      <c r="O1142" t="s">
        <v>20</v>
      </c>
    </row>
    <row r="1143" spans="1:15" x14ac:dyDescent="0.3">
      <c r="A1143" s="1">
        <v>45811</v>
      </c>
      <c r="B1143" t="s">
        <v>15</v>
      </c>
      <c r="C1143" s="3">
        <v>1454.9</v>
      </c>
      <c r="D1143" s="3">
        <v>1455</v>
      </c>
      <c r="E1143" s="3">
        <v>1432</v>
      </c>
      <c r="F1143" s="3">
        <v>1450.5</v>
      </c>
      <c r="G1143" s="3">
        <v>1437</v>
      </c>
      <c r="H1143" s="3">
        <v>1437.9</v>
      </c>
      <c r="I1143" s="3">
        <v>1438.02</v>
      </c>
      <c r="J1143" s="3">
        <v>1471.6</v>
      </c>
      <c r="K1143" s="3">
        <v>1051.05</v>
      </c>
      <c r="L1143" s="2">
        <v>11167345</v>
      </c>
      <c r="M1143" s="2">
        <v>16058876541.299999</v>
      </c>
      <c r="N1143" s="2">
        <v>225871</v>
      </c>
      <c r="O1143" t="s">
        <v>20</v>
      </c>
    </row>
    <row r="1144" spans="1:15" x14ac:dyDescent="0.3">
      <c r="A1144" s="1">
        <v>45810</v>
      </c>
      <c r="B1144" t="s">
        <v>15</v>
      </c>
      <c r="C1144" s="3">
        <v>1442</v>
      </c>
      <c r="D1144" s="3">
        <v>1460</v>
      </c>
      <c r="E1144" s="3">
        <v>1432.8</v>
      </c>
      <c r="F1144" s="3">
        <v>1445.8</v>
      </c>
      <c r="G1144" s="3">
        <v>1447.7</v>
      </c>
      <c r="H1144" s="3">
        <v>1450.5</v>
      </c>
      <c r="I1144" s="3">
        <v>1442.4</v>
      </c>
      <c r="J1144" s="3">
        <v>1471.6</v>
      </c>
      <c r="K1144" s="3">
        <v>1051.05</v>
      </c>
      <c r="L1144" s="2">
        <v>9458990</v>
      </c>
      <c r="M1144" s="2">
        <v>13643623560.299999</v>
      </c>
      <c r="N1144" s="2">
        <v>178241</v>
      </c>
      <c r="O1144" t="s">
        <v>20</v>
      </c>
    </row>
    <row r="1145" spans="1:15" x14ac:dyDescent="0.3">
      <c r="A1145" s="1">
        <v>45807</v>
      </c>
      <c r="B1145" t="s">
        <v>15</v>
      </c>
      <c r="C1145" s="3">
        <v>1459.9</v>
      </c>
      <c r="D1145" s="3">
        <v>1460.9</v>
      </c>
      <c r="E1145" s="3">
        <v>1444.3</v>
      </c>
      <c r="F1145" s="3">
        <v>1456.5</v>
      </c>
      <c r="G1145" s="3">
        <v>1446.1</v>
      </c>
      <c r="H1145" s="3">
        <v>1445.8</v>
      </c>
      <c r="I1145" s="3">
        <v>1449.04</v>
      </c>
      <c r="J1145" s="3">
        <v>1471.6</v>
      </c>
      <c r="K1145" s="3">
        <v>1051.05</v>
      </c>
      <c r="L1145" s="2">
        <v>11803975</v>
      </c>
      <c r="M1145" s="2">
        <v>17104465533.299999</v>
      </c>
      <c r="N1145" s="2">
        <v>155611</v>
      </c>
      <c r="O1145" t="s">
        <v>20</v>
      </c>
    </row>
    <row r="1146" spans="1:15" x14ac:dyDescent="0.3">
      <c r="A1146" s="1">
        <v>45806</v>
      </c>
      <c r="B1146" t="s">
        <v>15</v>
      </c>
      <c r="C1146" s="3">
        <v>1456.6</v>
      </c>
      <c r="D1146" s="3">
        <v>1462.9</v>
      </c>
      <c r="E1146" s="3">
        <v>1445</v>
      </c>
      <c r="F1146" s="3">
        <v>1453.8</v>
      </c>
      <c r="G1146" s="3">
        <v>1461</v>
      </c>
      <c r="H1146" s="3">
        <v>1456.5</v>
      </c>
      <c r="I1146" s="3">
        <v>1452.26</v>
      </c>
      <c r="J1146" s="3">
        <v>1471.6</v>
      </c>
      <c r="K1146" s="3">
        <v>1051.05</v>
      </c>
      <c r="L1146" s="2">
        <v>15545514</v>
      </c>
      <c r="M1146" s="2">
        <v>22576188990.200001</v>
      </c>
      <c r="N1146" s="2">
        <v>210205</v>
      </c>
      <c r="O1146" t="s">
        <v>20</v>
      </c>
    </row>
    <row r="1147" spans="1:15" x14ac:dyDescent="0.3">
      <c r="A1147" s="1">
        <v>45805</v>
      </c>
      <c r="B1147" t="s">
        <v>15</v>
      </c>
      <c r="C1147" s="3">
        <v>1447.6</v>
      </c>
      <c r="D1147" s="3">
        <v>1458</v>
      </c>
      <c r="E1147" s="3">
        <v>1442.5</v>
      </c>
      <c r="F1147" s="3">
        <v>1446.4</v>
      </c>
      <c r="G1147" s="3">
        <v>1452.9</v>
      </c>
      <c r="H1147" s="3">
        <v>1453.8</v>
      </c>
      <c r="I1147" s="3">
        <v>1452.83</v>
      </c>
      <c r="J1147" s="3">
        <v>1471.6</v>
      </c>
      <c r="K1147" s="3">
        <v>1051.05</v>
      </c>
      <c r="L1147" s="2">
        <v>8618343</v>
      </c>
      <c r="M1147" s="2">
        <v>12521029815.6</v>
      </c>
      <c r="N1147" s="2">
        <v>135239</v>
      </c>
      <c r="O1147" t="s">
        <v>20</v>
      </c>
    </row>
    <row r="1148" spans="1:15" x14ac:dyDescent="0.3">
      <c r="A1148" s="1">
        <v>45804</v>
      </c>
      <c r="B1148" t="s">
        <v>15</v>
      </c>
      <c r="C1148" s="3">
        <v>1452.5</v>
      </c>
      <c r="D1148" s="3">
        <v>1463</v>
      </c>
      <c r="E1148" s="3">
        <v>1435.7</v>
      </c>
      <c r="F1148" s="3">
        <v>1460.6</v>
      </c>
      <c r="G1148" s="3">
        <v>1445.3</v>
      </c>
      <c r="H1148" s="3">
        <v>1446.4</v>
      </c>
      <c r="I1148" s="3">
        <v>1445.59</v>
      </c>
      <c r="J1148" s="3">
        <v>1471.6</v>
      </c>
      <c r="K1148" s="3">
        <v>1051.05</v>
      </c>
      <c r="L1148" s="2">
        <v>14842959</v>
      </c>
      <c r="M1148" s="2">
        <v>21456811800.599998</v>
      </c>
      <c r="N1148" s="2">
        <v>221484</v>
      </c>
      <c r="O1148" t="s">
        <v>20</v>
      </c>
    </row>
    <row r="1149" spans="1:15" x14ac:dyDescent="0.3">
      <c r="A1149" s="1">
        <v>45803</v>
      </c>
      <c r="B1149" t="s">
        <v>15</v>
      </c>
      <c r="C1149" s="3">
        <v>1458</v>
      </c>
      <c r="D1149" s="3">
        <v>1471.6</v>
      </c>
      <c r="E1149" s="3">
        <v>1455</v>
      </c>
      <c r="F1149" s="3">
        <v>1449.8</v>
      </c>
      <c r="G1149" s="3">
        <v>1460.5</v>
      </c>
      <c r="H1149" s="3">
        <v>1460.6</v>
      </c>
      <c r="I1149" s="3">
        <v>1460.94</v>
      </c>
      <c r="J1149" s="3">
        <v>1471.6</v>
      </c>
      <c r="K1149" s="3">
        <v>1051.05</v>
      </c>
      <c r="L1149" s="2">
        <v>5608725</v>
      </c>
      <c r="M1149" s="2">
        <v>8193994503.6999998</v>
      </c>
      <c r="N1149" s="2">
        <v>189038</v>
      </c>
      <c r="O1149" t="s">
        <v>20</v>
      </c>
    </row>
    <row r="1150" spans="1:15" x14ac:dyDescent="0.3">
      <c r="A1150" s="1">
        <v>45800</v>
      </c>
      <c r="B1150" t="s">
        <v>15</v>
      </c>
      <c r="C1150" s="3">
        <v>1442.2</v>
      </c>
      <c r="D1150" s="3">
        <v>1451.8</v>
      </c>
      <c r="E1150" s="3">
        <v>1434.4</v>
      </c>
      <c r="F1150" s="3">
        <v>1442.1</v>
      </c>
      <c r="G1150" s="3">
        <v>1450.5</v>
      </c>
      <c r="H1150" s="3">
        <v>1449.8</v>
      </c>
      <c r="I1150" s="3">
        <v>1446.83</v>
      </c>
      <c r="J1150" s="3">
        <v>1459.7</v>
      </c>
      <c r="K1150" s="3">
        <v>1051.05</v>
      </c>
      <c r="L1150" s="2">
        <v>5203706</v>
      </c>
      <c r="M1150" s="2">
        <v>7528852323.3000002</v>
      </c>
      <c r="N1150" s="2">
        <v>113699</v>
      </c>
      <c r="O1150" t="s">
        <v>20</v>
      </c>
    </row>
    <row r="1151" spans="1:15" x14ac:dyDescent="0.3">
      <c r="A1151" s="1">
        <v>45799</v>
      </c>
      <c r="B1151" t="s">
        <v>15</v>
      </c>
      <c r="C1151" s="3">
        <v>1441.1</v>
      </c>
      <c r="D1151" s="3">
        <v>1445.3</v>
      </c>
      <c r="E1151" s="3">
        <v>1427.8</v>
      </c>
      <c r="F1151" s="3">
        <v>1444.7</v>
      </c>
      <c r="G1151" s="3">
        <v>1440</v>
      </c>
      <c r="H1151" s="3">
        <v>1442.1</v>
      </c>
      <c r="I1151" s="3">
        <v>1435.62</v>
      </c>
      <c r="J1151" s="3">
        <v>1459.7</v>
      </c>
      <c r="K1151" s="3">
        <v>1051.05</v>
      </c>
      <c r="L1151" s="2">
        <v>7245933</v>
      </c>
      <c r="M1151" s="2">
        <v>10402374075.4</v>
      </c>
      <c r="N1151" s="2">
        <v>147665</v>
      </c>
      <c r="O1151" t="s">
        <v>20</v>
      </c>
    </row>
    <row r="1152" spans="1:15" x14ac:dyDescent="0.3">
      <c r="A1152" s="1">
        <v>45798</v>
      </c>
      <c r="B1152" t="s">
        <v>15</v>
      </c>
      <c r="C1152" s="3">
        <v>1442.9</v>
      </c>
      <c r="D1152" s="3">
        <v>1451.3</v>
      </c>
      <c r="E1152" s="3">
        <v>1438.5</v>
      </c>
      <c r="F1152" s="3">
        <v>1438.2</v>
      </c>
      <c r="G1152" s="3">
        <v>1445.4</v>
      </c>
      <c r="H1152" s="3">
        <v>1444.7</v>
      </c>
      <c r="I1152" s="3">
        <v>1445.11</v>
      </c>
      <c r="J1152" s="3">
        <v>1459.7</v>
      </c>
      <c r="K1152" s="3">
        <v>1051.05</v>
      </c>
      <c r="L1152" s="2">
        <v>5510460</v>
      </c>
      <c r="M1152" s="2">
        <v>7963242254.5</v>
      </c>
      <c r="N1152" s="2">
        <v>106396</v>
      </c>
      <c r="O1152" t="s">
        <v>20</v>
      </c>
    </row>
    <row r="1153" spans="1:15" x14ac:dyDescent="0.3">
      <c r="A1153" s="1">
        <v>45797</v>
      </c>
      <c r="B1153" t="s">
        <v>15</v>
      </c>
      <c r="C1153" s="3">
        <v>1450.2</v>
      </c>
      <c r="D1153" s="3">
        <v>1459</v>
      </c>
      <c r="E1153" s="3">
        <v>1435.5</v>
      </c>
      <c r="F1153" s="3">
        <v>1449</v>
      </c>
      <c r="G1153" s="3">
        <v>1439.5</v>
      </c>
      <c r="H1153" s="3">
        <v>1438.2</v>
      </c>
      <c r="I1153" s="3">
        <v>1440.54</v>
      </c>
      <c r="J1153" s="3">
        <v>1459.7</v>
      </c>
      <c r="K1153" s="3">
        <v>1051.05</v>
      </c>
      <c r="L1153" s="2">
        <v>11352383</v>
      </c>
      <c r="M1153" s="2">
        <v>16353593402.1</v>
      </c>
      <c r="N1153" s="2">
        <v>128816</v>
      </c>
      <c r="O1153" t="s">
        <v>20</v>
      </c>
    </row>
    <row r="1154" spans="1:15" x14ac:dyDescent="0.3">
      <c r="A1154" s="1">
        <v>45796</v>
      </c>
      <c r="B1154" t="s">
        <v>15</v>
      </c>
      <c r="C1154" s="3">
        <v>1446.5</v>
      </c>
      <c r="D1154" s="3">
        <v>1459.7</v>
      </c>
      <c r="E1154" s="3">
        <v>1443.8</v>
      </c>
      <c r="F1154" s="3">
        <v>1454</v>
      </c>
      <c r="G1154" s="3">
        <v>1447</v>
      </c>
      <c r="H1154" s="3">
        <v>1449</v>
      </c>
      <c r="I1154" s="3">
        <v>1451.29</v>
      </c>
      <c r="J1154" s="3">
        <v>1459.7</v>
      </c>
      <c r="K1154" s="3">
        <v>1051.05</v>
      </c>
      <c r="L1154" s="2">
        <v>6005334</v>
      </c>
      <c r="M1154" s="2">
        <v>8715502198.1000004</v>
      </c>
      <c r="N1154" s="2">
        <v>139810</v>
      </c>
      <c r="O1154" t="s">
        <v>20</v>
      </c>
    </row>
    <row r="1155" spans="1:15" x14ac:dyDescent="0.3">
      <c r="A1155" s="1">
        <v>45793</v>
      </c>
      <c r="B1155" t="s">
        <v>15</v>
      </c>
      <c r="C1155" s="3">
        <v>1453.3</v>
      </c>
      <c r="D1155" s="3">
        <v>1458.7</v>
      </c>
      <c r="E1155" s="3">
        <v>1447</v>
      </c>
      <c r="F1155" s="3">
        <v>1450.8</v>
      </c>
      <c r="G1155" s="3">
        <v>1452.4</v>
      </c>
      <c r="H1155" s="3">
        <v>1454</v>
      </c>
      <c r="I1155" s="3">
        <v>1454.25</v>
      </c>
      <c r="J1155" s="3">
        <v>1458.7</v>
      </c>
      <c r="K1155" s="3">
        <v>1051.05</v>
      </c>
      <c r="L1155" s="2">
        <v>6439208</v>
      </c>
      <c r="M1155" s="2">
        <v>9364246054.8999996</v>
      </c>
      <c r="N1155" s="2">
        <v>145344</v>
      </c>
      <c r="O1155" t="s">
        <v>20</v>
      </c>
    </row>
    <row r="1156" spans="1:15" x14ac:dyDescent="0.3">
      <c r="A1156" s="1">
        <v>45792</v>
      </c>
      <c r="B1156" t="s">
        <v>15</v>
      </c>
      <c r="C1156" s="3">
        <v>1425.9</v>
      </c>
      <c r="D1156" s="3">
        <v>1456.5</v>
      </c>
      <c r="E1156" s="3">
        <v>1415.5</v>
      </c>
      <c r="F1156" s="3">
        <v>1426.2</v>
      </c>
      <c r="G1156" s="3">
        <v>1451</v>
      </c>
      <c r="H1156" s="3">
        <v>1450.8</v>
      </c>
      <c r="I1156" s="3">
        <v>1438.96</v>
      </c>
      <c r="J1156" s="3">
        <v>1456.5</v>
      </c>
      <c r="K1156" s="3">
        <v>1051.05</v>
      </c>
      <c r="L1156" s="2">
        <v>18209264</v>
      </c>
      <c r="M1156" s="2">
        <v>26202383268.599998</v>
      </c>
      <c r="N1156" s="2">
        <v>211899</v>
      </c>
      <c r="O1156" t="s">
        <v>20</v>
      </c>
    </row>
    <row r="1157" spans="1:15" x14ac:dyDescent="0.3">
      <c r="A1157" s="1">
        <v>45791</v>
      </c>
      <c r="B1157" t="s">
        <v>15</v>
      </c>
      <c r="C1157" s="3">
        <v>1429.9</v>
      </c>
      <c r="D1157" s="3">
        <v>1440.7</v>
      </c>
      <c r="E1157" s="3">
        <v>1417.3</v>
      </c>
      <c r="F1157" s="3">
        <v>1430.6</v>
      </c>
      <c r="G1157" s="3">
        <v>1427.4</v>
      </c>
      <c r="H1157" s="3">
        <v>1426.2</v>
      </c>
      <c r="I1157" s="3">
        <v>1427.87</v>
      </c>
      <c r="J1157" s="3">
        <v>1453</v>
      </c>
      <c r="K1157" s="3">
        <v>1051.05</v>
      </c>
      <c r="L1157" s="2">
        <v>8026837</v>
      </c>
      <c r="M1157" s="2">
        <v>11461311035</v>
      </c>
      <c r="N1157" s="2">
        <v>143054</v>
      </c>
      <c r="O1157" t="s">
        <v>20</v>
      </c>
    </row>
    <row r="1158" spans="1:15" x14ac:dyDescent="0.3">
      <c r="A1158" s="1">
        <v>45790</v>
      </c>
      <c r="B1158" t="s">
        <v>15</v>
      </c>
      <c r="C1158" s="3">
        <v>1440.1</v>
      </c>
      <c r="D1158" s="3">
        <v>1447.9</v>
      </c>
      <c r="E1158" s="3">
        <v>1427.4</v>
      </c>
      <c r="F1158" s="3">
        <v>1448.5</v>
      </c>
      <c r="G1158" s="3">
        <v>1430.8</v>
      </c>
      <c r="H1158" s="3">
        <v>1430.6</v>
      </c>
      <c r="I1158" s="3">
        <v>1432.31</v>
      </c>
      <c r="J1158" s="3">
        <v>1453</v>
      </c>
      <c r="K1158" s="3">
        <v>1051.05</v>
      </c>
      <c r="L1158" s="2">
        <v>12475424</v>
      </c>
      <c r="M1158" s="2">
        <v>17868617217.5</v>
      </c>
      <c r="N1158" s="2">
        <v>209013</v>
      </c>
      <c r="O1158" t="s">
        <v>20</v>
      </c>
    </row>
    <row r="1159" spans="1:15" x14ac:dyDescent="0.3">
      <c r="A1159" s="1">
        <v>45789</v>
      </c>
      <c r="B1159" t="s">
        <v>15</v>
      </c>
      <c r="C1159" s="3">
        <v>1409.4</v>
      </c>
      <c r="D1159" s="3">
        <v>1453</v>
      </c>
      <c r="E1159" s="3">
        <v>1404</v>
      </c>
      <c r="F1159" s="3">
        <v>1388.9</v>
      </c>
      <c r="G1159" s="3">
        <v>1451.5</v>
      </c>
      <c r="H1159" s="3">
        <v>1448.5</v>
      </c>
      <c r="I1159" s="3">
        <v>1436.69</v>
      </c>
      <c r="J1159" s="3">
        <v>1453</v>
      </c>
      <c r="K1159" s="3">
        <v>1051.05</v>
      </c>
      <c r="L1159" s="2">
        <v>9925445</v>
      </c>
      <c r="M1159" s="2">
        <v>14259837185.1</v>
      </c>
      <c r="N1159" s="2">
        <v>180758</v>
      </c>
      <c r="O1159" t="s">
        <v>20</v>
      </c>
    </row>
    <row r="1160" spans="1:15" x14ac:dyDescent="0.3">
      <c r="A1160" s="1">
        <v>45786</v>
      </c>
      <c r="B1160" t="s">
        <v>15</v>
      </c>
      <c r="C1160" s="3">
        <v>1415.2</v>
      </c>
      <c r="D1160" s="3">
        <v>1419.9</v>
      </c>
      <c r="E1160" s="3">
        <v>1387</v>
      </c>
      <c r="F1160" s="3">
        <v>1435.5</v>
      </c>
      <c r="G1160" s="3">
        <v>1389</v>
      </c>
      <c r="H1160" s="3">
        <v>1388.9</v>
      </c>
      <c r="I1160" s="3">
        <v>1394.54</v>
      </c>
      <c r="J1160" s="3">
        <v>1448.9</v>
      </c>
      <c r="K1160" s="3">
        <v>1051.05</v>
      </c>
      <c r="L1160" s="2">
        <v>13491197</v>
      </c>
      <c r="M1160" s="2">
        <v>18814033148</v>
      </c>
      <c r="N1160" s="2">
        <v>248736</v>
      </c>
      <c r="O1160" t="s">
        <v>20</v>
      </c>
    </row>
    <row r="1161" spans="1:15" x14ac:dyDescent="0.3">
      <c r="A1161" s="1">
        <v>45785</v>
      </c>
      <c r="B1161" t="s">
        <v>15</v>
      </c>
      <c r="C1161" s="3">
        <v>1438.6</v>
      </c>
      <c r="D1161" s="3">
        <v>1448.9</v>
      </c>
      <c r="E1161" s="3">
        <v>1426.1</v>
      </c>
      <c r="F1161" s="3">
        <v>1435.4</v>
      </c>
      <c r="G1161" s="3">
        <v>1427.3</v>
      </c>
      <c r="H1161" s="3">
        <v>1435.5</v>
      </c>
      <c r="I1161" s="3">
        <v>1439.49</v>
      </c>
      <c r="J1161" s="3">
        <v>1448.9</v>
      </c>
      <c r="K1161" s="3">
        <v>1051.05</v>
      </c>
      <c r="L1161" s="2">
        <v>15306490</v>
      </c>
      <c r="M1161" s="2">
        <v>22033510832</v>
      </c>
      <c r="N1161" s="2">
        <v>182407</v>
      </c>
      <c r="O1161" t="s">
        <v>20</v>
      </c>
    </row>
    <row r="1162" spans="1:15" x14ac:dyDescent="0.3">
      <c r="A1162" s="1">
        <v>45784</v>
      </c>
      <c r="B1162" t="s">
        <v>15</v>
      </c>
      <c r="C1162" s="3">
        <v>1425</v>
      </c>
      <c r="D1162" s="3">
        <v>1442</v>
      </c>
      <c r="E1162" s="3">
        <v>1421</v>
      </c>
      <c r="F1162" s="3">
        <v>1431.6</v>
      </c>
      <c r="G1162" s="3">
        <v>1437.1</v>
      </c>
      <c r="H1162" s="3">
        <v>1435.4</v>
      </c>
      <c r="I1162" s="3">
        <v>1431.25</v>
      </c>
      <c r="J1162" s="3">
        <v>1446.8</v>
      </c>
      <c r="K1162" s="3">
        <v>1051.05</v>
      </c>
      <c r="L1162" s="2">
        <v>10480453</v>
      </c>
      <c r="M1162" s="2">
        <v>15000167610.700001</v>
      </c>
      <c r="N1162" s="2">
        <v>166481</v>
      </c>
      <c r="O1162" t="s">
        <v>20</v>
      </c>
    </row>
    <row r="1163" spans="1:15" x14ac:dyDescent="0.3">
      <c r="A1163" s="1">
        <v>45783</v>
      </c>
      <c r="B1163" t="s">
        <v>15</v>
      </c>
      <c r="C1163" s="3">
        <v>1429</v>
      </c>
      <c r="D1163" s="3">
        <v>1433.7</v>
      </c>
      <c r="E1163" s="3">
        <v>1420.4</v>
      </c>
      <c r="F1163" s="3">
        <v>1429.4</v>
      </c>
      <c r="G1163" s="3">
        <v>1430</v>
      </c>
      <c r="H1163" s="3">
        <v>1431.6</v>
      </c>
      <c r="I1163" s="3">
        <v>1428.23</v>
      </c>
      <c r="J1163" s="3">
        <v>1446.8</v>
      </c>
      <c r="K1163" s="3">
        <v>1051.05</v>
      </c>
      <c r="L1163" s="2">
        <v>6301690</v>
      </c>
      <c r="M1163" s="2">
        <v>9000265687.1000004</v>
      </c>
      <c r="N1163" s="2">
        <v>133476</v>
      </c>
      <c r="O1163" t="s">
        <v>20</v>
      </c>
    </row>
    <row r="1164" spans="1:15" x14ac:dyDescent="0.3">
      <c r="A1164" s="1">
        <v>45782</v>
      </c>
      <c r="B1164" t="s">
        <v>15</v>
      </c>
      <c r="C1164" s="3">
        <v>1440</v>
      </c>
      <c r="D1164" s="3">
        <v>1446.8</v>
      </c>
      <c r="E1164" s="3">
        <v>1426</v>
      </c>
      <c r="F1164" s="3">
        <v>1432.4</v>
      </c>
      <c r="G1164" s="3">
        <v>1427.4</v>
      </c>
      <c r="H1164" s="3">
        <v>1429.4</v>
      </c>
      <c r="I1164" s="3">
        <v>1432.29</v>
      </c>
      <c r="J1164" s="3">
        <v>1446.8</v>
      </c>
      <c r="K1164" s="3">
        <v>1051.05</v>
      </c>
      <c r="L1164" s="2">
        <v>4565705</v>
      </c>
      <c r="M1164" s="2">
        <v>6539397953.3999996</v>
      </c>
      <c r="N1164" s="2">
        <v>115354</v>
      </c>
      <c r="O1164" t="s">
        <v>20</v>
      </c>
    </row>
    <row r="1165" spans="1:15" x14ac:dyDescent="0.3">
      <c r="A1165" s="1">
        <v>45779</v>
      </c>
      <c r="B1165" t="s">
        <v>15</v>
      </c>
      <c r="C1165" s="3">
        <v>1426.9</v>
      </c>
      <c r="D1165" s="3">
        <v>1446.6</v>
      </c>
      <c r="E1165" s="3">
        <v>1424.6</v>
      </c>
      <c r="F1165" s="3">
        <v>1427</v>
      </c>
      <c r="G1165" s="3">
        <v>1429</v>
      </c>
      <c r="H1165" s="3">
        <v>1432.4</v>
      </c>
      <c r="I1165" s="3">
        <v>1436.51</v>
      </c>
      <c r="J1165" s="3">
        <v>1446.6</v>
      </c>
      <c r="K1165" s="3">
        <v>1051.05</v>
      </c>
      <c r="L1165" s="2">
        <v>10763492</v>
      </c>
      <c r="M1165" s="2">
        <v>15461819959.1</v>
      </c>
      <c r="N1165" s="2">
        <v>170242</v>
      </c>
      <c r="O1165" t="s">
        <v>20</v>
      </c>
    </row>
    <row r="1166" spans="1:15" x14ac:dyDescent="0.3">
      <c r="A1166" s="1">
        <v>45777</v>
      </c>
      <c r="B1166" t="s">
        <v>15</v>
      </c>
      <c r="C1166" s="3">
        <v>1433</v>
      </c>
      <c r="D1166" s="3">
        <v>1433.7</v>
      </c>
      <c r="E1166" s="3">
        <v>1400</v>
      </c>
      <c r="F1166" s="3">
        <v>1429.8</v>
      </c>
      <c r="G1166" s="3">
        <v>1424.3</v>
      </c>
      <c r="H1166" s="3">
        <v>1427</v>
      </c>
      <c r="I1166" s="3">
        <v>1427.91</v>
      </c>
      <c r="J1166" s="3">
        <v>1438.3</v>
      </c>
      <c r="K1166" s="3">
        <v>1051.05</v>
      </c>
      <c r="L1166" s="2">
        <v>14192027</v>
      </c>
      <c r="M1166" s="2">
        <v>20264976307.299999</v>
      </c>
      <c r="N1166" s="2">
        <v>238248</v>
      </c>
      <c r="O1166" t="s">
        <v>20</v>
      </c>
    </row>
    <row r="1167" spans="1:15" x14ac:dyDescent="0.3">
      <c r="A1167" s="1">
        <v>45776</v>
      </c>
      <c r="B1167" t="s">
        <v>15</v>
      </c>
      <c r="C1167" s="3">
        <v>1428.8</v>
      </c>
      <c r="D1167" s="3">
        <v>1438.3</v>
      </c>
      <c r="E1167" s="3">
        <v>1422.6</v>
      </c>
      <c r="F1167" s="3">
        <v>1428.8</v>
      </c>
      <c r="G1167" s="3">
        <v>1425.5</v>
      </c>
      <c r="H1167" s="3">
        <v>1429.8</v>
      </c>
      <c r="I1167" s="3">
        <v>1428.52</v>
      </c>
      <c r="J1167" s="3">
        <v>1438.3</v>
      </c>
      <c r="K1167" s="3">
        <v>1051.05</v>
      </c>
      <c r="L1167" s="2">
        <v>10786910</v>
      </c>
      <c r="M1167" s="2">
        <v>15409265024.5</v>
      </c>
      <c r="N1167" s="2">
        <v>223499</v>
      </c>
      <c r="O1167" t="s">
        <v>20</v>
      </c>
    </row>
    <row r="1168" spans="1:15" x14ac:dyDescent="0.3">
      <c r="A1168" s="1">
        <v>45775</v>
      </c>
      <c r="B1168" t="s">
        <v>15</v>
      </c>
      <c r="C1168" s="3">
        <v>1405.6</v>
      </c>
      <c r="D1168" s="3">
        <v>1435</v>
      </c>
      <c r="E1168" s="3">
        <v>1403.8</v>
      </c>
      <c r="F1168" s="3">
        <v>1404.8</v>
      </c>
      <c r="G1168" s="3">
        <v>1428</v>
      </c>
      <c r="H1168" s="3">
        <v>1428.8</v>
      </c>
      <c r="I1168" s="3">
        <v>1427.33</v>
      </c>
      <c r="J1168" s="3">
        <v>1436</v>
      </c>
      <c r="K1168" s="3">
        <v>1051.05</v>
      </c>
      <c r="L1168" s="2">
        <v>10948561</v>
      </c>
      <c r="M1168" s="2">
        <v>15627194700.700001</v>
      </c>
      <c r="N1168" s="2">
        <v>192819</v>
      </c>
      <c r="O1168" t="s">
        <v>20</v>
      </c>
    </row>
    <row r="1169" spans="1:15" x14ac:dyDescent="0.3">
      <c r="A1169" s="1">
        <v>45772</v>
      </c>
      <c r="B1169" t="s">
        <v>15</v>
      </c>
      <c r="C1169" s="3">
        <v>1410</v>
      </c>
      <c r="D1169" s="3">
        <v>1414.8</v>
      </c>
      <c r="E1169" s="3">
        <v>1388.4</v>
      </c>
      <c r="F1169" s="3">
        <v>1402.7</v>
      </c>
      <c r="G1169" s="3">
        <v>1403</v>
      </c>
      <c r="H1169" s="3">
        <v>1404.8</v>
      </c>
      <c r="I1169" s="3">
        <v>1400.91</v>
      </c>
      <c r="J1169" s="3">
        <v>1436</v>
      </c>
      <c r="K1169" s="3">
        <v>1051.05</v>
      </c>
      <c r="L1169" s="2">
        <v>11705093</v>
      </c>
      <c r="M1169" s="2">
        <v>16397782261.9</v>
      </c>
      <c r="N1169" s="2">
        <v>234552</v>
      </c>
      <c r="O1169" t="s">
        <v>20</v>
      </c>
    </row>
    <row r="1170" spans="1:15" x14ac:dyDescent="0.3">
      <c r="A1170" s="1">
        <v>45771</v>
      </c>
      <c r="B1170" t="s">
        <v>15</v>
      </c>
      <c r="C1170" s="3">
        <v>1416.3</v>
      </c>
      <c r="D1170" s="3">
        <v>1421.2</v>
      </c>
      <c r="E1170" s="3">
        <v>1398.8</v>
      </c>
      <c r="F1170" s="3">
        <v>1424.4</v>
      </c>
      <c r="G1170" s="3">
        <v>1401</v>
      </c>
      <c r="H1170" s="3">
        <v>1402.7</v>
      </c>
      <c r="I1170" s="3">
        <v>1407.84</v>
      </c>
      <c r="J1170" s="3">
        <v>1436</v>
      </c>
      <c r="K1170" s="3">
        <v>1051.05</v>
      </c>
      <c r="L1170" s="2">
        <v>15678099</v>
      </c>
      <c r="M1170" s="2">
        <v>22072210947.599998</v>
      </c>
      <c r="N1170" s="2">
        <v>210098</v>
      </c>
      <c r="O1170" t="s">
        <v>20</v>
      </c>
    </row>
    <row r="1171" spans="1:15" x14ac:dyDescent="0.3">
      <c r="A1171" s="1">
        <v>45770</v>
      </c>
      <c r="B1171" t="s">
        <v>15</v>
      </c>
      <c r="C1171" s="3">
        <v>1429</v>
      </c>
      <c r="D1171" s="3">
        <v>1429.9</v>
      </c>
      <c r="E1171" s="3">
        <v>1411.3</v>
      </c>
      <c r="F1171" s="3">
        <v>1416.5</v>
      </c>
      <c r="G1171" s="3">
        <v>1422</v>
      </c>
      <c r="H1171" s="3">
        <v>1424.4</v>
      </c>
      <c r="I1171" s="3">
        <v>1421.06</v>
      </c>
      <c r="J1171" s="3">
        <v>1436</v>
      </c>
      <c r="K1171" s="3">
        <v>1051.05</v>
      </c>
      <c r="L1171" s="2">
        <v>13990764</v>
      </c>
      <c r="M1171" s="2">
        <v>19881670203.599998</v>
      </c>
      <c r="N1171" s="2">
        <v>220724</v>
      </c>
      <c r="O1171" t="s">
        <v>20</v>
      </c>
    </row>
    <row r="1172" spans="1:15" x14ac:dyDescent="0.3">
      <c r="A1172" s="1">
        <v>45769</v>
      </c>
      <c r="B1172" t="s">
        <v>15</v>
      </c>
      <c r="C1172" s="3">
        <v>1412.8</v>
      </c>
      <c r="D1172" s="3">
        <v>1418.8</v>
      </c>
      <c r="E1172" s="3">
        <v>1398.9</v>
      </c>
      <c r="F1172" s="3">
        <v>1409.8</v>
      </c>
      <c r="G1172" s="3">
        <v>1414</v>
      </c>
      <c r="H1172" s="3">
        <v>1416.5</v>
      </c>
      <c r="I1172" s="3">
        <v>1410.65</v>
      </c>
      <c r="J1172" s="3">
        <v>1436</v>
      </c>
      <c r="K1172" s="3">
        <v>1051.05</v>
      </c>
      <c r="L1172" s="2">
        <v>16135274</v>
      </c>
      <c r="M1172" s="2">
        <v>22761177353.900002</v>
      </c>
      <c r="N1172" s="2">
        <v>275616</v>
      </c>
      <c r="O1172" t="s">
        <v>20</v>
      </c>
    </row>
    <row r="1173" spans="1:15" x14ac:dyDescent="0.3">
      <c r="A1173" s="1">
        <v>45768</v>
      </c>
      <c r="B1173" t="s">
        <v>15</v>
      </c>
      <c r="C1173" s="3">
        <v>1436</v>
      </c>
      <c r="D1173" s="3">
        <v>1436</v>
      </c>
      <c r="E1173" s="3">
        <v>1404.7</v>
      </c>
      <c r="F1173" s="3">
        <v>1406.7</v>
      </c>
      <c r="G1173" s="3">
        <v>1408.1</v>
      </c>
      <c r="H1173" s="3">
        <v>1409.8</v>
      </c>
      <c r="I1173" s="3">
        <v>1416.7</v>
      </c>
      <c r="J1173" s="3">
        <v>1436</v>
      </c>
      <c r="K1173" s="3">
        <v>1051.05</v>
      </c>
      <c r="L1173" s="2">
        <v>16882426</v>
      </c>
      <c r="M1173" s="2">
        <v>23917404930.599998</v>
      </c>
      <c r="N1173" s="2">
        <v>291654</v>
      </c>
      <c r="O1173" t="s">
        <v>20</v>
      </c>
    </row>
    <row r="1174" spans="1:15" x14ac:dyDescent="0.3">
      <c r="A1174" s="1">
        <v>45764</v>
      </c>
      <c r="B1174" t="s">
        <v>15</v>
      </c>
      <c r="C1174" s="3">
        <v>1362</v>
      </c>
      <c r="D1174" s="3">
        <v>1408.9</v>
      </c>
      <c r="E1174" s="3">
        <v>1360.1</v>
      </c>
      <c r="F1174" s="3">
        <v>1356.4</v>
      </c>
      <c r="G1174" s="3">
        <v>1407</v>
      </c>
      <c r="H1174" s="3">
        <v>1406.7</v>
      </c>
      <c r="I1174" s="3">
        <v>1391.92</v>
      </c>
      <c r="J1174" s="3">
        <v>1408.9</v>
      </c>
      <c r="K1174" s="3">
        <v>1048.0999999999999</v>
      </c>
      <c r="L1174" s="2">
        <v>17490424</v>
      </c>
      <c r="M1174" s="2">
        <v>24345198635.099998</v>
      </c>
      <c r="N1174" s="2">
        <v>294006</v>
      </c>
      <c r="O1174" t="s">
        <v>20</v>
      </c>
    </row>
    <row r="1175" spans="1:15" x14ac:dyDescent="0.3">
      <c r="A1175" s="1">
        <v>45763</v>
      </c>
      <c r="B1175" t="s">
        <v>15</v>
      </c>
      <c r="C1175" s="3">
        <v>1357</v>
      </c>
      <c r="D1175" s="3">
        <v>1359.7</v>
      </c>
      <c r="E1175" s="3">
        <v>1342.9</v>
      </c>
      <c r="F1175" s="3">
        <v>1350.2</v>
      </c>
      <c r="G1175" s="3">
        <v>1358</v>
      </c>
      <c r="H1175" s="3">
        <v>1356.4</v>
      </c>
      <c r="I1175" s="3">
        <v>1350.44</v>
      </c>
      <c r="J1175" s="3">
        <v>1373</v>
      </c>
      <c r="K1175" s="3">
        <v>1048.0999999999999</v>
      </c>
      <c r="L1175" s="2">
        <v>14039073</v>
      </c>
      <c r="M1175" s="2">
        <v>18958940775</v>
      </c>
      <c r="N1175" s="2">
        <v>180990</v>
      </c>
      <c r="O1175" t="s">
        <v>20</v>
      </c>
    </row>
    <row r="1176" spans="1:15" x14ac:dyDescent="0.3">
      <c r="A1176" s="1">
        <v>45762</v>
      </c>
      <c r="B1176" t="s">
        <v>15</v>
      </c>
      <c r="C1176" s="3">
        <v>1351</v>
      </c>
      <c r="D1176" s="3">
        <v>1354.3</v>
      </c>
      <c r="E1176" s="3">
        <v>1336.2</v>
      </c>
      <c r="F1176" s="3">
        <v>1311.65</v>
      </c>
      <c r="G1176" s="3">
        <v>1350.4</v>
      </c>
      <c r="H1176" s="3">
        <v>1350.2</v>
      </c>
      <c r="I1176" s="3">
        <v>1347.7</v>
      </c>
      <c r="J1176" s="3">
        <v>1373</v>
      </c>
      <c r="K1176" s="3">
        <v>1048.0999999999999</v>
      </c>
      <c r="L1176" s="2">
        <v>15202603</v>
      </c>
      <c r="M1176" s="2">
        <v>20488528370.700001</v>
      </c>
      <c r="N1176" s="2">
        <v>222333</v>
      </c>
      <c r="O1176" t="s">
        <v>20</v>
      </c>
    </row>
    <row r="1177" spans="1:15" x14ac:dyDescent="0.3">
      <c r="A1177" s="1">
        <v>45758</v>
      </c>
      <c r="B1177" t="s">
        <v>15</v>
      </c>
      <c r="C1177" s="3">
        <v>1305.0999999999999</v>
      </c>
      <c r="D1177" s="3">
        <v>1325</v>
      </c>
      <c r="E1177" s="3">
        <v>1305.0999999999999</v>
      </c>
      <c r="F1177" s="3">
        <v>1300.8</v>
      </c>
      <c r="G1177" s="3">
        <v>1312.05</v>
      </c>
      <c r="H1177" s="3">
        <v>1311.65</v>
      </c>
      <c r="I1177" s="3">
        <v>1314.61</v>
      </c>
      <c r="J1177" s="3">
        <v>1373</v>
      </c>
      <c r="K1177" s="3">
        <v>1048.0999999999999</v>
      </c>
      <c r="L1177" s="2">
        <v>13064247</v>
      </c>
      <c r="M1177" s="2">
        <v>17174325317.9</v>
      </c>
      <c r="N1177" s="2">
        <v>224885</v>
      </c>
      <c r="O1177" t="s">
        <v>20</v>
      </c>
    </row>
    <row r="1178" spans="1:15" x14ac:dyDescent="0.3">
      <c r="A1178" s="1">
        <v>45756</v>
      </c>
      <c r="B1178" t="s">
        <v>15</v>
      </c>
      <c r="C1178" s="3">
        <v>1304.95</v>
      </c>
      <c r="D1178" s="3">
        <v>1305.0999999999999</v>
      </c>
      <c r="E1178" s="3">
        <v>1284.5</v>
      </c>
      <c r="F1178" s="3">
        <v>1299.9000000000001</v>
      </c>
      <c r="G1178" s="3">
        <v>1304</v>
      </c>
      <c r="H1178" s="3">
        <v>1300.8</v>
      </c>
      <c r="I1178" s="3">
        <v>1296.1199999999999</v>
      </c>
      <c r="J1178" s="3">
        <v>1373</v>
      </c>
      <c r="K1178" s="3">
        <v>1048.0999999999999</v>
      </c>
      <c r="L1178" s="2">
        <v>13005622</v>
      </c>
      <c r="M1178" s="2">
        <v>16856903289.700001</v>
      </c>
      <c r="N1178" s="2">
        <v>237174</v>
      </c>
      <c r="O1178" t="s">
        <v>20</v>
      </c>
    </row>
    <row r="1179" spans="1:15" x14ac:dyDescent="0.3">
      <c r="A1179" s="1">
        <v>45755</v>
      </c>
      <c r="B1179" t="s">
        <v>15</v>
      </c>
      <c r="C1179" s="3">
        <v>1299.8499999999999</v>
      </c>
      <c r="D1179" s="3">
        <v>1310.05</v>
      </c>
      <c r="E1179" s="3">
        <v>1287.3499999999999</v>
      </c>
      <c r="F1179" s="3">
        <v>1287.55</v>
      </c>
      <c r="G1179" s="3">
        <v>1300.05</v>
      </c>
      <c r="H1179" s="3">
        <v>1299.9000000000001</v>
      </c>
      <c r="I1179" s="3">
        <v>1298.3499999999999</v>
      </c>
      <c r="J1179" s="3">
        <v>1373</v>
      </c>
      <c r="K1179" s="3">
        <v>1048.0999999999999</v>
      </c>
      <c r="L1179" s="2">
        <v>13085762</v>
      </c>
      <c r="M1179" s="2">
        <v>16989934735.700001</v>
      </c>
      <c r="N1179" s="2">
        <v>171223</v>
      </c>
      <c r="O1179" t="s">
        <v>20</v>
      </c>
    </row>
    <row r="1180" spans="1:15" x14ac:dyDescent="0.3">
      <c r="A1180" s="1">
        <v>45754</v>
      </c>
      <c r="B1180" t="s">
        <v>15</v>
      </c>
      <c r="C1180" s="3">
        <v>1295.25</v>
      </c>
      <c r="D1180" s="3">
        <v>1325</v>
      </c>
      <c r="E1180" s="3">
        <v>1265</v>
      </c>
      <c r="F1180" s="3">
        <v>1335.3</v>
      </c>
      <c r="G1180" s="3">
        <v>1294.0999999999999</v>
      </c>
      <c r="H1180" s="3">
        <v>1287.55</v>
      </c>
      <c r="I1180" s="3">
        <v>1290.47</v>
      </c>
      <c r="J1180" s="3">
        <v>1373</v>
      </c>
      <c r="K1180" s="3">
        <v>1048.0999999999999</v>
      </c>
      <c r="L1180" s="2">
        <v>19185012</v>
      </c>
      <c r="M1180" s="2">
        <v>24757611797.900002</v>
      </c>
      <c r="N1180" s="2">
        <v>515573</v>
      </c>
      <c r="O1180" t="s">
        <v>20</v>
      </c>
    </row>
    <row r="1181" spans="1:15" x14ac:dyDescent="0.3">
      <c r="A1181" s="1">
        <v>45751</v>
      </c>
      <c r="B1181" t="s">
        <v>15</v>
      </c>
      <c r="C1181" s="3">
        <v>1329.55</v>
      </c>
      <c r="D1181" s="3">
        <v>1338.55</v>
      </c>
      <c r="E1181" s="3">
        <v>1322.1</v>
      </c>
      <c r="F1181" s="3">
        <v>1329.55</v>
      </c>
      <c r="G1181" s="3">
        <v>1335</v>
      </c>
      <c r="H1181" s="3">
        <v>1335.3</v>
      </c>
      <c r="I1181" s="3">
        <v>1331.6</v>
      </c>
      <c r="J1181" s="3">
        <v>1373</v>
      </c>
      <c r="K1181" s="3">
        <v>1048.0999999999999</v>
      </c>
      <c r="L1181" s="2">
        <v>8648542</v>
      </c>
      <c r="M1181" s="2">
        <v>11516414124.299999</v>
      </c>
      <c r="N1181" s="2">
        <v>166068</v>
      </c>
      <c r="O1181" t="s">
        <v>20</v>
      </c>
    </row>
    <row r="1182" spans="1:15" x14ac:dyDescent="0.3">
      <c r="A1182" s="1">
        <v>45750</v>
      </c>
      <c r="B1182" t="s">
        <v>15</v>
      </c>
      <c r="C1182" s="3">
        <v>1321.95</v>
      </c>
      <c r="D1182" s="3">
        <v>1333</v>
      </c>
      <c r="E1182" s="3">
        <v>1321.25</v>
      </c>
      <c r="F1182" s="3">
        <v>1331.25</v>
      </c>
      <c r="G1182" s="3">
        <v>1328.95</v>
      </c>
      <c r="H1182" s="3">
        <v>1329.55</v>
      </c>
      <c r="I1182" s="3">
        <v>1328.6</v>
      </c>
      <c r="J1182" s="3">
        <v>1373</v>
      </c>
      <c r="K1182" s="3">
        <v>1048.0999999999999</v>
      </c>
      <c r="L1182" s="2">
        <v>4591008</v>
      </c>
      <c r="M1182" s="2">
        <v>6099629464.8000002</v>
      </c>
      <c r="N1182" s="2">
        <v>127085</v>
      </c>
      <c r="O1182" t="s">
        <v>20</v>
      </c>
    </row>
    <row r="1183" spans="1:15" x14ac:dyDescent="0.3">
      <c r="A1183" s="1">
        <v>45749</v>
      </c>
      <c r="B1183" t="s">
        <v>15</v>
      </c>
      <c r="C1183" s="3">
        <v>1322.15</v>
      </c>
      <c r="D1183" s="3">
        <v>1337.95</v>
      </c>
      <c r="E1183" s="3">
        <v>1322.15</v>
      </c>
      <c r="F1183" s="3">
        <v>1318.45</v>
      </c>
      <c r="G1183" s="3">
        <v>1330.85</v>
      </c>
      <c r="H1183" s="3">
        <v>1331.25</v>
      </c>
      <c r="I1183" s="3">
        <v>1330.74</v>
      </c>
      <c r="J1183" s="3">
        <v>1373</v>
      </c>
      <c r="K1183" s="3">
        <v>1048.0999999999999</v>
      </c>
      <c r="L1183" s="2">
        <v>8042214</v>
      </c>
      <c r="M1183" s="2">
        <v>10702134959.6</v>
      </c>
      <c r="N1183" s="2">
        <v>127734</v>
      </c>
      <c r="O1183" t="s">
        <v>20</v>
      </c>
    </row>
    <row r="1184" spans="1:15" x14ac:dyDescent="0.3">
      <c r="A1184" s="1">
        <v>45748</v>
      </c>
      <c r="B1184" t="s">
        <v>15</v>
      </c>
      <c r="C1184" s="3">
        <v>1340</v>
      </c>
      <c r="D1184" s="3">
        <v>1352.35</v>
      </c>
      <c r="E1184" s="3">
        <v>1315.4</v>
      </c>
      <c r="F1184" s="3">
        <v>1348.35</v>
      </c>
      <c r="G1184" s="3">
        <v>1318.15</v>
      </c>
      <c r="H1184" s="3">
        <v>1318.45</v>
      </c>
      <c r="I1184" s="3">
        <v>1326.83</v>
      </c>
      <c r="J1184" s="3">
        <v>1373</v>
      </c>
      <c r="K1184" s="3">
        <v>1048.0999999999999</v>
      </c>
      <c r="L1184" s="2">
        <v>14288024</v>
      </c>
      <c r="M1184" s="2">
        <v>18957734985.950001</v>
      </c>
      <c r="N1184" s="2">
        <v>206118</v>
      </c>
      <c r="O1184" t="s">
        <v>20</v>
      </c>
    </row>
    <row r="1185" spans="1:15" x14ac:dyDescent="0.3">
      <c r="A1185" s="1">
        <v>45744</v>
      </c>
      <c r="B1185" t="s">
        <v>15</v>
      </c>
      <c r="C1185" s="3">
        <v>1336</v>
      </c>
      <c r="D1185" s="3">
        <v>1357.95</v>
      </c>
      <c r="E1185" s="3">
        <v>1327.2</v>
      </c>
      <c r="F1185" s="3">
        <v>1336.65</v>
      </c>
      <c r="G1185" s="3">
        <v>1348</v>
      </c>
      <c r="H1185" s="3">
        <v>1348.35</v>
      </c>
      <c r="I1185" s="3">
        <v>1345.9</v>
      </c>
      <c r="J1185" s="3">
        <v>1373</v>
      </c>
      <c r="K1185" s="3">
        <v>1048.0999999999999</v>
      </c>
      <c r="L1185" s="2">
        <v>8266544</v>
      </c>
      <c r="M1185" s="2">
        <v>11125900933.9</v>
      </c>
      <c r="N1185" s="2">
        <v>142133</v>
      </c>
      <c r="O1185" t="s">
        <v>20</v>
      </c>
    </row>
    <row r="1186" spans="1:15" x14ac:dyDescent="0.3">
      <c r="A1186" s="1">
        <v>45743</v>
      </c>
      <c r="B1186" t="s">
        <v>15</v>
      </c>
      <c r="C1186" s="3">
        <v>1333.15</v>
      </c>
      <c r="D1186" s="3">
        <v>1351.5</v>
      </c>
      <c r="E1186" s="3">
        <v>1333.15</v>
      </c>
      <c r="F1186" s="3">
        <v>1335.9</v>
      </c>
      <c r="G1186" s="3">
        <v>1339</v>
      </c>
      <c r="H1186" s="3">
        <v>1336.65</v>
      </c>
      <c r="I1186" s="3">
        <v>1340.7</v>
      </c>
      <c r="J1186" s="3">
        <v>1373</v>
      </c>
      <c r="K1186" s="3">
        <v>1048.0999999999999</v>
      </c>
      <c r="L1186" s="2">
        <v>15109614</v>
      </c>
      <c r="M1186" s="2">
        <v>20257403852.900002</v>
      </c>
      <c r="N1186" s="2">
        <v>187305</v>
      </c>
      <c r="O1186" t="s">
        <v>20</v>
      </c>
    </row>
    <row r="1187" spans="1:15" x14ac:dyDescent="0.3">
      <c r="A1187" s="1">
        <v>45742</v>
      </c>
      <c r="B1187" t="s">
        <v>15</v>
      </c>
      <c r="C1187" s="3">
        <v>1344.05</v>
      </c>
      <c r="D1187" s="3">
        <v>1358</v>
      </c>
      <c r="E1187" s="3">
        <v>1331.5</v>
      </c>
      <c r="F1187" s="3">
        <v>1343.7</v>
      </c>
      <c r="G1187" s="3">
        <v>1335.45</v>
      </c>
      <c r="H1187" s="3">
        <v>1335.9</v>
      </c>
      <c r="I1187" s="3">
        <v>1341.51</v>
      </c>
      <c r="J1187" s="3">
        <v>1373</v>
      </c>
      <c r="K1187" s="3">
        <v>1048.0999999999999</v>
      </c>
      <c r="L1187" s="2">
        <v>10859639</v>
      </c>
      <c r="M1187" s="2">
        <v>14568352861.700001</v>
      </c>
      <c r="N1187" s="2">
        <v>197579</v>
      </c>
      <c r="O1187" t="s">
        <v>20</v>
      </c>
    </row>
    <row r="1188" spans="1:15" x14ac:dyDescent="0.3">
      <c r="A1188" s="1">
        <v>45741</v>
      </c>
      <c r="B1188" t="s">
        <v>15</v>
      </c>
      <c r="C1188" s="3">
        <v>1359</v>
      </c>
      <c r="D1188" s="3">
        <v>1363.8</v>
      </c>
      <c r="E1188" s="3">
        <v>1330.05</v>
      </c>
      <c r="F1188" s="3">
        <v>1358.15</v>
      </c>
      <c r="G1188" s="3">
        <v>1341.95</v>
      </c>
      <c r="H1188" s="3">
        <v>1343.7</v>
      </c>
      <c r="I1188" s="3">
        <v>1345.81</v>
      </c>
      <c r="J1188" s="3">
        <v>1373</v>
      </c>
      <c r="K1188" s="3">
        <v>1048.0999999999999</v>
      </c>
      <c r="L1188" s="2">
        <v>16419207</v>
      </c>
      <c r="M1188" s="2">
        <v>22097082282.099998</v>
      </c>
      <c r="N1188" s="2">
        <v>326362</v>
      </c>
      <c r="O1188" t="s">
        <v>20</v>
      </c>
    </row>
    <row r="1189" spans="1:15" x14ac:dyDescent="0.3">
      <c r="A1189" s="1">
        <v>45740</v>
      </c>
      <c r="B1189" t="s">
        <v>15</v>
      </c>
      <c r="C1189" s="3">
        <v>1355.95</v>
      </c>
      <c r="D1189" s="3">
        <v>1373</v>
      </c>
      <c r="E1189" s="3">
        <v>1345.05</v>
      </c>
      <c r="F1189" s="3">
        <v>1343.1</v>
      </c>
      <c r="G1189" s="3">
        <v>1361.2</v>
      </c>
      <c r="H1189" s="3">
        <v>1358.15</v>
      </c>
      <c r="I1189" s="3">
        <v>1358.95</v>
      </c>
      <c r="J1189" s="3">
        <v>1373</v>
      </c>
      <c r="K1189" s="3">
        <v>1048.0999999999999</v>
      </c>
      <c r="L1189" s="2">
        <v>9352280</v>
      </c>
      <c r="M1189" s="2">
        <v>12709278600.9</v>
      </c>
      <c r="N1189" s="2">
        <v>203054</v>
      </c>
      <c r="O1189" t="s">
        <v>20</v>
      </c>
    </row>
    <row r="1190" spans="1:15" x14ac:dyDescent="0.3">
      <c r="A1190" s="1">
        <v>45737</v>
      </c>
      <c r="B1190" t="s">
        <v>15</v>
      </c>
      <c r="C1190" s="3">
        <v>1316</v>
      </c>
      <c r="D1190" s="3">
        <v>1349</v>
      </c>
      <c r="E1190" s="3">
        <v>1311.6</v>
      </c>
      <c r="F1190" s="3">
        <v>1321.7</v>
      </c>
      <c r="G1190" s="3">
        <v>1337.95</v>
      </c>
      <c r="H1190" s="3">
        <v>1343.1</v>
      </c>
      <c r="I1190" s="3">
        <v>1341.59</v>
      </c>
      <c r="J1190" s="3">
        <v>1362.35</v>
      </c>
      <c r="K1190" s="3">
        <v>1048.0999999999999</v>
      </c>
      <c r="L1190" s="2">
        <v>60494318</v>
      </c>
      <c r="M1190" s="2">
        <v>81158565386.5</v>
      </c>
      <c r="N1190" s="2">
        <v>344744</v>
      </c>
      <c r="O1190" t="s">
        <v>20</v>
      </c>
    </row>
    <row r="1191" spans="1:15" x14ac:dyDescent="0.3">
      <c r="A1191" s="1">
        <v>45736</v>
      </c>
      <c r="B1191" t="s">
        <v>15</v>
      </c>
      <c r="C1191" s="3">
        <v>1320</v>
      </c>
      <c r="D1191" s="3">
        <v>1324.25</v>
      </c>
      <c r="E1191" s="3">
        <v>1311.05</v>
      </c>
      <c r="F1191" s="3">
        <v>1313.1</v>
      </c>
      <c r="G1191" s="3">
        <v>1318.55</v>
      </c>
      <c r="H1191" s="3">
        <v>1321.7</v>
      </c>
      <c r="I1191" s="3">
        <v>1319.08</v>
      </c>
      <c r="J1191" s="3">
        <v>1362.35</v>
      </c>
      <c r="K1191" s="3">
        <v>1048.0999999999999</v>
      </c>
      <c r="L1191" s="2">
        <v>10886735</v>
      </c>
      <c r="M1191" s="2">
        <v>14360481637.450001</v>
      </c>
      <c r="N1191" s="2">
        <v>252535</v>
      </c>
      <c r="O1191" t="s">
        <v>20</v>
      </c>
    </row>
    <row r="1192" spans="1:15" x14ac:dyDescent="0.3">
      <c r="A1192" s="1">
        <v>45735</v>
      </c>
      <c r="B1192" t="s">
        <v>15</v>
      </c>
      <c r="C1192" s="3">
        <v>1305.5999999999999</v>
      </c>
      <c r="D1192" s="3">
        <v>1318.3</v>
      </c>
      <c r="E1192" s="3">
        <v>1302.1500000000001</v>
      </c>
      <c r="F1192" s="3">
        <v>1309.8499999999999</v>
      </c>
      <c r="G1192" s="3">
        <v>1316</v>
      </c>
      <c r="H1192" s="3">
        <v>1313.1</v>
      </c>
      <c r="I1192" s="3">
        <v>1311.61</v>
      </c>
      <c r="J1192" s="3">
        <v>1362.35</v>
      </c>
      <c r="K1192" s="3">
        <v>1048.0999999999999</v>
      </c>
      <c r="L1192" s="2">
        <v>11278014</v>
      </c>
      <c r="M1192" s="2">
        <v>14792332058.700001</v>
      </c>
      <c r="N1192" s="2">
        <v>244205</v>
      </c>
      <c r="O1192" t="s">
        <v>20</v>
      </c>
    </row>
    <row r="1193" spans="1:15" x14ac:dyDescent="0.3">
      <c r="A1193" s="1">
        <v>45734</v>
      </c>
      <c r="B1193" t="s">
        <v>15</v>
      </c>
      <c r="C1193" s="3">
        <v>1285.5</v>
      </c>
      <c r="D1193" s="3">
        <v>1313.85</v>
      </c>
      <c r="E1193" s="3">
        <v>1280.6500000000001</v>
      </c>
      <c r="F1193" s="3">
        <v>1269</v>
      </c>
      <c r="G1193" s="3">
        <v>1311.5</v>
      </c>
      <c r="H1193" s="3">
        <v>1309.8499999999999</v>
      </c>
      <c r="I1193" s="3">
        <v>1299.54</v>
      </c>
      <c r="J1193" s="3">
        <v>1362.35</v>
      </c>
      <c r="K1193" s="3">
        <v>1048.0999999999999</v>
      </c>
      <c r="L1193" s="2">
        <v>15645427</v>
      </c>
      <c r="M1193" s="2">
        <v>20331886817.150002</v>
      </c>
      <c r="N1193" s="2">
        <v>337230</v>
      </c>
      <c r="O1193" t="s">
        <v>20</v>
      </c>
    </row>
    <row r="1194" spans="1:15" x14ac:dyDescent="0.3">
      <c r="A1194" s="1">
        <v>45733</v>
      </c>
      <c r="B1194" t="s">
        <v>15</v>
      </c>
      <c r="C1194" s="3">
        <v>1257.05</v>
      </c>
      <c r="D1194" s="3">
        <v>1273.95</v>
      </c>
      <c r="E1194" s="3">
        <v>1254.75</v>
      </c>
      <c r="F1194" s="3">
        <v>1250.05</v>
      </c>
      <c r="G1194" s="3">
        <v>1268.6500000000001</v>
      </c>
      <c r="H1194" s="3">
        <v>1269</v>
      </c>
      <c r="I1194" s="3">
        <v>1267.47</v>
      </c>
      <c r="J1194" s="3">
        <v>1362.35</v>
      </c>
      <c r="K1194" s="3">
        <v>1048.0999999999999</v>
      </c>
      <c r="L1194" s="2">
        <v>11164882</v>
      </c>
      <c r="M1194" s="2">
        <v>14151149490.549999</v>
      </c>
      <c r="N1194" s="2">
        <v>226414</v>
      </c>
      <c r="O1194" t="s">
        <v>20</v>
      </c>
    </row>
    <row r="1195" spans="1:15" x14ac:dyDescent="0.3">
      <c r="A1195" s="1">
        <v>45729</v>
      </c>
      <c r="B1195" t="s">
        <v>15</v>
      </c>
      <c r="C1195" s="3">
        <v>1251.05</v>
      </c>
      <c r="D1195" s="3">
        <v>1255.5999999999999</v>
      </c>
      <c r="E1195" s="3">
        <v>1245.3</v>
      </c>
      <c r="F1195" s="3">
        <v>1243.95</v>
      </c>
      <c r="G1195" s="3">
        <v>1248.6500000000001</v>
      </c>
      <c r="H1195" s="3">
        <v>1250.05</v>
      </c>
      <c r="I1195" s="3">
        <v>1250.96</v>
      </c>
      <c r="J1195" s="3">
        <v>1362.35</v>
      </c>
      <c r="K1195" s="3">
        <v>1048.0999999999999</v>
      </c>
      <c r="L1195" s="2">
        <v>8132940</v>
      </c>
      <c r="M1195" s="2">
        <v>10173984588.65</v>
      </c>
      <c r="N1195" s="2">
        <v>190526</v>
      </c>
      <c r="O1195" t="s">
        <v>20</v>
      </c>
    </row>
    <row r="1196" spans="1:15" x14ac:dyDescent="0.3">
      <c r="A1196" s="1">
        <v>45728</v>
      </c>
      <c r="B1196" t="s">
        <v>15</v>
      </c>
      <c r="C1196" s="3">
        <v>1246.95</v>
      </c>
      <c r="D1196" s="3">
        <v>1251.95</v>
      </c>
      <c r="E1196" s="3">
        <v>1235.3</v>
      </c>
      <c r="F1196" s="3">
        <v>1245.4000000000001</v>
      </c>
      <c r="G1196" s="3">
        <v>1244.45</v>
      </c>
      <c r="H1196" s="3">
        <v>1243.95</v>
      </c>
      <c r="I1196" s="3">
        <v>1243.3699999999999</v>
      </c>
      <c r="J1196" s="3">
        <v>1362.35</v>
      </c>
      <c r="K1196" s="3">
        <v>1048.0999999999999</v>
      </c>
      <c r="L1196" s="2">
        <v>11548372</v>
      </c>
      <c r="M1196" s="2">
        <v>14358854881.85</v>
      </c>
      <c r="N1196" s="2">
        <v>197340</v>
      </c>
      <c r="O1196" t="s">
        <v>20</v>
      </c>
    </row>
    <row r="1197" spans="1:15" x14ac:dyDescent="0.3">
      <c r="A1197" s="1">
        <v>45727</v>
      </c>
      <c r="B1197" t="s">
        <v>15</v>
      </c>
      <c r="C1197" s="3">
        <v>1217.2</v>
      </c>
      <c r="D1197" s="3">
        <v>1248</v>
      </c>
      <c r="E1197" s="3">
        <v>1217.2</v>
      </c>
      <c r="F1197" s="3">
        <v>1214.8499999999999</v>
      </c>
      <c r="G1197" s="3">
        <v>1244.1500000000001</v>
      </c>
      <c r="H1197" s="3">
        <v>1245.4000000000001</v>
      </c>
      <c r="I1197" s="3">
        <v>1238.81</v>
      </c>
      <c r="J1197" s="3">
        <v>1362.35</v>
      </c>
      <c r="K1197" s="3">
        <v>1048.0999999999999</v>
      </c>
      <c r="L1197" s="2">
        <v>10927950</v>
      </c>
      <c r="M1197" s="2">
        <v>13537605281.450001</v>
      </c>
      <c r="N1197" s="2">
        <v>238907</v>
      </c>
      <c r="O1197" t="s">
        <v>20</v>
      </c>
    </row>
    <row r="1198" spans="1:15" x14ac:dyDescent="0.3">
      <c r="A1198" s="1">
        <v>45726</v>
      </c>
      <c r="B1198" t="s">
        <v>15</v>
      </c>
      <c r="C1198" s="3">
        <v>1208</v>
      </c>
      <c r="D1198" s="3">
        <v>1225.8</v>
      </c>
      <c r="E1198" s="3">
        <v>1208</v>
      </c>
      <c r="F1198" s="3">
        <v>1214.55</v>
      </c>
      <c r="G1198" s="3">
        <v>1212.9000000000001</v>
      </c>
      <c r="H1198" s="3">
        <v>1214.8499999999999</v>
      </c>
      <c r="I1198" s="3">
        <v>1218.5</v>
      </c>
      <c r="J1198" s="3">
        <v>1362.35</v>
      </c>
      <c r="K1198" s="3">
        <v>1048.0999999999999</v>
      </c>
      <c r="L1198" s="2">
        <v>7363437</v>
      </c>
      <c r="M1198" s="2">
        <v>8972340771.1499996</v>
      </c>
      <c r="N1198" s="2">
        <v>152261</v>
      </c>
      <c r="O1198" t="s">
        <v>20</v>
      </c>
    </row>
    <row r="1199" spans="1:15" x14ac:dyDescent="0.3">
      <c r="A1199" s="1">
        <v>45723</v>
      </c>
      <c r="B1199" t="s">
        <v>15</v>
      </c>
      <c r="C1199" s="3">
        <v>1211.0999999999999</v>
      </c>
      <c r="D1199" s="3">
        <v>1217.8499999999999</v>
      </c>
      <c r="E1199" s="3">
        <v>1206.3</v>
      </c>
      <c r="F1199" s="3">
        <v>1218.05</v>
      </c>
      <c r="G1199" s="3">
        <v>1213.4000000000001</v>
      </c>
      <c r="H1199" s="3">
        <v>1214.55</v>
      </c>
      <c r="I1199" s="3">
        <v>1213.6300000000001</v>
      </c>
      <c r="J1199" s="3">
        <v>1362.35</v>
      </c>
      <c r="K1199" s="3">
        <v>1048.0999999999999</v>
      </c>
      <c r="L1199" s="2">
        <v>6620284</v>
      </c>
      <c r="M1199" s="2">
        <v>8034543520.3500004</v>
      </c>
      <c r="N1199" s="2">
        <v>118643</v>
      </c>
      <c r="O1199" t="s">
        <v>20</v>
      </c>
    </row>
    <row r="1200" spans="1:15" x14ac:dyDescent="0.3">
      <c r="A1200" s="1">
        <v>45722</v>
      </c>
      <c r="B1200" t="s">
        <v>15</v>
      </c>
      <c r="C1200" s="3">
        <v>1227.95</v>
      </c>
      <c r="D1200" s="3">
        <v>1227.95</v>
      </c>
      <c r="E1200" s="3">
        <v>1209</v>
      </c>
      <c r="F1200" s="3">
        <v>1215.7</v>
      </c>
      <c r="G1200" s="3">
        <v>1219.8</v>
      </c>
      <c r="H1200" s="3">
        <v>1218.05</v>
      </c>
      <c r="I1200" s="3">
        <v>1217.04</v>
      </c>
      <c r="J1200" s="3">
        <v>1362.35</v>
      </c>
      <c r="K1200" s="3">
        <v>1048.0999999999999</v>
      </c>
      <c r="L1200" s="2">
        <v>11949475</v>
      </c>
      <c r="M1200" s="2">
        <v>14543033343.200001</v>
      </c>
      <c r="N1200" s="2">
        <v>250155</v>
      </c>
      <c r="O1200" t="s">
        <v>20</v>
      </c>
    </row>
    <row r="1201" spans="1:15" x14ac:dyDescent="0.3">
      <c r="A1201" s="1">
        <v>45721</v>
      </c>
      <c r="B1201" t="s">
        <v>15</v>
      </c>
      <c r="C1201" s="3">
        <v>1217</v>
      </c>
      <c r="D1201" s="3">
        <v>1225.95</v>
      </c>
      <c r="E1201" s="3">
        <v>1211.3</v>
      </c>
      <c r="F1201" s="3">
        <v>1210.4000000000001</v>
      </c>
      <c r="G1201" s="3">
        <v>1215</v>
      </c>
      <c r="H1201" s="3">
        <v>1215.7</v>
      </c>
      <c r="I1201" s="3">
        <v>1216.73</v>
      </c>
      <c r="J1201" s="3">
        <v>1362.35</v>
      </c>
      <c r="K1201" s="3">
        <v>1048.0999999999999</v>
      </c>
      <c r="L1201" s="2">
        <v>9052846</v>
      </c>
      <c r="M1201" s="2">
        <v>11014865217.65</v>
      </c>
      <c r="N1201" s="2">
        <v>199811</v>
      </c>
      <c r="O1201" t="s">
        <v>20</v>
      </c>
    </row>
    <row r="1202" spans="1:15" x14ac:dyDescent="0.3">
      <c r="A1202" s="1">
        <v>45720</v>
      </c>
      <c r="B1202" t="s">
        <v>15</v>
      </c>
      <c r="C1202" s="3">
        <v>1207.1500000000001</v>
      </c>
      <c r="D1202" s="3">
        <v>1216.6500000000001</v>
      </c>
      <c r="E1202" s="3">
        <v>1206.25</v>
      </c>
      <c r="F1202" s="3">
        <v>1206.2</v>
      </c>
      <c r="G1202" s="3">
        <v>1212.8</v>
      </c>
      <c r="H1202" s="3">
        <v>1210.4000000000001</v>
      </c>
      <c r="I1202" s="3">
        <v>1210.78</v>
      </c>
      <c r="J1202" s="3">
        <v>1362.35</v>
      </c>
      <c r="K1202" s="3">
        <v>1048.0999999999999</v>
      </c>
      <c r="L1202" s="2">
        <v>9574490</v>
      </c>
      <c r="M1202" s="2">
        <v>11592601922.9</v>
      </c>
      <c r="N1202" s="2">
        <v>169550</v>
      </c>
      <c r="O1202" t="s">
        <v>20</v>
      </c>
    </row>
    <row r="1203" spans="1:15" x14ac:dyDescent="0.3">
      <c r="A1203" s="1">
        <v>45719</v>
      </c>
      <c r="B1203" t="s">
        <v>15</v>
      </c>
      <c r="C1203" s="3">
        <v>1210.5</v>
      </c>
      <c r="D1203" s="3">
        <v>1217</v>
      </c>
      <c r="E1203" s="3">
        <v>1204.1500000000001</v>
      </c>
      <c r="F1203" s="3">
        <v>1204.0999999999999</v>
      </c>
      <c r="G1203" s="3">
        <v>1208.7</v>
      </c>
      <c r="H1203" s="3">
        <v>1206.2</v>
      </c>
      <c r="I1203" s="3">
        <v>1209.49</v>
      </c>
      <c r="J1203" s="3">
        <v>1362.35</v>
      </c>
      <c r="K1203" s="3">
        <v>1048.0999999999999</v>
      </c>
      <c r="L1203" s="2">
        <v>8158881</v>
      </c>
      <c r="M1203" s="2">
        <v>9868073967.3500004</v>
      </c>
      <c r="N1203" s="2">
        <v>208311</v>
      </c>
      <c r="O1203" t="s">
        <v>20</v>
      </c>
    </row>
    <row r="1204" spans="1:15" x14ac:dyDescent="0.3">
      <c r="A1204" s="1">
        <v>45716</v>
      </c>
      <c r="B1204" t="s">
        <v>15</v>
      </c>
      <c r="C1204" s="3">
        <v>1216</v>
      </c>
      <c r="D1204" s="3">
        <v>1225</v>
      </c>
      <c r="E1204" s="3">
        <v>1200.0999999999999</v>
      </c>
      <c r="F1204" s="3">
        <v>1222.45</v>
      </c>
      <c r="G1204" s="3">
        <v>1201.0999999999999</v>
      </c>
      <c r="H1204" s="3">
        <v>1204.0999999999999</v>
      </c>
      <c r="I1204" s="3">
        <v>1208.9100000000001</v>
      </c>
      <c r="J1204" s="3">
        <v>1362.35</v>
      </c>
      <c r="K1204" s="3">
        <v>1038.5</v>
      </c>
      <c r="L1204" s="2">
        <v>20215075</v>
      </c>
      <c r="M1204" s="2">
        <v>24438200772.650002</v>
      </c>
      <c r="N1204" s="2">
        <v>268866</v>
      </c>
      <c r="O1204" t="s">
        <v>20</v>
      </c>
    </row>
    <row r="1205" spans="1:15" x14ac:dyDescent="0.3">
      <c r="A1205" s="1">
        <v>45715</v>
      </c>
      <c r="B1205" t="s">
        <v>15</v>
      </c>
      <c r="C1205" s="3">
        <v>1225.1500000000001</v>
      </c>
      <c r="D1205" s="3">
        <v>1234.8499999999999</v>
      </c>
      <c r="E1205" s="3">
        <v>1218.45</v>
      </c>
      <c r="F1205" s="3">
        <v>1224.1500000000001</v>
      </c>
      <c r="G1205" s="3">
        <v>1220</v>
      </c>
      <c r="H1205" s="3">
        <v>1222.45</v>
      </c>
      <c r="I1205" s="3">
        <v>1226.56</v>
      </c>
      <c r="J1205" s="3">
        <v>1362.35</v>
      </c>
      <c r="K1205" s="3">
        <v>1038.5</v>
      </c>
      <c r="L1205" s="2">
        <v>12008162</v>
      </c>
      <c r="M1205" s="2">
        <v>14728753125</v>
      </c>
      <c r="N1205" s="2">
        <v>234248</v>
      </c>
      <c r="O1205" t="s">
        <v>20</v>
      </c>
    </row>
    <row r="1206" spans="1:15" x14ac:dyDescent="0.3">
      <c r="A1206" s="1">
        <v>45713</v>
      </c>
      <c r="B1206" t="s">
        <v>15</v>
      </c>
      <c r="C1206" s="3">
        <v>1226.5999999999999</v>
      </c>
      <c r="D1206" s="3">
        <v>1231.6500000000001</v>
      </c>
      <c r="E1206" s="3">
        <v>1221</v>
      </c>
      <c r="F1206" s="3">
        <v>1218.3499999999999</v>
      </c>
      <c r="G1206" s="3">
        <v>1225.8</v>
      </c>
      <c r="H1206" s="3">
        <v>1224.1500000000001</v>
      </c>
      <c r="I1206" s="3">
        <v>1225</v>
      </c>
      <c r="J1206" s="3">
        <v>1362.35</v>
      </c>
      <c r="K1206" s="3">
        <v>1038.5</v>
      </c>
      <c r="L1206" s="2">
        <v>11059417</v>
      </c>
      <c r="M1206" s="2">
        <v>13547735420.799999</v>
      </c>
      <c r="N1206" s="2">
        <v>199168</v>
      </c>
      <c r="O1206" t="s">
        <v>20</v>
      </c>
    </row>
    <row r="1207" spans="1:15" x14ac:dyDescent="0.3">
      <c r="A1207" s="1">
        <v>45712</v>
      </c>
      <c r="B1207" t="s">
        <v>15</v>
      </c>
      <c r="C1207" s="3">
        <v>1226.7</v>
      </c>
      <c r="D1207" s="3">
        <v>1231.9000000000001</v>
      </c>
      <c r="E1207" s="3">
        <v>1210.25</v>
      </c>
      <c r="F1207" s="3">
        <v>1232.95</v>
      </c>
      <c r="G1207" s="3">
        <v>1219.7</v>
      </c>
      <c r="H1207" s="3">
        <v>1218.3499999999999</v>
      </c>
      <c r="I1207" s="3">
        <v>1217.57</v>
      </c>
      <c r="J1207" s="3">
        <v>1362.35</v>
      </c>
      <c r="K1207" s="3">
        <v>1038.5</v>
      </c>
      <c r="L1207" s="2">
        <v>11522480</v>
      </c>
      <c r="M1207" s="2">
        <v>14029388111.950001</v>
      </c>
      <c r="N1207" s="2">
        <v>206398</v>
      </c>
      <c r="O1207" t="s">
        <v>20</v>
      </c>
    </row>
    <row r="1208" spans="1:15" x14ac:dyDescent="0.3">
      <c r="A1208" s="1">
        <v>45709</v>
      </c>
      <c r="B1208" t="s">
        <v>15</v>
      </c>
      <c r="C1208" s="3">
        <v>1241.0999999999999</v>
      </c>
      <c r="D1208" s="3">
        <v>1244.7</v>
      </c>
      <c r="E1208" s="3">
        <v>1224.55</v>
      </c>
      <c r="F1208" s="3">
        <v>1249.95</v>
      </c>
      <c r="G1208" s="3">
        <v>1232</v>
      </c>
      <c r="H1208" s="3">
        <v>1232.95</v>
      </c>
      <c r="I1208" s="3">
        <v>1233.19</v>
      </c>
      <c r="J1208" s="3">
        <v>1362.35</v>
      </c>
      <c r="K1208" s="3">
        <v>1023.35</v>
      </c>
      <c r="L1208" s="2">
        <v>7786428</v>
      </c>
      <c r="M1208" s="2">
        <v>9602112287.6499996</v>
      </c>
      <c r="N1208" s="2">
        <v>178759</v>
      </c>
      <c r="O1208" t="s">
        <v>20</v>
      </c>
    </row>
    <row r="1209" spans="1:15" x14ac:dyDescent="0.3">
      <c r="A1209" s="1">
        <v>45708</v>
      </c>
      <c r="B1209" t="s">
        <v>15</v>
      </c>
      <c r="C1209" s="3">
        <v>1255.3499999999999</v>
      </c>
      <c r="D1209" s="3">
        <v>1264</v>
      </c>
      <c r="E1209" s="3">
        <v>1246.75</v>
      </c>
      <c r="F1209" s="3">
        <v>1261.6500000000001</v>
      </c>
      <c r="G1209" s="3">
        <v>1248.1500000000001</v>
      </c>
      <c r="H1209" s="3">
        <v>1249.95</v>
      </c>
      <c r="I1209" s="3">
        <v>1252.3</v>
      </c>
      <c r="J1209" s="3">
        <v>1362.35</v>
      </c>
      <c r="K1209" s="3">
        <v>1023.35</v>
      </c>
      <c r="L1209" s="2">
        <v>8398849</v>
      </c>
      <c r="M1209" s="2">
        <v>10517847931.9</v>
      </c>
      <c r="N1209" s="2">
        <v>204041</v>
      </c>
      <c r="O1209" t="s">
        <v>20</v>
      </c>
    </row>
    <row r="1210" spans="1:15" x14ac:dyDescent="0.3">
      <c r="A1210" s="1">
        <v>45707</v>
      </c>
      <c r="B1210" t="s">
        <v>15</v>
      </c>
      <c r="C1210" s="3">
        <v>1234.8499999999999</v>
      </c>
      <c r="D1210" s="3">
        <v>1264.45</v>
      </c>
      <c r="E1210" s="3">
        <v>1230.25</v>
      </c>
      <c r="F1210" s="3">
        <v>1243.05</v>
      </c>
      <c r="G1210" s="3">
        <v>1261.5</v>
      </c>
      <c r="H1210" s="3">
        <v>1261.6500000000001</v>
      </c>
      <c r="I1210" s="3">
        <v>1253.9100000000001</v>
      </c>
      <c r="J1210" s="3">
        <v>1362.35</v>
      </c>
      <c r="K1210" s="3">
        <v>1023.35</v>
      </c>
      <c r="L1210" s="2">
        <v>10683412</v>
      </c>
      <c r="M1210" s="2">
        <v>13396072372.5</v>
      </c>
      <c r="N1210" s="2">
        <v>164771</v>
      </c>
      <c r="O1210" t="s">
        <v>20</v>
      </c>
    </row>
    <row r="1211" spans="1:15" x14ac:dyDescent="0.3">
      <c r="A1211" s="1">
        <v>45706</v>
      </c>
      <c r="B1211" t="s">
        <v>15</v>
      </c>
      <c r="C1211" s="3">
        <v>1252.9000000000001</v>
      </c>
      <c r="D1211" s="3">
        <v>1257.5999999999999</v>
      </c>
      <c r="E1211" s="3">
        <v>1237.05</v>
      </c>
      <c r="F1211" s="3">
        <v>1251.1500000000001</v>
      </c>
      <c r="G1211" s="3">
        <v>1242.55</v>
      </c>
      <c r="H1211" s="3">
        <v>1243.05</v>
      </c>
      <c r="I1211" s="3">
        <v>1242.3699999999999</v>
      </c>
      <c r="J1211" s="3">
        <v>1362.35</v>
      </c>
      <c r="K1211" s="3">
        <v>1023.35</v>
      </c>
      <c r="L1211" s="2">
        <v>8135042</v>
      </c>
      <c r="M1211" s="2">
        <v>10106708536.6</v>
      </c>
      <c r="N1211" s="2">
        <v>257996</v>
      </c>
      <c r="O1211" t="s">
        <v>20</v>
      </c>
    </row>
    <row r="1212" spans="1:15" x14ac:dyDescent="0.3">
      <c r="A1212" s="1">
        <v>45705</v>
      </c>
      <c r="B1212" t="s">
        <v>15</v>
      </c>
      <c r="C1212" s="3">
        <v>1251.1500000000001</v>
      </c>
      <c r="D1212" s="3">
        <v>1258.1500000000001</v>
      </c>
      <c r="E1212" s="3">
        <v>1233.25</v>
      </c>
      <c r="F1212" s="3">
        <v>1260.0999999999999</v>
      </c>
      <c r="G1212" s="3">
        <v>1251.6500000000001</v>
      </c>
      <c r="H1212" s="3">
        <v>1251.1500000000001</v>
      </c>
      <c r="I1212" s="3">
        <v>1244.8900000000001</v>
      </c>
      <c r="J1212" s="3">
        <v>1362.35</v>
      </c>
      <c r="K1212" s="3">
        <v>1023.35</v>
      </c>
      <c r="L1212" s="2">
        <v>8386151</v>
      </c>
      <c r="M1212" s="2">
        <v>10439844806.35</v>
      </c>
      <c r="N1212" s="2">
        <v>294062</v>
      </c>
      <c r="O1212" t="s">
        <v>20</v>
      </c>
    </row>
    <row r="1213" spans="1:15" x14ac:dyDescent="0.3">
      <c r="A1213" s="1">
        <v>45702</v>
      </c>
      <c r="B1213" t="s">
        <v>15</v>
      </c>
      <c r="C1213" s="3">
        <v>1252.0999999999999</v>
      </c>
      <c r="D1213" s="3">
        <v>1263.5</v>
      </c>
      <c r="E1213" s="3">
        <v>1244.45</v>
      </c>
      <c r="F1213" s="3">
        <v>1248.9000000000001</v>
      </c>
      <c r="G1213" s="3">
        <v>1259</v>
      </c>
      <c r="H1213" s="3">
        <v>1260.0999999999999</v>
      </c>
      <c r="I1213" s="3">
        <v>1254.48</v>
      </c>
      <c r="J1213" s="3">
        <v>1362.35</v>
      </c>
      <c r="K1213" s="3">
        <v>985.25</v>
      </c>
      <c r="L1213" s="2">
        <v>10368438</v>
      </c>
      <c r="M1213" s="2">
        <v>13006959974.75</v>
      </c>
      <c r="N1213" s="2">
        <v>289728</v>
      </c>
      <c r="O1213" t="s">
        <v>20</v>
      </c>
    </row>
    <row r="1214" spans="1:15" x14ac:dyDescent="0.3">
      <c r="A1214" s="1">
        <v>45701</v>
      </c>
      <c r="B1214" t="s">
        <v>15</v>
      </c>
      <c r="C1214" s="3">
        <v>1252.55</v>
      </c>
      <c r="D1214" s="3">
        <v>1266</v>
      </c>
      <c r="E1214" s="3">
        <v>1245.9000000000001</v>
      </c>
      <c r="F1214" s="3">
        <v>1251.8</v>
      </c>
      <c r="G1214" s="3">
        <v>1248.5</v>
      </c>
      <c r="H1214" s="3">
        <v>1248.9000000000001</v>
      </c>
      <c r="I1214" s="3">
        <v>1254.6099999999999</v>
      </c>
      <c r="J1214" s="3">
        <v>1362.35</v>
      </c>
      <c r="K1214" s="3">
        <v>985.25</v>
      </c>
      <c r="L1214" s="2">
        <v>7263785</v>
      </c>
      <c r="M1214" s="2">
        <v>9113247793.3999996</v>
      </c>
      <c r="N1214" s="2">
        <v>261567</v>
      </c>
      <c r="O1214" t="s">
        <v>20</v>
      </c>
    </row>
    <row r="1215" spans="1:15" x14ac:dyDescent="0.3">
      <c r="A1215" s="1">
        <v>45700</v>
      </c>
      <c r="B1215" t="s">
        <v>15</v>
      </c>
      <c r="C1215" s="3">
        <v>1257.2</v>
      </c>
      <c r="D1215" s="3">
        <v>1269.75</v>
      </c>
      <c r="E1215" s="3">
        <v>1244.6500000000001</v>
      </c>
      <c r="F1215" s="3">
        <v>1252.75</v>
      </c>
      <c r="G1215" s="3">
        <v>1252.8499999999999</v>
      </c>
      <c r="H1215" s="3">
        <v>1251.8</v>
      </c>
      <c r="I1215" s="3">
        <v>1252.33</v>
      </c>
      <c r="J1215" s="3">
        <v>1362.35</v>
      </c>
      <c r="K1215" s="3">
        <v>985.25</v>
      </c>
      <c r="L1215" s="2">
        <v>8809352</v>
      </c>
      <c r="M1215" s="2">
        <v>11032200057.65</v>
      </c>
      <c r="N1215" s="2">
        <v>320587</v>
      </c>
      <c r="O1215" t="s">
        <v>20</v>
      </c>
    </row>
    <row r="1216" spans="1:15" x14ac:dyDescent="0.3">
      <c r="A1216" s="1">
        <v>45699</v>
      </c>
      <c r="B1216" t="s">
        <v>15</v>
      </c>
      <c r="C1216" s="3">
        <v>1255.8499999999999</v>
      </c>
      <c r="D1216" s="3">
        <v>1261.8499999999999</v>
      </c>
      <c r="E1216" s="3">
        <v>1248.4000000000001</v>
      </c>
      <c r="F1216" s="3">
        <v>1262.5999999999999</v>
      </c>
      <c r="G1216" s="3">
        <v>1248.55</v>
      </c>
      <c r="H1216" s="3">
        <v>1252.75</v>
      </c>
      <c r="I1216" s="3">
        <v>1254.67</v>
      </c>
      <c r="J1216" s="3">
        <v>1362.35</v>
      </c>
      <c r="K1216" s="3">
        <v>985.25</v>
      </c>
      <c r="L1216" s="2">
        <v>6586627</v>
      </c>
      <c r="M1216" s="2">
        <v>8264043638.6999998</v>
      </c>
      <c r="N1216" s="2">
        <v>174408</v>
      </c>
      <c r="O1216" t="s">
        <v>20</v>
      </c>
    </row>
    <row r="1217" spans="1:15" x14ac:dyDescent="0.3">
      <c r="A1217" s="1">
        <v>45698</v>
      </c>
      <c r="B1217" t="s">
        <v>15</v>
      </c>
      <c r="C1217" s="3">
        <v>1257.2</v>
      </c>
      <c r="D1217" s="3">
        <v>1265</v>
      </c>
      <c r="E1217" s="3">
        <v>1249.3499999999999</v>
      </c>
      <c r="F1217" s="3">
        <v>1256.9000000000001</v>
      </c>
      <c r="G1217" s="3">
        <v>1259.5999999999999</v>
      </c>
      <c r="H1217" s="3">
        <v>1262.5999999999999</v>
      </c>
      <c r="I1217" s="3">
        <v>1257.56</v>
      </c>
      <c r="J1217" s="3">
        <v>1362.35</v>
      </c>
      <c r="K1217" s="3">
        <v>985.25</v>
      </c>
      <c r="L1217" s="2">
        <v>5740361</v>
      </c>
      <c r="M1217" s="2">
        <v>7218836541.1999998</v>
      </c>
      <c r="N1217" s="2">
        <v>180650</v>
      </c>
      <c r="O1217" t="s">
        <v>20</v>
      </c>
    </row>
    <row r="1218" spans="1:15" x14ac:dyDescent="0.3">
      <c r="A1218" s="1">
        <v>45695</v>
      </c>
      <c r="B1218" t="s">
        <v>15</v>
      </c>
      <c r="C1218" s="3">
        <v>1272</v>
      </c>
      <c r="D1218" s="3">
        <v>1275</v>
      </c>
      <c r="E1218" s="3">
        <v>1249.55</v>
      </c>
      <c r="F1218" s="3">
        <v>1272.4000000000001</v>
      </c>
      <c r="G1218" s="3">
        <v>1257</v>
      </c>
      <c r="H1218" s="3">
        <v>1256.9000000000001</v>
      </c>
      <c r="I1218" s="3">
        <v>1258.99</v>
      </c>
      <c r="J1218" s="3">
        <v>1362.35</v>
      </c>
      <c r="K1218" s="3">
        <v>985.25</v>
      </c>
      <c r="L1218" s="2">
        <v>7382039</v>
      </c>
      <c r="M1218" s="2">
        <v>9293877445.0499992</v>
      </c>
      <c r="N1218" s="2">
        <v>191355</v>
      </c>
      <c r="O1218" t="s">
        <v>20</v>
      </c>
    </row>
    <row r="1219" spans="1:15" x14ac:dyDescent="0.3">
      <c r="A1219" s="1">
        <v>45694</v>
      </c>
      <c r="B1219" t="s">
        <v>15</v>
      </c>
      <c r="C1219" s="3">
        <v>1275</v>
      </c>
      <c r="D1219" s="3">
        <v>1279</v>
      </c>
      <c r="E1219" s="3">
        <v>1263.2</v>
      </c>
      <c r="F1219" s="3">
        <v>1267.7</v>
      </c>
      <c r="G1219" s="3">
        <v>1272</v>
      </c>
      <c r="H1219" s="3">
        <v>1272.4000000000001</v>
      </c>
      <c r="I1219" s="3">
        <v>1270.57</v>
      </c>
      <c r="J1219" s="3">
        <v>1362.35</v>
      </c>
      <c r="K1219" s="3">
        <v>985.25</v>
      </c>
      <c r="L1219" s="2">
        <v>8396554</v>
      </c>
      <c r="M1219" s="2">
        <v>10668440486.049999</v>
      </c>
      <c r="N1219" s="2">
        <v>226596</v>
      </c>
      <c r="O1219" t="s">
        <v>20</v>
      </c>
    </row>
    <row r="1220" spans="1:15" x14ac:dyDescent="0.3">
      <c r="A1220" s="1">
        <v>45693</v>
      </c>
      <c r="B1220" t="s">
        <v>15</v>
      </c>
      <c r="C1220" s="3">
        <v>1270.2</v>
      </c>
      <c r="D1220" s="3">
        <v>1277.75</v>
      </c>
      <c r="E1220" s="3">
        <v>1265.1500000000001</v>
      </c>
      <c r="F1220" s="3">
        <v>1268.2</v>
      </c>
      <c r="G1220" s="3">
        <v>1268.2</v>
      </c>
      <c r="H1220" s="3">
        <v>1267.7</v>
      </c>
      <c r="I1220" s="3">
        <v>1270.6500000000001</v>
      </c>
      <c r="J1220" s="3">
        <v>1362.35</v>
      </c>
      <c r="K1220" s="3">
        <v>985.25</v>
      </c>
      <c r="L1220" s="2">
        <v>6840709</v>
      </c>
      <c r="M1220" s="2">
        <v>8692168613.1000004</v>
      </c>
      <c r="N1220" s="2">
        <v>183398</v>
      </c>
      <c r="O1220" t="s">
        <v>20</v>
      </c>
    </row>
    <row r="1221" spans="1:15" x14ac:dyDescent="0.3">
      <c r="A1221" s="1">
        <v>45692</v>
      </c>
      <c r="B1221" t="s">
        <v>15</v>
      </c>
      <c r="C1221" s="3">
        <v>1262.8</v>
      </c>
      <c r="D1221" s="3">
        <v>1280.5</v>
      </c>
      <c r="E1221" s="3">
        <v>1260</v>
      </c>
      <c r="F1221" s="3">
        <v>1253</v>
      </c>
      <c r="G1221" s="3">
        <v>1266.75</v>
      </c>
      <c r="H1221" s="3">
        <v>1268.2</v>
      </c>
      <c r="I1221" s="3">
        <v>1270.45</v>
      </c>
      <c r="J1221" s="3">
        <v>1362.35</v>
      </c>
      <c r="K1221" s="3">
        <v>985.25</v>
      </c>
      <c r="L1221" s="2">
        <v>14839077</v>
      </c>
      <c r="M1221" s="2">
        <v>18852369674.650002</v>
      </c>
      <c r="N1221" s="2">
        <v>259371</v>
      </c>
      <c r="O1221" t="s">
        <v>20</v>
      </c>
    </row>
    <row r="1222" spans="1:15" x14ac:dyDescent="0.3">
      <c r="A1222" s="1">
        <v>45691</v>
      </c>
      <c r="B1222" t="s">
        <v>15</v>
      </c>
      <c r="C1222" s="3">
        <v>1246.8499999999999</v>
      </c>
      <c r="D1222" s="3">
        <v>1260</v>
      </c>
      <c r="E1222" s="3">
        <v>1237.8</v>
      </c>
      <c r="F1222" s="3">
        <v>1255.55</v>
      </c>
      <c r="G1222" s="3">
        <v>1252.95</v>
      </c>
      <c r="H1222" s="3">
        <v>1253</v>
      </c>
      <c r="I1222" s="3">
        <v>1250.06</v>
      </c>
      <c r="J1222" s="3">
        <v>1362.35</v>
      </c>
      <c r="K1222" s="3">
        <v>985.25</v>
      </c>
      <c r="L1222" s="2">
        <v>6176831</v>
      </c>
      <c r="M1222" s="2">
        <v>7721438599.8500004</v>
      </c>
      <c r="N1222" s="2">
        <v>165087</v>
      </c>
      <c r="O1222" t="s">
        <v>20</v>
      </c>
    </row>
    <row r="1223" spans="1:15" x14ac:dyDescent="0.3">
      <c r="A1223" s="1">
        <v>45689</v>
      </c>
      <c r="B1223" t="s">
        <v>15</v>
      </c>
      <c r="C1223" s="3">
        <v>1251.1500000000001</v>
      </c>
      <c r="D1223" s="3">
        <v>1261.3499999999999</v>
      </c>
      <c r="E1223" s="3">
        <v>1233.8</v>
      </c>
      <c r="F1223" s="3">
        <v>1252.8</v>
      </c>
      <c r="G1223" s="3">
        <v>1254.5</v>
      </c>
      <c r="H1223" s="3">
        <v>1255.55</v>
      </c>
      <c r="I1223" s="3">
        <v>1250.3399999999999</v>
      </c>
      <c r="J1223" s="3">
        <v>1362.35</v>
      </c>
      <c r="K1223" s="3">
        <v>985.25</v>
      </c>
      <c r="L1223" s="2">
        <v>3011914</v>
      </c>
      <c r="M1223" s="2">
        <v>3765927780.5500002</v>
      </c>
      <c r="N1223" s="2">
        <v>91971</v>
      </c>
      <c r="O1223" t="s">
        <v>20</v>
      </c>
    </row>
    <row r="1224" spans="1:15" x14ac:dyDescent="0.3">
      <c r="A1224" s="1">
        <v>45688</v>
      </c>
      <c r="B1224" t="s">
        <v>15</v>
      </c>
      <c r="C1224" s="3">
        <v>1254.5</v>
      </c>
      <c r="D1224" s="3">
        <v>1256</v>
      </c>
      <c r="E1224" s="3">
        <v>1239.0999999999999</v>
      </c>
      <c r="F1224" s="3">
        <v>1255.5999999999999</v>
      </c>
      <c r="G1224" s="3">
        <v>1252.95</v>
      </c>
      <c r="H1224" s="3">
        <v>1252.8</v>
      </c>
      <c r="I1224" s="3">
        <v>1247.43</v>
      </c>
      <c r="J1224" s="3">
        <v>1362.35</v>
      </c>
      <c r="K1224" s="3">
        <v>985.25</v>
      </c>
      <c r="L1224" s="2">
        <v>10195417</v>
      </c>
      <c r="M1224" s="2">
        <v>12718079791.9</v>
      </c>
      <c r="N1224" s="2">
        <v>209906</v>
      </c>
      <c r="O1224" t="s">
        <v>20</v>
      </c>
    </row>
    <row r="1225" spans="1:15" x14ac:dyDescent="0.3">
      <c r="A1225" s="1">
        <v>45687</v>
      </c>
      <c r="B1225" t="s">
        <v>15</v>
      </c>
      <c r="C1225" s="3">
        <v>1250</v>
      </c>
      <c r="D1225" s="3">
        <v>1259.8499999999999</v>
      </c>
      <c r="E1225" s="3">
        <v>1239.5</v>
      </c>
      <c r="F1225" s="3">
        <v>1251.6500000000001</v>
      </c>
      <c r="G1225" s="3">
        <v>1258.55</v>
      </c>
      <c r="H1225" s="3">
        <v>1255.5999999999999</v>
      </c>
      <c r="I1225" s="3">
        <v>1250.26</v>
      </c>
      <c r="J1225" s="3">
        <v>1362.35</v>
      </c>
      <c r="K1225" s="3">
        <v>985.25</v>
      </c>
      <c r="L1225" s="2">
        <v>11921041</v>
      </c>
      <c r="M1225" s="2">
        <v>14904352647.049999</v>
      </c>
      <c r="N1225" s="2">
        <v>331765</v>
      </c>
      <c r="O1225" t="s">
        <v>20</v>
      </c>
    </row>
    <row r="1226" spans="1:15" x14ac:dyDescent="0.3">
      <c r="A1226" s="1">
        <v>45686</v>
      </c>
      <c r="B1226" t="s">
        <v>15</v>
      </c>
      <c r="C1226" s="3">
        <v>1252</v>
      </c>
      <c r="D1226" s="3">
        <v>1255.8</v>
      </c>
      <c r="E1226" s="3">
        <v>1243.05</v>
      </c>
      <c r="F1226" s="3">
        <v>1246.9000000000001</v>
      </c>
      <c r="G1226" s="3">
        <v>1251.4000000000001</v>
      </c>
      <c r="H1226" s="3">
        <v>1251.6500000000001</v>
      </c>
      <c r="I1226" s="3">
        <v>1249.6199999999999</v>
      </c>
      <c r="J1226" s="3">
        <v>1362.35</v>
      </c>
      <c r="K1226" s="3">
        <v>985.25</v>
      </c>
      <c r="L1226" s="2">
        <v>7666777</v>
      </c>
      <c r="M1226" s="2">
        <v>9580525136.6499996</v>
      </c>
      <c r="N1226" s="2">
        <v>219085</v>
      </c>
      <c r="O1226" t="s">
        <v>20</v>
      </c>
    </row>
    <row r="1227" spans="1:15" x14ac:dyDescent="0.3">
      <c r="A1227" s="1">
        <v>45685</v>
      </c>
      <c r="B1227" t="s">
        <v>15</v>
      </c>
      <c r="C1227" s="3">
        <v>1247.3499999999999</v>
      </c>
      <c r="D1227" s="3">
        <v>1264</v>
      </c>
      <c r="E1227" s="3">
        <v>1236</v>
      </c>
      <c r="F1227" s="3">
        <v>1227.95</v>
      </c>
      <c r="G1227" s="3">
        <v>1247.5</v>
      </c>
      <c r="H1227" s="3">
        <v>1246.9000000000001</v>
      </c>
      <c r="I1227" s="3">
        <v>1252.8699999999999</v>
      </c>
      <c r="J1227" s="3">
        <v>1362.35</v>
      </c>
      <c r="K1227" s="3">
        <v>985.25</v>
      </c>
      <c r="L1227" s="2">
        <v>18066499</v>
      </c>
      <c r="M1227" s="2">
        <v>22634905165.950001</v>
      </c>
      <c r="N1227" s="2">
        <v>356462</v>
      </c>
      <c r="O1227" t="s">
        <v>20</v>
      </c>
    </row>
    <row r="1228" spans="1:15" x14ac:dyDescent="0.3">
      <c r="A1228" s="1">
        <v>45684</v>
      </c>
      <c r="B1228" t="s">
        <v>15</v>
      </c>
      <c r="C1228" s="3">
        <v>1195</v>
      </c>
      <c r="D1228" s="3">
        <v>1234.6500000000001</v>
      </c>
      <c r="E1228" s="3">
        <v>1193.0999999999999</v>
      </c>
      <c r="F1228" s="3">
        <v>1209.2</v>
      </c>
      <c r="G1228" s="3">
        <v>1225.25</v>
      </c>
      <c r="H1228" s="3">
        <v>1227.95</v>
      </c>
      <c r="I1228" s="3">
        <v>1224.23</v>
      </c>
      <c r="J1228" s="3">
        <v>1362.35</v>
      </c>
      <c r="K1228" s="3">
        <v>985.25</v>
      </c>
      <c r="L1228" s="2">
        <v>16164687</v>
      </c>
      <c r="M1228" s="2">
        <v>19789327544.650002</v>
      </c>
      <c r="N1228" s="2">
        <v>324795</v>
      </c>
      <c r="O1228" t="s">
        <v>20</v>
      </c>
    </row>
    <row r="1229" spans="1:15" x14ac:dyDescent="0.3">
      <c r="A1229" s="1">
        <v>45681</v>
      </c>
      <c r="B1229" t="s">
        <v>15</v>
      </c>
      <c r="C1229" s="3">
        <v>1203.0999999999999</v>
      </c>
      <c r="D1229" s="3">
        <v>1218</v>
      </c>
      <c r="E1229" s="3">
        <v>1202</v>
      </c>
      <c r="F1229" s="3">
        <v>1201.75</v>
      </c>
      <c r="G1229" s="3">
        <v>1213.7</v>
      </c>
      <c r="H1229" s="3">
        <v>1209.2</v>
      </c>
      <c r="I1229" s="3">
        <v>1209.19</v>
      </c>
      <c r="J1229" s="3">
        <v>1362.35</v>
      </c>
      <c r="K1229" s="3">
        <v>985.25</v>
      </c>
      <c r="L1229" s="2">
        <v>9216792</v>
      </c>
      <c r="M1229" s="2">
        <v>11144844611.200001</v>
      </c>
      <c r="N1229" s="2">
        <v>221872</v>
      </c>
      <c r="O1229" t="s">
        <v>20</v>
      </c>
    </row>
    <row r="1230" spans="1:15" x14ac:dyDescent="0.3">
      <c r="A1230" s="1">
        <v>45680</v>
      </c>
      <c r="B1230" t="s">
        <v>15</v>
      </c>
      <c r="C1230" s="3">
        <v>1197.25</v>
      </c>
      <c r="D1230" s="3">
        <v>1207.9000000000001</v>
      </c>
      <c r="E1230" s="3">
        <v>1186</v>
      </c>
      <c r="F1230" s="3">
        <v>1200.45</v>
      </c>
      <c r="G1230" s="3">
        <v>1202.4000000000001</v>
      </c>
      <c r="H1230" s="3">
        <v>1201.75</v>
      </c>
      <c r="I1230" s="3">
        <v>1201.27</v>
      </c>
      <c r="J1230" s="3">
        <v>1362.35</v>
      </c>
      <c r="K1230" s="3">
        <v>985.25</v>
      </c>
      <c r="L1230" s="2">
        <v>8770650</v>
      </c>
      <c r="M1230" s="2">
        <v>10535875098.799999</v>
      </c>
      <c r="N1230" s="2">
        <v>211991</v>
      </c>
      <c r="O1230" t="s">
        <v>20</v>
      </c>
    </row>
    <row r="1231" spans="1:15" x14ac:dyDescent="0.3">
      <c r="A1231" s="1">
        <v>45679</v>
      </c>
      <c r="B1231" t="s">
        <v>15</v>
      </c>
      <c r="C1231" s="3">
        <v>1201</v>
      </c>
      <c r="D1231" s="3">
        <v>1207.5</v>
      </c>
      <c r="E1231" s="3">
        <v>1191.8</v>
      </c>
      <c r="F1231" s="3">
        <v>1196.1500000000001</v>
      </c>
      <c r="G1231" s="3">
        <v>1198.5999999999999</v>
      </c>
      <c r="H1231" s="3">
        <v>1200.45</v>
      </c>
      <c r="I1231" s="3">
        <v>1199.6500000000001</v>
      </c>
      <c r="J1231" s="3">
        <v>1362.35</v>
      </c>
      <c r="K1231" s="3">
        <v>985.25</v>
      </c>
      <c r="L1231" s="2">
        <v>10377123</v>
      </c>
      <c r="M1231" s="2">
        <v>12448945781.299999</v>
      </c>
      <c r="N1231" s="2">
        <v>269148</v>
      </c>
      <c r="O1231" t="s">
        <v>20</v>
      </c>
    </row>
    <row r="1232" spans="1:15" x14ac:dyDescent="0.3">
      <c r="A1232" s="1">
        <v>45678</v>
      </c>
      <c r="B1232" t="s">
        <v>15</v>
      </c>
      <c r="C1232" s="3">
        <v>1236.95</v>
      </c>
      <c r="D1232" s="3">
        <v>1238.95</v>
      </c>
      <c r="E1232" s="3">
        <v>1192.7</v>
      </c>
      <c r="F1232" s="3">
        <v>1232.95</v>
      </c>
      <c r="G1232" s="3">
        <v>1197.95</v>
      </c>
      <c r="H1232" s="3">
        <v>1196.1500000000001</v>
      </c>
      <c r="I1232" s="3">
        <v>1207.07</v>
      </c>
      <c r="J1232" s="3">
        <v>1362.35</v>
      </c>
      <c r="K1232" s="3">
        <v>985.25</v>
      </c>
      <c r="L1232" s="2">
        <v>20520898</v>
      </c>
      <c r="M1232" s="2">
        <v>24770261514.450001</v>
      </c>
      <c r="N1232" s="2">
        <v>297691</v>
      </c>
      <c r="O1232" t="s">
        <v>20</v>
      </c>
    </row>
    <row r="1233" spans="1:15" x14ac:dyDescent="0.3">
      <c r="A1233" s="1">
        <v>45677</v>
      </c>
      <c r="B1233" t="s">
        <v>15</v>
      </c>
      <c r="C1233" s="3">
        <v>1223.9000000000001</v>
      </c>
      <c r="D1233" s="3">
        <v>1241.75</v>
      </c>
      <c r="E1233" s="3">
        <v>1215.25</v>
      </c>
      <c r="F1233" s="3">
        <v>1225.45</v>
      </c>
      <c r="G1233" s="3">
        <v>1232.55</v>
      </c>
      <c r="H1233" s="3">
        <v>1232.95</v>
      </c>
      <c r="I1233" s="3">
        <v>1229.43</v>
      </c>
      <c r="J1233" s="3">
        <v>1362.35</v>
      </c>
      <c r="K1233" s="3">
        <v>985.25</v>
      </c>
      <c r="L1233" s="2">
        <v>7676418</v>
      </c>
      <c r="M1233" s="2">
        <v>9437603015.1000004</v>
      </c>
      <c r="N1233" s="2">
        <v>240948</v>
      </c>
      <c r="O1233" t="s">
        <v>20</v>
      </c>
    </row>
    <row r="1234" spans="1:15" x14ac:dyDescent="0.3">
      <c r="A1234" s="1">
        <v>45674</v>
      </c>
      <c r="B1234" t="s">
        <v>15</v>
      </c>
      <c r="C1234" s="3">
        <v>1243.3499999999999</v>
      </c>
      <c r="D1234" s="3">
        <v>1249</v>
      </c>
      <c r="E1234" s="3">
        <v>1218</v>
      </c>
      <c r="F1234" s="3">
        <v>1249.0999999999999</v>
      </c>
      <c r="G1234" s="3">
        <v>1225.1500000000001</v>
      </c>
      <c r="H1234" s="3">
        <v>1225.45</v>
      </c>
      <c r="I1234" s="3">
        <v>1226.5899999999999</v>
      </c>
      <c r="J1234" s="3">
        <v>1362.35</v>
      </c>
      <c r="K1234" s="3">
        <v>970.15</v>
      </c>
      <c r="L1234" s="2">
        <v>9790533</v>
      </c>
      <c r="M1234" s="2">
        <v>12008937114.35</v>
      </c>
      <c r="N1234" s="2">
        <v>157327</v>
      </c>
      <c r="O1234" t="s">
        <v>20</v>
      </c>
    </row>
    <row r="1235" spans="1:15" x14ac:dyDescent="0.3">
      <c r="A1235" s="1">
        <v>45673</v>
      </c>
      <c r="B1235" t="s">
        <v>15</v>
      </c>
      <c r="C1235" s="3">
        <v>1245.0999999999999</v>
      </c>
      <c r="D1235" s="3">
        <v>1255.5</v>
      </c>
      <c r="E1235" s="3">
        <v>1239.6500000000001</v>
      </c>
      <c r="F1235" s="3">
        <v>1238.25</v>
      </c>
      <c r="G1235" s="3">
        <v>1252.95</v>
      </c>
      <c r="H1235" s="3">
        <v>1249.0999999999999</v>
      </c>
      <c r="I1235" s="3">
        <v>1247.22</v>
      </c>
      <c r="J1235" s="3">
        <v>1362.35</v>
      </c>
      <c r="K1235" s="3">
        <v>970.15</v>
      </c>
      <c r="L1235" s="2">
        <v>11895924</v>
      </c>
      <c r="M1235" s="2">
        <v>14836843996.049999</v>
      </c>
      <c r="N1235" s="2">
        <v>181488</v>
      </c>
      <c r="O1235" t="s">
        <v>20</v>
      </c>
    </row>
    <row r="1236" spans="1:15" x14ac:dyDescent="0.3">
      <c r="A1236" s="1">
        <v>45672</v>
      </c>
      <c r="B1236" t="s">
        <v>15</v>
      </c>
      <c r="C1236" s="3">
        <v>1234</v>
      </c>
      <c r="D1236" s="3">
        <v>1244.4000000000001</v>
      </c>
      <c r="E1236" s="3">
        <v>1230</v>
      </c>
      <c r="F1236" s="3">
        <v>1240.3</v>
      </c>
      <c r="G1236" s="3">
        <v>1238.9000000000001</v>
      </c>
      <c r="H1236" s="3">
        <v>1238.25</v>
      </c>
      <c r="I1236" s="3">
        <v>1237.19</v>
      </c>
      <c r="J1236" s="3">
        <v>1362.35</v>
      </c>
      <c r="K1236" s="3">
        <v>970.15</v>
      </c>
      <c r="L1236" s="2">
        <v>5355382</v>
      </c>
      <c r="M1236" s="2">
        <v>6625607806.6000004</v>
      </c>
      <c r="N1236" s="2">
        <v>133555</v>
      </c>
      <c r="O1236" t="s">
        <v>20</v>
      </c>
    </row>
    <row r="1237" spans="1:15" x14ac:dyDescent="0.3">
      <c r="A1237" s="1">
        <v>45671</v>
      </c>
      <c r="B1237" t="s">
        <v>15</v>
      </c>
      <c r="C1237" s="3">
        <v>1233.3499999999999</v>
      </c>
      <c r="D1237" s="3">
        <v>1244.8499999999999</v>
      </c>
      <c r="E1237" s="3">
        <v>1227.45</v>
      </c>
      <c r="F1237" s="3">
        <v>1229.75</v>
      </c>
      <c r="G1237" s="3">
        <v>1242.95</v>
      </c>
      <c r="H1237" s="3">
        <v>1240.3</v>
      </c>
      <c r="I1237" s="3">
        <v>1236.06</v>
      </c>
      <c r="J1237" s="3">
        <v>1362.35</v>
      </c>
      <c r="K1237" s="3">
        <v>970.15</v>
      </c>
      <c r="L1237" s="2">
        <v>10342698</v>
      </c>
      <c r="M1237" s="2">
        <v>12784218741</v>
      </c>
      <c r="N1237" s="2">
        <v>210917</v>
      </c>
      <c r="O1237" t="s">
        <v>20</v>
      </c>
    </row>
    <row r="1238" spans="1:15" x14ac:dyDescent="0.3">
      <c r="A1238" s="1">
        <v>45670</v>
      </c>
      <c r="B1238" t="s">
        <v>15</v>
      </c>
      <c r="C1238" s="3">
        <v>1234.9000000000001</v>
      </c>
      <c r="D1238" s="3">
        <v>1243.95</v>
      </c>
      <c r="E1238" s="3">
        <v>1224.9000000000001</v>
      </c>
      <c r="F1238" s="3">
        <v>1249.8499999999999</v>
      </c>
      <c r="G1238" s="3">
        <v>1230.9000000000001</v>
      </c>
      <c r="H1238" s="3">
        <v>1229.75</v>
      </c>
      <c r="I1238" s="3">
        <v>1232.97</v>
      </c>
      <c r="J1238" s="3">
        <v>1362.35</v>
      </c>
      <c r="K1238" s="3">
        <v>970.15</v>
      </c>
      <c r="L1238" s="2">
        <v>9669336</v>
      </c>
      <c r="M1238" s="2">
        <v>11922019625.6</v>
      </c>
      <c r="N1238" s="2">
        <v>204083</v>
      </c>
      <c r="O1238" t="s">
        <v>20</v>
      </c>
    </row>
    <row r="1239" spans="1:15" x14ac:dyDescent="0.3">
      <c r="A1239" s="1">
        <v>45667</v>
      </c>
      <c r="B1239" t="s">
        <v>15</v>
      </c>
      <c r="C1239" s="3">
        <v>1259</v>
      </c>
      <c r="D1239" s="3">
        <v>1264.95</v>
      </c>
      <c r="E1239" s="3">
        <v>1243.0999999999999</v>
      </c>
      <c r="F1239" s="3">
        <v>1262.4000000000001</v>
      </c>
      <c r="G1239" s="3">
        <v>1251.3499999999999</v>
      </c>
      <c r="H1239" s="3">
        <v>1249.8499999999999</v>
      </c>
      <c r="I1239" s="3">
        <v>1250.93</v>
      </c>
      <c r="J1239" s="3">
        <v>1362.35</v>
      </c>
      <c r="K1239" s="3">
        <v>970.15</v>
      </c>
      <c r="L1239" s="2">
        <v>7854524</v>
      </c>
      <c r="M1239" s="2">
        <v>9825430299.8999996</v>
      </c>
      <c r="N1239" s="2">
        <v>228905</v>
      </c>
      <c r="O1239" t="s">
        <v>20</v>
      </c>
    </row>
    <row r="1240" spans="1:15" x14ac:dyDescent="0.3">
      <c r="A1240" s="1">
        <v>45666</v>
      </c>
      <c r="B1240" t="s">
        <v>15</v>
      </c>
      <c r="C1240" s="3">
        <v>1258</v>
      </c>
      <c r="D1240" s="3">
        <v>1264.75</v>
      </c>
      <c r="E1240" s="3">
        <v>1248.0999999999999</v>
      </c>
      <c r="F1240" s="3">
        <v>1263.75</v>
      </c>
      <c r="G1240" s="3">
        <v>1263.5</v>
      </c>
      <c r="H1240" s="3">
        <v>1262.4000000000001</v>
      </c>
      <c r="I1240" s="3">
        <v>1257.24</v>
      </c>
      <c r="J1240" s="3">
        <v>1362.35</v>
      </c>
      <c r="K1240" s="3">
        <v>970.15</v>
      </c>
      <c r="L1240" s="2">
        <v>8684920</v>
      </c>
      <c r="M1240" s="2">
        <v>10919031736.799999</v>
      </c>
      <c r="N1240" s="2">
        <v>161005</v>
      </c>
      <c r="O1240" t="s">
        <v>20</v>
      </c>
    </row>
    <row r="1241" spans="1:15" x14ac:dyDescent="0.3">
      <c r="A1241" s="1">
        <v>45665</v>
      </c>
      <c r="B1241" t="s">
        <v>15</v>
      </c>
      <c r="C1241" s="3">
        <v>1280.55</v>
      </c>
      <c r="D1241" s="3">
        <v>1285</v>
      </c>
      <c r="E1241" s="3">
        <v>1252.3499999999999</v>
      </c>
      <c r="F1241" s="3">
        <v>1279.25</v>
      </c>
      <c r="G1241" s="3">
        <v>1265</v>
      </c>
      <c r="H1241" s="3">
        <v>1263.75</v>
      </c>
      <c r="I1241" s="3">
        <v>1264.7</v>
      </c>
      <c r="J1241" s="3">
        <v>1362.35</v>
      </c>
      <c r="K1241" s="3">
        <v>970.15</v>
      </c>
      <c r="L1241" s="2">
        <v>7566309</v>
      </c>
      <c r="M1241" s="2">
        <v>9569113937.25</v>
      </c>
      <c r="N1241" s="2">
        <v>186833</v>
      </c>
      <c r="O1241" t="s">
        <v>20</v>
      </c>
    </row>
    <row r="1242" spans="1:15" x14ac:dyDescent="0.3">
      <c r="A1242" s="1">
        <v>45664</v>
      </c>
      <c r="B1242" t="s">
        <v>15</v>
      </c>
      <c r="C1242" s="3">
        <v>1266.5</v>
      </c>
      <c r="D1242" s="3">
        <v>1288.95</v>
      </c>
      <c r="E1242" s="3">
        <v>1266.5</v>
      </c>
      <c r="F1242" s="3">
        <v>1264.0999999999999</v>
      </c>
      <c r="G1242" s="3">
        <v>1280.5999999999999</v>
      </c>
      <c r="H1242" s="3">
        <v>1279.25</v>
      </c>
      <c r="I1242" s="3">
        <v>1280.3499999999999</v>
      </c>
      <c r="J1242" s="3">
        <v>1362.35</v>
      </c>
      <c r="K1242" s="3">
        <v>970.15</v>
      </c>
      <c r="L1242" s="2">
        <v>7539758</v>
      </c>
      <c r="M1242" s="2">
        <v>9653565084.1499996</v>
      </c>
      <c r="N1242" s="2">
        <v>153173</v>
      </c>
      <c r="O1242" t="s">
        <v>20</v>
      </c>
    </row>
    <row r="1243" spans="1:15" x14ac:dyDescent="0.3">
      <c r="A1243" s="1">
        <v>45663</v>
      </c>
      <c r="B1243" t="s">
        <v>15</v>
      </c>
      <c r="C1243" s="3">
        <v>1268.05</v>
      </c>
      <c r="D1243" s="3">
        <v>1277.75</v>
      </c>
      <c r="E1243" s="3">
        <v>1257</v>
      </c>
      <c r="F1243" s="3">
        <v>1265.05</v>
      </c>
      <c r="G1243" s="3">
        <v>1266</v>
      </c>
      <c r="H1243" s="3">
        <v>1264.0999999999999</v>
      </c>
      <c r="I1243" s="3">
        <v>1265.3399999999999</v>
      </c>
      <c r="J1243" s="3">
        <v>1362.35</v>
      </c>
      <c r="K1243" s="3">
        <v>970.15</v>
      </c>
      <c r="L1243" s="2">
        <v>7504047</v>
      </c>
      <c r="M1243" s="2">
        <v>9495149142.2000008</v>
      </c>
      <c r="N1243" s="2">
        <v>236168</v>
      </c>
      <c r="O1243" t="s">
        <v>20</v>
      </c>
    </row>
    <row r="1244" spans="1:15" x14ac:dyDescent="0.3">
      <c r="A1244" s="1">
        <v>45660</v>
      </c>
      <c r="B1244" t="s">
        <v>15</v>
      </c>
      <c r="C1244" s="3">
        <v>1286.2</v>
      </c>
      <c r="D1244" s="3">
        <v>1288</v>
      </c>
      <c r="E1244" s="3">
        <v>1262.25</v>
      </c>
      <c r="F1244" s="3">
        <v>1290.5999999999999</v>
      </c>
      <c r="G1244" s="3">
        <v>1265.5999999999999</v>
      </c>
      <c r="H1244" s="3">
        <v>1265.05</v>
      </c>
      <c r="I1244" s="3">
        <v>1269.4000000000001</v>
      </c>
      <c r="J1244" s="3">
        <v>1362.35</v>
      </c>
      <c r="K1244" s="3">
        <v>970.15</v>
      </c>
      <c r="L1244" s="2">
        <v>11194997</v>
      </c>
      <c r="M1244" s="2">
        <v>14210918649.700001</v>
      </c>
      <c r="N1244" s="2">
        <v>219218</v>
      </c>
      <c r="O1244" t="s">
        <v>20</v>
      </c>
    </row>
    <row r="1245" spans="1:15" x14ac:dyDescent="0.3">
      <c r="A1245" s="1">
        <v>45659</v>
      </c>
      <c r="B1245" t="s">
        <v>15</v>
      </c>
      <c r="C1245" s="3">
        <v>1285.0999999999999</v>
      </c>
      <c r="D1245" s="3">
        <v>1293.4000000000001</v>
      </c>
      <c r="E1245" s="3">
        <v>1278.4000000000001</v>
      </c>
      <c r="F1245" s="3">
        <v>1283.6500000000001</v>
      </c>
      <c r="G1245" s="3">
        <v>1291</v>
      </c>
      <c r="H1245" s="3">
        <v>1290.5999999999999</v>
      </c>
      <c r="I1245" s="3">
        <v>1288.3399999999999</v>
      </c>
      <c r="J1245" s="3">
        <v>1362.35</v>
      </c>
      <c r="K1245" s="3">
        <v>970.15</v>
      </c>
      <c r="L1245" s="2">
        <v>7433222</v>
      </c>
      <c r="M1245" s="2">
        <v>9576523020.8500004</v>
      </c>
      <c r="N1245" s="2">
        <v>289378</v>
      </c>
      <c r="O1245" t="s">
        <v>20</v>
      </c>
    </row>
    <row r="1246" spans="1:15" x14ac:dyDescent="0.3">
      <c r="A1246" s="1">
        <v>45658</v>
      </c>
      <c r="B1246" t="s">
        <v>15</v>
      </c>
      <c r="C1246" s="3">
        <v>1281.6500000000001</v>
      </c>
      <c r="D1246" s="3">
        <v>1293</v>
      </c>
      <c r="E1246" s="3">
        <v>1267.0999999999999</v>
      </c>
      <c r="F1246" s="3">
        <v>1281.6500000000001</v>
      </c>
      <c r="G1246" s="3">
        <v>1283.8499999999999</v>
      </c>
      <c r="H1246" s="3">
        <v>1283.6500000000001</v>
      </c>
      <c r="I1246" s="3">
        <v>1283.92</v>
      </c>
      <c r="J1246" s="3">
        <v>1362.35</v>
      </c>
      <c r="K1246" s="3">
        <v>970.15</v>
      </c>
      <c r="L1246" s="2">
        <v>4705399</v>
      </c>
      <c r="M1246" s="2">
        <v>6041347562.1499996</v>
      </c>
      <c r="N1246" s="2">
        <v>152286</v>
      </c>
      <c r="O1246" t="s">
        <v>20</v>
      </c>
    </row>
    <row r="1247" spans="1:15" x14ac:dyDescent="0.3">
      <c r="A1247" s="1">
        <v>46022</v>
      </c>
      <c r="B1247" s="4" t="s">
        <v>15</v>
      </c>
      <c r="C1247" s="4">
        <v>1621</v>
      </c>
      <c r="D1247" s="4">
        <v>1628.6</v>
      </c>
      <c r="E1247" s="4">
        <v>1609.2</v>
      </c>
      <c r="F1247" s="4">
        <v>1621.6</v>
      </c>
      <c r="G1247" s="4">
        <v>1617.9</v>
      </c>
      <c r="H1247" s="4">
        <v>1615.4</v>
      </c>
      <c r="I1247" s="4">
        <v>1616.58</v>
      </c>
      <c r="J1247" s="4">
        <v>1982.8</v>
      </c>
      <c r="K1247" s="4">
        <v>1307</v>
      </c>
      <c r="L1247" s="2">
        <v>6538656</v>
      </c>
      <c r="M1247" s="2">
        <v>10570270246.200001</v>
      </c>
      <c r="N1247" s="2">
        <v>102413</v>
      </c>
      <c r="O1247" t="s">
        <v>21</v>
      </c>
    </row>
    <row r="1248" spans="1:15" x14ac:dyDescent="0.3">
      <c r="A1248" s="1">
        <v>46021</v>
      </c>
      <c r="B1248" s="4" t="s">
        <v>15</v>
      </c>
      <c r="C1248" s="4">
        <v>1647</v>
      </c>
      <c r="D1248" s="4">
        <v>1647.9</v>
      </c>
      <c r="E1248" s="4">
        <v>1616.8</v>
      </c>
      <c r="F1248" s="4">
        <v>1644.7</v>
      </c>
      <c r="G1248" s="4">
        <v>1623.5</v>
      </c>
      <c r="H1248" s="4">
        <v>1621.6</v>
      </c>
      <c r="I1248" s="4">
        <v>1625.72</v>
      </c>
      <c r="J1248" s="4">
        <v>1982.8</v>
      </c>
      <c r="K1248" s="4">
        <v>1307</v>
      </c>
      <c r="L1248" s="2">
        <v>9395937</v>
      </c>
      <c r="M1248" s="2">
        <v>15275131268.299999</v>
      </c>
      <c r="N1248" s="2">
        <v>150131</v>
      </c>
      <c r="O1248" t="s">
        <v>21</v>
      </c>
    </row>
    <row r="1249" spans="1:15" x14ac:dyDescent="0.3">
      <c r="A1249" s="1">
        <v>46020</v>
      </c>
      <c r="B1249" s="4" t="s">
        <v>15</v>
      </c>
      <c r="C1249" s="4">
        <v>1658</v>
      </c>
      <c r="D1249" s="4">
        <v>1673.1</v>
      </c>
      <c r="E1249" s="4">
        <v>1637.1</v>
      </c>
      <c r="F1249" s="4">
        <v>1656.1</v>
      </c>
      <c r="G1249" s="4">
        <v>1645</v>
      </c>
      <c r="H1249" s="4">
        <v>1644.7</v>
      </c>
      <c r="I1249" s="4">
        <v>1647.3</v>
      </c>
      <c r="J1249" s="4">
        <v>1982.8</v>
      </c>
      <c r="K1249" s="4">
        <v>1307</v>
      </c>
      <c r="L1249" s="2">
        <v>4062817</v>
      </c>
      <c r="M1249" s="2">
        <v>6692675971</v>
      </c>
      <c r="N1249" s="2">
        <v>103013</v>
      </c>
      <c r="O1249" t="s">
        <v>21</v>
      </c>
    </row>
    <row r="1250" spans="1:15" x14ac:dyDescent="0.3">
      <c r="A1250" s="1">
        <v>46017</v>
      </c>
      <c r="B1250" s="4" t="s">
        <v>15</v>
      </c>
      <c r="C1250" s="4">
        <v>1663.4</v>
      </c>
      <c r="D1250" s="4">
        <v>1668.8</v>
      </c>
      <c r="E1250" s="4">
        <v>1651.7</v>
      </c>
      <c r="F1250" s="4">
        <v>1663.4</v>
      </c>
      <c r="G1250" s="4">
        <v>1657</v>
      </c>
      <c r="H1250" s="4">
        <v>1656.1</v>
      </c>
      <c r="I1250" s="4">
        <v>1657.89</v>
      </c>
      <c r="J1250" s="4">
        <v>1982.8</v>
      </c>
      <c r="K1250" s="4">
        <v>1307</v>
      </c>
      <c r="L1250" s="2">
        <v>2006491</v>
      </c>
      <c r="M1250" s="2">
        <v>3326544399.9000001</v>
      </c>
      <c r="N1250" s="2">
        <v>97220</v>
      </c>
      <c r="O1250" t="s">
        <v>21</v>
      </c>
    </row>
    <row r="1251" spans="1:15" x14ac:dyDescent="0.3">
      <c r="A1251" s="1">
        <v>46015</v>
      </c>
      <c r="B1251" s="4" t="s">
        <v>15</v>
      </c>
      <c r="C1251" s="4">
        <v>1661</v>
      </c>
      <c r="D1251" s="4">
        <v>1667.6</v>
      </c>
      <c r="E1251" s="4">
        <v>1652.5</v>
      </c>
      <c r="F1251" s="4">
        <v>1668.3</v>
      </c>
      <c r="G1251" s="4">
        <v>1667</v>
      </c>
      <c r="H1251" s="4">
        <v>1663.4</v>
      </c>
      <c r="I1251" s="4">
        <v>1660.54</v>
      </c>
      <c r="J1251" s="4">
        <v>1982.8</v>
      </c>
      <c r="K1251" s="4">
        <v>1307</v>
      </c>
      <c r="L1251" s="2">
        <v>4271167</v>
      </c>
      <c r="M1251" s="2">
        <v>7092430849.3999996</v>
      </c>
      <c r="N1251" s="2">
        <v>142602</v>
      </c>
      <c r="O1251" t="s">
        <v>21</v>
      </c>
    </row>
    <row r="1252" spans="1:15" x14ac:dyDescent="0.3">
      <c r="A1252" s="1">
        <v>46014</v>
      </c>
      <c r="B1252" s="4" t="s">
        <v>15</v>
      </c>
      <c r="C1252" s="4">
        <v>1679</v>
      </c>
      <c r="D1252" s="4">
        <v>1679</v>
      </c>
      <c r="E1252" s="4">
        <v>1656.4</v>
      </c>
      <c r="F1252" s="4">
        <v>1689.6</v>
      </c>
      <c r="G1252" s="4">
        <v>1664.6</v>
      </c>
      <c r="H1252" s="4">
        <v>1668.3</v>
      </c>
      <c r="I1252" s="4">
        <v>1666.35</v>
      </c>
      <c r="J1252" s="4">
        <v>1982.8</v>
      </c>
      <c r="K1252" s="4">
        <v>1307</v>
      </c>
      <c r="L1252" s="2">
        <v>6593060</v>
      </c>
      <c r="M1252" s="2">
        <v>10986362727.700001</v>
      </c>
      <c r="N1252" s="2">
        <v>228310</v>
      </c>
      <c r="O1252" t="s">
        <v>21</v>
      </c>
    </row>
    <row r="1253" spans="1:15" x14ac:dyDescent="0.3">
      <c r="A1253" s="1">
        <v>46013</v>
      </c>
      <c r="B1253" s="4" t="s">
        <v>15</v>
      </c>
      <c r="C1253" s="4">
        <v>1664</v>
      </c>
      <c r="D1253" s="4">
        <v>1693.2</v>
      </c>
      <c r="E1253" s="4">
        <v>1664</v>
      </c>
      <c r="F1253" s="4">
        <v>1638.7</v>
      </c>
      <c r="G1253" s="4">
        <v>1686</v>
      </c>
      <c r="H1253" s="4">
        <v>1689.6</v>
      </c>
      <c r="I1253" s="4">
        <v>1682.86</v>
      </c>
      <c r="J1253" s="4">
        <v>1982.8</v>
      </c>
      <c r="K1253" s="4">
        <v>1307</v>
      </c>
      <c r="L1253" s="2">
        <v>23098923</v>
      </c>
      <c r="M1253" s="2">
        <v>38872218965.5</v>
      </c>
      <c r="N1253" s="2">
        <v>412335</v>
      </c>
      <c r="O1253" t="s">
        <v>21</v>
      </c>
    </row>
    <row r="1254" spans="1:15" x14ac:dyDescent="0.3">
      <c r="A1254" s="1">
        <v>46010</v>
      </c>
      <c r="B1254" s="4" t="s">
        <v>15</v>
      </c>
      <c r="C1254" s="4">
        <v>1650</v>
      </c>
      <c r="D1254" s="4">
        <v>1654.9</v>
      </c>
      <c r="E1254" s="4">
        <v>1629.8</v>
      </c>
      <c r="F1254" s="4">
        <v>1626.8</v>
      </c>
      <c r="G1254" s="4">
        <v>1638</v>
      </c>
      <c r="H1254" s="4">
        <v>1638.7</v>
      </c>
      <c r="I1254" s="4">
        <v>1640.02</v>
      </c>
      <c r="J1254" s="4">
        <v>1999.6</v>
      </c>
      <c r="K1254" s="4">
        <v>1307</v>
      </c>
      <c r="L1254" s="2">
        <v>13149023</v>
      </c>
      <c r="M1254" s="2">
        <v>21564629614.099998</v>
      </c>
      <c r="N1254" s="2">
        <v>201281</v>
      </c>
      <c r="O1254" t="s">
        <v>21</v>
      </c>
    </row>
    <row r="1255" spans="1:15" x14ac:dyDescent="0.3">
      <c r="A1255" s="1">
        <v>46009</v>
      </c>
      <c r="B1255" s="4" t="s">
        <v>15</v>
      </c>
      <c r="C1255" s="4">
        <v>1610.5</v>
      </c>
      <c r="D1255" s="4">
        <v>1630</v>
      </c>
      <c r="E1255" s="4">
        <v>1606.7</v>
      </c>
      <c r="F1255" s="4">
        <v>1602</v>
      </c>
      <c r="G1255" s="4">
        <v>1627.1</v>
      </c>
      <c r="H1255" s="4">
        <v>1626.8</v>
      </c>
      <c r="I1255" s="4">
        <v>1623.68</v>
      </c>
      <c r="J1255" s="4">
        <v>1999.6</v>
      </c>
      <c r="K1255" s="4">
        <v>1307</v>
      </c>
      <c r="L1255" s="2">
        <v>6577293</v>
      </c>
      <c r="M1255" s="2">
        <v>10679409219.4</v>
      </c>
      <c r="N1255" s="2">
        <v>288341</v>
      </c>
      <c r="O1255" t="s">
        <v>21</v>
      </c>
    </row>
    <row r="1256" spans="1:15" x14ac:dyDescent="0.3">
      <c r="A1256" s="1">
        <v>46008</v>
      </c>
      <c r="B1256" s="4" t="s">
        <v>15</v>
      </c>
      <c r="C1256" s="4">
        <v>1587.2</v>
      </c>
      <c r="D1256" s="4">
        <v>1606.9</v>
      </c>
      <c r="E1256" s="4">
        <v>1586</v>
      </c>
      <c r="F1256" s="4">
        <v>1592.9</v>
      </c>
      <c r="G1256" s="4">
        <v>1602</v>
      </c>
      <c r="H1256" s="4">
        <v>1602</v>
      </c>
      <c r="I1256" s="4">
        <v>1600.21</v>
      </c>
      <c r="J1256" s="4">
        <v>1999.6</v>
      </c>
      <c r="K1256" s="4">
        <v>1307</v>
      </c>
      <c r="L1256" s="2">
        <v>4817628</v>
      </c>
      <c r="M1256" s="2">
        <v>7709207454.8999996</v>
      </c>
      <c r="N1256" s="2">
        <v>155044</v>
      </c>
      <c r="O1256" t="s">
        <v>21</v>
      </c>
    </row>
    <row r="1257" spans="1:15" x14ac:dyDescent="0.3">
      <c r="A1257" s="1">
        <v>46007</v>
      </c>
      <c r="B1257" s="4" t="s">
        <v>15</v>
      </c>
      <c r="C1257" s="4">
        <v>1600</v>
      </c>
      <c r="D1257" s="4">
        <v>1603</v>
      </c>
      <c r="E1257" s="4">
        <v>1585.6</v>
      </c>
      <c r="F1257" s="4">
        <v>1606.8</v>
      </c>
      <c r="G1257" s="4">
        <v>1592.6</v>
      </c>
      <c r="H1257" s="4">
        <v>1592.9</v>
      </c>
      <c r="I1257" s="4">
        <v>1591.77</v>
      </c>
      <c r="J1257" s="4">
        <v>1999.6</v>
      </c>
      <c r="K1257" s="4">
        <v>1307</v>
      </c>
      <c r="L1257" s="2">
        <v>5499258</v>
      </c>
      <c r="M1257" s="2">
        <v>8753533458.7000008</v>
      </c>
      <c r="N1257" s="2">
        <v>220591</v>
      </c>
      <c r="O1257" t="s">
        <v>21</v>
      </c>
    </row>
    <row r="1258" spans="1:15" x14ac:dyDescent="0.3">
      <c r="A1258" s="1">
        <v>46006</v>
      </c>
      <c r="B1258" s="4" t="s">
        <v>15</v>
      </c>
      <c r="C1258" s="4">
        <v>1585</v>
      </c>
      <c r="D1258" s="4">
        <v>1610.8</v>
      </c>
      <c r="E1258" s="4">
        <v>1585</v>
      </c>
      <c r="F1258" s="4">
        <v>1598.2</v>
      </c>
      <c r="G1258" s="4">
        <v>1607</v>
      </c>
      <c r="H1258" s="4">
        <v>1606.8</v>
      </c>
      <c r="I1258" s="4">
        <v>1603.88</v>
      </c>
      <c r="J1258" s="4">
        <v>1999.6</v>
      </c>
      <c r="K1258" s="4">
        <v>1307</v>
      </c>
      <c r="L1258" s="2">
        <v>4190558</v>
      </c>
      <c r="M1258" s="2">
        <v>6721134417.8000002</v>
      </c>
      <c r="N1258" s="2">
        <v>163737</v>
      </c>
      <c r="O1258" t="s">
        <v>21</v>
      </c>
    </row>
    <row r="1259" spans="1:15" x14ac:dyDescent="0.3">
      <c r="A1259" s="1">
        <v>46003</v>
      </c>
      <c r="B1259" s="4" t="s">
        <v>15</v>
      </c>
      <c r="C1259" s="4">
        <v>1601.4</v>
      </c>
      <c r="D1259" s="4">
        <v>1601.8</v>
      </c>
      <c r="E1259" s="4">
        <v>1582.6</v>
      </c>
      <c r="F1259" s="4">
        <v>1598</v>
      </c>
      <c r="G1259" s="4">
        <v>1597.5</v>
      </c>
      <c r="H1259" s="4">
        <v>1598.2</v>
      </c>
      <c r="I1259" s="4">
        <v>1593.93</v>
      </c>
      <c r="J1259" s="4">
        <v>2006.45</v>
      </c>
      <c r="K1259" s="4">
        <v>1307</v>
      </c>
      <c r="L1259" s="2">
        <v>4633912</v>
      </c>
      <c r="M1259" s="2">
        <v>7386137017.5</v>
      </c>
      <c r="N1259" s="2">
        <v>144042</v>
      </c>
      <c r="O1259" t="s">
        <v>21</v>
      </c>
    </row>
    <row r="1260" spans="1:15" x14ac:dyDescent="0.3">
      <c r="A1260" s="1">
        <v>46002</v>
      </c>
      <c r="B1260" s="4" t="s">
        <v>15</v>
      </c>
      <c r="C1260" s="4">
        <v>1598</v>
      </c>
      <c r="D1260" s="4">
        <v>1607.4</v>
      </c>
      <c r="E1260" s="4">
        <v>1580.5</v>
      </c>
      <c r="F1260" s="4">
        <v>1584.8</v>
      </c>
      <c r="G1260" s="4">
        <v>1596.2</v>
      </c>
      <c r="H1260" s="4">
        <v>1598</v>
      </c>
      <c r="I1260" s="4">
        <v>1592.84</v>
      </c>
      <c r="J1260" s="4">
        <v>2006.45</v>
      </c>
      <c r="K1260" s="4">
        <v>1307</v>
      </c>
      <c r="L1260" s="2">
        <v>5159319</v>
      </c>
      <c r="M1260" s="2">
        <v>8217952937</v>
      </c>
      <c r="N1260" s="2">
        <v>154906</v>
      </c>
      <c r="O1260" t="s">
        <v>21</v>
      </c>
    </row>
    <row r="1261" spans="1:15" x14ac:dyDescent="0.3">
      <c r="A1261" s="1">
        <v>46001</v>
      </c>
      <c r="B1261" s="4" t="s">
        <v>15</v>
      </c>
      <c r="C1261" s="4">
        <v>1608</v>
      </c>
      <c r="D1261" s="4">
        <v>1608</v>
      </c>
      <c r="E1261" s="4">
        <v>1582.8</v>
      </c>
      <c r="F1261" s="4">
        <v>1599</v>
      </c>
      <c r="G1261" s="4">
        <v>1584.8</v>
      </c>
      <c r="H1261" s="4">
        <v>1584.8</v>
      </c>
      <c r="I1261" s="4">
        <v>1590.84</v>
      </c>
      <c r="J1261" s="4">
        <v>2006.45</v>
      </c>
      <c r="K1261" s="4">
        <v>1307</v>
      </c>
      <c r="L1261" s="2">
        <v>5116140</v>
      </c>
      <c r="M1261" s="2">
        <v>8138964777</v>
      </c>
      <c r="N1261" s="2">
        <v>191185</v>
      </c>
      <c r="O1261" t="s">
        <v>21</v>
      </c>
    </row>
    <row r="1262" spans="1:15" x14ac:dyDescent="0.3">
      <c r="A1262" s="1">
        <v>46000</v>
      </c>
      <c r="B1262" s="4" t="s">
        <v>15</v>
      </c>
      <c r="C1262" s="4">
        <v>1601.2</v>
      </c>
      <c r="D1262" s="4">
        <v>1606.9</v>
      </c>
      <c r="E1262" s="4">
        <v>1582.4</v>
      </c>
      <c r="F1262" s="4">
        <v>1610.8</v>
      </c>
      <c r="G1262" s="4">
        <v>1597</v>
      </c>
      <c r="H1262" s="4">
        <v>1599</v>
      </c>
      <c r="I1262" s="4">
        <v>1596.28</v>
      </c>
      <c r="J1262" s="4">
        <v>2006.45</v>
      </c>
      <c r="K1262" s="4">
        <v>1307</v>
      </c>
      <c r="L1262" s="2">
        <v>6957599</v>
      </c>
      <c r="M1262" s="2">
        <v>11106255546.9</v>
      </c>
      <c r="N1262" s="2">
        <v>156650</v>
      </c>
      <c r="O1262" t="s">
        <v>21</v>
      </c>
    </row>
    <row r="1263" spans="1:15" x14ac:dyDescent="0.3">
      <c r="A1263" s="1">
        <v>45999</v>
      </c>
      <c r="B1263" s="4" t="s">
        <v>15</v>
      </c>
      <c r="C1263" s="4">
        <v>1617.1</v>
      </c>
      <c r="D1263" s="4">
        <v>1630</v>
      </c>
      <c r="E1263" s="4">
        <v>1600.2</v>
      </c>
      <c r="F1263" s="4">
        <v>1616.2</v>
      </c>
      <c r="G1263" s="4">
        <v>1608</v>
      </c>
      <c r="H1263" s="4">
        <v>1610.8</v>
      </c>
      <c r="I1263" s="4">
        <v>1616.8</v>
      </c>
      <c r="J1263" s="4">
        <v>2006.45</v>
      </c>
      <c r="K1263" s="4">
        <v>1307</v>
      </c>
      <c r="L1263" s="2">
        <v>7550413</v>
      </c>
      <c r="M1263" s="2">
        <v>12207531800.5</v>
      </c>
      <c r="N1263" s="2">
        <v>302234</v>
      </c>
      <c r="O1263" t="s">
        <v>21</v>
      </c>
    </row>
    <row r="1264" spans="1:15" x14ac:dyDescent="0.3">
      <c r="A1264" s="1">
        <v>45996</v>
      </c>
      <c r="B1264" s="4" t="s">
        <v>15</v>
      </c>
      <c r="C1264" s="4">
        <v>1610</v>
      </c>
      <c r="D1264" s="4">
        <v>1631.8</v>
      </c>
      <c r="E1264" s="4">
        <v>1600</v>
      </c>
      <c r="F1264" s="4">
        <v>1597.6</v>
      </c>
      <c r="G1264" s="4">
        <v>1613.9</v>
      </c>
      <c r="H1264" s="4">
        <v>1616.2</v>
      </c>
      <c r="I1264" s="4">
        <v>1617.78</v>
      </c>
      <c r="J1264" s="4">
        <v>2006.45</v>
      </c>
      <c r="K1264" s="4">
        <v>1307</v>
      </c>
      <c r="L1264" s="2">
        <v>10344725</v>
      </c>
      <c r="M1264" s="2">
        <v>16735528909.200001</v>
      </c>
      <c r="N1264" s="2">
        <v>327955</v>
      </c>
      <c r="O1264" t="s">
        <v>21</v>
      </c>
    </row>
    <row r="1265" spans="1:15" x14ac:dyDescent="0.3">
      <c r="A1265" s="1">
        <v>45995</v>
      </c>
      <c r="B1265" s="4" t="s">
        <v>15</v>
      </c>
      <c r="C1265" s="4">
        <v>1568</v>
      </c>
      <c r="D1265" s="4">
        <v>1599</v>
      </c>
      <c r="E1265" s="4">
        <v>1568</v>
      </c>
      <c r="F1265" s="4">
        <v>1578.7</v>
      </c>
      <c r="G1265" s="4">
        <v>1593.2</v>
      </c>
      <c r="H1265" s="4">
        <v>1597.6</v>
      </c>
      <c r="I1265" s="4">
        <v>1591.52</v>
      </c>
      <c r="J1265" s="4">
        <v>2006.45</v>
      </c>
      <c r="K1265" s="4">
        <v>1307</v>
      </c>
      <c r="L1265" s="2">
        <v>12609619</v>
      </c>
      <c r="M1265" s="2">
        <v>20068424408.5</v>
      </c>
      <c r="N1265" s="2">
        <v>325755</v>
      </c>
      <c r="O1265" t="s">
        <v>21</v>
      </c>
    </row>
    <row r="1266" spans="1:15" x14ac:dyDescent="0.3">
      <c r="A1266" s="1">
        <v>45994</v>
      </c>
      <c r="B1266" s="4" t="s">
        <v>15</v>
      </c>
      <c r="C1266" s="4">
        <v>1555.1</v>
      </c>
      <c r="D1266" s="4">
        <v>1586</v>
      </c>
      <c r="E1266" s="4">
        <v>1554.1</v>
      </c>
      <c r="F1266" s="4">
        <v>1561</v>
      </c>
      <c r="G1266" s="4">
        <v>1575.6</v>
      </c>
      <c r="H1266" s="4">
        <v>1578.7</v>
      </c>
      <c r="I1266" s="4">
        <v>1574.15</v>
      </c>
      <c r="J1266" s="4">
        <v>2006.45</v>
      </c>
      <c r="K1266" s="4">
        <v>1307</v>
      </c>
      <c r="L1266" s="2">
        <v>12895312</v>
      </c>
      <c r="M1266" s="2">
        <v>20299183597.599998</v>
      </c>
      <c r="N1266" s="2">
        <v>339751</v>
      </c>
      <c r="O1266" t="s">
        <v>21</v>
      </c>
    </row>
    <row r="1267" spans="1:15" x14ac:dyDescent="0.3">
      <c r="A1267" s="1">
        <v>45993</v>
      </c>
      <c r="B1267" s="4" t="s">
        <v>15</v>
      </c>
      <c r="C1267" s="4">
        <v>1567</v>
      </c>
      <c r="D1267" s="4">
        <v>1579.9</v>
      </c>
      <c r="E1267" s="4">
        <v>1556.1</v>
      </c>
      <c r="F1267" s="4">
        <v>1564</v>
      </c>
      <c r="G1267" s="4">
        <v>1563</v>
      </c>
      <c r="H1267" s="4">
        <v>1561</v>
      </c>
      <c r="I1267" s="4">
        <v>1564.22</v>
      </c>
      <c r="J1267" s="4">
        <v>2006.45</v>
      </c>
      <c r="K1267" s="4">
        <v>1307</v>
      </c>
      <c r="L1267" s="2">
        <v>6335969</v>
      </c>
      <c r="M1267" s="2">
        <v>9910827669.3999996</v>
      </c>
      <c r="N1267" s="2">
        <v>243238</v>
      </c>
      <c r="O1267" t="s">
        <v>21</v>
      </c>
    </row>
    <row r="1268" spans="1:15" x14ac:dyDescent="0.3">
      <c r="A1268" s="1">
        <v>45992</v>
      </c>
      <c r="B1268" s="4" t="s">
        <v>15</v>
      </c>
      <c r="C1268" s="4">
        <v>1562.5</v>
      </c>
      <c r="D1268" s="4">
        <v>1574</v>
      </c>
      <c r="E1268" s="4">
        <v>1556</v>
      </c>
      <c r="F1268" s="4">
        <v>1560.1</v>
      </c>
      <c r="G1268" s="4">
        <v>1563.5</v>
      </c>
      <c r="H1268" s="4">
        <v>1564</v>
      </c>
      <c r="I1268" s="4">
        <v>1564.42</v>
      </c>
      <c r="J1268" s="4">
        <v>2006.45</v>
      </c>
      <c r="K1268" s="4">
        <v>1307</v>
      </c>
      <c r="L1268" s="2">
        <v>5341800</v>
      </c>
      <c r="M1268" s="2">
        <v>8356820751</v>
      </c>
      <c r="N1268" s="2">
        <v>189364</v>
      </c>
      <c r="O1268" t="s">
        <v>21</v>
      </c>
    </row>
    <row r="1269" spans="1:15" x14ac:dyDescent="0.3">
      <c r="A1269" s="1">
        <v>45989</v>
      </c>
      <c r="B1269" s="4" t="s">
        <v>15</v>
      </c>
      <c r="C1269" s="4">
        <v>1565</v>
      </c>
      <c r="D1269" s="4">
        <v>1568.4</v>
      </c>
      <c r="E1269" s="4">
        <v>1557</v>
      </c>
      <c r="F1269" s="4">
        <v>1566.4</v>
      </c>
      <c r="G1269" s="4">
        <v>1558.1</v>
      </c>
      <c r="H1269" s="4">
        <v>1560.1</v>
      </c>
      <c r="I1269" s="4">
        <v>1561.93</v>
      </c>
      <c r="J1269" s="4">
        <v>2006.45</v>
      </c>
      <c r="K1269" s="4">
        <v>1307</v>
      </c>
      <c r="L1269" s="2">
        <v>4453221</v>
      </c>
      <c r="M1269" s="2">
        <v>6955603409.6999998</v>
      </c>
      <c r="N1269" s="2">
        <v>115190</v>
      </c>
      <c r="O1269" t="s">
        <v>21</v>
      </c>
    </row>
    <row r="1270" spans="1:15" x14ac:dyDescent="0.3">
      <c r="A1270" s="1">
        <v>45988</v>
      </c>
      <c r="B1270" s="4" t="s">
        <v>15</v>
      </c>
      <c r="C1270" s="4">
        <v>1564</v>
      </c>
      <c r="D1270" s="4">
        <v>1574.3</v>
      </c>
      <c r="E1270" s="4">
        <v>1552.2</v>
      </c>
      <c r="F1270" s="4">
        <v>1557.9</v>
      </c>
      <c r="G1270" s="4">
        <v>1565</v>
      </c>
      <c r="H1270" s="4">
        <v>1566.4</v>
      </c>
      <c r="I1270" s="4">
        <v>1563.46</v>
      </c>
      <c r="J1270" s="4">
        <v>2006.45</v>
      </c>
      <c r="K1270" s="4">
        <v>1307</v>
      </c>
      <c r="L1270" s="2">
        <v>7552252</v>
      </c>
      <c r="M1270" s="2">
        <v>11807663907.200001</v>
      </c>
      <c r="N1270" s="2">
        <v>168875</v>
      </c>
      <c r="O1270" t="s">
        <v>21</v>
      </c>
    </row>
    <row r="1271" spans="1:15" x14ac:dyDescent="0.3">
      <c r="A1271" s="1">
        <v>45987</v>
      </c>
      <c r="B1271" s="4" t="s">
        <v>15</v>
      </c>
      <c r="C1271" s="4">
        <v>1532.1</v>
      </c>
      <c r="D1271" s="4">
        <v>1560.3</v>
      </c>
      <c r="E1271" s="4">
        <v>1532.1</v>
      </c>
      <c r="F1271" s="4">
        <v>1530.6</v>
      </c>
      <c r="G1271" s="4">
        <v>1557.3</v>
      </c>
      <c r="H1271" s="4">
        <v>1557.9</v>
      </c>
      <c r="I1271" s="4">
        <v>1550.71</v>
      </c>
      <c r="J1271" s="4">
        <v>2006.45</v>
      </c>
      <c r="K1271" s="4">
        <v>1307</v>
      </c>
      <c r="L1271" s="2">
        <v>7575038</v>
      </c>
      <c r="M1271" s="2">
        <v>11746721789</v>
      </c>
      <c r="N1271" s="2">
        <v>122796</v>
      </c>
      <c r="O1271" t="s">
        <v>21</v>
      </c>
    </row>
    <row r="1272" spans="1:15" x14ac:dyDescent="0.3">
      <c r="A1272" s="1">
        <v>45986</v>
      </c>
      <c r="B1272" s="4" t="s">
        <v>15</v>
      </c>
      <c r="C1272" s="4">
        <v>1549</v>
      </c>
      <c r="D1272" s="4">
        <v>1550.6</v>
      </c>
      <c r="E1272" s="4">
        <v>1525.9</v>
      </c>
      <c r="F1272" s="4">
        <v>1548</v>
      </c>
      <c r="G1272" s="4">
        <v>1530.2</v>
      </c>
      <c r="H1272" s="4">
        <v>1530.6</v>
      </c>
      <c r="I1272" s="4">
        <v>1532.04</v>
      </c>
      <c r="J1272" s="4">
        <v>2006.45</v>
      </c>
      <c r="K1272" s="4">
        <v>1307</v>
      </c>
      <c r="L1272" s="2">
        <v>8107952</v>
      </c>
      <c r="M1272" s="2">
        <v>12421720830.6</v>
      </c>
      <c r="N1272" s="2">
        <v>170664</v>
      </c>
      <c r="O1272" t="s">
        <v>21</v>
      </c>
    </row>
    <row r="1273" spans="1:15" x14ac:dyDescent="0.3">
      <c r="A1273" s="1">
        <v>45985</v>
      </c>
      <c r="B1273" s="4" t="s">
        <v>15</v>
      </c>
      <c r="C1273" s="4">
        <v>1563.6</v>
      </c>
      <c r="D1273" s="4">
        <v>1585</v>
      </c>
      <c r="E1273" s="4">
        <v>1541</v>
      </c>
      <c r="F1273" s="4">
        <v>1545</v>
      </c>
      <c r="G1273" s="4">
        <v>1546.2</v>
      </c>
      <c r="H1273" s="4">
        <v>1548</v>
      </c>
      <c r="I1273" s="4">
        <v>1558.71</v>
      </c>
      <c r="J1273" s="4">
        <v>2006.45</v>
      </c>
      <c r="K1273" s="4">
        <v>1307</v>
      </c>
      <c r="L1273" s="2">
        <v>19270381</v>
      </c>
      <c r="M1273" s="2">
        <v>30036994341.400002</v>
      </c>
      <c r="N1273" s="2">
        <v>267249</v>
      </c>
      <c r="O1273" t="s">
        <v>21</v>
      </c>
    </row>
    <row r="1274" spans="1:15" x14ac:dyDescent="0.3">
      <c r="A1274" s="1">
        <v>45982</v>
      </c>
      <c r="B1274" s="4" t="s">
        <v>15</v>
      </c>
      <c r="C1274" s="4">
        <v>1531</v>
      </c>
      <c r="D1274" s="4">
        <v>1551.5</v>
      </c>
      <c r="E1274" s="4">
        <v>1526.3</v>
      </c>
      <c r="F1274" s="4">
        <v>1536.5</v>
      </c>
      <c r="G1274" s="4">
        <v>1544.1</v>
      </c>
      <c r="H1274" s="4">
        <v>1545</v>
      </c>
      <c r="I1274" s="4">
        <v>1543.83</v>
      </c>
      <c r="J1274" s="4">
        <v>2006.45</v>
      </c>
      <c r="K1274" s="4">
        <v>1307</v>
      </c>
      <c r="L1274" s="2">
        <v>9186302</v>
      </c>
      <c r="M1274" s="2">
        <v>14182074317.799999</v>
      </c>
      <c r="N1274" s="2">
        <v>227357</v>
      </c>
      <c r="O1274" t="s">
        <v>21</v>
      </c>
    </row>
    <row r="1275" spans="1:15" x14ac:dyDescent="0.3">
      <c r="A1275" s="1">
        <v>45981</v>
      </c>
      <c r="B1275" s="4" t="s">
        <v>15</v>
      </c>
      <c r="C1275" s="4">
        <v>1555</v>
      </c>
      <c r="D1275" s="4">
        <v>1555</v>
      </c>
      <c r="E1275" s="4">
        <v>1534</v>
      </c>
      <c r="F1275" s="4">
        <v>1541.1</v>
      </c>
      <c r="G1275" s="4">
        <v>1536.3</v>
      </c>
      <c r="H1275" s="4">
        <v>1536.5</v>
      </c>
      <c r="I1275" s="4">
        <v>1539.6</v>
      </c>
      <c r="J1275" s="4">
        <v>2006.45</v>
      </c>
      <c r="K1275" s="4">
        <v>1307</v>
      </c>
      <c r="L1275" s="2">
        <v>7387584</v>
      </c>
      <c r="M1275" s="2">
        <v>11373929222.9</v>
      </c>
      <c r="N1275" s="2">
        <v>174272</v>
      </c>
      <c r="O1275" t="s">
        <v>21</v>
      </c>
    </row>
    <row r="1276" spans="1:15" x14ac:dyDescent="0.3">
      <c r="A1276" s="1">
        <v>45980</v>
      </c>
      <c r="B1276" s="4" t="s">
        <v>15</v>
      </c>
      <c r="C1276" s="4">
        <v>1490.5</v>
      </c>
      <c r="D1276" s="4">
        <v>1543</v>
      </c>
      <c r="E1276" s="4">
        <v>1490.5</v>
      </c>
      <c r="F1276" s="4">
        <v>1486.4</v>
      </c>
      <c r="G1276" s="4">
        <v>1542</v>
      </c>
      <c r="H1276" s="4">
        <v>1541.1</v>
      </c>
      <c r="I1276" s="4">
        <v>1531.48</v>
      </c>
      <c r="J1276" s="4">
        <v>2006.45</v>
      </c>
      <c r="K1276" s="4">
        <v>1307</v>
      </c>
      <c r="L1276" s="2">
        <v>10981126</v>
      </c>
      <c r="M1276" s="2">
        <v>16817387454.200001</v>
      </c>
      <c r="N1276" s="2">
        <v>212749</v>
      </c>
      <c r="O1276" t="s">
        <v>21</v>
      </c>
    </row>
    <row r="1277" spans="1:15" x14ac:dyDescent="0.3">
      <c r="A1277" s="1">
        <v>45979</v>
      </c>
      <c r="B1277" s="4" t="s">
        <v>15</v>
      </c>
      <c r="C1277" s="4">
        <v>1506</v>
      </c>
      <c r="D1277" s="4">
        <v>1506</v>
      </c>
      <c r="E1277" s="4">
        <v>1483.2</v>
      </c>
      <c r="F1277" s="4">
        <v>1507.6</v>
      </c>
      <c r="G1277" s="4">
        <v>1486.8</v>
      </c>
      <c r="H1277" s="4">
        <v>1486.4</v>
      </c>
      <c r="I1277" s="4">
        <v>1489.33</v>
      </c>
      <c r="J1277" s="4">
        <v>2006.45</v>
      </c>
      <c r="K1277" s="4">
        <v>1307</v>
      </c>
      <c r="L1277" s="2">
        <v>7525119</v>
      </c>
      <c r="M1277" s="2">
        <v>11207398254.700001</v>
      </c>
      <c r="N1277" s="2">
        <v>164811</v>
      </c>
      <c r="O1277" t="s">
        <v>21</v>
      </c>
    </row>
    <row r="1278" spans="1:15" x14ac:dyDescent="0.3">
      <c r="A1278" s="1">
        <v>45978</v>
      </c>
      <c r="B1278" s="4" t="s">
        <v>15</v>
      </c>
      <c r="C1278" s="4">
        <v>1496</v>
      </c>
      <c r="D1278" s="4">
        <v>1510.2</v>
      </c>
      <c r="E1278" s="4">
        <v>1492.5</v>
      </c>
      <c r="F1278" s="4">
        <v>1502.8</v>
      </c>
      <c r="G1278" s="4">
        <v>1507</v>
      </c>
      <c r="H1278" s="4">
        <v>1507.6</v>
      </c>
      <c r="I1278" s="4">
        <v>1502.37</v>
      </c>
      <c r="J1278" s="4">
        <v>2006.45</v>
      </c>
      <c r="K1278" s="4">
        <v>1307</v>
      </c>
      <c r="L1278" s="2">
        <v>7910354</v>
      </c>
      <c r="M1278" s="2">
        <v>11884261119.200001</v>
      </c>
      <c r="N1278" s="2">
        <v>271436</v>
      </c>
      <c r="O1278" t="s">
        <v>21</v>
      </c>
    </row>
    <row r="1279" spans="1:15" x14ac:dyDescent="0.3">
      <c r="A1279" s="1">
        <v>45975</v>
      </c>
      <c r="B1279" s="4" t="s">
        <v>15</v>
      </c>
      <c r="C1279" s="4">
        <v>1520</v>
      </c>
      <c r="D1279" s="4">
        <v>1530</v>
      </c>
      <c r="E1279" s="4">
        <v>1488.8</v>
      </c>
      <c r="F1279" s="4">
        <v>1541.8</v>
      </c>
      <c r="G1279" s="4">
        <v>1505.8</v>
      </c>
      <c r="H1279" s="4">
        <v>1502.8</v>
      </c>
      <c r="I1279" s="4">
        <v>1502.86</v>
      </c>
      <c r="J1279" s="4">
        <v>2006.45</v>
      </c>
      <c r="K1279" s="4">
        <v>1307</v>
      </c>
      <c r="L1279" s="2">
        <v>9739549</v>
      </c>
      <c r="M1279" s="2">
        <v>14637169031.700001</v>
      </c>
      <c r="N1279" s="2">
        <v>236102</v>
      </c>
      <c r="O1279" t="s">
        <v>21</v>
      </c>
    </row>
    <row r="1280" spans="1:15" x14ac:dyDescent="0.3">
      <c r="A1280" s="1">
        <v>45974</v>
      </c>
      <c r="B1280" s="4" t="s">
        <v>15</v>
      </c>
      <c r="C1280" s="4">
        <v>1557.1</v>
      </c>
      <c r="D1280" s="4">
        <v>1557.5</v>
      </c>
      <c r="E1280" s="4">
        <v>1530.3</v>
      </c>
      <c r="F1280" s="4">
        <v>1551.7</v>
      </c>
      <c r="G1280" s="4">
        <v>1542</v>
      </c>
      <c r="H1280" s="4">
        <v>1541.8</v>
      </c>
      <c r="I1280" s="4">
        <v>1546.18</v>
      </c>
      <c r="J1280" s="4">
        <v>2006.45</v>
      </c>
      <c r="K1280" s="4">
        <v>1307</v>
      </c>
      <c r="L1280" s="2">
        <v>19655689</v>
      </c>
      <c r="M1280" s="2">
        <v>30391136875</v>
      </c>
      <c r="N1280" s="2">
        <v>384451</v>
      </c>
      <c r="O1280" t="s">
        <v>21</v>
      </c>
    </row>
    <row r="1281" spans="1:15" x14ac:dyDescent="0.3">
      <c r="A1281" s="1">
        <v>45973</v>
      </c>
      <c r="B1281" s="4" t="s">
        <v>15</v>
      </c>
      <c r="C1281" s="4">
        <v>1540</v>
      </c>
      <c r="D1281" s="4">
        <v>1559.2</v>
      </c>
      <c r="E1281" s="4">
        <v>1538.1</v>
      </c>
      <c r="F1281" s="4">
        <v>1530.3</v>
      </c>
      <c r="G1281" s="4">
        <v>1550.6</v>
      </c>
      <c r="H1281" s="4">
        <v>1551.7</v>
      </c>
      <c r="I1281" s="4">
        <v>1551.22</v>
      </c>
      <c r="J1281" s="4">
        <v>2006.45</v>
      </c>
      <c r="K1281" s="4">
        <v>1307</v>
      </c>
      <c r="L1281" s="2">
        <v>14635417</v>
      </c>
      <c r="M1281" s="2">
        <v>22702769740.900002</v>
      </c>
      <c r="N1281" s="2">
        <v>394127</v>
      </c>
      <c r="O1281" t="s">
        <v>21</v>
      </c>
    </row>
    <row r="1282" spans="1:15" x14ac:dyDescent="0.3">
      <c r="A1282" s="1">
        <v>45972</v>
      </c>
      <c r="B1282" s="4" t="s">
        <v>15</v>
      </c>
      <c r="C1282" s="4">
        <v>1525</v>
      </c>
      <c r="D1282" s="4">
        <v>1533.4</v>
      </c>
      <c r="E1282" s="4">
        <v>1511.1</v>
      </c>
      <c r="F1282" s="4">
        <v>1513.5</v>
      </c>
      <c r="G1282" s="4">
        <v>1531.1</v>
      </c>
      <c r="H1282" s="4">
        <v>1530.3</v>
      </c>
      <c r="I1282" s="4">
        <v>1523.87</v>
      </c>
      <c r="J1282" s="4">
        <v>2006.45</v>
      </c>
      <c r="K1282" s="4">
        <v>1307</v>
      </c>
      <c r="L1282" s="2">
        <v>13692989</v>
      </c>
      <c r="M1282" s="2">
        <v>20866299929.099998</v>
      </c>
      <c r="N1282" s="2">
        <v>255611</v>
      </c>
      <c r="O1282" t="s">
        <v>21</v>
      </c>
    </row>
    <row r="1283" spans="1:15" x14ac:dyDescent="0.3">
      <c r="A1283" s="1">
        <v>45971</v>
      </c>
      <c r="B1283" s="4" t="s">
        <v>15</v>
      </c>
      <c r="C1283" s="4">
        <v>1490.1</v>
      </c>
      <c r="D1283" s="4">
        <v>1520</v>
      </c>
      <c r="E1283" s="4">
        <v>1490</v>
      </c>
      <c r="F1283" s="4">
        <v>1476.8</v>
      </c>
      <c r="G1283" s="4">
        <v>1515</v>
      </c>
      <c r="H1283" s="4">
        <v>1513.5</v>
      </c>
      <c r="I1283" s="4">
        <v>1510.83</v>
      </c>
      <c r="J1283" s="4">
        <v>2006.45</v>
      </c>
      <c r="K1283" s="4">
        <v>1307</v>
      </c>
      <c r="L1283" s="2">
        <v>9787975</v>
      </c>
      <c r="M1283" s="2">
        <v>14787962928.5</v>
      </c>
      <c r="N1283" s="2">
        <v>223666</v>
      </c>
      <c r="O1283" t="s">
        <v>21</v>
      </c>
    </row>
    <row r="1284" spans="1:15" x14ac:dyDescent="0.3">
      <c r="A1284" s="1">
        <v>45968</v>
      </c>
      <c r="B1284" s="4" t="s">
        <v>15</v>
      </c>
      <c r="C1284" s="4">
        <v>1470</v>
      </c>
      <c r="D1284" s="4">
        <v>1480.9</v>
      </c>
      <c r="E1284" s="4">
        <v>1449.1</v>
      </c>
      <c r="F1284" s="4">
        <v>1466.7</v>
      </c>
      <c r="G1284" s="4">
        <v>1478</v>
      </c>
      <c r="H1284" s="4">
        <v>1476.8</v>
      </c>
      <c r="I1284" s="4">
        <v>1466.5</v>
      </c>
      <c r="J1284" s="4">
        <v>2006.45</v>
      </c>
      <c r="K1284" s="4">
        <v>1307</v>
      </c>
      <c r="L1284" s="2">
        <v>8765759</v>
      </c>
      <c r="M1284" s="2">
        <v>12855016020.6</v>
      </c>
      <c r="N1284" s="2">
        <v>254091</v>
      </c>
      <c r="O1284" t="s">
        <v>21</v>
      </c>
    </row>
    <row r="1285" spans="1:15" x14ac:dyDescent="0.3">
      <c r="A1285" s="1">
        <v>45967</v>
      </c>
      <c r="B1285" s="4" t="s">
        <v>15</v>
      </c>
      <c r="C1285" s="4">
        <v>1478.6</v>
      </c>
      <c r="D1285" s="4">
        <v>1483</v>
      </c>
      <c r="E1285" s="4">
        <v>1461.9</v>
      </c>
      <c r="F1285" s="4">
        <v>1467.9</v>
      </c>
      <c r="G1285" s="4">
        <v>1466.5</v>
      </c>
      <c r="H1285" s="4">
        <v>1466.7</v>
      </c>
      <c r="I1285" s="4">
        <v>1471.99</v>
      </c>
      <c r="J1285" s="4">
        <v>2006.45</v>
      </c>
      <c r="K1285" s="4">
        <v>1307</v>
      </c>
      <c r="L1285" s="2">
        <v>7944752</v>
      </c>
      <c r="M1285" s="2">
        <v>11694618273.5</v>
      </c>
      <c r="N1285" s="2">
        <v>288667</v>
      </c>
      <c r="O1285" t="s">
        <v>21</v>
      </c>
    </row>
    <row r="1286" spans="1:15" x14ac:dyDescent="0.3">
      <c r="A1286" s="1">
        <v>45965</v>
      </c>
      <c r="B1286" s="4" t="s">
        <v>15</v>
      </c>
      <c r="C1286" s="4">
        <v>1479.7</v>
      </c>
      <c r="D1286" s="4">
        <v>1481.9</v>
      </c>
      <c r="E1286" s="4">
        <v>1462.9</v>
      </c>
      <c r="F1286" s="4">
        <v>1485.5</v>
      </c>
      <c r="G1286" s="4">
        <v>1468</v>
      </c>
      <c r="H1286" s="4">
        <v>1467.9</v>
      </c>
      <c r="I1286" s="4">
        <v>1470.61</v>
      </c>
      <c r="J1286" s="4">
        <v>2006.45</v>
      </c>
      <c r="K1286" s="4">
        <v>1307</v>
      </c>
      <c r="L1286" s="2">
        <v>8691330</v>
      </c>
      <c r="M1286" s="2">
        <v>12781568402.799999</v>
      </c>
      <c r="N1286" s="2">
        <v>250131</v>
      </c>
      <c r="O1286" t="s">
        <v>21</v>
      </c>
    </row>
    <row r="1287" spans="1:15" x14ac:dyDescent="0.3">
      <c r="A1287" s="1">
        <v>45964</v>
      </c>
      <c r="B1287" s="4" t="s">
        <v>15</v>
      </c>
      <c r="C1287" s="4">
        <v>1482.3</v>
      </c>
      <c r="D1287" s="4">
        <v>1491.4</v>
      </c>
      <c r="E1287" s="4">
        <v>1474.2</v>
      </c>
      <c r="F1287" s="4">
        <v>1482.3</v>
      </c>
      <c r="G1287" s="4">
        <v>1486</v>
      </c>
      <c r="H1287" s="4">
        <v>1485.5</v>
      </c>
      <c r="I1287" s="4">
        <v>1482.11</v>
      </c>
      <c r="J1287" s="4">
        <v>2006.45</v>
      </c>
      <c r="K1287" s="4">
        <v>1307</v>
      </c>
      <c r="L1287" s="2">
        <v>5470600</v>
      </c>
      <c r="M1287" s="2">
        <v>8108037412.1000004</v>
      </c>
      <c r="N1287" s="2">
        <v>166500</v>
      </c>
      <c r="O1287" t="s">
        <v>21</v>
      </c>
    </row>
    <row r="1288" spans="1:15" x14ac:dyDescent="0.3">
      <c r="A1288" s="1">
        <v>45961</v>
      </c>
      <c r="B1288" s="4" t="s">
        <v>15</v>
      </c>
      <c r="C1288" s="4">
        <v>1490</v>
      </c>
      <c r="D1288" s="4">
        <v>1497.1</v>
      </c>
      <c r="E1288" s="4">
        <v>1480.7</v>
      </c>
      <c r="F1288" s="4">
        <v>1493.8</v>
      </c>
      <c r="G1288" s="4">
        <v>1481.9</v>
      </c>
      <c r="H1288" s="4">
        <v>1482.3</v>
      </c>
      <c r="I1288" s="4">
        <v>1485.71</v>
      </c>
      <c r="J1288" s="4">
        <v>2006.45</v>
      </c>
      <c r="K1288" s="4">
        <v>1307</v>
      </c>
      <c r="L1288" s="2">
        <v>4819814</v>
      </c>
      <c r="M1288" s="2">
        <v>7160828351.1999998</v>
      </c>
      <c r="N1288" s="2">
        <v>185234</v>
      </c>
      <c r="O1288" t="s">
        <v>21</v>
      </c>
    </row>
    <row r="1289" spans="1:15" x14ac:dyDescent="0.3">
      <c r="A1289" s="1">
        <v>45960</v>
      </c>
      <c r="B1289" s="4" t="s">
        <v>15</v>
      </c>
      <c r="C1289" s="4">
        <v>1507</v>
      </c>
      <c r="D1289" s="4">
        <v>1508.2</v>
      </c>
      <c r="E1289" s="4">
        <v>1489.1</v>
      </c>
      <c r="F1289" s="4">
        <v>1510.4</v>
      </c>
      <c r="G1289" s="4">
        <v>1495</v>
      </c>
      <c r="H1289" s="4">
        <v>1493.8</v>
      </c>
      <c r="I1289" s="4">
        <v>1494.92</v>
      </c>
      <c r="J1289" s="4">
        <v>2006.45</v>
      </c>
      <c r="K1289" s="4">
        <v>1307</v>
      </c>
      <c r="L1289" s="2">
        <v>5608867</v>
      </c>
      <c r="M1289" s="2">
        <v>8384810481.6000004</v>
      </c>
      <c r="N1289" s="2">
        <v>158047</v>
      </c>
      <c r="O1289" t="s">
        <v>21</v>
      </c>
    </row>
    <row r="1290" spans="1:15" x14ac:dyDescent="0.3">
      <c r="A1290" s="1">
        <v>45959</v>
      </c>
      <c r="B1290" s="4" t="s">
        <v>15</v>
      </c>
      <c r="C1290" s="4">
        <v>1500.2</v>
      </c>
      <c r="D1290" s="4">
        <v>1520.2</v>
      </c>
      <c r="E1290" s="4">
        <v>1496.9</v>
      </c>
      <c r="F1290" s="4">
        <v>1500.2</v>
      </c>
      <c r="G1290" s="4">
        <v>1511.5</v>
      </c>
      <c r="H1290" s="4">
        <v>1510.4</v>
      </c>
      <c r="I1290" s="4">
        <v>1510.57</v>
      </c>
      <c r="J1290" s="4">
        <v>2006.45</v>
      </c>
      <c r="K1290" s="4">
        <v>1307</v>
      </c>
      <c r="L1290" s="2">
        <v>4884976</v>
      </c>
      <c r="M1290" s="2">
        <v>7379112106.3999996</v>
      </c>
      <c r="N1290" s="2">
        <v>177757</v>
      </c>
      <c r="O1290" t="s">
        <v>21</v>
      </c>
    </row>
    <row r="1291" spans="1:15" x14ac:dyDescent="0.3">
      <c r="A1291" s="1">
        <v>45958</v>
      </c>
      <c r="B1291" s="4" t="s">
        <v>15</v>
      </c>
      <c r="C1291" s="4">
        <v>1499.7</v>
      </c>
      <c r="D1291" s="4">
        <v>1506.5</v>
      </c>
      <c r="E1291" s="4">
        <v>1490.5</v>
      </c>
      <c r="F1291" s="4">
        <v>1504.5</v>
      </c>
      <c r="G1291" s="4">
        <v>1502.2</v>
      </c>
      <c r="H1291" s="4">
        <v>1500.2</v>
      </c>
      <c r="I1291" s="4">
        <v>1497.66</v>
      </c>
      <c r="J1291" s="4">
        <v>2006.45</v>
      </c>
      <c r="K1291" s="4">
        <v>1307</v>
      </c>
      <c r="L1291" s="2">
        <v>8211019</v>
      </c>
      <c r="M1291" s="2">
        <v>12297345650.299999</v>
      </c>
      <c r="N1291" s="2">
        <v>185479</v>
      </c>
      <c r="O1291" t="s">
        <v>21</v>
      </c>
    </row>
    <row r="1292" spans="1:15" x14ac:dyDescent="0.3">
      <c r="A1292" s="1">
        <v>45957</v>
      </c>
      <c r="B1292" s="4" t="s">
        <v>15</v>
      </c>
      <c r="C1292" s="4">
        <v>1510</v>
      </c>
      <c r="D1292" s="4">
        <v>1515.3</v>
      </c>
      <c r="E1292" s="4">
        <v>1498.1</v>
      </c>
      <c r="F1292" s="4">
        <v>1525.4</v>
      </c>
      <c r="G1292" s="4">
        <v>1504.9</v>
      </c>
      <c r="H1292" s="4">
        <v>1504.5</v>
      </c>
      <c r="I1292" s="4">
        <v>1506.5</v>
      </c>
      <c r="J1292" s="4">
        <v>2006.45</v>
      </c>
      <c r="K1292" s="4">
        <v>1307</v>
      </c>
      <c r="L1292" s="2">
        <v>7273211</v>
      </c>
      <c r="M1292" s="2">
        <v>10957113552.6</v>
      </c>
      <c r="N1292" s="2">
        <v>131339</v>
      </c>
      <c r="O1292" t="s">
        <v>21</v>
      </c>
    </row>
    <row r="1293" spans="1:15" x14ac:dyDescent="0.3">
      <c r="A1293" s="1">
        <v>45954</v>
      </c>
      <c r="B1293" s="4" t="s">
        <v>15</v>
      </c>
      <c r="C1293" s="4">
        <v>1539.5</v>
      </c>
      <c r="D1293" s="4">
        <v>1543</v>
      </c>
      <c r="E1293" s="4">
        <v>1518</v>
      </c>
      <c r="F1293" s="4">
        <v>1528.5</v>
      </c>
      <c r="G1293" s="4">
        <v>1523.9</v>
      </c>
      <c r="H1293" s="4">
        <v>1525.4</v>
      </c>
      <c r="I1293" s="4">
        <v>1525.75</v>
      </c>
      <c r="J1293" s="4">
        <v>2006.45</v>
      </c>
      <c r="K1293" s="4">
        <v>1307</v>
      </c>
      <c r="L1293" s="2">
        <v>8652257</v>
      </c>
      <c r="M1293" s="2">
        <v>13201169899.700001</v>
      </c>
      <c r="N1293" s="2">
        <v>217512</v>
      </c>
      <c r="O1293" t="s">
        <v>21</v>
      </c>
    </row>
    <row r="1294" spans="1:15" x14ac:dyDescent="0.3">
      <c r="A1294" s="1">
        <v>45953</v>
      </c>
      <c r="B1294" s="4" t="s">
        <v>15</v>
      </c>
      <c r="C1294" s="4">
        <v>1510</v>
      </c>
      <c r="D1294" s="4">
        <v>1546</v>
      </c>
      <c r="E1294" s="4">
        <v>1506</v>
      </c>
      <c r="F1294" s="4">
        <v>1472.4</v>
      </c>
      <c r="G1294" s="4">
        <v>1525</v>
      </c>
      <c r="H1294" s="4">
        <v>1528.5</v>
      </c>
      <c r="I1294" s="4">
        <v>1530.64</v>
      </c>
      <c r="J1294" s="4">
        <v>2006.45</v>
      </c>
      <c r="K1294" s="4">
        <v>1307</v>
      </c>
      <c r="L1294" s="2">
        <v>20358624</v>
      </c>
      <c r="M1294" s="2">
        <v>31161687039.200001</v>
      </c>
      <c r="N1294" s="2">
        <v>458468</v>
      </c>
      <c r="O1294" t="s">
        <v>21</v>
      </c>
    </row>
    <row r="1295" spans="1:15" x14ac:dyDescent="0.3">
      <c r="A1295" s="1">
        <v>45951</v>
      </c>
      <c r="B1295" s="4" t="s">
        <v>15</v>
      </c>
      <c r="C1295" s="4">
        <v>1478</v>
      </c>
      <c r="D1295" s="4">
        <v>1486</v>
      </c>
      <c r="E1295" s="4">
        <v>1470</v>
      </c>
      <c r="F1295" s="4">
        <v>1460.9</v>
      </c>
      <c r="G1295" s="4">
        <v>1471</v>
      </c>
      <c r="H1295" s="4">
        <v>1472.4</v>
      </c>
      <c r="I1295" s="4">
        <v>1476.04</v>
      </c>
      <c r="J1295" s="4">
        <v>2006.45</v>
      </c>
      <c r="K1295" s="4">
        <v>1307</v>
      </c>
      <c r="L1295" s="2">
        <v>1698704</v>
      </c>
      <c r="M1295" s="2">
        <v>2507352685.5999999</v>
      </c>
      <c r="N1295" s="2">
        <v>42723</v>
      </c>
      <c r="O1295" t="s">
        <v>21</v>
      </c>
    </row>
    <row r="1296" spans="1:15" x14ac:dyDescent="0.3">
      <c r="A1296" s="1">
        <v>45950</v>
      </c>
      <c r="B1296" s="4" t="s">
        <v>15</v>
      </c>
      <c r="C1296" s="4">
        <v>1453.7</v>
      </c>
      <c r="D1296" s="4">
        <v>1467</v>
      </c>
      <c r="E1296" s="4">
        <v>1450</v>
      </c>
      <c r="F1296" s="4">
        <v>1441.1</v>
      </c>
      <c r="G1296" s="4">
        <v>1462.7</v>
      </c>
      <c r="H1296" s="4">
        <v>1460.9</v>
      </c>
      <c r="I1296" s="4">
        <v>1460.15</v>
      </c>
      <c r="J1296" s="4">
        <v>2006.45</v>
      </c>
      <c r="K1296" s="4">
        <v>1307</v>
      </c>
      <c r="L1296" s="2">
        <v>6994246</v>
      </c>
      <c r="M1296" s="2">
        <v>10212638243.4</v>
      </c>
      <c r="N1296" s="2">
        <v>218283</v>
      </c>
      <c r="O1296" t="s">
        <v>21</v>
      </c>
    </row>
    <row r="1297" spans="1:15" x14ac:dyDescent="0.3">
      <c r="A1297" s="1">
        <v>45947</v>
      </c>
      <c r="B1297" s="4" t="s">
        <v>15</v>
      </c>
      <c r="C1297" s="4">
        <v>1454.9</v>
      </c>
      <c r="D1297" s="4">
        <v>1458.4</v>
      </c>
      <c r="E1297" s="4">
        <v>1434</v>
      </c>
      <c r="F1297" s="4">
        <v>1471.5</v>
      </c>
      <c r="G1297" s="4">
        <v>1440.9</v>
      </c>
      <c r="H1297" s="4">
        <v>1441.1</v>
      </c>
      <c r="I1297" s="4">
        <v>1444.15</v>
      </c>
      <c r="J1297" s="4">
        <v>2006.45</v>
      </c>
      <c r="K1297" s="4">
        <v>1307</v>
      </c>
      <c r="L1297" s="2">
        <v>16959378</v>
      </c>
      <c r="M1297" s="2">
        <v>24491895479.5</v>
      </c>
      <c r="N1297" s="2">
        <v>408253</v>
      </c>
      <c r="O1297" t="s">
        <v>21</v>
      </c>
    </row>
    <row r="1298" spans="1:15" x14ac:dyDescent="0.3">
      <c r="A1298" s="1">
        <v>45946</v>
      </c>
      <c r="B1298" s="4" t="s">
        <v>15</v>
      </c>
      <c r="C1298" s="4">
        <v>1473.9</v>
      </c>
      <c r="D1298" s="4">
        <v>1474.5</v>
      </c>
      <c r="E1298" s="4">
        <v>1460.5</v>
      </c>
      <c r="F1298" s="4">
        <v>1474.4</v>
      </c>
      <c r="G1298" s="4">
        <v>1470.9</v>
      </c>
      <c r="H1298" s="4">
        <v>1471.5</v>
      </c>
      <c r="I1298" s="4">
        <v>1468.35</v>
      </c>
      <c r="J1298" s="4">
        <v>2006.45</v>
      </c>
      <c r="K1298" s="4">
        <v>1307</v>
      </c>
      <c r="L1298" s="2">
        <v>8005748</v>
      </c>
      <c r="M1298" s="2">
        <v>11755232719.6</v>
      </c>
      <c r="N1298" s="2">
        <v>178279</v>
      </c>
      <c r="O1298" t="s">
        <v>21</v>
      </c>
    </row>
    <row r="1299" spans="1:15" x14ac:dyDescent="0.3">
      <c r="A1299" s="1">
        <v>45945</v>
      </c>
      <c r="B1299" s="4" t="s">
        <v>15</v>
      </c>
      <c r="C1299" s="4">
        <v>1483.9</v>
      </c>
      <c r="D1299" s="4">
        <v>1488.6</v>
      </c>
      <c r="E1299" s="4">
        <v>1467.5</v>
      </c>
      <c r="F1299" s="4">
        <v>1489.9</v>
      </c>
      <c r="G1299" s="4">
        <v>1474.4</v>
      </c>
      <c r="H1299" s="4">
        <v>1474.4</v>
      </c>
      <c r="I1299" s="4">
        <v>1475.22</v>
      </c>
      <c r="J1299" s="4">
        <v>2006.45</v>
      </c>
      <c r="K1299" s="4">
        <v>1307</v>
      </c>
      <c r="L1299" s="2">
        <v>6986098</v>
      </c>
      <c r="M1299" s="2">
        <v>10306028748.9</v>
      </c>
      <c r="N1299" s="2">
        <v>164747</v>
      </c>
      <c r="O1299" t="s">
        <v>21</v>
      </c>
    </row>
    <row r="1300" spans="1:15" x14ac:dyDescent="0.3">
      <c r="A1300" s="1">
        <v>45944</v>
      </c>
      <c r="B1300" s="4" t="s">
        <v>15</v>
      </c>
      <c r="C1300" s="4">
        <v>1499</v>
      </c>
      <c r="D1300" s="4">
        <v>1514.4</v>
      </c>
      <c r="E1300" s="4">
        <v>1486.5</v>
      </c>
      <c r="F1300" s="4">
        <v>1493.2</v>
      </c>
      <c r="G1300" s="4">
        <v>1488</v>
      </c>
      <c r="H1300" s="4">
        <v>1489.9</v>
      </c>
      <c r="I1300" s="4">
        <v>1494.67</v>
      </c>
      <c r="J1300" s="4">
        <v>2006.45</v>
      </c>
      <c r="K1300" s="4">
        <v>1307</v>
      </c>
      <c r="L1300" s="2">
        <v>5600789</v>
      </c>
      <c r="M1300" s="2">
        <v>8371348792.6000004</v>
      </c>
      <c r="N1300" s="2">
        <v>136364</v>
      </c>
      <c r="O1300" t="s">
        <v>21</v>
      </c>
    </row>
    <row r="1301" spans="1:15" x14ac:dyDescent="0.3">
      <c r="A1301" s="1">
        <v>45943</v>
      </c>
      <c r="B1301" s="4" t="s">
        <v>15</v>
      </c>
      <c r="C1301" s="4">
        <v>1497</v>
      </c>
      <c r="D1301" s="4">
        <v>1504.7</v>
      </c>
      <c r="E1301" s="4">
        <v>1483.4</v>
      </c>
      <c r="F1301" s="4">
        <v>1514.9</v>
      </c>
      <c r="G1301" s="4">
        <v>1492.4</v>
      </c>
      <c r="H1301" s="4">
        <v>1493.2</v>
      </c>
      <c r="I1301" s="4">
        <v>1492.35</v>
      </c>
      <c r="J1301" s="4">
        <v>2006.45</v>
      </c>
      <c r="K1301" s="4">
        <v>1307</v>
      </c>
      <c r="L1301" s="2">
        <v>5859355</v>
      </c>
      <c r="M1301" s="2">
        <v>8744211054.5</v>
      </c>
      <c r="N1301" s="2">
        <v>144645</v>
      </c>
      <c r="O1301" t="s">
        <v>21</v>
      </c>
    </row>
    <row r="1302" spans="1:15" x14ac:dyDescent="0.3">
      <c r="A1302" s="1">
        <v>45940</v>
      </c>
      <c r="B1302" s="4" t="s">
        <v>15</v>
      </c>
      <c r="C1302" s="4">
        <v>1510</v>
      </c>
      <c r="D1302" s="4">
        <v>1521.7</v>
      </c>
      <c r="E1302" s="4">
        <v>1498.8</v>
      </c>
      <c r="F1302" s="4">
        <v>1509.3</v>
      </c>
      <c r="G1302" s="4">
        <v>1511.9</v>
      </c>
      <c r="H1302" s="4">
        <v>1514.9</v>
      </c>
      <c r="I1302" s="4">
        <v>1513.91</v>
      </c>
      <c r="J1302" s="4">
        <v>2006.45</v>
      </c>
      <c r="K1302" s="4">
        <v>1307</v>
      </c>
      <c r="L1302" s="2">
        <v>3738353</v>
      </c>
      <c r="M1302" s="2">
        <v>5659544676.1999998</v>
      </c>
      <c r="N1302" s="2">
        <v>112569</v>
      </c>
      <c r="O1302" t="s">
        <v>21</v>
      </c>
    </row>
    <row r="1303" spans="1:15" x14ac:dyDescent="0.3">
      <c r="A1303" s="1">
        <v>45939</v>
      </c>
      <c r="B1303" s="4" t="s">
        <v>15</v>
      </c>
      <c r="C1303" s="4">
        <v>1502</v>
      </c>
      <c r="D1303" s="4">
        <v>1514</v>
      </c>
      <c r="E1303" s="4">
        <v>1487</v>
      </c>
      <c r="F1303" s="4">
        <v>1495</v>
      </c>
      <c r="G1303" s="4">
        <v>1509.7</v>
      </c>
      <c r="H1303" s="4">
        <v>1509.3</v>
      </c>
      <c r="I1303" s="4">
        <v>1504.17</v>
      </c>
      <c r="J1303" s="4">
        <v>2006.45</v>
      </c>
      <c r="K1303" s="4">
        <v>1307</v>
      </c>
      <c r="L1303" s="2">
        <v>7028753</v>
      </c>
      <c r="M1303" s="2">
        <v>10572416602.700001</v>
      </c>
      <c r="N1303" s="2">
        <v>177885</v>
      </c>
      <c r="O1303" t="s">
        <v>21</v>
      </c>
    </row>
    <row r="1304" spans="1:15" x14ac:dyDescent="0.3">
      <c r="A1304" s="1">
        <v>45938</v>
      </c>
      <c r="B1304" s="4" t="s">
        <v>15</v>
      </c>
      <c r="C1304" s="4">
        <v>1457</v>
      </c>
      <c r="D1304" s="4">
        <v>1498</v>
      </c>
      <c r="E1304" s="4">
        <v>1455</v>
      </c>
      <c r="F1304" s="4">
        <v>1458.5</v>
      </c>
      <c r="G1304" s="4">
        <v>1492</v>
      </c>
      <c r="H1304" s="4">
        <v>1495</v>
      </c>
      <c r="I1304" s="4">
        <v>1489.22</v>
      </c>
      <c r="J1304" s="4">
        <v>2006.45</v>
      </c>
      <c r="K1304" s="4">
        <v>1307</v>
      </c>
      <c r="L1304" s="2">
        <v>4657192</v>
      </c>
      <c r="M1304" s="2">
        <v>6935605075.6000004</v>
      </c>
      <c r="N1304" s="2">
        <v>125936</v>
      </c>
      <c r="O1304" t="s">
        <v>21</v>
      </c>
    </row>
    <row r="1305" spans="1:15" x14ac:dyDescent="0.3">
      <c r="A1305" s="1">
        <v>45937</v>
      </c>
      <c r="B1305" s="4" t="s">
        <v>15</v>
      </c>
      <c r="C1305" s="4">
        <v>1477.7</v>
      </c>
      <c r="D1305" s="4">
        <v>1482.9</v>
      </c>
      <c r="E1305" s="4">
        <v>1454</v>
      </c>
      <c r="F1305" s="4">
        <v>1476</v>
      </c>
      <c r="G1305" s="4">
        <v>1458.1</v>
      </c>
      <c r="H1305" s="4">
        <v>1458.5</v>
      </c>
      <c r="I1305" s="4">
        <v>1463.53</v>
      </c>
      <c r="J1305" s="4">
        <v>2006.45</v>
      </c>
      <c r="K1305" s="4">
        <v>1307</v>
      </c>
      <c r="L1305" s="2">
        <v>5570320</v>
      </c>
      <c r="M1305" s="2">
        <v>8152322227.8999996</v>
      </c>
      <c r="N1305" s="2">
        <v>171449</v>
      </c>
      <c r="O1305" t="s">
        <v>21</v>
      </c>
    </row>
    <row r="1306" spans="1:15" x14ac:dyDescent="0.3">
      <c r="A1306" s="1">
        <v>45936</v>
      </c>
      <c r="B1306" s="4" t="s">
        <v>15</v>
      </c>
      <c r="C1306" s="4">
        <v>1446.6</v>
      </c>
      <c r="D1306" s="4">
        <v>1478.8</v>
      </c>
      <c r="E1306" s="4">
        <v>1442.3</v>
      </c>
      <c r="F1306" s="4">
        <v>1446.6</v>
      </c>
      <c r="G1306" s="4">
        <v>1474.9</v>
      </c>
      <c r="H1306" s="4">
        <v>1476</v>
      </c>
      <c r="I1306" s="4">
        <v>1465.66</v>
      </c>
      <c r="J1306" s="4">
        <v>2006.45</v>
      </c>
      <c r="K1306" s="4">
        <v>1307</v>
      </c>
      <c r="L1306" s="2">
        <v>4630590</v>
      </c>
      <c r="M1306" s="2">
        <v>6786847790.8999996</v>
      </c>
      <c r="N1306" s="2">
        <v>105537</v>
      </c>
      <c r="O1306" t="s">
        <v>21</v>
      </c>
    </row>
    <row r="1307" spans="1:15" x14ac:dyDescent="0.3">
      <c r="A1307" s="1">
        <v>45933</v>
      </c>
      <c r="B1307" s="4" t="s">
        <v>15</v>
      </c>
      <c r="C1307" s="4">
        <v>1439</v>
      </c>
      <c r="D1307" s="4">
        <v>1448.3</v>
      </c>
      <c r="E1307" s="4">
        <v>1433.2</v>
      </c>
      <c r="F1307" s="4">
        <v>1445.8</v>
      </c>
      <c r="G1307" s="4">
        <v>1445.5</v>
      </c>
      <c r="H1307" s="4">
        <v>1446.6</v>
      </c>
      <c r="I1307" s="4">
        <v>1442.27</v>
      </c>
      <c r="J1307" s="4">
        <v>2006.45</v>
      </c>
      <c r="K1307" s="4">
        <v>1307</v>
      </c>
      <c r="L1307" s="2">
        <v>6877533</v>
      </c>
      <c r="M1307" s="2">
        <v>9919277058.3999996</v>
      </c>
      <c r="N1307" s="2">
        <v>156026</v>
      </c>
      <c r="O1307" t="s">
        <v>21</v>
      </c>
    </row>
    <row r="1308" spans="1:15" x14ac:dyDescent="0.3">
      <c r="A1308" s="1">
        <v>45931</v>
      </c>
      <c r="B1308" s="4" t="s">
        <v>15</v>
      </c>
      <c r="C1308" s="4">
        <v>1446</v>
      </c>
      <c r="D1308" s="4">
        <v>1449.5</v>
      </c>
      <c r="E1308" s="4">
        <v>1427.4</v>
      </c>
      <c r="F1308" s="4">
        <v>1441.8</v>
      </c>
      <c r="G1308" s="4">
        <v>1447.9</v>
      </c>
      <c r="H1308" s="4">
        <v>1445.8</v>
      </c>
      <c r="I1308" s="4">
        <v>1439.54</v>
      </c>
      <c r="J1308" s="4">
        <v>2006.45</v>
      </c>
      <c r="K1308" s="4">
        <v>1307</v>
      </c>
      <c r="L1308" s="2">
        <v>6250692</v>
      </c>
      <c r="M1308" s="2">
        <v>8998133310.6000004</v>
      </c>
      <c r="N1308" s="2">
        <v>194062</v>
      </c>
      <c r="O1308" t="s">
        <v>21</v>
      </c>
    </row>
    <row r="1309" spans="1:15" x14ac:dyDescent="0.3">
      <c r="A1309" s="1">
        <v>45930</v>
      </c>
      <c r="B1309" s="4" t="s">
        <v>15</v>
      </c>
      <c r="C1309" s="4">
        <v>1443</v>
      </c>
      <c r="D1309" s="4">
        <v>1452.2</v>
      </c>
      <c r="E1309" s="4">
        <v>1438.1</v>
      </c>
      <c r="F1309" s="4">
        <v>1441.8</v>
      </c>
      <c r="G1309" s="4">
        <v>1442.6</v>
      </c>
      <c r="H1309" s="4">
        <v>1441.8</v>
      </c>
      <c r="I1309" s="4">
        <v>1443.52</v>
      </c>
      <c r="J1309" s="4">
        <v>2006.45</v>
      </c>
      <c r="K1309" s="4">
        <v>1307</v>
      </c>
      <c r="L1309" s="2">
        <v>7556305</v>
      </c>
      <c r="M1309" s="2">
        <v>10907707364.4</v>
      </c>
      <c r="N1309" s="2">
        <v>247554</v>
      </c>
      <c r="O1309" t="s">
        <v>21</v>
      </c>
    </row>
    <row r="1310" spans="1:15" x14ac:dyDescent="0.3">
      <c r="A1310" s="1">
        <v>45929</v>
      </c>
      <c r="B1310" s="4" t="s">
        <v>15</v>
      </c>
      <c r="C1310" s="4">
        <v>1460</v>
      </c>
      <c r="D1310" s="4">
        <v>1465</v>
      </c>
      <c r="E1310" s="4">
        <v>1436.5</v>
      </c>
      <c r="F1310" s="4">
        <v>1448.9</v>
      </c>
      <c r="G1310" s="4">
        <v>1449.2</v>
      </c>
      <c r="H1310" s="4">
        <v>1441.8</v>
      </c>
      <c r="I1310" s="4">
        <v>1447.06</v>
      </c>
      <c r="J1310" s="4">
        <v>2006.45</v>
      </c>
      <c r="K1310" s="4">
        <v>1307</v>
      </c>
      <c r="L1310" s="2">
        <v>10513117</v>
      </c>
      <c r="M1310" s="2">
        <v>15213102142.1</v>
      </c>
      <c r="N1310" s="2">
        <v>181113</v>
      </c>
      <c r="O1310" t="s">
        <v>21</v>
      </c>
    </row>
    <row r="1311" spans="1:15" x14ac:dyDescent="0.3">
      <c r="A1311" s="1">
        <v>45926</v>
      </c>
      <c r="B1311" s="4" t="s">
        <v>15</v>
      </c>
      <c r="C1311" s="4">
        <v>1475</v>
      </c>
      <c r="D1311" s="4">
        <v>1478.7</v>
      </c>
      <c r="E1311" s="4">
        <v>1441.2</v>
      </c>
      <c r="F1311" s="4">
        <v>1484.8</v>
      </c>
      <c r="G1311" s="4">
        <v>1452.2</v>
      </c>
      <c r="H1311" s="4">
        <v>1448.9</v>
      </c>
      <c r="I1311" s="4">
        <v>1457.7</v>
      </c>
      <c r="J1311" s="4">
        <v>2006.45</v>
      </c>
      <c r="K1311" s="4">
        <v>1307</v>
      </c>
      <c r="L1311" s="2">
        <v>8597058</v>
      </c>
      <c r="M1311" s="2">
        <v>12531971834.700001</v>
      </c>
      <c r="N1311" s="2">
        <v>445150</v>
      </c>
      <c r="O1311" t="s">
        <v>21</v>
      </c>
    </row>
    <row r="1312" spans="1:15" x14ac:dyDescent="0.3">
      <c r="A1312" s="1">
        <v>45925</v>
      </c>
      <c r="B1312" s="4" t="s">
        <v>15</v>
      </c>
      <c r="C1312" s="4">
        <v>1489</v>
      </c>
      <c r="D1312" s="4">
        <v>1502.7</v>
      </c>
      <c r="E1312" s="4">
        <v>1476.5</v>
      </c>
      <c r="F1312" s="4">
        <v>1494.6</v>
      </c>
      <c r="G1312" s="4">
        <v>1491.2</v>
      </c>
      <c r="H1312" s="4">
        <v>1484.8</v>
      </c>
      <c r="I1312" s="4">
        <v>1487.92</v>
      </c>
      <c r="J1312" s="4">
        <v>2006.45</v>
      </c>
      <c r="K1312" s="4">
        <v>1307</v>
      </c>
      <c r="L1312" s="2">
        <v>9491867</v>
      </c>
      <c r="M1312" s="2">
        <v>14123154812.700001</v>
      </c>
      <c r="N1312" s="2">
        <v>185456</v>
      </c>
      <c r="O1312" t="s">
        <v>21</v>
      </c>
    </row>
    <row r="1313" spans="1:15" x14ac:dyDescent="0.3">
      <c r="A1313" s="1">
        <v>45924</v>
      </c>
      <c r="B1313" s="4" t="s">
        <v>15</v>
      </c>
      <c r="C1313" s="4">
        <v>1487.2</v>
      </c>
      <c r="D1313" s="4">
        <v>1496.7</v>
      </c>
      <c r="E1313" s="4">
        <v>1482.7</v>
      </c>
      <c r="F1313" s="4">
        <v>1497.5</v>
      </c>
      <c r="G1313" s="4">
        <v>1494.9</v>
      </c>
      <c r="H1313" s="4">
        <v>1494.6</v>
      </c>
      <c r="I1313" s="4">
        <v>1490.99</v>
      </c>
      <c r="J1313" s="4">
        <v>2006.45</v>
      </c>
      <c r="K1313" s="4">
        <v>1307</v>
      </c>
      <c r="L1313" s="2">
        <v>4937004</v>
      </c>
      <c r="M1313" s="2">
        <v>7361023173.6999998</v>
      </c>
      <c r="N1313" s="2">
        <v>143787</v>
      </c>
      <c r="O1313" t="s">
        <v>21</v>
      </c>
    </row>
    <row r="1314" spans="1:15" x14ac:dyDescent="0.3">
      <c r="A1314" s="1">
        <v>45923</v>
      </c>
      <c r="B1314" s="4" t="s">
        <v>15</v>
      </c>
      <c r="C1314" s="4">
        <v>1493</v>
      </c>
      <c r="D1314" s="4">
        <v>1513</v>
      </c>
      <c r="E1314" s="4">
        <v>1493</v>
      </c>
      <c r="F1314" s="4">
        <v>1499.5</v>
      </c>
      <c r="G1314" s="4">
        <v>1500.6</v>
      </c>
      <c r="H1314" s="4">
        <v>1497.5</v>
      </c>
      <c r="I1314" s="4">
        <v>1500.6</v>
      </c>
      <c r="J1314" s="4">
        <v>2006.45</v>
      </c>
      <c r="K1314" s="4">
        <v>1307</v>
      </c>
      <c r="L1314" s="2">
        <v>9832164</v>
      </c>
      <c r="M1314" s="2">
        <v>14754126838.700001</v>
      </c>
      <c r="N1314" s="2">
        <v>164451</v>
      </c>
      <c r="O1314" t="s">
        <v>21</v>
      </c>
    </row>
    <row r="1315" spans="1:15" x14ac:dyDescent="0.3">
      <c r="A1315" s="1">
        <v>45922</v>
      </c>
      <c r="B1315" s="4" t="s">
        <v>15</v>
      </c>
      <c r="C1315" s="4">
        <v>1482.7</v>
      </c>
      <c r="D1315" s="4">
        <v>1514.7</v>
      </c>
      <c r="E1315" s="4">
        <v>1482</v>
      </c>
      <c r="F1315" s="4">
        <v>1540.2</v>
      </c>
      <c r="G1315" s="4">
        <v>1500.9</v>
      </c>
      <c r="H1315" s="4">
        <v>1499.5</v>
      </c>
      <c r="I1315" s="4">
        <v>1499.71</v>
      </c>
      <c r="J1315" s="4">
        <v>2006.45</v>
      </c>
      <c r="K1315" s="4">
        <v>1307</v>
      </c>
      <c r="L1315" s="2">
        <v>15655204</v>
      </c>
      <c r="M1315" s="2">
        <v>23478311082.400002</v>
      </c>
      <c r="N1315" s="2">
        <v>436891</v>
      </c>
      <c r="O1315" t="s">
        <v>21</v>
      </c>
    </row>
    <row r="1316" spans="1:15" x14ac:dyDescent="0.3">
      <c r="A1316" s="1">
        <v>45919</v>
      </c>
      <c r="B1316" s="4" t="s">
        <v>15</v>
      </c>
      <c r="C1316" s="4">
        <v>1544.6</v>
      </c>
      <c r="D1316" s="4">
        <v>1551.3</v>
      </c>
      <c r="E1316" s="4">
        <v>1520.1</v>
      </c>
      <c r="F1316" s="4">
        <v>1540.6</v>
      </c>
      <c r="G1316" s="4">
        <v>1543.9</v>
      </c>
      <c r="H1316" s="4">
        <v>1540.2</v>
      </c>
      <c r="I1316" s="4">
        <v>1536.05</v>
      </c>
      <c r="J1316" s="4">
        <v>2006.45</v>
      </c>
      <c r="K1316" s="4">
        <v>1307</v>
      </c>
      <c r="L1316" s="2">
        <v>12988129</v>
      </c>
      <c r="M1316" s="2">
        <v>19950422136.700001</v>
      </c>
      <c r="N1316" s="2">
        <v>152059</v>
      </c>
      <c r="O1316" t="s">
        <v>21</v>
      </c>
    </row>
    <row r="1317" spans="1:15" x14ac:dyDescent="0.3">
      <c r="A1317" s="1">
        <v>45918</v>
      </c>
      <c r="B1317" s="4" t="s">
        <v>15</v>
      </c>
      <c r="C1317" s="4">
        <v>1550</v>
      </c>
      <c r="D1317" s="4">
        <v>1555</v>
      </c>
      <c r="E1317" s="4">
        <v>1538.5</v>
      </c>
      <c r="F1317" s="4">
        <v>1522.4</v>
      </c>
      <c r="G1317" s="4">
        <v>1541.1</v>
      </c>
      <c r="H1317" s="4">
        <v>1540.6</v>
      </c>
      <c r="I1317" s="4">
        <v>1545.13</v>
      </c>
      <c r="J1317" s="4">
        <v>2006.45</v>
      </c>
      <c r="K1317" s="4">
        <v>1307</v>
      </c>
      <c r="L1317" s="2">
        <v>9331945</v>
      </c>
      <c r="M1317" s="2">
        <v>14419061402.299999</v>
      </c>
      <c r="N1317" s="2">
        <v>341731</v>
      </c>
      <c r="O1317" t="s">
        <v>21</v>
      </c>
    </row>
    <row r="1318" spans="1:15" x14ac:dyDescent="0.3">
      <c r="A1318" s="1">
        <v>45917</v>
      </c>
      <c r="B1318" s="4" t="s">
        <v>15</v>
      </c>
      <c r="C1318" s="4">
        <v>1516.9</v>
      </c>
      <c r="D1318" s="4">
        <v>1526.7</v>
      </c>
      <c r="E1318" s="4">
        <v>1514</v>
      </c>
      <c r="F1318" s="4">
        <v>1511.3</v>
      </c>
      <c r="G1318" s="4">
        <v>1521.5</v>
      </c>
      <c r="H1318" s="4">
        <v>1522.4</v>
      </c>
      <c r="I1318" s="4">
        <v>1521.42</v>
      </c>
      <c r="J1318" s="4">
        <v>2006.45</v>
      </c>
      <c r="K1318" s="4">
        <v>1307</v>
      </c>
      <c r="L1318" s="2">
        <v>4795698</v>
      </c>
      <c r="M1318" s="2">
        <v>7296293565.8999996</v>
      </c>
      <c r="N1318" s="2">
        <v>137197</v>
      </c>
      <c r="O1318" t="s">
        <v>21</v>
      </c>
    </row>
    <row r="1319" spans="1:15" x14ac:dyDescent="0.3">
      <c r="A1319" s="1">
        <v>45916</v>
      </c>
      <c r="B1319" s="4" t="s">
        <v>15</v>
      </c>
      <c r="C1319" s="4">
        <v>1508.4</v>
      </c>
      <c r="D1319" s="4">
        <v>1514</v>
      </c>
      <c r="E1319" s="4">
        <v>1503.5</v>
      </c>
      <c r="F1319" s="4">
        <v>1508.4</v>
      </c>
      <c r="G1319" s="4">
        <v>1513.5</v>
      </c>
      <c r="H1319" s="4">
        <v>1511.3</v>
      </c>
      <c r="I1319" s="4">
        <v>1507.82</v>
      </c>
      <c r="J1319" s="4">
        <v>2006.45</v>
      </c>
      <c r="K1319" s="4">
        <v>1307</v>
      </c>
      <c r="L1319" s="2">
        <v>8923112</v>
      </c>
      <c r="M1319" s="2">
        <v>13454416476.299999</v>
      </c>
      <c r="N1319" s="2">
        <v>202258</v>
      </c>
      <c r="O1319" t="s">
        <v>21</v>
      </c>
    </row>
    <row r="1320" spans="1:15" x14ac:dyDescent="0.3">
      <c r="A1320" s="1">
        <v>45915</v>
      </c>
      <c r="B1320" s="4" t="s">
        <v>15</v>
      </c>
      <c r="C1320" s="4">
        <v>1525.6</v>
      </c>
      <c r="D1320" s="4">
        <v>1527.5</v>
      </c>
      <c r="E1320" s="4">
        <v>1501.2</v>
      </c>
      <c r="F1320" s="4">
        <v>1525.6</v>
      </c>
      <c r="G1320" s="4">
        <v>1508.5</v>
      </c>
      <c r="H1320" s="4">
        <v>1508.4</v>
      </c>
      <c r="I1320" s="4">
        <v>1509.78</v>
      </c>
      <c r="J1320" s="4">
        <v>2006.45</v>
      </c>
      <c r="K1320" s="4">
        <v>1307</v>
      </c>
      <c r="L1320" s="2">
        <v>6167414</v>
      </c>
      <c r="M1320" s="2">
        <v>9311410949.7999992</v>
      </c>
      <c r="N1320" s="2">
        <v>173954</v>
      </c>
      <c r="O1320" t="s">
        <v>21</v>
      </c>
    </row>
    <row r="1321" spans="1:15" x14ac:dyDescent="0.3">
      <c r="A1321" s="1">
        <v>45912</v>
      </c>
      <c r="B1321" s="4" t="s">
        <v>15</v>
      </c>
      <c r="C1321" s="4">
        <v>1537</v>
      </c>
      <c r="D1321" s="4">
        <v>1542.9</v>
      </c>
      <c r="E1321" s="4">
        <v>1521.1</v>
      </c>
      <c r="F1321" s="4">
        <v>1509.7</v>
      </c>
      <c r="G1321" s="4">
        <v>1524.1</v>
      </c>
      <c r="H1321" s="4">
        <v>1525.6</v>
      </c>
      <c r="I1321" s="4">
        <v>1529.87</v>
      </c>
      <c r="J1321" s="4">
        <v>2006.45</v>
      </c>
      <c r="K1321" s="4">
        <v>1307</v>
      </c>
      <c r="L1321" s="2">
        <v>12856963</v>
      </c>
      <c r="M1321" s="2">
        <v>19669425031.099998</v>
      </c>
      <c r="N1321" s="2">
        <v>332492</v>
      </c>
      <c r="O1321" t="s">
        <v>21</v>
      </c>
    </row>
    <row r="1322" spans="1:15" x14ac:dyDescent="0.3">
      <c r="A1322" s="1">
        <v>45911</v>
      </c>
      <c r="B1322" s="4" t="s">
        <v>15</v>
      </c>
      <c r="C1322" s="4">
        <v>1523.9</v>
      </c>
      <c r="D1322" s="4">
        <v>1527.5</v>
      </c>
      <c r="E1322" s="4">
        <v>1506.5</v>
      </c>
      <c r="F1322" s="4">
        <v>1532.6</v>
      </c>
      <c r="G1322" s="4">
        <v>1512.2</v>
      </c>
      <c r="H1322" s="4">
        <v>1509.7</v>
      </c>
      <c r="I1322" s="4">
        <v>1512.35</v>
      </c>
      <c r="J1322" s="4">
        <v>2006.45</v>
      </c>
      <c r="K1322" s="4">
        <v>1307</v>
      </c>
      <c r="L1322" s="2">
        <v>8003662</v>
      </c>
      <c r="M1322" s="2">
        <v>12104367139.299999</v>
      </c>
      <c r="N1322" s="2">
        <v>225605</v>
      </c>
      <c r="O1322" t="s">
        <v>21</v>
      </c>
    </row>
    <row r="1323" spans="1:15" x14ac:dyDescent="0.3">
      <c r="A1323" s="1">
        <v>45910</v>
      </c>
      <c r="B1323" s="4" t="s">
        <v>15</v>
      </c>
      <c r="C1323" s="4">
        <v>1510.1</v>
      </c>
      <c r="D1323" s="4">
        <v>1534.9</v>
      </c>
      <c r="E1323" s="4">
        <v>1509.3</v>
      </c>
      <c r="F1323" s="4">
        <v>1504.3</v>
      </c>
      <c r="G1323" s="4">
        <v>1532</v>
      </c>
      <c r="H1323" s="4">
        <v>1532.6</v>
      </c>
      <c r="I1323" s="4">
        <v>1528.49</v>
      </c>
      <c r="J1323" s="4">
        <v>2006.45</v>
      </c>
      <c r="K1323" s="4">
        <v>1307</v>
      </c>
      <c r="L1323" s="2">
        <v>7281071</v>
      </c>
      <c r="M1323" s="2">
        <v>11129062219.700001</v>
      </c>
      <c r="N1323" s="2">
        <v>209861</v>
      </c>
      <c r="O1323" t="s">
        <v>21</v>
      </c>
    </row>
    <row r="1324" spans="1:15" x14ac:dyDescent="0.3">
      <c r="A1324" s="1">
        <v>45909</v>
      </c>
      <c r="B1324" s="4" t="s">
        <v>15</v>
      </c>
      <c r="C1324" s="4">
        <v>1481</v>
      </c>
      <c r="D1324" s="4">
        <v>1507.2</v>
      </c>
      <c r="E1324" s="4">
        <v>1472.5</v>
      </c>
      <c r="F1324" s="4">
        <v>1432.9</v>
      </c>
      <c r="G1324" s="4">
        <v>1502.4</v>
      </c>
      <c r="H1324" s="4">
        <v>1504.3</v>
      </c>
      <c r="I1324" s="4">
        <v>1495.04</v>
      </c>
      <c r="J1324" s="4">
        <v>2006.45</v>
      </c>
      <c r="K1324" s="4">
        <v>1307</v>
      </c>
      <c r="L1324" s="2">
        <v>13072640</v>
      </c>
      <c r="M1324" s="2">
        <v>19544174524.900002</v>
      </c>
      <c r="N1324" s="2">
        <v>302959</v>
      </c>
      <c r="O1324" t="s">
        <v>21</v>
      </c>
    </row>
    <row r="1325" spans="1:15" x14ac:dyDescent="0.3">
      <c r="A1325" s="1">
        <v>45908</v>
      </c>
      <c r="B1325" s="4" t="s">
        <v>15</v>
      </c>
      <c r="C1325" s="4">
        <v>1451</v>
      </c>
      <c r="D1325" s="4">
        <v>1458</v>
      </c>
      <c r="E1325" s="4">
        <v>1428.3</v>
      </c>
      <c r="F1325" s="4">
        <v>1444.6</v>
      </c>
      <c r="G1325" s="4">
        <v>1436.1</v>
      </c>
      <c r="H1325" s="4">
        <v>1432.9</v>
      </c>
      <c r="I1325" s="4">
        <v>1436.94</v>
      </c>
      <c r="J1325" s="4">
        <v>2006.45</v>
      </c>
      <c r="K1325" s="4">
        <v>1307</v>
      </c>
      <c r="L1325" s="2">
        <v>3811567</v>
      </c>
      <c r="M1325" s="2">
        <v>5476995827.1999998</v>
      </c>
      <c r="N1325" s="2">
        <v>151828</v>
      </c>
      <c r="O1325" t="s">
        <v>21</v>
      </c>
    </row>
    <row r="1326" spans="1:15" x14ac:dyDescent="0.3">
      <c r="A1326" s="1">
        <v>45905</v>
      </c>
      <c r="B1326" s="4" t="s">
        <v>15</v>
      </c>
      <c r="C1326" s="4">
        <v>1470</v>
      </c>
      <c r="D1326" s="4">
        <v>1472.7</v>
      </c>
      <c r="E1326" s="4">
        <v>1433</v>
      </c>
      <c r="F1326" s="4">
        <v>1463</v>
      </c>
      <c r="G1326" s="4">
        <v>1446</v>
      </c>
      <c r="H1326" s="4">
        <v>1444.6</v>
      </c>
      <c r="I1326" s="4">
        <v>1445.24</v>
      </c>
      <c r="J1326" s="4">
        <v>2006.45</v>
      </c>
      <c r="K1326" s="4">
        <v>1307</v>
      </c>
      <c r="L1326" s="2">
        <v>5466487</v>
      </c>
      <c r="M1326" s="2">
        <v>7900395050.8000002</v>
      </c>
      <c r="N1326" s="2">
        <v>166130</v>
      </c>
      <c r="O1326" t="s">
        <v>21</v>
      </c>
    </row>
    <row r="1327" spans="1:15" x14ac:dyDescent="0.3">
      <c r="A1327" s="1">
        <v>45904</v>
      </c>
      <c r="B1327" s="4" t="s">
        <v>15</v>
      </c>
      <c r="C1327" s="4">
        <v>1484</v>
      </c>
      <c r="D1327" s="4">
        <v>1484</v>
      </c>
      <c r="E1327" s="4">
        <v>1460.1</v>
      </c>
      <c r="F1327" s="4">
        <v>1479.1</v>
      </c>
      <c r="G1327" s="4">
        <v>1461.5</v>
      </c>
      <c r="H1327" s="4">
        <v>1463</v>
      </c>
      <c r="I1327" s="4">
        <v>1469.07</v>
      </c>
      <c r="J1327" s="4">
        <v>2006.45</v>
      </c>
      <c r="K1327" s="4">
        <v>1307</v>
      </c>
      <c r="L1327" s="2">
        <v>5787724</v>
      </c>
      <c r="M1327" s="2">
        <v>8502579414.8000002</v>
      </c>
      <c r="N1327" s="2">
        <v>187871</v>
      </c>
      <c r="O1327" t="s">
        <v>21</v>
      </c>
    </row>
    <row r="1328" spans="1:15" x14ac:dyDescent="0.3">
      <c r="A1328" s="1">
        <v>45903</v>
      </c>
      <c r="B1328" s="4" t="s">
        <v>15</v>
      </c>
      <c r="C1328" s="4">
        <v>1500</v>
      </c>
      <c r="D1328" s="4">
        <v>1501.9</v>
      </c>
      <c r="E1328" s="4">
        <v>1473</v>
      </c>
      <c r="F1328" s="4">
        <v>1498.7</v>
      </c>
      <c r="G1328" s="4">
        <v>1480</v>
      </c>
      <c r="H1328" s="4">
        <v>1479.1</v>
      </c>
      <c r="I1328" s="4">
        <v>1479.49</v>
      </c>
      <c r="J1328" s="4">
        <v>2006.45</v>
      </c>
      <c r="K1328" s="4">
        <v>1307</v>
      </c>
      <c r="L1328" s="2">
        <v>4623483</v>
      </c>
      <c r="M1328" s="2">
        <v>6840388121.3000002</v>
      </c>
      <c r="N1328" s="2">
        <v>194968</v>
      </c>
      <c r="O1328" t="s">
        <v>21</v>
      </c>
    </row>
    <row r="1329" spans="1:15" x14ac:dyDescent="0.3">
      <c r="A1329" s="1">
        <v>45902</v>
      </c>
      <c r="B1329" s="4" t="s">
        <v>15</v>
      </c>
      <c r="C1329" s="4">
        <v>1499.4</v>
      </c>
      <c r="D1329" s="4">
        <v>1512.8</v>
      </c>
      <c r="E1329" s="4">
        <v>1486.3</v>
      </c>
      <c r="F1329" s="4">
        <v>1499.4</v>
      </c>
      <c r="G1329" s="4">
        <v>1494</v>
      </c>
      <c r="H1329" s="4">
        <v>1498.7</v>
      </c>
      <c r="I1329" s="4">
        <v>1501.52</v>
      </c>
      <c r="J1329" s="4">
        <v>2006.45</v>
      </c>
      <c r="K1329" s="4">
        <v>1307</v>
      </c>
      <c r="L1329" s="2">
        <v>5218763</v>
      </c>
      <c r="M1329" s="2">
        <v>7836067856.8999996</v>
      </c>
      <c r="N1329" s="2">
        <v>230255</v>
      </c>
      <c r="O1329" t="s">
        <v>21</v>
      </c>
    </row>
    <row r="1330" spans="1:15" x14ac:dyDescent="0.3">
      <c r="A1330" s="1">
        <v>45901</v>
      </c>
      <c r="B1330" s="4" t="s">
        <v>15</v>
      </c>
      <c r="C1330" s="4">
        <v>1476.7</v>
      </c>
      <c r="D1330" s="4">
        <v>1503.4</v>
      </c>
      <c r="E1330" s="4">
        <v>1476.2</v>
      </c>
      <c r="F1330" s="4">
        <v>1469.6</v>
      </c>
      <c r="G1330" s="4">
        <v>1500.6</v>
      </c>
      <c r="H1330" s="4">
        <v>1499.4</v>
      </c>
      <c r="I1330" s="4">
        <v>1497.49</v>
      </c>
      <c r="J1330" s="4">
        <v>2006.45</v>
      </c>
      <c r="K1330" s="4">
        <v>1307</v>
      </c>
      <c r="L1330" s="2">
        <v>4546057</v>
      </c>
      <c r="M1330" s="2">
        <v>6807659263.5</v>
      </c>
      <c r="N1330" s="2">
        <v>251323</v>
      </c>
      <c r="O1330" t="s">
        <v>21</v>
      </c>
    </row>
    <row r="1331" spans="1:15" x14ac:dyDescent="0.3">
      <c r="A1331" s="1">
        <v>45898</v>
      </c>
      <c r="B1331" s="4" t="s">
        <v>15</v>
      </c>
      <c r="C1331" s="4">
        <v>1501.9</v>
      </c>
      <c r="D1331" s="4">
        <v>1501.9</v>
      </c>
      <c r="E1331" s="4">
        <v>1467.7</v>
      </c>
      <c r="F1331" s="4">
        <v>1500.1</v>
      </c>
      <c r="G1331" s="4">
        <v>1469</v>
      </c>
      <c r="H1331" s="4">
        <v>1469.6</v>
      </c>
      <c r="I1331" s="4">
        <v>1479.78</v>
      </c>
      <c r="J1331" s="4">
        <v>2006.45</v>
      </c>
      <c r="K1331" s="4">
        <v>1307</v>
      </c>
      <c r="L1331" s="2">
        <v>8169075</v>
      </c>
      <c r="M1331" s="2">
        <v>12088473402.6</v>
      </c>
      <c r="N1331" s="2">
        <v>180969</v>
      </c>
      <c r="O1331" t="s">
        <v>21</v>
      </c>
    </row>
    <row r="1332" spans="1:15" x14ac:dyDescent="0.3">
      <c r="A1332" s="1">
        <v>45897</v>
      </c>
      <c r="B1332" s="4" t="s">
        <v>15</v>
      </c>
      <c r="C1332" s="4">
        <v>1529.6</v>
      </c>
      <c r="D1332" s="4">
        <v>1529.6</v>
      </c>
      <c r="E1332" s="4">
        <v>1498</v>
      </c>
      <c r="F1332" s="4">
        <v>1529.6</v>
      </c>
      <c r="G1332" s="4">
        <v>1503</v>
      </c>
      <c r="H1332" s="4">
        <v>1500.1</v>
      </c>
      <c r="I1332" s="4">
        <v>1505.61</v>
      </c>
      <c r="J1332" s="4">
        <v>2006.45</v>
      </c>
      <c r="K1332" s="4">
        <v>1307</v>
      </c>
      <c r="L1332" s="2">
        <v>5443364</v>
      </c>
      <c r="M1332" s="2">
        <v>8195606188.1999998</v>
      </c>
      <c r="N1332" s="2">
        <v>191326</v>
      </c>
      <c r="O1332" t="s">
        <v>21</v>
      </c>
    </row>
    <row r="1333" spans="1:15" x14ac:dyDescent="0.3">
      <c r="A1333" s="1">
        <v>45895</v>
      </c>
      <c r="B1333" s="4" t="s">
        <v>15</v>
      </c>
      <c r="C1333" s="4">
        <v>1523</v>
      </c>
      <c r="D1333" s="4">
        <v>1538.4</v>
      </c>
      <c r="E1333" s="4">
        <v>1518.6</v>
      </c>
      <c r="F1333" s="4">
        <v>1532.1</v>
      </c>
      <c r="G1333" s="4">
        <v>1525.8</v>
      </c>
      <c r="H1333" s="4">
        <v>1529.6</v>
      </c>
      <c r="I1333" s="4">
        <v>1528.71</v>
      </c>
      <c r="J1333" s="4">
        <v>2006.45</v>
      </c>
      <c r="K1333" s="4">
        <v>1307</v>
      </c>
      <c r="L1333" s="2">
        <v>15994798</v>
      </c>
      <c r="M1333" s="2">
        <v>24451397801.599998</v>
      </c>
      <c r="N1333" s="2">
        <v>229265</v>
      </c>
      <c r="O1333" t="s">
        <v>21</v>
      </c>
    </row>
    <row r="1334" spans="1:15" x14ac:dyDescent="0.3">
      <c r="A1334" s="1">
        <v>45894</v>
      </c>
      <c r="B1334" s="4" t="s">
        <v>15</v>
      </c>
      <c r="C1334" s="4">
        <v>1506.7</v>
      </c>
      <c r="D1334" s="4">
        <v>1539</v>
      </c>
      <c r="E1334" s="4">
        <v>1506.7</v>
      </c>
      <c r="F1334" s="4">
        <v>1487.5</v>
      </c>
      <c r="G1334" s="4">
        <v>1533.3</v>
      </c>
      <c r="H1334" s="4">
        <v>1532.1</v>
      </c>
      <c r="I1334" s="4">
        <v>1529.98</v>
      </c>
      <c r="J1334" s="4">
        <v>2006.45</v>
      </c>
      <c r="K1334" s="4">
        <v>1307</v>
      </c>
      <c r="L1334" s="2">
        <v>10694531</v>
      </c>
      <c r="M1334" s="2">
        <v>16362427034.299999</v>
      </c>
      <c r="N1334" s="2">
        <v>293354</v>
      </c>
      <c r="O1334" t="s">
        <v>21</v>
      </c>
    </row>
    <row r="1335" spans="1:15" x14ac:dyDescent="0.3">
      <c r="A1335" s="1">
        <v>45891</v>
      </c>
      <c r="B1335" s="4" t="s">
        <v>15</v>
      </c>
      <c r="C1335" s="4">
        <v>1498.1</v>
      </c>
      <c r="D1335" s="4">
        <v>1504.3</v>
      </c>
      <c r="E1335" s="4">
        <v>1486.1</v>
      </c>
      <c r="F1335" s="4">
        <v>1496.4</v>
      </c>
      <c r="G1335" s="4">
        <v>1487.9</v>
      </c>
      <c r="H1335" s="4">
        <v>1487.5</v>
      </c>
      <c r="I1335" s="4">
        <v>1492.1</v>
      </c>
      <c r="J1335" s="4">
        <v>2006.45</v>
      </c>
      <c r="K1335" s="4">
        <v>1307</v>
      </c>
      <c r="L1335" s="2">
        <v>5543397</v>
      </c>
      <c r="M1335" s="2">
        <v>8271310707.6000004</v>
      </c>
      <c r="N1335" s="2">
        <v>181180</v>
      </c>
      <c r="O1335" t="s">
        <v>21</v>
      </c>
    </row>
    <row r="1336" spans="1:15" x14ac:dyDescent="0.3">
      <c r="A1336" s="1">
        <v>45890</v>
      </c>
      <c r="B1336" s="4" t="s">
        <v>15</v>
      </c>
      <c r="C1336" s="4">
        <v>1508</v>
      </c>
      <c r="D1336" s="4">
        <v>1508</v>
      </c>
      <c r="E1336" s="4">
        <v>1484.3</v>
      </c>
      <c r="F1336" s="4">
        <v>1496.2</v>
      </c>
      <c r="G1336" s="4">
        <v>1495.5</v>
      </c>
      <c r="H1336" s="4">
        <v>1496.4</v>
      </c>
      <c r="I1336" s="4">
        <v>1497.17</v>
      </c>
      <c r="J1336" s="4">
        <v>2006.45</v>
      </c>
      <c r="K1336" s="4">
        <v>1307</v>
      </c>
      <c r="L1336" s="2">
        <v>6565539</v>
      </c>
      <c r="M1336" s="2">
        <v>9829715323</v>
      </c>
      <c r="N1336" s="2">
        <v>208499</v>
      </c>
      <c r="O1336" t="s">
        <v>21</v>
      </c>
    </row>
    <row r="1337" spans="1:15" x14ac:dyDescent="0.3">
      <c r="A1337" s="1">
        <v>45889</v>
      </c>
      <c r="B1337" s="4" t="s">
        <v>15</v>
      </c>
      <c r="C1337" s="4">
        <v>1440.7</v>
      </c>
      <c r="D1337" s="4">
        <v>1499</v>
      </c>
      <c r="E1337" s="4">
        <v>1440.7</v>
      </c>
      <c r="F1337" s="4">
        <v>1440</v>
      </c>
      <c r="G1337" s="4">
        <v>1495.1</v>
      </c>
      <c r="H1337" s="4">
        <v>1496.2</v>
      </c>
      <c r="I1337" s="4">
        <v>1482.74</v>
      </c>
      <c r="J1337" s="4">
        <v>2006.45</v>
      </c>
      <c r="K1337" s="4">
        <v>1307</v>
      </c>
      <c r="L1337" s="2">
        <v>10413061</v>
      </c>
      <c r="M1337" s="2">
        <v>15439823972.4</v>
      </c>
      <c r="N1337" s="2">
        <v>307308</v>
      </c>
      <c r="O1337" t="s">
        <v>21</v>
      </c>
    </row>
    <row r="1338" spans="1:15" x14ac:dyDescent="0.3">
      <c r="A1338" s="1">
        <v>45888</v>
      </c>
      <c r="B1338" s="4" t="s">
        <v>15</v>
      </c>
      <c r="C1338" s="4">
        <v>1432.7</v>
      </c>
      <c r="D1338" s="4">
        <v>1449.4</v>
      </c>
      <c r="E1338" s="4">
        <v>1432.7</v>
      </c>
      <c r="F1338" s="4">
        <v>1435.8</v>
      </c>
      <c r="G1338" s="4">
        <v>1442.5</v>
      </c>
      <c r="H1338" s="4">
        <v>1440</v>
      </c>
      <c r="I1338" s="4">
        <v>1442.34</v>
      </c>
      <c r="J1338" s="4">
        <v>2006.45</v>
      </c>
      <c r="K1338" s="4">
        <v>1307</v>
      </c>
      <c r="L1338" s="2">
        <v>3986094</v>
      </c>
      <c r="M1338" s="2">
        <v>5749306331.6000004</v>
      </c>
      <c r="N1338" s="2">
        <v>147879</v>
      </c>
      <c r="O1338" t="s">
        <v>21</v>
      </c>
    </row>
    <row r="1339" spans="1:15" x14ac:dyDescent="0.3">
      <c r="A1339" s="1">
        <v>45887</v>
      </c>
      <c r="B1339" s="4" t="s">
        <v>15</v>
      </c>
      <c r="C1339" s="4">
        <v>1464.7</v>
      </c>
      <c r="D1339" s="4">
        <v>1464.7</v>
      </c>
      <c r="E1339" s="4">
        <v>1429.6</v>
      </c>
      <c r="F1339" s="4">
        <v>1447.7</v>
      </c>
      <c r="G1339" s="4">
        <v>1436</v>
      </c>
      <c r="H1339" s="4">
        <v>1435.8</v>
      </c>
      <c r="I1339" s="4">
        <v>1438.72</v>
      </c>
      <c r="J1339" s="4">
        <v>2006.45</v>
      </c>
      <c r="K1339" s="4">
        <v>1307</v>
      </c>
      <c r="L1339" s="2">
        <v>7254561</v>
      </c>
      <c r="M1339" s="2">
        <v>10437279703.700001</v>
      </c>
      <c r="N1339" s="2">
        <v>182842</v>
      </c>
      <c r="O1339" t="s">
        <v>21</v>
      </c>
    </row>
    <row r="1340" spans="1:15" x14ac:dyDescent="0.3">
      <c r="A1340" s="1">
        <v>45883</v>
      </c>
      <c r="B1340" s="4" t="s">
        <v>15</v>
      </c>
      <c r="C1340" s="4">
        <v>1426.2</v>
      </c>
      <c r="D1340" s="4">
        <v>1470</v>
      </c>
      <c r="E1340" s="4">
        <v>1426.2</v>
      </c>
      <c r="F1340" s="4">
        <v>1426.6</v>
      </c>
      <c r="G1340" s="4">
        <v>1448</v>
      </c>
      <c r="H1340" s="4">
        <v>1447.7</v>
      </c>
      <c r="I1340" s="4">
        <v>1451.87</v>
      </c>
      <c r="J1340" s="4">
        <v>2006.45</v>
      </c>
      <c r="K1340" s="4">
        <v>1307</v>
      </c>
      <c r="L1340" s="2">
        <v>12902347</v>
      </c>
      <c r="M1340" s="2">
        <v>18732583333.599998</v>
      </c>
      <c r="N1340" s="2">
        <v>216803</v>
      </c>
      <c r="O1340" t="s">
        <v>21</v>
      </c>
    </row>
    <row r="1341" spans="1:15" x14ac:dyDescent="0.3">
      <c r="A1341" s="1">
        <v>45882</v>
      </c>
      <c r="B1341" s="4" t="s">
        <v>15</v>
      </c>
      <c r="C1341" s="4">
        <v>1425</v>
      </c>
      <c r="D1341" s="4">
        <v>1434</v>
      </c>
      <c r="E1341" s="4">
        <v>1422.4</v>
      </c>
      <c r="F1341" s="4">
        <v>1424.1</v>
      </c>
      <c r="G1341" s="4">
        <v>1426.4</v>
      </c>
      <c r="H1341" s="4">
        <v>1426.6</v>
      </c>
      <c r="I1341" s="4">
        <v>1427.16</v>
      </c>
      <c r="J1341" s="4">
        <v>2006.45</v>
      </c>
      <c r="K1341" s="4">
        <v>1307</v>
      </c>
      <c r="L1341" s="2">
        <v>10318063</v>
      </c>
      <c r="M1341" s="2">
        <v>14725570609</v>
      </c>
      <c r="N1341" s="2">
        <v>282240</v>
      </c>
      <c r="O1341" t="s">
        <v>21</v>
      </c>
    </row>
    <row r="1342" spans="1:15" x14ac:dyDescent="0.3">
      <c r="A1342" s="1">
        <v>45881</v>
      </c>
      <c r="B1342" s="4" t="s">
        <v>15</v>
      </c>
      <c r="C1342" s="4">
        <v>1428.2</v>
      </c>
      <c r="D1342" s="4">
        <v>1441</v>
      </c>
      <c r="E1342" s="4">
        <v>1421</v>
      </c>
      <c r="F1342" s="4">
        <v>1428.2</v>
      </c>
      <c r="G1342" s="4">
        <v>1425.8</v>
      </c>
      <c r="H1342" s="4">
        <v>1424.1</v>
      </c>
      <c r="I1342" s="4">
        <v>1431.09</v>
      </c>
      <c r="J1342" s="4">
        <v>2006.45</v>
      </c>
      <c r="K1342" s="4">
        <v>1307</v>
      </c>
      <c r="L1342" s="2">
        <v>9899184</v>
      </c>
      <c r="M1342" s="2">
        <v>14166600704.200001</v>
      </c>
      <c r="N1342" s="2">
        <v>296874</v>
      </c>
      <c r="O1342" t="s">
        <v>21</v>
      </c>
    </row>
    <row r="1343" spans="1:15" x14ac:dyDescent="0.3">
      <c r="A1343" s="1">
        <v>45880</v>
      </c>
      <c r="B1343" s="4" t="s">
        <v>15</v>
      </c>
      <c r="C1343" s="4">
        <v>1419.9</v>
      </c>
      <c r="D1343" s="4">
        <v>1433.4</v>
      </c>
      <c r="E1343" s="4">
        <v>1414</v>
      </c>
      <c r="F1343" s="4">
        <v>1423.1</v>
      </c>
      <c r="G1343" s="4">
        <v>1426</v>
      </c>
      <c r="H1343" s="4">
        <v>1428.2</v>
      </c>
      <c r="I1343" s="4">
        <v>1425.61</v>
      </c>
      <c r="J1343" s="4">
        <v>2006.45</v>
      </c>
      <c r="K1343" s="4">
        <v>1307</v>
      </c>
      <c r="L1343" s="2">
        <v>6625368</v>
      </c>
      <c r="M1343" s="2">
        <v>9445185928.8999996</v>
      </c>
      <c r="N1343" s="2">
        <v>287957</v>
      </c>
      <c r="O1343" t="s">
        <v>21</v>
      </c>
    </row>
    <row r="1344" spans="1:15" x14ac:dyDescent="0.3">
      <c r="A1344" s="1">
        <v>45877</v>
      </c>
      <c r="B1344" s="4" t="s">
        <v>15</v>
      </c>
      <c r="C1344" s="4">
        <v>1425</v>
      </c>
      <c r="D1344" s="4">
        <v>1433.2</v>
      </c>
      <c r="E1344" s="4">
        <v>1417.1</v>
      </c>
      <c r="F1344" s="4">
        <v>1436.9</v>
      </c>
      <c r="G1344" s="4">
        <v>1424</v>
      </c>
      <c r="H1344" s="4">
        <v>1423.1</v>
      </c>
      <c r="I1344" s="4">
        <v>1424.44</v>
      </c>
      <c r="J1344" s="4">
        <v>2006.45</v>
      </c>
      <c r="K1344" s="4">
        <v>1307</v>
      </c>
      <c r="L1344" s="2">
        <v>10048009</v>
      </c>
      <c r="M1344" s="2">
        <v>14312781899.700001</v>
      </c>
      <c r="N1344" s="2">
        <v>310037</v>
      </c>
      <c r="O1344" t="s">
        <v>21</v>
      </c>
    </row>
    <row r="1345" spans="1:15" x14ac:dyDescent="0.3">
      <c r="A1345" s="1">
        <v>45876</v>
      </c>
      <c r="B1345" s="4" t="s">
        <v>15</v>
      </c>
      <c r="C1345" s="4">
        <v>1430</v>
      </c>
      <c r="D1345" s="4">
        <v>1442</v>
      </c>
      <c r="E1345" s="4">
        <v>1414.2</v>
      </c>
      <c r="F1345" s="4">
        <v>1436.7</v>
      </c>
      <c r="G1345" s="4">
        <v>1441</v>
      </c>
      <c r="H1345" s="4">
        <v>1436.9</v>
      </c>
      <c r="I1345" s="4">
        <v>1428.81</v>
      </c>
      <c r="J1345" s="4">
        <v>2006.45</v>
      </c>
      <c r="K1345" s="4">
        <v>1307</v>
      </c>
      <c r="L1345" s="2">
        <v>9892020</v>
      </c>
      <c r="M1345" s="2">
        <v>14133771799.700001</v>
      </c>
      <c r="N1345" s="2">
        <v>274685</v>
      </c>
      <c r="O1345" t="s">
        <v>21</v>
      </c>
    </row>
    <row r="1346" spans="1:15" x14ac:dyDescent="0.3">
      <c r="A1346" s="1">
        <v>45875</v>
      </c>
      <c r="B1346" s="4" t="s">
        <v>15</v>
      </c>
      <c r="C1346" s="4">
        <v>1452</v>
      </c>
      <c r="D1346" s="4">
        <v>1456.1</v>
      </c>
      <c r="E1346" s="4">
        <v>1430.3</v>
      </c>
      <c r="F1346" s="4">
        <v>1460.3</v>
      </c>
      <c r="G1346" s="4">
        <v>1433</v>
      </c>
      <c r="H1346" s="4">
        <v>1436.7</v>
      </c>
      <c r="I1346" s="4">
        <v>1440.41</v>
      </c>
      <c r="J1346" s="4">
        <v>2006.45</v>
      </c>
      <c r="K1346" s="4">
        <v>1307</v>
      </c>
      <c r="L1346" s="2">
        <v>10566934</v>
      </c>
      <c r="M1346" s="2">
        <v>15220682581.700001</v>
      </c>
      <c r="N1346" s="2">
        <v>324361</v>
      </c>
      <c r="O1346" t="s">
        <v>21</v>
      </c>
    </row>
    <row r="1347" spans="1:15" x14ac:dyDescent="0.3">
      <c r="A1347" s="1">
        <v>45874</v>
      </c>
      <c r="B1347" s="4" t="s">
        <v>15</v>
      </c>
      <c r="C1347" s="4">
        <v>1478.7</v>
      </c>
      <c r="D1347" s="4">
        <v>1478.7</v>
      </c>
      <c r="E1347" s="4">
        <v>1455</v>
      </c>
      <c r="F1347" s="4">
        <v>1480.5</v>
      </c>
      <c r="G1347" s="4">
        <v>1460</v>
      </c>
      <c r="H1347" s="4">
        <v>1460.3</v>
      </c>
      <c r="I1347" s="4">
        <v>1461.05</v>
      </c>
      <c r="J1347" s="4">
        <v>2006.45</v>
      </c>
      <c r="K1347" s="4">
        <v>1307</v>
      </c>
      <c r="L1347" s="2">
        <v>10213323</v>
      </c>
      <c r="M1347" s="2">
        <v>14922202900.200001</v>
      </c>
      <c r="N1347" s="2">
        <v>259533</v>
      </c>
      <c r="O1347" t="s">
        <v>21</v>
      </c>
    </row>
    <row r="1348" spans="1:15" x14ac:dyDescent="0.3">
      <c r="A1348" s="1">
        <v>45873</v>
      </c>
      <c r="B1348" s="4" t="s">
        <v>15</v>
      </c>
      <c r="C1348" s="4">
        <v>1461.5</v>
      </c>
      <c r="D1348" s="4">
        <v>1482.8</v>
      </c>
      <c r="E1348" s="4">
        <v>1451</v>
      </c>
      <c r="F1348" s="4">
        <v>1469.6</v>
      </c>
      <c r="G1348" s="4">
        <v>1480.7</v>
      </c>
      <c r="H1348" s="4">
        <v>1480.5</v>
      </c>
      <c r="I1348" s="4">
        <v>1469.55</v>
      </c>
      <c r="J1348" s="4">
        <v>2006.45</v>
      </c>
      <c r="K1348" s="4">
        <v>1307</v>
      </c>
      <c r="L1348" s="2">
        <v>8610216</v>
      </c>
      <c r="M1348" s="2">
        <v>12653181879.4</v>
      </c>
      <c r="N1348" s="2">
        <v>203292</v>
      </c>
      <c r="O1348" t="s">
        <v>21</v>
      </c>
    </row>
    <row r="1349" spans="1:15" x14ac:dyDescent="0.3">
      <c r="A1349" s="1">
        <v>45870</v>
      </c>
      <c r="B1349" s="4" t="s">
        <v>15</v>
      </c>
      <c r="C1349" s="4">
        <v>1493.9</v>
      </c>
      <c r="D1349" s="4">
        <v>1498.7</v>
      </c>
      <c r="E1349" s="4">
        <v>1465.5</v>
      </c>
      <c r="F1349" s="4">
        <v>1509</v>
      </c>
      <c r="G1349" s="4">
        <v>1468.3</v>
      </c>
      <c r="H1349" s="4">
        <v>1469.6</v>
      </c>
      <c r="I1349" s="4">
        <v>1479.8</v>
      </c>
      <c r="J1349" s="4">
        <v>2006.45</v>
      </c>
      <c r="K1349" s="4">
        <v>1307</v>
      </c>
      <c r="L1349" s="2">
        <v>8702978</v>
      </c>
      <c r="M1349" s="2">
        <v>12878642442.299999</v>
      </c>
      <c r="N1349" s="2">
        <v>245779</v>
      </c>
      <c r="O1349" t="s">
        <v>21</v>
      </c>
    </row>
    <row r="1350" spans="1:15" x14ac:dyDescent="0.3">
      <c r="A1350" s="1">
        <v>45869</v>
      </c>
      <c r="B1350" s="4" t="s">
        <v>15</v>
      </c>
      <c r="C1350" s="4">
        <v>1509.7</v>
      </c>
      <c r="D1350" s="4">
        <v>1527.1</v>
      </c>
      <c r="E1350" s="4">
        <v>1497</v>
      </c>
      <c r="F1350" s="4">
        <v>1519</v>
      </c>
      <c r="G1350" s="4">
        <v>1508.9</v>
      </c>
      <c r="H1350" s="4">
        <v>1509</v>
      </c>
      <c r="I1350" s="4">
        <v>1510.45</v>
      </c>
      <c r="J1350" s="4">
        <v>2006.45</v>
      </c>
      <c r="K1350" s="4">
        <v>1307</v>
      </c>
      <c r="L1350" s="2">
        <v>6851407</v>
      </c>
      <c r="M1350" s="2">
        <v>10348681107.700001</v>
      </c>
      <c r="N1350" s="2">
        <v>244747</v>
      </c>
      <c r="O1350" t="s">
        <v>21</v>
      </c>
    </row>
    <row r="1351" spans="1:15" x14ac:dyDescent="0.3">
      <c r="A1351" s="1">
        <v>45868</v>
      </c>
      <c r="B1351" s="4" t="s">
        <v>15</v>
      </c>
      <c r="C1351" s="4">
        <v>1519.9</v>
      </c>
      <c r="D1351" s="4">
        <v>1521.7</v>
      </c>
      <c r="E1351" s="4">
        <v>1506</v>
      </c>
      <c r="F1351" s="4">
        <v>1513.7</v>
      </c>
      <c r="G1351" s="4">
        <v>1518</v>
      </c>
      <c r="H1351" s="4">
        <v>1519</v>
      </c>
      <c r="I1351" s="4">
        <v>1515.04</v>
      </c>
      <c r="J1351" s="4">
        <v>2006.45</v>
      </c>
      <c r="K1351" s="4">
        <v>1307</v>
      </c>
      <c r="L1351" s="2">
        <v>5719051</v>
      </c>
      <c r="M1351" s="2">
        <v>8664575239.6000004</v>
      </c>
      <c r="N1351" s="2">
        <v>117771</v>
      </c>
      <c r="O1351" t="s">
        <v>21</v>
      </c>
    </row>
    <row r="1352" spans="1:15" x14ac:dyDescent="0.3">
      <c r="A1352" s="1">
        <v>45867</v>
      </c>
      <c r="B1352" s="4" t="s">
        <v>15</v>
      </c>
      <c r="C1352" s="4">
        <v>1512.9</v>
      </c>
      <c r="D1352" s="4">
        <v>1517.2</v>
      </c>
      <c r="E1352" s="4">
        <v>1496.1</v>
      </c>
      <c r="F1352" s="4">
        <v>1516</v>
      </c>
      <c r="G1352" s="4">
        <v>1513.5</v>
      </c>
      <c r="H1352" s="4">
        <v>1513.7</v>
      </c>
      <c r="I1352" s="4">
        <v>1509.14</v>
      </c>
      <c r="J1352" s="4">
        <v>2006.45</v>
      </c>
      <c r="K1352" s="4">
        <v>1307</v>
      </c>
      <c r="L1352" s="2">
        <v>7070448</v>
      </c>
      <c r="M1352" s="2">
        <v>10670296870.5</v>
      </c>
      <c r="N1352" s="2">
        <v>229718</v>
      </c>
      <c r="O1352" t="s">
        <v>21</v>
      </c>
    </row>
    <row r="1353" spans="1:15" x14ac:dyDescent="0.3">
      <c r="A1353" s="1">
        <v>45866</v>
      </c>
      <c r="B1353" s="4" t="s">
        <v>15</v>
      </c>
      <c r="C1353" s="4">
        <v>1513.9</v>
      </c>
      <c r="D1353" s="4">
        <v>1519.3</v>
      </c>
      <c r="E1353" s="4">
        <v>1482.5</v>
      </c>
      <c r="F1353" s="4">
        <v>1515.7</v>
      </c>
      <c r="G1353" s="4">
        <v>1514.9</v>
      </c>
      <c r="H1353" s="4">
        <v>1516</v>
      </c>
      <c r="I1353" s="4">
        <v>1508.3</v>
      </c>
      <c r="J1353" s="4">
        <v>2006.45</v>
      </c>
      <c r="K1353" s="4">
        <v>1307</v>
      </c>
      <c r="L1353" s="2">
        <v>6439855</v>
      </c>
      <c r="M1353" s="2">
        <v>9713223437.6000004</v>
      </c>
      <c r="N1353" s="2">
        <v>209764</v>
      </c>
      <c r="O1353" t="s">
        <v>21</v>
      </c>
    </row>
    <row r="1354" spans="1:15" x14ac:dyDescent="0.3">
      <c r="A1354" s="1">
        <v>45863</v>
      </c>
      <c r="B1354" s="4" t="s">
        <v>15</v>
      </c>
      <c r="C1354" s="4">
        <v>1543.4</v>
      </c>
      <c r="D1354" s="4">
        <v>1549.5</v>
      </c>
      <c r="E1354" s="4">
        <v>1511.3</v>
      </c>
      <c r="F1354" s="4">
        <v>1552.5</v>
      </c>
      <c r="G1354" s="4">
        <v>1518.5</v>
      </c>
      <c r="H1354" s="4">
        <v>1515.7</v>
      </c>
      <c r="I1354" s="4">
        <v>1523.67</v>
      </c>
      <c r="J1354" s="4">
        <v>2006.45</v>
      </c>
      <c r="K1354" s="4">
        <v>1307</v>
      </c>
      <c r="L1354" s="2">
        <v>10851259</v>
      </c>
      <c r="M1354" s="2">
        <v>16533725148.1</v>
      </c>
      <c r="N1354" s="2">
        <v>241673</v>
      </c>
      <c r="O1354" t="s">
        <v>21</v>
      </c>
    </row>
    <row r="1355" spans="1:15" x14ac:dyDescent="0.3">
      <c r="A1355" s="1">
        <v>45862</v>
      </c>
      <c r="B1355" s="4" t="s">
        <v>15</v>
      </c>
      <c r="C1355" s="4">
        <v>1580</v>
      </c>
      <c r="D1355" s="4">
        <v>1582</v>
      </c>
      <c r="E1355" s="4">
        <v>1548.2</v>
      </c>
      <c r="F1355" s="4">
        <v>1574.5</v>
      </c>
      <c r="G1355" s="4">
        <v>1553</v>
      </c>
      <c r="H1355" s="4">
        <v>1552.5</v>
      </c>
      <c r="I1355" s="4">
        <v>1557.81</v>
      </c>
      <c r="J1355" s="4">
        <v>2006.45</v>
      </c>
      <c r="K1355" s="4">
        <v>1307</v>
      </c>
      <c r="L1355" s="2">
        <v>14169664</v>
      </c>
      <c r="M1355" s="2">
        <v>22073617144.5</v>
      </c>
      <c r="N1355" s="2">
        <v>270970</v>
      </c>
      <c r="O1355" t="s">
        <v>21</v>
      </c>
    </row>
    <row r="1356" spans="1:15" x14ac:dyDescent="0.3">
      <c r="A1356" s="1">
        <v>45861</v>
      </c>
      <c r="B1356" s="4" t="s">
        <v>15</v>
      </c>
      <c r="C1356" s="4">
        <v>1576.3</v>
      </c>
      <c r="D1356" s="4">
        <v>1591.9</v>
      </c>
      <c r="E1356" s="4">
        <v>1550</v>
      </c>
      <c r="F1356" s="4">
        <v>1570.9</v>
      </c>
      <c r="G1356" s="4">
        <v>1558.9</v>
      </c>
      <c r="H1356" s="4">
        <v>1574.5</v>
      </c>
      <c r="I1356" s="4">
        <v>1580.42</v>
      </c>
      <c r="J1356" s="4">
        <v>2006.45</v>
      </c>
      <c r="K1356" s="4">
        <v>1307</v>
      </c>
      <c r="L1356" s="2">
        <v>8035026</v>
      </c>
      <c r="M1356" s="2">
        <v>12698718376.799999</v>
      </c>
      <c r="N1356" s="2">
        <v>173368</v>
      </c>
      <c r="O1356" t="s">
        <v>21</v>
      </c>
    </row>
    <row r="1357" spans="1:15" x14ac:dyDescent="0.3">
      <c r="A1357" s="1">
        <v>45860</v>
      </c>
      <c r="B1357" s="4" t="s">
        <v>15</v>
      </c>
      <c r="C1357" s="4">
        <v>1565</v>
      </c>
      <c r="D1357" s="4">
        <v>1585.8</v>
      </c>
      <c r="E1357" s="4">
        <v>1565</v>
      </c>
      <c r="F1357" s="4">
        <v>1584.3</v>
      </c>
      <c r="G1357" s="4">
        <v>1575</v>
      </c>
      <c r="H1357" s="4">
        <v>1570.9</v>
      </c>
      <c r="I1357" s="4">
        <v>1574.26</v>
      </c>
      <c r="J1357" s="4">
        <v>2006.45</v>
      </c>
      <c r="K1357" s="4">
        <v>1307</v>
      </c>
      <c r="L1357" s="2">
        <v>8473741</v>
      </c>
      <c r="M1357" s="2">
        <v>13339859186.700001</v>
      </c>
      <c r="N1357" s="2">
        <v>176472</v>
      </c>
      <c r="O1357" t="s">
        <v>21</v>
      </c>
    </row>
    <row r="1358" spans="1:15" x14ac:dyDescent="0.3">
      <c r="A1358" s="1">
        <v>45859</v>
      </c>
      <c r="B1358" s="4" t="s">
        <v>15</v>
      </c>
      <c r="C1358" s="4">
        <v>1580</v>
      </c>
      <c r="D1358" s="4">
        <v>1589</v>
      </c>
      <c r="E1358" s="4">
        <v>1566.8</v>
      </c>
      <c r="F1358" s="4">
        <v>1586.1</v>
      </c>
      <c r="G1358" s="4">
        <v>1585.6</v>
      </c>
      <c r="H1358" s="4">
        <v>1584.3</v>
      </c>
      <c r="I1358" s="4">
        <v>1579.48</v>
      </c>
      <c r="J1358" s="4">
        <v>2006.45</v>
      </c>
      <c r="K1358" s="4">
        <v>1307</v>
      </c>
      <c r="L1358" s="2">
        <v>3682661</v>
      </c>
      <c r="M1358" s="2">
        <v>5816701900.1000004</v>
      </c>
      <c r="N1358" s="2">
        <v>123969</v>
      </c>
      <c r="O1358" t="s">
        <v>21</v>
      </c>
    </row>
    <row r="1359" spans="1:15" x14ac:dyDescent="0.3">
      <c r="A1359" s="1">
        <v>45856</v>
      </c>
      <c r="B1359" s="4" t="s">
        <v>15</v>
      </c>
      <c r="C1359" s="4">
        <v>1592.1</v>
      </c>
      <c r="D1359" s="4">
        <v>1599.3</v>
      </c>
      <c r="E1359" s="4">
        <v>1580</v>
      </c>
      <c r="F1359" s="4">
        <v>1583.5</v>
      </c>
      <c r="G1359" s="4">
        <v>1588.2</v>
      </c>
      <c r="H1359" s="4">
        <v>1586.1</v>
      </c>
      <c r="I1359" s="4">
        <v>1586.74</v>
      </c>
      <c r="J1359" s="4">
        <v>2006.45</v>
      </c>
      <c r="K1359" s="4">
        <v>1307</v>
      </c>
      <c r="L1359" s="2">
        <v>5161833</v>
      </c>
      <c r="M1359" s="2">
        <v>8190510577.6000004</v>
      </c>
      <c r="N1359" s="2">
        <v>113626</v>
      </c>
      <c r="O1359" t="s">
        <v>21</v>
      </c>
    </row>
    <row r="1360" spans="1:15" x14ac:dyDescent="0.3">
      <c r="A1360" s="1">
        <v>45855</v>
      </c>
      <c r="B1360" s="4" t="s">
        <v>15</v>
      </c>
      <c r="C1360" s="4">
        <v>1598</v>
      </c>
      <c r="D1360" s="4">
        <v>1610</v>
      </c>
      <c r="E1360" s="4">
        <v>1580.1</v>
      </c>
      <c r="F1360" s="4">
        <v>1607.9</v>
      </c>
      <c r="G1360" s="4">
        <v>1581</v>
      </c>
      <c r="H1360" s="4">
        <v>1583.5</v>
      </c>
      <c r="I1360" s="4">
        <v>1590.26</v>
      </c>
      <c r="J1360" s="4">
        <v>2006.45</v>
      </c>
      <c r="K1360" s="4">
        <v>1307</v>
      </c>
      <c r="L1360" s="2">
        <v>7374814</v>
      </c>
      <c r="M1360" s="2">
        <v>11727838015.5</v>
      </c>
      <c r="N1360" s="2">
        <v>171441</v>
      </c>
      <c r="O1360" t="s">
        <v>21</v>
      </c>
    </row>
    <row r="1361" spans="1:15" x14ac:dyDescent="0.3">
      <c r="A1361" s="1">
        <v>45854</v>
      </c>
      <c r="B1361" s="4" t="s">
        <v>15</v>
      </c>
      <c r="C1361" s="4">
        <v>1579</v>
      </c>
      <c r="D1361" s="4">
        <v>1612</v>
      </c>
      <c r="E1361" s="4">
        <v>1578.5</v>
      </c>
      <c r="F1361" s="4">
        <v>1585.6</v>
      </c>
      <c r="G1361" s="4">
        <v>1609</v>
      </c>
      <c r="H1361" s="4">
        <v>1607.9</v>
      </c>
      <c r="I1361" s="4">
        <v>1601.98</v>
      </c>
      <c r="J1361" s="4">
        <v>2006.45</v>
      </c>
      <c r="K1361" s="4">
        <v>1307</v>
      </c>
      <c r="L1361" s="2">
        <v>6223491</v>
      </c>
      <c r="M1361" s="2">
        <v>9969927355.8999996</v>
      </c>
      <c r="N1361" s="2">
        <v>144773</v>
      </c>
      <c r="O1361" t="s">
        <v>21</v>
      </c>
    </row>
    <row r="1362" spans="1:15" x14ac:dyDescent="0.3">
      <c r="A1362" s="1">
        <v>45853</v>
      </c>
      <c r="B1362" s="4" t="s">
        <v>15</v>
      </c>
      <c r="C1362" s="4">
        <v>1565.1</v>
      </c>
      <c r="D1362" s="4">
        <v>1603.6</v>
      </c>
      <c r="E1362" s="4">
        <v>1564</v>
      </c>
      <c r="F1362" s="4">
        <v>1570.3</v>
      </c>
      <c r="G1362" s="4">
        <v>1587.2</v>
      </c>
      <c r="H1362" s="4">
        <v>1585.6</v>
      </c>
      <c r="I1362" s="4">
        <v>1586.28</v>
      </c>
      <c r="J1362" s="4">
        <v>2006.45</v>
      </c>
      <c r="K1362" s="4">
        <v>1307</v>
      </c>
      <c r="L1362" s="2">
        <v>7614807</v>
      </c>
      <c r="M1362" s="2">
        <v>12079252385.6</v>
      </c>
      <c r="N1362" s="2">
        <v>208916</v>
      </c>
      <c r="O1362" t="s">
        <v>21</v>
      </c>
    </row>
    <row r="1363" spans="1:15" x14ac:dyDescent="0.3">
      <c r="A1363" s="1">
        <v>45852</v>
      </c>
      <c r="B1363" s="4" t="s">
        <v>15</v>
      </c>
      <c r="C1363" s="4">
        <v>1591.8</v>
      </c>
      <c r="D1363" s="4">
        <v>1591.8</v>
      </c>
      <c r="E1363" s="4">
        <v>1559.8</v>
      </c>
      <c r="F1363" s="4">
        <v>1594.9</v>
      </c>
      <c r="G1363" s="4">
        <v>1570.5</v>
      </c>
      <c r="H1363" s="4">
        <v>1570.3</v>
      </c>
      <c r="I1363" s="4">
        <v>1569.39</v>
      </c>
      <c r="J1363" s="4">
        <v>2006.45</v>
      </c>
      <c r="K1363" s="4">
        <v>1307</v>
      </c>
      <c r="L1363" s="2">
        <v>9173426</v>
      </c>
      <c r="M1363" s="2">
        <v>14396657160.9</v>
      </c>
      <c r="N1363" s="2">
        <v>334884</v>
      </c>
      <c r="O1363" t="s">
        <v>21</v>
      </c>
    </row>
    <row r="1364" spans="1:15" x14ac:dyDescent="0.3">
      <c r="A1364" s="1">
        <v>45849</v>
      </c>
      <c r="B1364" s="4" t="s">
        <v>15</v>
      </c>
      <c r="C1364" s="4">
        <v>1579.1</v>
      </c>
      <c r="D1364" s="4">
        <v>1607.1</v>
      </c>
      <c r="E1364" s="4">
        <v>1563</v>
      </c>
      <c r="F1364" s="4">
        <v>1615.8</v>
      </c>
      <c r="G1364" s="4">
        <v>1594.5</v>
      </c>
      <c r="H1364" s="4">
        <v>1594.9</v>
      </c>
      <c r="I1364" s="4">
        <v>1590.33</v>
      </c>
      <c r="J1364" s="4">
        <v>2006.45</v>
      </c>
      <c r="K1364" s="4">
        <v>1307</v>
      </c>
      <c r="L1364" s="2">
        <v>11391755</v>
      </c>
      <c r="M1364" s="2">
        <v>18116597961.400002</v>
      </c>
      <c r="N1364" s="2">
        <v>424033</v>
      </c>
      <c r="O1364" t="s">
        <v>21</v>
      </c>
    </row>
    <row r="1365" spans="1:15" x14ac:dyDescent="0.3">
      <c r="A1365" s="1">
        <v>45848</v>
      </c>
      <c r="B1365" s="4" t="s">
        <v>15</v>
      </c>
      <c r="C1365" s="4">
        <v>1638.9</v>
      </c>
      <c r="D1365" s="4">
        <v>1638.9</v>
      </c>
      <c r="E1365" s="4">
        <v>1607.1</v>
      </c>
      <c r="F1365" s="4">
        <v>1633.7</v>
      </c>
      <c r="G1365" s="4">
        <v>1618.8</v>
      </c>
      <c r="H1365" s="4">
        <v>1615.8</v>
      </c>
      <c r="I1365" s="4">
        <v>1617.52</v>
      </c>
      <c r="J1365" s="4">
        <v>2006.45</v>
      </c>
      <c r="K1365" s="4">
        <v>1307</v>
      </c>
      <c r="L1365" s="2">
        <v>5330179</v>
      </c>
      <c r="M1365" s="2">
        <v>8621669458.7999992</v>
      </c>
      <c r="N1365" s="2">
        <v>147697</v>
      </c>
      <c r="O1365" t="s">
        <v>21</v>
      </c>
    </row>
    <row r="1366" spans="1:15" x14ac:dyDescent="0.3">
      <c r="A1366" s="1">
        <v>45847</v>
      </c>
      <c r="B1366" s="4" t="s">
        <v>15</v>
      </c>
      <c r="C1366" s="4">
        <v>1637.8</v>
      </c>
      <c r="D1366" s="4">
        <v>1638</v>
      </c>
      <c r="E1366" s="4">
        <v>1623.6</v>
      </c>
      <c r="F1366" s="4">
        <v>1638.7</v>
      </c>
      <c r="G1366" s="4">
        <v>1632.7</v>
      </c>
      <c r="H1366" s="4">
        <v>1633.7</v>
      </c>
      <c r="I1366" s="4">
        <v>1630.89</v>
      </c>
      <c r="J1366" s="4">
        <v>2006.45</v>
      </c>
      <c r="K1366" s="4">
        <v>1307</v>
      </c>
      <c r="L1366" s="2">
        <v>4580828</v>
      </c>
      <c r="M1366" s="2">
        <v>7470823010.3000002</v>
      </c>
      <c r="N1366" s="2">
        <v>171713</v>
      </c>
      <c r="O1366" t="s">
        <v>21</v>
      </c>
    </row>
    <row r="1367" spans="1:15" x14ac:dyDescent="0.3">
      <c r="A1367" s="1">
        <v>45846</v>
      </c>
      <c r="B1367" s="4" t="s">
        <v>15</v>
      </c>
      <c r="C1367" s="4">
        <v>1628</v>
      </c>
      <c r="D1367" s="4">
        <v>1646.2</v>
      </c>
      <c r="E1367" s="4">
        <v>1621.5</v>
      </c>
      <c r="F1367" s="4">
        <v>1627</v>
      </c>
      <c r="G1367" s="4">
        <v>1638.5</v>
      </c>
      <c r="H1367" s="4">
        <v>1638.7</v>
      </c>
      <c r="I1367" s="4">
        <v>1635.98</v>
      </c>
      <c r="J1367" s="4">
        <v>2006.45</v>
      </c>
      <c r="K1367" s="4">
        <v>1307</v>
      </c>
      <c r="L1367" s="2">
        <v>4590681</v>
      </c>
      <c r="M1367" s="2">
        <v>7510264528.1000004</v>
      </c>
      <c r="N1367" s="2">
        <v>131513</v>
      </c>
      <c r="O1367" t="s">
        <v>21</v>
      </c>
    </row>
    <row r="1368" spans="1:15" x14ac:dyDescent="0.3">
      <c r="A1368" s="1">
        <v>45845</v>
      </c>
      <c r="B1368" s="4" t="s">
        <v>15</v>
      </c>
      <c r="C1368" s="4">
        <v>1640</v>
      </c>
      <c r="D1368" s="4">
        <v>1644</v>
      </c>
      <c r="E1368" s="4">
        <v>1623</v>
      </c>
      <c r="F1368" s="4">
        <v>1640.7</v>
      </c>
      <c r="G1368" s="4">
        <v>1626.9</v>
      </c>
      <c r="H1368" s="4">
        <v>1627</v>
      </c>
      <c r="I1368" s="4">
        <v>1630.54</v>
      </c>
      <c r="J1368" s="4">
        <v>2006.45</v>
      </c>
      <c r="K1368" s="4">
        <v>1307</v>
      </c>
      <c r="L1368" s="2">
        <v>3294523</v>
      </c>
      <c r="M1368" s="2">
        <v>5371840769.6999998</v>
      </c>
      <c r="N1368" s="2">
        <v>127270</v>
      </c>
      <c r="O1368" t="s">
        <v>21</v>
      </c>
    </row>
    <row r="1369" spans="1:15" x14ac:dyDescent="0.3">
      <c r="A1369" s="1">
        <v>45842</v>
      </c>
      <c r="B1369" s="4" t="s">
        <v>15</v>
      </c>
      <c r="C1369" s="4">
        <v>1625</v>
      </c>
      <c r="D1369" s="4">
        <v>1643.4</v>
      </c>
      <c r="E1369" s="4">
        <v>1612.3</v>
      </c>
      <c r="F1369" s="4">
        <v>1618.7</v>
      </c>
      <c r="G1369" s="4">
        <v>1639.7</v>
      </c>
      <c r="H1369" s="4">
        <v>1640.7</v>
      </c>
      <c r="I1369" s="4">
        <v>1631.46</v>
      </c>
      <c r="J1369" s="4">
        <v>2006.45</v>
      </c>
      <c r="K1369" s="4">
        <v>1307</v>
      </c>
      <c r="L1369" s="2">
        <v>4411273</v>
      </c>
      <c r="M1369" s="2">
        <v>7196824362.1999998</v>
      </c>
      <c r="N1369" s="2">
        <v>113037</v>
      </c>
      <c r="O1369" t="s">
        <v>21</v>
      </c>
    </row>
    <row r="1370" spans="1:15" x14ac:dyDescent="0.3">
      <c r="A1370" s="1">
        <v>45841</v>
      </c>
      <c r="B1370" s="4" t="s">
        <v>15</v>
      </c>
      <c r="C1370" s="4">
        <v>1618.5</v>
      </c>
      <c r="D1370" s="4">
        <v>1632.4</v>
      </c>
      <c r="E1370" s="4">
        <v>1615</v>
      </c>
      <c r="F1370" s="4">
        <v>1610.5</v>
      </c>
      <c r="G1370" s="4">
        <v>1616.9</v>
      </c>
      <c r="H1370" s="4">
        <v>1618.7</v>
      </c>
      <c r="I1370" s="4">
        <v>1622.33</v>
      </c>
      <c r="J1370" s="4">
        <v>2006.45</v>
      </c>
      <c r="K1370" s="4">
        <v>1307</v>
      </c>
      <c r="L1370" s="2">
        <v>5259695</v>
      </c>
      <c r="M1370" s="2">
        <v>8532944662.1000004</v>
      </c>
      <c r="N1370" s="2">
        <v>157372</v>
      </c>
      <c r="O1370" t="s">
        <v>21</v>
      </c>
    </row>
    <row r="1371" spans="1:15" x14ac:dyDescent="0.3">
      <c r="A1371" s="1">
        <v>45840</v>
      </c>
      <c r="B1371" s="4" t="s">
        <v>15</v>
      </c>
      <c r="C1371" s="4">
        <v>1618</v>
      </c>
      <c r="D1371" s="4">
        <v>1649</v>
      </c>
      <c r="E1371" s="4">
        <v>1603.4</v>
      </c>
      <c r="F1371" s="4">
        <v>1606.8</v>
      </c>
      <c r="G1371" s="4">
        <v>1609.6</v>
      </c>
      <c r="H1371" s="4">
        <v>1610.5</v>
      </c>
      <c r="I1371" s="4">
        <v>1622.6</v>
      </c>
      <c r="J1371" s="4">
        <v>2006.45</v>
      </c>
      <c r="K1371" s="4">
        <v>1307</v>
      </c>
      <c r="L1371" s="2">
        <v>8653641</v>
      </c>
      <c r="M1371" s="2">
        <v>14041432376.700001</v>
      </c>
      <c r="N1371" s="2">
        <v>174866</v>
      </c>
      <c r="O1371" t="s">
        <v>21</v>
      </c>
    </row>
    <row r="1372" spans="1:15" x14ac:dyDescent="0.3">
      <c r="A1372" s="1">
        <v>45839</v>
      </c>
      <c r="B1372" s="4" t="s">
        <v>15</v>
      </c>
      <c r="C1372" s="4">
        <v>1609</v>
      </c>
      <c r="D1372" s="4">
        <v>1617.7</v>
      </c>
      <c r="E1372" s="4">
        <v>1600.5</v>
      </c>
      <c r="F1372" s="4">
        <v>1601.8</v>
      </c>
      <c r="G1372" s="4">
        <v>1603</v>
      </c>
      <c r="H1372" s="4">
        <v>1606.8</v>
      </c>
      <c r="I1372" s="4">
        <v>1607.18</v>
      </c>
      <c r="J1372" s="4">
        <v>2006.45</v>
      </c>
      <c r="K1372" s="4">
        <v>1307</v>
      </c>
      <c r="L1372" s="2">
        <v>4178937</v>
      </c>
      <c r="M1372" s="2">
        <v>6716311825.1000004</v>
      </c>
      <c r="N1372" s="2">
        <v>151406</v>
      </c>
      <c r="O1372" t="s">
        <v>21</v>
      </c>
    </row>
    <row r="1373" spans="1:15" x14ac:dyDescent="0.3">
      <c r="A1373" s="1">
        <v>45838</v>
      </c>
      <c r="B1373" s="4" t="s">
        <v>15</v>
      </c>
      <c r="C1373" s="4">
        <v>1615</v>
      </c>
      <c r="D1373" s="4">
        <v>1615</v>
      </c>
      <c r="E1373" s="4">
        <v>1594.1</v>
      </c>
      <c r="F1373" s="4">
        <v>1608</v>
      </c>
      <c r="G1373" s="4">
        <v>1603.4</v>
      </c>
      <c r="H1373" s="4">
        <v>1601.8</v>
      </c>
      <c r="I1373" s="4">
        <v>1603.36</v>
      </c>
      <c r="J1373" s="4">
        <v>2006.45</v>
      </c>
      <c r="K1373" s="4">
        <v>1307</v>
      </c>
      <c r="L1373" s="2">
        <v>6294505</v>
      </c>
      <c r="M1373" s="2">
        <v>10092387934</v>
      </c>
      <c r="N1373" s="2">
        <v>183538</v>
      </c>
      <c r="O1373" t="s">
        <v>21</v>
      </c>
    </row>
    <row r="1374" spans="1:15" x14ac:dyDescent="0.3">
      <c r="A1374" s="1">
        <v>45835</v>
      </c>
      <c r="B1374" s="4" t="s">
        <v>15</v>
      </c>
      <c r="C1374" s="4">
        <v>1619</v>
      </c>
      <c r="D1374" s="4">
        <v>1629.6</v>
      </c>
      <c r="E1374" s="4">
        <v>1602.4</v>
      </c>
      <c r="F1374" s="4">
        <v>1616</v>
      </c>
      <c r="G1374" s="4">
        <v>1611</v>
      </c>
      <c r="H1374" s="4">
        <v>1608</v>
      </c>
      <c r="I1374" s="4">
        <v>1611.01</v>
      </c>
      <c r="J1374" s="4">
        <v>2006.45</v>
      </c>
      <c r="K1374" s="4">
        <v>1307</v>
      </c>
      <c r="L1374" s="2">
        <v>8912268</v>
      </c>
      <c r="M1374" s="2">
        <v>14357711409.200001</v>
      </c>
      <c r="N1374" s="2">
        <v>176021</v>
      </c>
      <c r="O1374" t="s">
        <v>21</v>
      </c>
    </row>
    <row r="1375" spans="1:15" x14ac:dyDescent="0.3">
      <c r="A1375" s="1">
        <v>45834</v>
      </c>
      <c r="B1375" s="4" t="s">
        <v>15</v>
      </c>
      <c r="C1375" s="4">
        <v>1608.8</v>
      </c>
      <c r="D1375" s="4">
        <v>1624</v>
      </c>
      <c r="E1375" s="4">
        <v>1606.6</v>
      </c>
      <c r="F1375" s="4">
        <v>1614.9</v>
      </c>
      <c r="G1375" s="4">
        <v>1614.2</v>
      </c>
      <c r="H1375" s="4">
        <v>1616</v>
      </c>
      <c r="I1375" s="4">
        <v>1615.17</v>
      </c>
      <c r="J1375" s="4">
        <v>2006.45</v>
      </c>
      <c r="K1375" s="4">
        <v>1307</v>
      </c>
      <c r="L1375" s="2">
        <v>6519233</v>
      </c>
      <c r="M1375" s="2">
        <v>10529669764</v>
      </c>
      <c r="N1375" s="2">
        <v>143707</v>
      </c>
      <c r="O1375" t="s">
        <v>21</v>
      </c>
    </row>
    <row r="1376" spans="1:15" x14ac:dyDescent="0.3">
      <c r="A1376" s="1">
        <v>45833</v>
      </c>
      <c r="B1376" s="4" t="s">
        <v>15</v>
      </c>
      <c r="C1376" s="4">
        <v>1590</v>
      </c>
      <c r="D1376" s="4">
        <v>1619.9</v>
      </c>
      <c r="E1376" s="4">
        <v>1585.1</v>
      </c>
      <c r="F1376" s="4">
        <v>1581.6</v>
      </c>
      <c r="G1376" s="4">
        <v>1612.5</v>
      </c>
      <c r="H1376" s="4">
        <v>1614.9</v>
      </c>
      <c r="I1376" s="4">
        <v>1608.74</v>
      </c>
      <c r="J1376" s="4">
        <v>2006.45</v>
      </c>
      <c r="K1376" s="4">
        <v>1307</v>
      </c>
      <c r="L1376" s="2">
        <v>7813533</v>
      </c>
      <c r="M1376" s="2">
        <v>12569966638.700001</v>
      </c>
      <c r="N1376" s="2">
        <v>187869</v>
      </c>
      <c r="O1376" t="s">
        <v>21</v>
      </c>
    </row>
    <row r="1377" spans="1:15" x14ac:dyDescent="0.3">
      <c r="A1377" s="1">
        <v>45832</v>
      </c>
      <c r="B1377" s="4" t="s">
        <v>15</v>
      </c>
      <c r="C1377" s="4">
        <v>1601</v>
      </c>
      <c r="D1377" s="4">
        <v>1609</v>
      </c>
      <c r="E1377" s="4">
        <v>1576.6</v>
      </c>
      <c r="F1377" s="4">
        <v>1584</v>
      </c>
      <c r="G1377" s="4">
        <v>1579.6</v>
      </c>
      <c r="H1377" s="4">
        <v>1581.6</v>
      </c>
      <c r="I1377" s="4">
        <v>1590.26</v>
      </c>
      <c r="J1377" s="4">
        <v>2006.45</v>
      </c>
      <c r="K1377" s="4">
        <v>1307</v>
      </c>
      <c r="L1377" s="2">
        <v>8083992</v>
      </c>
      <c r="M1377" s="2">
        <v>12855608766.6</v>
      </c>
      <c r="N1377" s="2">
        <v>157878</v>
      </c>
      <c r="O1377" t="s">
        <v>21</v>
      </c>
    </row>
    <row r="1378" spans="1:15" x14ac:dyDescent="0.3">
      <c r="A1378" s="1">
        <v>45831</v>
      </c>
      <c r="B1378" s="4" t="s">
        <v>15</v>
      </c>
      <c r="C1378" s="4">
        <v>1601</v>
      </c>
      <c r="D1378" s="4">
        <v>1601</v>
      </c>
      <c r="E1378" s="4">
        <v>1575.4</v>
      </c>
      <c r="F1378" s="4">
        <v>1622.9</v>
      </c>
      <c r="G1378" s="4">
        <v>1584.7</v>
      </c>
      <c r="H1378" s="4">
        <v>1584</v>
      </c>
      <c r="I1378" s="4">
        <v>1585.78</v>
      </c>
      <c r="J1378" s="4">
        <v>2006.45</v>
      </c>
      <c r="K1378" s="4">
        <v>1307</v>
      </c>
      <c r="L1378" s="2">
        <v>7943676</v>
      </c>
      <c r="M1378" s="2">
        <v>12596945674.4</v>
      </c>
      <c r="N1378" s="2">
        <v>206475</v>
      </c>
      <c r="O1378" t="s">
        <v>21</v>
      </c>
    </row>
    <row r="1379" spans="1:15" x14ac:dyDescent="0.3">
      <c r="A1379" s="1">
        <v>45828</v>
      </c>
      <c r="B1379" s="4" t="s">
        <v>15</v>
      </c>
      <c r="C1379" s="4">
        <v>1619</v>
      </c>
      <c r="D1379" s="4">
        <v>1630.7</v>
      </c>
      <c r="E1379" s="4">
        <v>1608.9</v>
      </c>
      <c r="F1379" s="4">
        <v>1618.4</v>
      </c>
      <c r="G1379" s="4">
        <v>1618</v>
      </c>
      <c r="H1379" s="4">
        <v>1622.9</v>
      </c>
      <c r="I1379" s="4">
        <v>1621.3</v>
      </c>
      <c r="J1379" s="4">
        <v>2006.45</v>
      </c>
      <c r="K1379" s="4">
        <v>1307</v>
      </c>
      <c r="L1379" s="2">
        <v>9202821</v>
      </c>
      <c r="M1379" s="2">
        <v>14920507153.700001</v>
      </c>
      <c r="N1379" s="2">
        <v>135603</v>
      </c>
      <c r="O1379" t="s">
        <v>21</v>
      </c>
    </row>
    <row r="1380" spans="1:15" x14ac:dyDescent="0.3">
      <c r="A1380" s="1">
        <v>45827</v>
      </c>
      <c r="B1380" s="4" t="s">
        <v>15</v>
      </c>
      <c r="C1380" s="4">
        <v>1623.9</v>
      </c>
      <c r="D1380" s="4">
        <v>1630</v>
      </c>
      <c r="E1380" s="4">
        <v>1611.5</v>
      </c>
      <c r="F1380" s="4">
        <v>1632.9</v>
      </c>
      <c r="G1380" s="4">
        <v>1616.9</v>
      </c>
      <c r="H1380" s="4">
        <v>1618.4</v>
      </c>
      <c r="I1380" s="4">
        <v>1618.85</v>
      </c>
      <c r="J1380" s="4">
        <v>2006.45</v>
      </c>
      <c r="K1380" s="4">
        <v>1307</v>
      </c>
      <c r="L1380" s="2">
        <v>5147760</v>
      </c>
      <c r="M1380" s="2">
        <v>8333449709.6000004</v>
      </c>
      <c r="N1380" s="2">
        <v>162048</v>
      </c>
      <c r="O1380" t="s">
        <v>21</v>
      </c>
    </row>
    <row r="1381" spans="1:15" x14ac:dyDescent="0.3">
      <c r="A1381" s="1">
        <v>45826</v>
      </c>
      <c r="B1381" s="4" t="s">
        <v>15</v>
      </c>
      <c r="C1381" s="4">
        <v>1621</v>
      </c>
      <c r="D1381" s="4">
        <v>1644.7</v>
      </c>
      <c r="E1381" s="4">
        <v>1621</v>
      </c>
      <c r="F1381" s="4">
        <v>1639.9</v>
      </c>
      <c r="G1381" s="4">
        <v>1632</v>
      </c>
      <c r="H1381" s="4">
        <v>1632.9</v>
      </c>
      <c r="I1381" s="4">
        <v>1631.66</v>
      </c>
      <c r="J1381" s="4">
        <v>2006.45</v>
      </c>
      <c r="K1381" s="4">
        <v>1307</v>
      </c>
      <c r="L1381" s="2">
        <v>5629707</v>
      </c>
      <c r="M1381" s="2">
        <v>9185742882.6000004</v>
      </c>
      <c r="N1381" s="2">
        <v>140846</v>
      </c>
      <c r="O1381" t="s">
        <v>21</v>
      </c>
    </row>
    <row r="1382" spans="1:15" x14ac:dyDescent="0.3">
      <c r="A1382" s="1">
        <v>45825</v>
      </c>
      <c r="B1382" s="4" t="s">
        <v>15</v>
      </c>
      <c r="C1382" s="4">
        <v>1620.7</v>
      </c>
      <c r="D1382" s="4">
        <v>1647.4</v>
      </c>
      <c r="E1382" s="4">
        <v>1615.6</v>
      </c>
      <c r="F1382" s="4">
        <v>1623.8</v>
      </c>
      <c r="G1382" s="4">
        <v>1638</v>
      </c>
      <c r="H1382" s="4">
        <v>1639.9</v>
      </c>
      <c r="I1382" s="4">
        <v>1637.98</v>
      </c>
      <c r="J1382" s="4">
        <v>2006.45</v>
      </c>
      <c r="K1382" s="4">
        <v>1307</v>
      </c>
      <c r="L1382" s="2">
        <v>7622083</v>
      </c>
      <c r="M1382" s="2">
        <v>12484837334.9</v>
      </c>
      <c r="N1382" s="2">
        <v>212796</v>
      </c>
      <c r="O1382" t="s">
        <v>21</v>
      </c>
    </row>
    <row r="1383" spans="1:15" x14ac:dyDescent="0.3">
      <c r="A1383" s="1">
        <v>45824</v>
      </c>
      <c r="B1383" s="4" t="s">
        <v>15</v>
      </c>
      <c r="C1383" s="4">
        <v>1600</v>
      </c>
      <c r="D1383" s="4">
        <v>1634.8</v>
      </c>
      <c r="E1383" s="4">
        <v>1597.1</v>
      </c>
      <c r="F1383" s="4">
        <v>1602</v>
      </c>
      <c r="G1383" s="4">
        <v>1622.1</v>
      </c>
      <c r="H1383" s="4">
        <v>1623.8</v>
      </c>
      <c r="I1383" s="4">
        <v>1621.63</v>
      </c>
      <c r="J1383" s="4">
        <v>2006.45</v>
      </c>
      <c r="K1383" s="4">
        <v>1307</v>
      </c>
      <c r="L1383" s="2">
        <v>5591842</v>
      </c>
      <c r="M1383" s="2">
        <v>9067922727.7000008</v>
      </c>
      <c r="N1383" s="2">
        <v>138140</v>
      </c>
      <c r="O1383" t="s">
        <v>21</v>
      </c>
    </row>
    <row r="1384" spans="1:15" x14ac:dyDescent="0.3">
      <c r="A1384" s="1">
        <v>45821</v>
      </c>
      <c r="B1384" s="4" t="s">
        <v>15</v>
      </c>
      <c r="C1384" s="4">
        <v>1576</v>
      </c>
      <c r="D1384" s="4">
        <v>1609</v>
      </c>
      <c r="E1384" s="4">
        <v>1570.2</v>
      </c>
      <c r="F1384" s="4">
        <v>1608.6</v>
      </c>
      <c r="G1384" s="4">
        <v>1605</v>
      </c>
      <c r="H1384" s="4">
        <v>1602</v>
      </c>
      <c r="I1384" s="4">
        <v>1598.18</v>
      </c>
      <c r="J1384" s="4">
        <v>2006.45</v>
      </c>
      <c r="K1384" s="4">
        <v>1307</v>
      </c>
      <c r="L1384" s="2">
        <v>6968315</v>
      </c>
      <c r="M1384" s="2">
        <v>11136653004.6</v>
      </c>
      <c r="N1384" s="2">
        <v>216576</v>
      </c>
      <c r="O1384" t="s">
        <v>21</v>
      </c>
    </row>
    <row r="1385" spans="1:15" x14ac:dyDescent="0.3">
      <c r="A1385" s="1">
        <v>45820</v>
      </c>
      <c r="B1385" s="4" t="s">
        <v>15</v>
      </c>
      <c r="C1385" s="4">
        <v>1617</v>
      </c>
      <c r="D1385" s="4">
        <v>1628</v>
      </c>
      <c r="E1385" s="4">
        <v>1598.1</v>
      </c>
      <c r="F1385" s="4">
        <v>1631.1</v>
      </c>
      <c r="G1385" s="4">
        <v>1605</v>
      </c>
      <c r="H1385" s="4">
        <v>1608.6</v>
      </c>
      <c r="I1385" s="4">
        <v>1612.28</v>
      </c>
      <c r="J1385" s="4">
        <v>2006.45</v>
      </c>
      <c r="K1385" s="4">
        <v>1307</v>
      </c>
      <c r="L1385" s="2">
        <v>10483574</v>
      </c>
      <c r="M1385" s="2">
        <v>16902414982</v>
      </c>
      <c r="N1385" s="2">
        <v>316383</v>
      </c>
      <c r="O1385" t="s">
        <v>21</v>
      </c>
    </row>
    <row r="1386" spans="1:15" x14ac:dyDescent="0.3">
      <c r="A1386" s="1">
        <v>45819</v>
      </c>
      <c r="B1386" s="4" t="s">
        <v>15</v>
      </c>
      <c r="C1386" s="4">
        <v>1590.1</v>
      </c>
      <c r="D1386" s="4">
        <v>1634.6</v>
      </c>
      <c r="E1386" s="4">
        <v>1590.1</v>
      </c>
      <c r="F1386" s="4">
        <v>1596</v>
      </c>
      <c r="G1386" s="4">
        <v>1628</v>
      </c>
      <c r="H1386" s="4">
        <v>1631.1</v>
      </c>
      <c r="I1386" s="4">
        <v>1617.71</v>
      </c>
      <c r="J1386" s="4">
        <v>2006.45</v>
      </c>
      <c r="K1386" s="4">
        <v>1307</v>
      </c>
      <c r="L1386" s="2">
        <v>10597410</v>
      </c>
      <c r="M1386" s="2">
        <v>17143554884.6</v>
      </c>
      <c r="N1386" s="2">
        <v>219452</v>
      </c>
      <c r="O1386" t="s">
        <v>21</v>
      </c>
    </row>
    <row r="1387" spans="1:15" x14ac:dyDescent="0.3">
      <c r="A1387" s="1">
        <v>45818</v>
      </c>
      <c r="B1387" s="4" t="s">
        <v>15</v>
      </c>
      <c r="C1387" s="4">
        <v>1584</v>
      </c>
      <c r="D1387" s="4">
        <v>1607.5</v>
      </c>
      <c r="E1387" s="4">
        <v>1577.5</v>
      </c>
      <c r="F1387" s="4">
        <v>1572.9</v>
      </c>
      <c r="G1387" s="4">
        <v>1594</v>
      </c>
      <c r="H1387" s="4">
        <v>1596</v>
      </c>
      <c r="I1387" s="4">
        <v>1595.07</v>
      </c>
      <c r="J1387" s="4">
        <v>2006.45</v>
      </c>
      <c r="K1387" s="4">
        <v>1307</v>
      </c>
      <c r="L1387" s="2">
        <v>8591925</v>
      </c>
      <c r="M1387" s="2">
        <v>13704698707.799999</v>
      </c>
      <c r="N1387" s="2">
        <v>222769</v>
      </c>
      <c r="O1387" t="s">
        <v>21</v>
      </c>
    </row>
    <row r="1388" spans="1:15" x14ac:dyDescent="0.3">
      <c r="A1388" s="1">
        <v>45817</v>
      </c>
      <c r="B1388" s="4" t="s">
        <v>15</v>
      </c>
      <c r="C1388" s="4">
        <v>1578</v>
      </c>
      <c r="D1388" s="4">
        <v>1588</v>
      </c>
      <c r="E1388" s="4">
        <v>1571</v>
      </c>
      <c r="F1388" s="4">
        <v>1563.8</v>
      </c>
      <c r="G1388" s="4">
        <v>1572</v>
      </c>
      <c r="H1388" s="4">
        <v>1572.9</v>
      </c>
      <c r="I1388" s="4">
        <v>1577.22</v>
      </c>
      <c r="J1388" s="4">
        <v>2006.45</v>
      </c>
      <c r="K1388" s="4">
        <v>1307</v>
      </c>
      <c r="L1388" s="2">
        <v>2903202</v>
      </c>
      <c r="M1388" s="2">
        <v>4578975981.3999996</v>
      </c>
      <c r="N1388" s="2">
        <v>113233</v>
      </c>
      <c r="O1388" t="s">
        <v>21</v>
      </c>
    </row>
    <row r="1389" spans="1:15" x14ac:dyDescent="0.3">
      <c r="A1389" s="1">
        <v>45814</v>
      </c>
      <c r="B1389" s="4" t="s">
        <v>15</v>
      </c>
      <c r="C1389" s="4">
        <v>1554.7</v>
      </c>
      <c r="D1389" s="4">
        <v>1568.9</v>
      </c>
      <c r="E1389" s="4">
        <v>1543.1</v>
      </c>
      <c r="F1389" s="4">
        <v>1554.3</v>
      </c>
      <c r="G1389" s="4">
        <v>1568</v>
      </c>
      <c r="H1389" s="4">
        <v>1563.8</v>
      </c>
      <c r="I1389" s="4">
        <v>1557.14</v>
      </c>
      <c r="J1389" s="4">
        <v>2006.45</v>
      </c>
      <c r="K1389" s="4">
        <v>1307</v>
      </c>
      <c r="L1389" s="2">
        <v>3960020</v>
      </c>
      <c r="M1389" s="2">
        <v>6166293295</v>
      </c>
      <c r="N1389" s="2">
        <v>90826</v>
      </c>
      <c r="O1389" t="s">
        <v>21</v>
      </c>
    </row>
    <row r="1390" spans="1:15" x14ac:dyDescent="0.3">
      <c r="A1390" s="1">
        <v>45813</v>
      </c>
      <c r="B1390" s="4" t="s">
        <v>15</v>
      </c>
      <c r="C1390" s="4">
        <v>1547.9</v>
      </c>
      <c r="D1390" s="4">
        <v>1567.7</v>
      </c>
      <c r="E1390" s="4">
        <v>1541.6</v>
      </c>
      <c r="F1390" s="4">
        <v>1551.2</v>
      </c>
      <c r="G1390" s="4">
        <v>1554.5</v>
      </c>
      <c r="H1390" s="4">
        <v>1554.3</v>
      </c>
      <c r="I1390" s="4">
        <v>1554.78</v>
      </c>
      <c r="J1390" s="4">
        <v>2006.45</v>
      </c>
      <c r="K1390" s="4">
        <v>1307</v>
      </c>
      <c r="L1390" s="2">
        <v>6948539</v>
      </c>
      <c r="M1390" s="2">
        <v>10803474457.1</v>
      </c>
      <c r="N1390" s="2">
        <v>128309</v>
      </c>
      <c r="O1390" t="s">
        <v>21</v>
      </c>
    </row>
    <row r="1391" spans="1:15" x14ac:dyDescent="0.3">
      <c r="A1391" s="1">
        <v>45812</v>
      </c>
      <c r="B1391" s="4" t="s">
        <v>15</v>
      </c>
      <c r="C1391" s="4">
        <v>1543</v>
      </c>
      <c r="D1391" s="4">
        <v>1557.3</v>
      </c>
      <c r="E1391" s="4">
        <v>1541.4</v>
      </c>
      <c r="F1391" s="4">
        <v>1543</v>
      </c>
      <c r="G1391" s="4">
        <v>1550</v>
      </c>
      <c r="H1391" s="4">
        <v>1551.2</v>
      </c>
      <c r="I1391" s="4">
        <v>1550.49</v>
      </c>
      <c r="J1391" s="4">
        <v>2006.45</v>
      </c>
      <c r="K1391" s="4">
        <v>1307</v>
      </c>
      <c r="L1391" s="2">
        <v>4548307</v>
      </c>
      <c r="M1391" s="2">
        <v>7052104860.6000004</v>
      </c>
      <c r="N1391" s="2">
        <v>118648</v>
      </c>
      <c r="O1391" t="s">
        <v>21</v>
      </c>
    </row>
    <row r="1392" spans="1:15" x14ac:dyDescent="0.3">
      <c r="A1392" s="1">
        <v>45811</v>
      </c>
      <c r="B1392" s="4" t="s">
        <v>15</v>
      </c>
      <c r="C1392" s="4">
        <v>1559</v>
      </c>
      <c r="D1392" s="4">
        <v>1567.3</v>
      </c>
      <c r="E1392" s="4">
        <v>1535.6</v>
      </c>
      <c r="F1392" s="4">
        <v>1553.8</v>
      </c>
      <c r="G1392" s="4">
        <v>1543</v>
      </c>
      <c r="H1392" s="4">
        <v>1543</v>
      </c>
      <c r="I1392" s="4">
        <v>1546.37</v>
      </c>
      <c r="J1392" s="4">
        <v>2006.45</v>
      </c>
      <c r="K1392" s="4">
        <v>1307</v>
      </c>
      <c r="L1392" s="2">
        <v>6853403</v>
      </c>
      <c r="M1392" s="2">
        <v>10597870232.1</v>
      </c>
      <c r="N1392" s="2">
        <v>195003</v>
      </c>
      <c r="O1392" t="s">
        <v>21</v>
      </c>
    </row>
    <row r="1393" spans="1:15" x14ac:dyDescent="0.3">
      <c r="A1393" s="1">
        <v>45810</v>
      </c>
      <c r="B1393" s="4" t="s">
        <v>15</v>
      </c>
      <c r="C1393" s="4">
        <v>1560</v>
      </c>
      <c r="D1393" s="4">
        <v>1560</v>
      </c>
      <c r="E1393" s="4">
        <v>1539</v>
      </c>
      <c r="F1393" s="4">
        <v>1562.7</v>
      </c>
      <c r="G1393" s="4">
        <v>1551</v>
      </c>
      <c r="H1393" s="4">
        <v>1553.8</v>
      </c>
      <c r="I1393" s="4">
        <v>1550.25</v>
      </c>
      <c r="J1393" s="4">
        <v>2006.45</v>
      </c>
      <c r="K1393" s="4">
        <v>1307</v>
      </c>
      <c r="L1393" s="2">
        <v>4374509</v>
      </c>
      <c r="M1393" s="2">
        <v>6781587274</v>
      </c>
      <c r="N1393" s="2">
        <v>131906</v>
      </c>
      <c r="O1393" t="s">
        <v>21</v>
      </c>
    </row>
    <row r="1394" spans="1:15" x14ac:dyDescent="0.3">
      <c r="A1394" s="1">
        <v>45807</v>
      </c>
      <c r="B1394" s="4" t="s">
        <v>15</v>
      </c>
      <c r="C1394" s="4">
        <v>1571</v>
      </c>
      <c r="D1394" s="4">
        <v>1572</v>
      </c>
      <c r="E1394" s="4">
        <v>1555.1</v>
      </c>
      <c r="F1394" s="4">
        <v>1585.6</v>
      </c>
      <c r="G1394" s="4">
        <v>1561.9</v>
      </c>
      <c r="H1394" s="4">
        <v>1562.7</v>
      </c>
      <c r="I1394" s="4">
        <v>1563.06</v>
      </c>
      <c r="J1394" s="4">
        <v>2006.45</v>
      </c>
      <c r="K1394" s="4">
        <v>1307</v>
      </c>
      <c r="L1394" s="2">
        <v>13148092</v>
      </c>
      <c r="M1394" s="2">
        <v>20551263119</v>
      </c>
      <c r="N1394" s="2">
        <v>167400</v>
      </c>
      <c r="O1394" t="s">
        <v>21</v>
      </c>
    </row>
    <row r="1395" spans="1:15" x14ac:dyDescent="0.3">
      <c r="A1395" s="1">
        <v>45806</v>
      </c>
      <c r="B1395" s="4" t="s">
        <v>15</v>
      </c>
      <c r="C1395" s="4">
        <v>1589</v>
      </c>
      <c r="D1395" s="4">
        <v>1608.9</v>
      </c>
      <c r="E1395" s="4">
        <v>1576.6</v>
      </c>
      <c r="F1395" s="4">
        <v>1571.8</v>
      </c>
      <c r="G1395" s="4">
        <v>1586.5</v>
      </c>
      <c r="H1395" s="4">
        <v>1585.6</v>
      </c>
      <c r="I1395" s="4">
        <v>1588.46</v>
      </c>
      <c r="J1395" s="4">
        <v>2006.45</v>
      </c>
      <c r="K1395" s="4">
        <v>1307</v>
      </c>
      <c r="L1395" s="2">
        <v>8609500</v>
      </c>
      <c r="M1395" s="2">
        <v>13675817253.9</v>
      </c>
      <c r="N1395" s="2">
        <v>194291</v>
      </c>
      <c r="O1395" t="s">
        <v>21</v>
      </c>
    </row>
    <row r="1396" spans="1:15" x14ac:dyDescent="0.3">
      <c r="A1396" s="1">
        <v>45805</v>
      </c>
      <c r="B1396" s="4" t="s">
        <v>15</v>
      </c>
      <c r="C1396" s="4">
        <v>1581</v>
      </c>
      <c r="D1396" s="4">
        <v>1587.7</v>
      </c>
      <c r="E1396" s="4">
        <v>1570</v>
      </c>
      <c r="F1396" s="4">
        <v>1570.1</v>
      </c>
      <c r="G1396" s="4">
        <v>1571.8</v>
      </c>
      <c r="H1396" s="4">
        <v>1571.8</v>
      </c>
      <c r="I1396" s="4">
        <v>1576.59</v>
      </c>
      <c r="J1396" s="4">
        <v>2006.45</v>
      </c>
      <c r="K1396" s="4">
        <v>1307</v>
      </c>
      <c r="L1396" s="2">
        <v>3623370</v>
      </c>
      <c r="M1396" s="2">
        <v>5712574459</v>
      </c>
      <c r="N1396" s="2">
        <v>136660</v>
      </c>
      <c r="O1396" t="s">
        <v>21</v>
      </c>
    </row>
    <row r="1397" spans="1:15" x14ac:dyDescent="0.3">
      <c r="A1397" s="1">
        <v>45804</v>
      </c>
      <c r="B1397" s="4" t="s">
        <v>15</v>
      </c>
      <c r="C1397" s="4">
        <v>1579.9</v>
      </c>
      <c r="D1397" s="4">
        <v>1582.9</v>
      </c>
      <c r="E1397" s="4">
        <v>1556.4</v>
      </c>
      <c r="F1397" s="4">
        <v>1580.5</v>
      </c>
      <c r="G1397" s="4">
        <v>1570.9</v>
      </c>
      <c r="H1397" s="4">
        <v>1570.1</v>
      </c>
      <c r="I1397" s="4">
        <v>1567.8</v>
      </c>
      <c r="J1397" s="4">
        <v>2006.45</v>
      </c>
      <c r="K1397" s="4">
        <v>1307</v>
      </c>
      <c r="L1397" s="2">
        <v>7775714</v>
      </c>
      <c r="M1397" s="2">
        <v>12190751506.200001</v>
      </c>
      <c r="N1397" s="2">
        <v>206543</v>
      </c>
      <c r="O1397" t="s">
        <v>21</v>
      </c>
    </row>
    <row r="1398" spans="1:15" x14ac:dyDescent="0.3">
      <c r="A1398" s="1">
        <v>45803</v>
      </c>
      <c r="B1398" s="4" t="s">
        <v>15</v>
      </c>
      <c r="C1398" s="4">
        <v>1566.6</v>
      </c>
      <c r="D1398" s="4">
        <v>1583.8</v>
      </c>
      <c r="E1398" s="4">
        <v>1562.7</v>
      </c>
      <c r="F1398" s="4">
        <v>1564.8</v>
      </c>
      <c r="G1398" s="4">
        <v>1582</v>
      </c>
      <c r="H1398" s="4">
        <v>1580.5</v>
      </c>
      <c r="I1398" s="4">
        <v>1577.54</v>
      </c>
      <c r="J1398" s="4">
        <v>2006.45</v>
      </c>
      <c r="K1398" s="4">
        <v>1307</v>
      </c>
      <c r="L1398" s="2">
        <v>3170102</v>
      </c>
      <c r="M1398" s="2">
        <v>5000973812.6999998</v>
      </c>
      <c r="N1398" s="2">
        <v>84853</v>
      </c>
      <c r="O1398" t="s">
        <v>21</v>
      </c>
    </row>
    <row r="1399" spans="1:15" x14ac:dyDescent="0.3">
      <c r="A1399" s="1">
        <v>45800</v>
      </c>
      <c r="B1399" s="4" t="s">
        <v>15</v>
      </c>
      <c r="C1399" s="4">
        <v>1550</v>
      </c>
      <c r="D1399" s="4">
        <v>1587.2</v>
      </c>
      <c r="E1399" s="4">
        <v>1550</v>
      </c>
      <c r="F1399" s="4">
        <v>1547.5</v>
      </c>
      <c r="G1399" s="4">
        <v>1566.1</v>
      </c>
      <c r="H1399" s="4">
        <v>1564.8</v>
      </c>
      <c r="I1399" s="4">
        <v>1573.82</v>
      </c>
      <c r="J1399" s="4">
        <v>2006.45</v>
      </c>
      <c r="K1399" s="4">
        <v>1307</v>
      </c>
      <c r="L1399" s="2">
        <v>5038421</v>
      </c>
      <c r="M1399" s="2">
        <v>7929581517.5</v>
      </c>
      <c r="N1399" s="2">
        <v>119392</v>
      </c>
      <c r="O1399" t="s">
        <v>21</v>
      </c>
    </row>
    <row r="1400" spans="1:15" x14ac:dyDescent="0.3">
      <c r="A1400" s="1">
        <v>45799</v>
      </c>
      <c r="B1400" s="4" t="s">
        <v>15</v>
      </c>
      <c r="C1400" s="4">
        <v>1555.5</v>
      </c>
      <c r="D1400" s="4">
        <v>1560.8</v>
      </c>
      <c r="E1400" s="4">
        <v>1540</v>
      </c>
      <c r="F1400" s="4">
        <v>1568.5</v>
      </c>
      <c r="G1400" s="4">
        <v>1551</v>
      </c>
      <c r="H1400" s="4">
        <v>1547.5</v>
      </c>
      <c r="I1400" s="4">
        <v>1548.79</v>
      </c>
      <c r="J1400" s="4">
        <v>2006.45</v>
      </c>
      <c r="K1400" s="4">
        <v>1307</v>
      </c>
      <c r="L1400" s="2">
        <v>6158990</v>
      </c>
      <c r="M1400" s="2">
        <v>9538994454.7000008</v>
      </c>
      <c r="N1400" s="2">
        <v>162974</v>
      </c>
      <c r="O1400" t="s">
        <v>21</v>
      </c>
    </row>
    <row r="1401" spans="1:15" x14ac:dyDescent="0.3">
      <c r="A1401" s="1">
        <v>45798</v>
      </c>
      <c r="B1401" s="4" t="s">
        <v>15</v>
      </c>
      <c r="C1401" s="4">
        <v>1567.9</v>
      </c>
      <c r="D1401" s="4">
        <v>1571</v>
      </c>
      <c r="E1401" s="4">
        <v>1552.1</v>
      </c>
      <c r="F1401" s="4">
        <v>1560.6</v>
      </c>
      <c r="G1401" s="4">
        <v>1566.9</v>
      </c>
      <c r="H1401" s="4">
        <v>1568.5</v>
      </c>
      <c r="I1401" s="4">
        <v>1566.02</v>
      </c>
      <c r="J1401" s="4">
        <v>2006.45</v>
      </c>
      <c r="K1401" s="4">
        <v>1307</v>
      </c>
      <c r="L1401" s="2">
        <v>4157309</v>
      </c>
      <c r="M1401" s="2">
        <v>6510414089.8999996</v>
      </c>
      <c r="N1401" s="2">
        <v>112304</v>
      </c>
      <c r="O1401" t="s">
        <v>21</v>
      </c>
    </row>
    <row r="1402" spans="1:15" x14ac:dyDescent="0.3">
      <c r="A1402" s="1">
        <v>45797</v>
      </c>
      <c r="B1402" s="4" t="s">
        <v>15</v>
      </c>
      <c r="C1402" s="4">
        <v>1570</v>
      </c>
      <c r="D1402" s="4">
        <v>1583.5</v>
      </c>
      <c r="E1402" s="4">
        <v>1558</v>
      </c>
      <c r="F1402" s="4">
        <v>1559.8</v>
      </c>
      <c r="G1402" s="4">
        <v>1563.5</v>
      </c>
      <c r="H1402" s="4">
        <v>1560.6</v>
      </c>
      <c r="I1402" s="4">
        <v>1566.97</v>
      </c>
      <c r="J1402" s="4">
        <v>2006.45</v>
      </c>
      <c r="K1402" s="4">
        <v>1307</v>
      </c>
      <c r="L1402" s="2">
        <v>7143998</v>
      </c>
      <c r="M1402" s="2">
        <v>11194455092.9</v>
      </c>
      <c r="N1402" s="2">
        <v>160169</v>
      </c>
      <c r="O1402" t="s">
        <v>21</v>
      </c>
    </row>
    <row r="1403" spans="1:15" x14ac:dyDescent="0.3">
      <c r="A1403" s="1">
        <v>45796</v>
      </c>
      <c r="B1403" s="4" t="s">
        <v>15</v>
      </c>
      <c r="C1403" s="4">
        <v>1576.5</v>
      </c>
      <c r="D1403" s="4">
        <v>1585</v>
      </c>
      <c r="E1403" s="4">
        <v>1555.7</v>
      </c>
      <c r="F1403" s="4">
        <v>1589.9</v>
      </c>
      <c r="G1403" s="4">
        <v>1557.9</v>
      </c>
      <c r="H1403" s="4">
        <v>1559.8</v>
      </c>
      <c r="I1403" s="4">
        <v>1565.44</v>
      </c>
      <c r="J1403" s="4">
        <v>2006.45</v>
      </c>
      <c r="K1403" s="4">
        <v>1307</v>
      </c>
      <c r="L1403" s="2">
        <v>8855798</v>
      </c>
      <c r="M1403" s="2">
        <v>13863231180.1</v>
      </c>
      <c r="N1403" s="2">
        <v>186064</v>
      </c>
      <c r="O1403" t="s">
        <v>21</v>
      </c>
    </row>
    <row r="1404" spans="1:15" x14ac:dyDescent="0.3">
      <c r="A1404" s="1">
        <v>45793</v>
      </c>
      <c r="B1404" s="4" t="s">
        <v>15</v>
      </c>
      <c r="C1404" s="4">
        <v>1612.6</v>
      </c>
      <c r="D1404" s="4">
        <v>1612.6</v>
      </c>
      <c r="E1404" s="4">
        <v>1581.5</v>
      </c>
      <c r="F1404" s="4">
        <v>1613</v>
      </c>
      <c r="G1404" s="4">
        <v>1589.4</v>
      </c>
      <c r="H1404" s="4">
        <v>1589.9</v>
      </c>
      <c r="I1404" s="4">
        <v>1591.32</v>
      </c>
      <c r="J1404" s="4">
        <v>2006.45</v>
      </c>
      <c r="K1404" s="4">
        <v>1307</v>
      </c>
      <c r="L1404" s="2">
        <v>4576751</v>
      </c>
      <c r="M1404" s="2">
        <v>7283067573.3999996</v>
      </c>
      <c r="N1404" s="2">
        <v>132211</v>
      </c>
      <c r="O1404" t="s">
        <v>21</v>
      </c>
    </row>
    <row r="1405" spans="1:15" x14ac:dyDescent="0.3">
      <c r="A1405" s="1">
        <v>45792</v>
      </c>
      <c r="B1405" s="4" t="s">
        <v>15</v>
      </c>
      <c r="C1405" s="4">
        <v>1589.8</v>
      </c>
      <c r="D1405" s="4">
        <v>1618.6</v>
      </c>
      <c r="E1405" s="4">
        <v>1571</v>
      </c>
      <c r="F1405" s="4">
        <v>1592.4</v>
      </c>
      <c r="G1405" s="4">
        <v>1609.5</v>
      </c>
      <c r="H1405" s="4">
        <v>1613</v>
      </c>
      <c r="I1405" s="4">
        <v>1600.37</v>
      </c>
      <c r="J1405" s="4">
        <v>2006.45</v>
      </c>
      <c r="K1405" s="4">
        <v>1307</v>
      </c>
      <c r="L1405" s="2">
        <v>11151167</v>
      </c>
      <c r="M1405" s="2">
        <v>17846028418.299999</v>
      </c>
      <c r="N1405" s="2">
        <v>226053</v>
      </c>
      <c r="O1405" t="s">
        <v>21</v>
      </c>
    </row>
    <row r="1406" spans="1:15" x14ac:dyDescent="0.3">
      <c r="A1406" s="1">
        <v>45791</v>
      </c>
      <c r="B1406" s="4" t="s">
        <v>15</v>
      </c>
      <c r="C1406" s="4">
        <v>1574</v>
      </c>
      <c r="D1406" s="4">
        <v>1595</v>
      </c>
      <c r="E1406" s="4">
        <v>1569.5</v>
      </c>
      <c r="F1406" s="4">
        <v>1568.6</v>
      </c>
      <c r="G1406" s="4">
        <v>1592.8</v>
      </c>
      <c r="H1406" s="4">
        <v>1592.4</v>
      </c>
      <c r="I1406" s="4">
        <v>1588.83</v>
      </c>
      <c r="J1406" s="4">
        <v>2006.45</v>
      </c>
      <c r="K1406" s="4">
        <v>1307</v>
      </c>
      <c r="L1406" s="2">
        <v>4870057</v>
      </c>
      <c r="M1406" s="2">
        <v>7737687686</v>
      </c>
      <c r="N1406" s="2">
        <v>144908</v>
      </c>
      <c r="O1406" t="s">
        <v>21</v>
      </c>
    </row>
    <row r="1407" spans="1:15" x14ac:dyDescent="0.3">
      <c r="A1407" s="1">
        <v>45790</v>
      </c>
      <c r="B1407" s="4" t="s">
        <v>15</v>
      </c>
      <c r="C1407" s="4">
        <v>1609</v>
      </c>
      <c r="D1407" s="4">
        <v>1612.2</v>
      </c>
      <c r="E1407" s="4">
        <v>1564.6</v>
      </c>
      <c r="F1407" s="4">
        <v>1626.9</v>
      </c>
      <c r="G1407" s="4">
        <v>1567.9</v>
      </c>
      <c r="H1407" s="4">
        <v>1568.6</v>
      </c>
      <c r="I1407" s="4">
        <v>1579.63</v>
      </c>
      <c r="J1407" s="4">
        <v>2006.45</v>
      </c>
      <c r="K1407" s="4">
        <v>1307</v>
      </c>
      <c r="L1407" s="2">
        <v>12846210</v>
      </c>
      <c r="M1407" s="2">
        <v>20292258361.299999</v>
      </c>
      <c r="N1407" s="2">
        <v>335293</v>
      </c>
      <c r="O1407" t="s">
        <v>21</v>
      </c>
    </row>
    <row r="1408" spans="1:15" x14ac:dyDescent="0.3">
      <c r="A1408" s="1">
        <v>45789</v>
      </c>
      <c r="B1408" s="4" t="s">
        <v>15</v>
      </c>
      <c r="C1408" s="4">
        <v>1537</v>
      </c>
      <c r="D1408" s="4">
        <v>1632</v>
      </c>
      <c r="E1408" s="4">
        <v>1532</v>
      </c>
      <c r="F1408" s="4">
        <v>1507.6</v>
      </c>
      <c r="G1408" s="4">
        <v>1623.5</v>
      </c>
      <c r="H1408" s="4">
        <v>1626.9</v>
      </c>
      <c r="I1408" s="4">
        <v>1593.89</v>
      </c>
      <c r="J1408" s="4">
        <v>2006.45</v>
      </c>
      <c r="K1408" s="4">
        <v>1307</v>
      </c>
      <c r="L1408" s="2">
        <v>11372857</v>
      </c>
      <c r="M1408" s="2">
        <v>18127126262.5</v>
      </c>
      <c r="N1408" s="2">
        <v>290108</v>
      </c>
      <c r="O1408" t="s">
        <v>21</v>
      </c>
    </row>
    <row r="1409" spans="1:15" x14ac:dyDescent="0.3">
      <c r="A1409" s="1">
        <v>45786</v>
      </c>
      <c r="B1409" s="4" t="s">
        <v>15</v>
      </c>
      <c r="C1409" s="4">
        <v>1500.7</v>
      </c>
      <c r="D1409" s="4">
        <v>1511.4</v>
      </c>
      <c r="E1409" s="4">
        <v>1494.1</v>
      </c>
      <c r="F1409" s="4">
        <v>1511.4</v>
      </c>
      <c r="G1409" s="4">
        <v>1507.2</v>
      </c>
      <c r="H1409" s="4">
        <v>1507.6</v>
      </c>
      <c r="I1409" s="4">
        <v>1504.2</v>
      </c>
      <c r="J1409" s="4">
        <v>2006.45</v>
      </c>
      <c r="K1409" s="4">
        <v>1307</v>
      </c>
      <c r="L1409" s="2">
        <v>4478653</v>
      </c>
      <c r="M1409" s="2">
        <v>6736782019.1999998</v>
      </c>
      <c r="N1409" s="2">
        <v>144158</v>
      </c>
      <c r="O1409" t="s">
        <v>21</v>
      </c>
    </row>
    <row r="1410" spans="1:15" x14ac:dyDescent="0.3">
      <c r="A1410" s="1">
        <v>45785</v>
      </c>
      <c r="B1410" s="4" t="s">
        <v>15</v>
      </c>
      <c r="C1410" s="4">
        <v>1508</v>
      </c>
      <c r="D1410" s="4">
        <v>1516.5</v>
      </c>
      <c r="E1410" s="4">
        <v>1501.2</v>
      </c>
      <c r="F1410" s="4">
        <v>1508.3</v>
      </c>
      <c r="G1410" s="4">
        <v>1506</v>
      </c>
      <c r="H1410" s="4">
        <v>1511.4</v>
      </c>
      <c r="I1410" s="4">
        <v>1508.8</v>
      </c>
      <c r="J1410" s="4">
        <v>2006.45</v>
      </c>
      <c r="K1410" s="4">
        <v>1307</v>
      </c>
      <c r="L1410" s="2">
        <v>8424409</v>
      </c>
      <c r="M1410" s="2">
        <v>12710783626.5</v>
      </c>
      <c r="N1410" s="2">
        <v>217543</v>
      </c>
      <c r="O1410" t="s">
        <v>21</v>
      </c>
    </row>
    <row r="1411" spans="1:15" x14ac:dyDescent="0.3">
      <c r="A1411" s="1">
        <v>45784</v>
      </c>
      <c r="B1411" s="4" t="s">
        <v>15</v>
      </c>
      <c r="C1411" s="4">
        <v>1500</v>
      </c>
      <c r="D1411" s="4">
        <v>1518.8</v>
      </c>
      <c r="E1411" s="4">
        <v>1496.6</v>
      </c>
      <c r="F1411" s="4">
        <v>1511.5</v>
      </c>
      <c r="G1411" s="4">
        <v>1508.8</v>
      </c>
      <c r="H1411" s="4">
        <v>1508.3</v>
      </c>
      <c r="I1411" s="4">
        <v>1509.03</v>
      </c>
      <c r="J1411" s="4">
        <v>2006.45</v>
      </c>
      <c r="K1411" s="4">
        <v>1307</v>
      </c>
      <c r="L1411" s="2">
        <v>5691799</v>
      </c>
      <c r="M1411" s="2">
        <v>8589104210.8999996</v>
      </c>
      <c r="N1411" s="2">
        <v>144103</v>
      </c>
      <c r="O1411" t="s">
        <v>21</v>
      </c>
    </row>
    <row r="1412" spans="1:15" x14ac:dyDescent="0.3">
      <c r="A1412" s="1">
        <v>45783</v>
      </c>
      <c r="B1412" s="4" t="s">
        <v>15</v>
      </c>
      <c r="C1412" s="4">
        <v>1506</v>
      </c>
      <c r="D1412" s="4">
        <v>1515.6</v>
      </c>
      <c r="E1412" s="4">
        <v>1499.1</v>
      </c>
      <c r="F1412" s="4">
        <v>1508.6</v>
      </c>
      <c r="G1412" s="4">
        <v>1511</v>
      </c>
      <c r="H1412" s="4">
        <v>1511.5</v>
      </c>
      <c r="I1412" s="4">
        <v>1509.58</v>
      </c>
      <c r="J1412" s="4">
        <v>2006.45</v>
      </c>
      <c r="K1412" s="4">
        <v>1307</v>
      </c>
      <c r="L1412" s="2">
        <v>4270530</v>
      </c>
      <c r="M1412" s="2">
        <v>6446698483.8999996</v>
      </c>
      <c r="N1412" s="2">
        <v>105354</v>
      </c>
      <c r="O1412" t="s">
        <v>21</v>
      </c>
    </row>
    <row r="1413" spans="1:15" x14ac:dyDescent="0.3">
      <c r="A1413" s="1">
        <v>45782</v>
      </c>
      <c r="B1413" s="4" t="s">
        <v>15</v>
      </c>
      <c r="C1413" s="4">
        <v>1515</v>
      </c>
      <c r="D1413" s="4">
        <v>1523</v>
      </c>
      <c r="E1413" s="4">
        <v>1502.8</v>
      </c>
      <c r="F1413" s="4">
        <v>1506.8</v>
      </c>
      <c r="G1413" s="4">
        <v>1507</v>
      </c>
      <c r="H1413" s="4">
        <v>1508.6</v>
      </c>
      <c r="I1413" s="4">
        <v>1509.96</v>
      </c>
      <c r="J1413" s="4">
        <v>2006.45</v>
      </c>
      <c r="K1413" s="4">
        <v>1307</v>
      </c>
      <c r="L1413" s="2">
        <v>4282493</v>
      </c>
      <c r="M1413" s="2">
        <v>6466387044.6999998</v>
      </c>
      <c r="N1413" s="2">
        <v>130549</v>
      </c>
      <c r="O1413" t="s">
        <v>21</v>
      </c>
    </row>
    <row r="1414" spans="1:15" x14ac:dyDescent="0.3">
      <c r="A1414" s="1">
        <v>45779</v>
      </c>
      <c r="B1414" s="4" t="s">
        <v>15</v>
      </c>
      <c r="C1414" s="4">
        <v>1499.7</v>
      </c>
      <c r="D1414" s="4">
        <v>1523.2</v>
      </c>
      <c r="E1414" s="4">
        <v>1496.2</v>
      </c>
      <c r="F1414" s="4">
        <v>1500.1</v>
      </c>
      <c r="G1414" s="4">
        <v>1502</v>
      </c>
      <c r="H1414" s="4">
        <v>1506.8</v>
      </c>
      <c r="I1414" s="4">
        <v>1509.45</v>
      </c>
      <c r="J1414" s="4">
        <v>2006.45</v>
      </c>
      <c r="K1414" s="4">
        <v>1307</v>
      </c>
      <c r="L1414" s="2">
        <v>8733014</v>
      </c>
      <c r="M1414" s="2">
        <v>13182067260.5</v>
      </c>
      <c r="N1414" s="2">
        <v>235475</v>
      </c>
      <c r="O1414" t="s">
        <v>21</v>
      </c>
    </row>
    <row r="1415" spans="1:15" x14ac:dyDescent="0.3">
      <c r="A1415" s="1">
        <v>45777</v>
      </c>
      <c r="B1415" s="4" t="s">
        <v>15</v>
      </c>
      <c r="C1415" s="4">
        <v>1496.8</v>
      </c>
      <c r="D1415" s="4">
        <v>1508.8</v>
      </c>
      <c r="E1415" s="4">
        <v>1482.6</v>
      </c>
      <c r="F1415" s="4">
        <v>1497.5</v>
      </c>
      <c r="G1415" s="4">
        <v>1491.5</v>
      </c>
      <c r="H1415" s="4">
        <v>1500.1</v>
      </c>
      <c r="I1415" s="4">
        <v>1499.93</v>
      </c>
      <c r="J1415" s="4">
        <v>2006.45</v>
      </c>
      <c r="K1415" s="4">
        <v>1307</v>
      </c>
      <c r="L1415" s="2">
        <v>7704183</v>
      </c>
      <c r="M1415" s="2">
        <v>11555716056.4</v>
      </c>
      <c r="N1415" s="2">
        <v>128359</v>
      </c>
      <c r="O1415" t="s">
        <v>21</v>
      </c>
    </row>
    <row r="1416" spans="1:15" x14ac:dyDescent="0.3">
      <c r="A1416" s="1">
        <v>45776</v>
      </c>
      <c r="B1416" s="4" t="s">
        <v>15</v>
      </c>
      <c r="C1416" s="4">
        <v>1482</v>
      </c>
      <c r="D1416" s="4">
        <v>1509.8</v>
      </c>
      <c r="E1416" s="4">
        <v>1474.1</v>
      </c>
      <c r="F1416" s="4">
        <v>1482.1</v>
      </c>
      <c r="G1416" s="4">
        <v>1498</v>
      </c>
      <c r="H1416" s="4">
        <v>1497.5</v>
      </c>
      <c r="I1416" s="4">
        <v>1495.87</v>
      </c>
      <c r="J1416" s="4">
        <v>2006.45</v>
      </c>
      <c r="K1416" s="4">
        <v>1307</v>
      </c>
      <c r="L1416" s="2">
        <v>8056743</v>
      </c>
      <c r="M1416" s="2">
        <v>12051862382.6</v>
      </c>
      <c r="N1416" s="2">
        <v>207221</v>
      </c>
      <c r="O1416" t="s">
        <v>21</v>
      </c>
    </row>
    <row r="1417" spans="1:15" x14ac:dyDescent="0.3">
      <c r="A1417" s="1">
        <v>45775</v>
      </c>
      <c r="B1417" s="4" t="s">
        <v>15</v>
      </c>
      <c r="C1417" s="4">
        <v>1480.2</v>
      </c>
      <c r="D1417" s="4">
        <v>1489.6</v>
      </c>
      <c r="E1417" s="4">
        <v>1465.3</v>
      </c>
      <c r="F1417" s="4">
        <v>1480.2</v>
      </c>
      <c r="G1417" s="4">
        <v>1481</v>
      </c>
      <c r="H1417" s="4">
        <v>1482.1</v>
      </c>
      <c r="I1417" s="4">
        <v>1478.19</v>
      </c>
      <c r="J1417" s="4">
        <v>2006.45</v>
      </c>
      <c r="K1417" s="4">
        <v>1307</v>
      </c>
      <c r="L1417" s="2">
        <v>5886253</v>
      </c>
      <c r="M1417" s="2">
        <v>8701029482.7000008</v>
      </c>
      <c r="N1417" s="2">
        <v>146345</v>
      </c>
      <c r="O1417" t="s">
        <v>21</v>
      </c>
    </row>
    <row r="1418" spans="1:15" x14ac:dyDescent="0.3">
      <c r="A1418" s="1">
        <v>45772</v>
      </c>
      <c r="B1418" s="4" t="s">
        <v>15</v>
      </c>
      <c r="C1418" s="4">
        <v>1475.5</v>
      </c>
      <c r="D1418" s="4">
        <v>1501.7</v>
      </c>
      <c r="E1418" s="4">
        <v>1463.5</v>
      </c>
      <c r="F1418" s="4">
        <v>1471.4</v>
      </c>
      <c r="G1418" s="4">
        <v>1480</v>
      </c>
      <c r="H1418" s="4">
        <v>1480.2</v>
      </c>
      <c r="I1418" s="4">
        <v>1484.47</v>
      </c>
      <c r="J1418" s="4">
        <v>2006.45</v>
      </c>
      <c r="K1418" s="4">
        <v>1307</v>
      </c>
      <c r="L1418" s="2">
        <v>8329979</v>
      </c>
      <c r="M1418" s="2">
        <v>12365598001.799999</v>
      </c>
      <c r="N1418" s="2">
        <v>199876</v>
      </c>
      <c r="O1418" t="s">
        <v>21</v>
      </c>
    </row>
    <row r="1419" spans="1:15" x14ac:dyDescent="0.3">
      <c r="A1419" s="1">
        <v>45771</v>
      </c>
      <c r="B1419" s="4" t="s">
        <v>15</v>
      </c>
      <c r="C1419" s="4">
        <v>1469.9</v>
      </c>
      <c r="D1419" s="4">
        <v>1482.9</v>
      </c>
      <c r="E1419" s="4">
        <v>1461.5</v>
      </c>
      <c r="F1419" s="4">
        <v>1474.9</v>
      </c>
      <c r="G1419" s="4">
        <v>1473</v>
      </c>
      <c r="H1419" s="4">
        <v>1471.4</v>
      </c>
      <c r="I1419" s="4">
        <v>1471.62</v>
      </c>
      <c r="J1419" s="4">
        <v>2006.45</v>
      </c>
      <c r="K1419" s="4">
        <v>1307</v>
      </c>
      <c r="L1419" s="2">
        <v>7114292</v>
      </c>
      <c r="M1419" s="2">
        <v>10469560317.200001</v>
      </c>
      <c r="N1419" s="2">
        <v>175991</v>
      </c>
      <c r="O1419" t="s">
        <v>21</v>
      </c>
    </row>
    <row r="1420" spans="1:15" x14ac:dyDescent="0.3">
      <c r="A1420" s="1">
        <v>45770</v>
      </c>
      <c r="B1420" s="4" t="s">
        <v>15</v>
      </c>
      <c r="C1420" s="4">
        <v>1446</v>
      </c>
      <c r="D1420" s="4">
        <v>1487.8</v>
      </c>
      <c r="E1420" s="4">
        <v>1439.6</v>
      </c>
      <c r="F1420" s="4">
        <v>1422.8</v>
      </c>
      <c r="G1420" s="4">
        <v>1476.2</v>
      </c>
      <c r="H1420" s="4">
        <v>1474.9</v>
      </c>
      <c r="I1420" s="4">
        <v>1471.47</v>
      </c>
      <c r="J1420" s="4">
        <v>2006.45</v>
      </c>
      <c r="K1420" s="4">
        <v>1307</v>
      </c>
      <c r="L1420" s="2">
        <v>11136642</v>
      </c>
      <c r="M1420" s="2">
        <v>16387181464.5</v>
      </c>
      <c r="N1420" s="2">
        <v>249560</v>
      </c>
      <c r="O1420" t="s">
        <v>21</v>
      </c>
    </row>
    <row r="1421" spans="1:15" x14ac:dyDescent="0.3">
      <c r="A1421" s="1">
        <v>45769</v>
      </c>
      <c r="B1421" s="4" t="s">
        <v>15</v>
      </c>
      <c r="C1421" s="4">
        <v>1440</v>
      </c>
      <c r="D1421" s="4">
        <v>1440</v>
      </c>
      <c r="E1421" s="4">
        <v>1419.3</v>
      </c>
      <c r="F1421" s="4">
        <v>1451</v>
      </c>
      <c r="G1421" s="4">
        <v>1423</v>
      </c>
      <c r="H1421" s="4">
        <v>1422.8</v>
      </c>
      <c r="I1421" s="4">
        <v>1425.14</v>
      </c>
      <c r="J1421" s="4">
        <v>2006.45</v>
      </c>
      <c r="K1421" s="4">
        <v>1307</v>
      </c>
      <c r="L1421" s="2">
        <v>9399738</v>
      </c>
      <c r="M1421" s="2">
        <v>13395956021.299999</v>
      </c>
      <c r="N1421" s="2">
        <v>245817</v>
      </c>
      <c r="O1421" t="s">
        <v>21</v>
      </c>
    </row>
    <row r="1422" spans="1:15" x14ac:dyDescent="0.3">
      <c r="A1422" s="1">
        <v>45768</v>
      </c>
      <c r="B1422" s="4" t="s">
        <v>15</v>
      </c>
      <c r="C1422" s="4">
        <v>1410</v>
      </c>
      <c r="D1422" s="4">
        <v>1471.8</v>
      </c>
      <c r="E1422" s="4">
        <v>1410</v>
      </c>
      <c r="F1422" s="4">
        <v>1419.5</v>
      </c>
      <c r="G1422" s="4">
        <v>1449</v>
      </c>
      <c r="H1422" s="4">
        <v>1451</v>
      </c>
      <c r="I1422" s="4">
        <v>1452.45</v>
      </c>
      <c r="J1422" s="4">
        <v>2006.45</v>
      </c>
      <c r="K1422" s="4">
        <v>1307</v>
      </c>
      <c r="L1422" s="2">
        <v>15648970</v>
      </c>
      <c r="M1422" s="2">
        <v>22729378761.099998</v>
      </c>
      <c r="N1422" s="2">
        <v>271048</v>
      </c>
      <c r="O1422" t="s">
        <v>21</v>
      </c>
    </row>
    <row r="1423" spans="1:15" x14ac:dyDescent="0.3">
      <c r="A1423" s="1">
        <v>45764</v>
      </c>
      <c r="B1423" s="4" t="s">
        <v>15</v>
      </c>
      <c r="C1423" s="4">
        <v>1398</v>
      </c>
      <c r="D1423" s="4">
        <v>1429.8</v>
      </c>
      <c r="E1423" s="4">
        <v>1378.3</v>
      </c>
      <c r="F1423" s="4">
        <v>1413.1</v>
      </c>
      <c r="G1423" s="4">
        <v>1427.7</v>
      </c>
      <c r="H1423" s="4">
        <v>1419.5</v>
      </c>
      <c r="I1423" s="4">
        <v>1400.17</v>
      </c>
      <c r="J1423" s="4">
        <v>2006.45</v>
      </c>
      <c r="K1423" s="4">
        <v>1307</v>
      </c>
      <c r="L1423" s="2">
        <v>14264227</v>
      </c>
      <c r="M1423" s="2">
        <v>19972355994</v>
      </c>
      <c r="N1423" s="2">
        <v>349779</v>
      </c>
      <c r="O1423" t="s">
        <v>21</v>
      </c>
    </row>
    <row r="1424" spans="1:15" x14ac:dyDescent="0.3">
      <c r="A1424" s="1">
        <v>45763</v>
      </c>
      <c r="B1424" s="4" t="s">
        <v>15</v>
      </c>
      <c r="C1424" s="4">
        <v>1425</v>
      </c>
      <c r="D1424" s="4">
        <v>1427.5</v>
      </c>
      <c r="E1424" s="4">
        <v>1396.8</v>
      </c>
      <c r="F1424" s="4">
        <v>1426</v>
      </c>
      <c r="G1424" s="4">
        <v>1412.2</v>
      </c>
      <c r="H1424" s="4">
        <v>1413.1</v>
      </c>
      <c r="I1424" s="4">
        <v>1409.87</v>
      </c>
      <c r="J1424" s="4">
        <v>2006.45</v>
      </c>
      <c r="K1424" s="4">
        <v>1307</v>
      </c>
      <c r="L1424" s="2">
        <v>12022740</v>
      </c>
      <c r="M1424" s="2">
        <v>16950524011.299999</v>
      </c>
      <c r="N1424" s="2">
        <v>331555</v>
      </c>
      <c r="O1424" t="s">
        <v>21</v>
      </c>
    </row>
    <row r="1425" spans="1:15" x14ac:dyDescent="0.3">
      <c r="A1425" s="1">
        <v>45762</v>
      </c>
      <c r="B1425" s="4" t="s">
        <v>15</v>
      </c>
      <c r="C1425" s="4">
        <v>1445.6</v>
      </c>
      <c r="D1425" s="4">
        <v>1447.7</v>
      </c>
      <c r="E1425" s="4">
        <v>1409</v>
      </c>
      <c r="F1425" s="4">
        <v>1409.45</v>
      </c>
      <c r="G1425" s="4">
        <v>1430.4</v>
      </c>
      <c r="H1425" s="4">
        <v>1426</v>
      </c>
      <c r="I1425" s="4">
        <v>1424.37</v>
      </c>
      <c r="J1425" s="4">
        <v>2006.45</v>
      </c>
      <c r="K1425" s="4">
        <v>1307</v>
      </c>
      <c r="L1425" s="2">
        <v>10178530</v>
      </c>
      <c r="M1425" s="2">
        <v>14497963348.799999</v>
      </c>
      <c r="N1425" s="2">
        <v>258203</v>
      </c>
      <c r="O1425" t="s">
        <v>21</v>
      </c>
    </row>
    <row r="1426" spans="1:15" x14ac:dyDescent="0.3">
      <c r="A1426" s="1">
        <v>45758</v>
      </c>
      <c r="B1426" s="4" t="s">
        <v>15</v>
      </c>
      <c r="C1426" s="4">
        <v>1411.25</v>
      </c>
      <c r="D1426" s="4">
        <v>1438.8</v>
      </c>
      <c r="E1426" s="4">
        <v>1397.05</v>
      </c>
      <c r="F1426" s="4">
        <v>1403.7</v>
      </c>
      <c r="G1426" s="4">
        <v>1416.8</v>
      </c>
      <c r="H1426" s="4">
        <v>1409.45</v>
      </c>
      <c r="I1426" s="4">
        <v>1418.1</v>
      </c>
      <c r="J1426" s="4">
        <v>2006.45</v>
      </c>
      <c r="K1426" s="4">
        <v>1307</v>
      </c>
      <c r="L1426" s="2">
        <v>12567440</v>
      </c>
      <c r="M1426" s="2">
        <v>17821840695.450001</v>
      </c>
      <c r="N1426" s="2">
        <v>262867</v>
      </c>
      <c r="O1426" t="s">
        <v>21</v>
      </c>
    </row>
    <row r="1427" spans="1:15" x14ac:dyDescent="0.3">
      <c r="A1427" s="1">
        <v>45756</v>
      </c>
      <c r="B1427" s="4" t="s">
        <v>15</v>
      </c>
      <c r="C1427" s="4">
        <v>1405.05</v>
      </c>
      <c r="D1427" s="4">
        <v>1409.45</v>
      </c>
      <c r="E1427" s="4">
        <v>1381.9</v>
      </c>
      <c r="F1427" s="4">
        <v>1428.8</v>
      </c>
      <c r="G1427" s="4">
        <v>1402</v>
      </c>
      <c r="H1427" s="4">
        <v>1403.7</v>
      </c>
      <c r="I1427" s="4">
        <v>1396.23</v>
      </c>
      <c r="J1427" s="4">
        <v>2006.45</v>
      </c>
      <c r="K1427" s="4">
        <v>1307</v>
      </c>
      <c r="L1427" s="2">
        <v>8546854</v>
      </c>
      <c r="M1427" s="2">
        <v>11933354452.15</v>
      </c>
      <c r="N1427" s="2">
        <v>220436</v>
      </c>
      <c r="O1427" t="s">
        <v>21</v>
      </c>
    </row>
    <row r="1428" spans="1:15" x14ac:dyDescent="0.3">
      <c r="A1428" s="1">
        <v>45755</v>
      </c>
      <c r="B1428" s="4" t="s">
        <v>15</v>
      </c>
      <c r="C1428" s="4">
        <v>1431</v>
      </c>
      <c r="D1428" s="4">
        <v>1456.5</v>
      </c>
      <c r="E1428" s="4">
        <v>1415</v>
      </c>
      <c r="F1428" s="4">
        <v>1396.75</v>
      </c>
      <c r="G1428" s="4">
        <v>1428</v>
      </c>
      <c r="H1428" s="4">
        <v>1428.8</v>
      </c>
      <c r="I1428" s="4">
        <v>1435.73</v>
      </c>
      <c r="J1428" s="4">
        <v>2006.45</v>
      </c>
      <c r="K1428" s="4">
        <v>1307</v>
      </c>
      <c r="L1428" s="2">
        <v>12805001</v>
      </c>
      <c r="M1428" s="2">
        <v>18384491521</v>
      </c>
      <c r="N1428" s="2">
        <v>254762</v>
      </c>
      <c r="O1428" t="s">
        <v>21</v>
      </c>
    </row>
    <row r="1429" spans="1:15" x14ac:dyDescent="0.3">
      <c r="A1429" s="1">
        <v>45754</v>
      </c>
      <c r="B1429" s="4" t="s">
        <v>15</v>
      </c>
      <c r="C1429" s="4">
        <v>1352</v>
      </c>
      <c r="D1429" s="4">
        <v>1405.9</v>
      </c>
      <c r="E1429" s="4">
        <v>1307</v>
      </c>
      <c r="F1429" s="4">
        <v>1451.65</v>
      </c>
      <c r="G1429" s="4">
        <v>1404.9</v>
      </c>
      <c r="H1429" s="4">
        <v>1396.75</v>
      </c>
      <c r="I1429" s="4">
        <v>1365.23</v>
      </c>
      <c r="J1429" s="4">
        <v>2006.45</v>
      </c>
      <c r="K1429" s="4">
        <v>1307</v>
      </c>
      <c r="L1429" s="2">
        <v>21715252</v>
      </c>
      <c r="M1429" s="2">
        <v>29646233824.900002</v>
      </c>
      <c r="N1429" s="2">
        <v>445720</v>
      </c>
      <c r="O1429" t="s">
        <v>21</v>
      </c>
    </row>
    <row r="1430" spans="1:15" x14ac:dyDescent="0.3">
      <c r="A1430" s="1">
        <v>45751</v>
      </c>
      <c r="B1430" s="4" t="s">
        <v>15</v>
      </c>
      <c r="C1430" s="4">
        <v>1460.5</v>
      </c>
      <c r="D1430" s="4">
        <v>1472</v>
      </c>
      <c r="E1430" s="4">
        <v>1448</v>
      </c>
      <c r="F1430" s="4">
        <v>1496.5</v>
      </c>
      <c r="G1430" s="4">
        <v>1456.1</v>
      </c>
      <c r="H1430" s="4">
        <v>1451.65</v>
      </c>
      <c r="I1430" s="4">
        <v>1458.65</v>
      </c>
      <c r="J1430" s="4">
        <v>2006.45</v>
      </c>
      <c r="K1430" s="4">
        <v>1358.35</v>
      </c>
      <c r="L1430" s="2">
        <v>9590254</v>
      </c>
      <c r="M1430" s="2">
        <v>13988855633.450001</v>
      </c>
      <c r="N1430" s="2">
        <v>245192</v>
      </c>
      <c r="O1430" t="s">
        <v>21</v>
      </c>
    </row>
    <row r="1431" spans="1:15" x14ac:dyDescent="0.3">
      <c r="A1431" s="1">
        <v>45750</v>
      </c>
      <c r="B1431" s="4" t="s">
        <v>15</v>
      </c>
      <c r="C1431" s="4">
        <v>1534.65</v>
      </c>
      <c r="D1431" s="4">
        <v>1534.65</v>
      </c>
      <c r="E1431" s="4">
        <v>1485.05</v>
      </c>
      <c r="F1431" s="4">
        <v>1550.15</v>
      </c>
      <c r="G1431" s="4">
        <v>1495.8</v>
      </c>
      <c r="H1431" s="4">
        <v>1496.5</v>
      </c>
      <c r="I1431" s="4">
        <v>1499.79</v>
      </c>
      <c r="J1431" s="4">
        <v>2006.45</v>
      </c>
      <c r="K1431" s="4">
        <v>1358.35</v>
      </c>
      <c r="L1431" s="2">
        <v>10459504</v>
      </c>
      <c r="M1431" s="2">
        <v>15687069999.200001</v>
      </c>
      <c r="N1431" s="2">
        <v>390507</v>
      </c>
      <c r="O1431" t="s">
        <v>21</v>
      </c>
    </row>
    <row r="1432" spans="1:15" x14ac:dyDescent="0.3">
      <c r="A1432" s="1">
        <v>45749</v>
      </c>
      <c r="B1432" s="4" t="s">
        <v>15</v>
      </c>
      <c r="C1432" s="4">
        <v>1535.2</v>
      </c>
      <c r="D1432" s="4">
        <v>1555.65</v>
      </c>
      <c r="E1432" s="4">
        <v>1535.2</v>
      </c>
      <c r="F1432" s="4">
        <v>1526.5</v>
      </c>
      <c r="G1432" s="4">
        <v>1550</v>
      </c>
      <c r="H1432" s="4">
        <v>1550.15</v>
      </c>
      <c r="I1432" s="4">
        <v>1547.09</v>
      </c>
      <c r="J1432" s="4">
        <v>2006.45</v>
      </c>
      <c r="K1432" s="4">
        <v>1358.35</v>
      </c>
      <c r="L1432" s="2">
        <v>6193478</v>
      </c>
      <c r="M1432" s="2">
        <v>9581859877.3500004</v>
      </c>
      <c r="N1432" s="2">
        <v>183381</v>
      </c>
      <c r="O1432" t="s">
        <v>21</v>
      </c>
    </row>
    <row r="1433" spans="1:15" x14ac:dyDescent="0.3">
      <c r="A1433" s="1">
        <v>45748</v>
      </c>
      <c r="B1433" s="4" t="s">
        <v>15</v>
      </c>
      <c r="C1433" s="4">
        <v>1539.25</v>
      </c>
      <c r="D1433" s="4">
        <v>1547.4</v>
      </c>
      <c r="E1433" s="4">
        <v>1517.85</v>
      </c>
      <c r="F1433" s="4">
        <v>1570.65</v>
      </c>
      <c r="G1433" s="4">
        <v>1530.2</v>
      </c>
      <c r="H1433" s="4">
        <v>1526.5</v>
      </c>
      <c r="I1433" s="4">
        <v>1529.41</v>
      </c>
      <c r="J1433" s="4">
        <v>2006.45</v>
      </c>
      <c r="K1433" s="4">
        <v>1358.35</v>
      </c>
      <c r="L1433" s="2">
        <v>12680733</v>
      </c>
      <c r="M1433" s="2">
        <v>19394047386.75</v>
      </c>
      <c r="N1433" s="2">
        <v>328764</v>
      </c>
      <c r="O1433" t="s">
        <v>21</v>
      </c>
    </row>
    <row r="1434" spans="1:15" x14ac:dyDescent="0.3">
      <c r="A1434" s="1">
        <v>45744</v>
      </c>
      <c r="B1434" s="4" t="s">
        <v>15</v>
      </c>
      <c r="C1434" s="4">
        <v>1590</v>
      </c>
      <c r="D1434" s="4">
        <v>1598.45</v>
      </c>
      <c r="E1434" s="4">
        <v>1560</v>
      </c>
      <c r="F1434" s="4">
        <v>1603.55</v>
      </c>
      <c r="G1434" s="4">
        <v>1569</v>
      </c>
      <c r="H1434" s="4">
        <v>1570.65</v>
      </c>
      <c r="I1434" s="4">
        <v>1576.42</v>
      </c>
      <c r="J1434" s="4">
        <v>2006.45</v>
      </c>
      <c r="K1434" s="4">
        <v>1358.35</v>
      </c>
      <c r="L1434" s="2">
        <v>6799047</v>
      </c>
      <c r="M1434" s="2">
        <v>10718160396.85</v>
      </c>
      <c r="N1434" s="2">
        <v>217515</v>
      </c>
      <c r="O1434" t="s">
        <v>21</v>
      </c>
    </row>
    <row r="1435" spans="1:15" x14ac:dyDescent="0.3">
      <c r="A1435" s="1">
        <v>45743</v>
      </c>
      <c r="B1435" s="4" t="s">
        <v>15</v>
      </c>
      <c r="C1435" s="4">
        <v>1595.55</v>
      </c>
      <c r="D1435" s="4">
        <v>1619.95</v>
      </c>
      <c r="E1435" s="4">
        <v>1586</v>
      </c>
      <c r="F1435" s="4">
        <v>1599.45</v>
      </c>
      <c r="G1435" s="4">
        <v>1605</v>
      </c>
      <c r="H1435" s="4">
        <v>1603.55</v>
      </c>
      <c r="I1435" s="4">
        <v>1601.41</v>
      </c>
      <c r="J1435" s="4">
        <v>2006.45</v>
      </c>
      <c r="K1435" s="4">
        <v>1358.35</v>
      </c>
      <c r="L1435" s="2">
        <v>9426573</v>
      </c>
      <c r="M1435" s="2">
        <v>15095808795.9</v>
      </c>
      <c r="N1435" s="2">
        <v>201020</v>
      </c>
      <c r="O1435" t="s">
        <v>21</v>
      </c>
    </row>
    <row r="1436" spans="1:15" x14ac:dyDescent="0.3">
      <c r="A1436" s="1">
        <v>45742</v>
      </c>
      <c r="B1436" s="4" t="s">
        <v>15</v>
      </c>
      <c r="C1436" s="4">
        <v>1626</v>
      </c>
      <c r="D1436" s="4">
        <v>1637.75</v>
      </c>
      <c r="E1436" s="4">
        <v>1595</v>
      </c>
      <c r="F1436" s="4">
        <v>1628.45</v>
      </c>
      <c r="G1436" s="4">
        <v>1599</v>
      </c>
      <c r="H1436" s="4">
        <v>1599.45</v>
      </c>
      <c r="I1436" s="4">
        <v>1610.78</v>
      </c>
      <c r="J1436" s="4">
        <v>2006.45</v>
      </c>
      <c r="K1436" s="4">
        <v>1358.35</v>
      </c>
      <c r="L1436" s="2">
        <v>6651302</v>
      </c>
      <c r="M1436" s="2">
        <v>10713771940.1</v>
      </c>
      <c r="N1436" s="2">
        <v>222554</v>
      </c>
      <c r="O1436" t="s">
        <v>21</v>
      </c>
    </row>
    <row r="1437" spans="1:15" x14ac:dyDescent="0.3">
      <c r="A1437" s="1">
        <v>45741</v>
      </c>
      <c r="B1437" s="4" t="s">
        <v>15</v>
      </c>
      <c r="C1437" s="4">
        <v>1605</v>
      </c>
      <c r="D1437" s="4">
        <v>1636.15</v>
      </c>
      <c r="E1437" s="4">
        <v>1605</v>
      </c>
      <c r="F1437" s="4">
        <v>1592.75</v>
      </c>
      <c r="G1437" s="4">
        <v>1619.25</v>
      </c>
      <c r="H1437" s="4">
        <v>1628.45</v>
      </c>
      <c r="I1437" s="4">
        <v>1626.09</v>
      </c>
      <c r="J1437" s="4">
        <v>2006.45</v>
      </c>
      <c r="K1437" s="4">
        <v>1358.35</v>
      </c>
      <c r="L1437" s="2">
        <v>9890140</v>
      </c>
      <c r="M1437" s="2">
        <v>16082264118.35</v>
      </c>
      <c r="N1437" s="2">
        <v>266112</v>
      </c>
      <c r="O1437" t="s">
        <v>21</v>
      </c>
    </row>
    <row r="1438" spans="1:15" x14ac:dyDescent="0.3">
      <c r="A1438" s="1">
        <v>45740</v>
      </c>
      <c r="B1438" s="4" t="s">
        <v>15</v>
      </c>
      <c r="C1438" s="4">
        <v>1597.95</v>
      </c>
      <c r="D1438" s="4">
        <v>1607.1</v>
      </c>
      <c r="E1438" s="4">
        <v>1572.7</v>
      </c>
      <c r="F1438" s="4">
        <v>1592.55</v>
      </c>
      <c r="G1438" s="4">
        <v>1593.95</v>
      </c>
      <c r="H1438" s="4">
        <v>1592.75</v>
      </c>
      <c r="I1438" s="4">
        <v>1588.76</v>
      </c>
      <c r="J1438" s="4">
        <v>2006.45</v>
      </c>
      <c r="K1438" s="4">
        <v>1358.35</v>
      </c>
      <c r="L1438" s="2">
        <v>8857726</v>
      </c>
      <c r="M1438" s="2">
        <v>14072823625.15</v>
      </c>
      <c r="N1438" s="2">
        <v>250512</v>
      </c>
      <c r="O1438" t="s">
        <v>21</v>
      </c>
    </row>
    <row r="1439" spans="1:15" x14ac:dyDescent="0.3">
      <c r="A1439" s="1">
        <v>45737</v>
      </c>
      <c r="B1439" s="4" t="s">
        <v>15</v>
      </c>
      <c r="C1439" s="4">
        <v>1577.95</v>
      </c>
      <c r="D1439" s="4">
        <v>1603.9</v>
      </c>
      <c r="E1439" s="4">
        <v>1563.65</v>
      </c>
      <c r="F1439" s="4">
        <v>1615.55</v>
      </c>
      <c r="G1439" s="4">
        <v>1595.4</v>
      </c>
      <c r="H1439" s="4">
        <v>1592.55</v>
      </c>
      <c r="I1439" s="4">
        <v>1591.34</v>
      </c>
      <c r="J1439" s="4">
        <v>2006.45</v>
      </c>
      <c r="K1439" s="4">
        <v>1358.35</v>
      </c>
      <c r="L1439" s="2">
        <v>10074677</v>
      </c>
      <c r="M1439" s="2">
        <v>16032262527.35</v>
      </c>
      <c r="N1439" s="2">
        <v>241185</v>
      </c>
      <c r="O1439" t="s">
        <v>21</v>
      </c>
    </row>
    <row r="1440" spans="1:15" x14ac:dyDescent="0.3">
      <c r="A1440" s="1">
        <v>45736</v>
      </c>
      <c r="B1440" s="4" t="s">
        <v>15</v>
      </c>
      <c r="C1440" s="4">
        <v>1592</v>
      </c>
      <c r="D1440" s="4">
        <v>1631.9</v>
      </c>
      <c r="E1440" s="4">
        <v>1592</v>
      </c>
      <c r="F1440" s="4">
        <v>1586.55</v>
      </c>
      <c r="G1440" s="4">
        <v>1609.05</v>
      </c>
      <c r="H1440" s="4">
        <v>1615.55</v>
      </c>
      <c r="I1440" s="4">
        <v>1616.31</v>
      </c>
      <c r="J1440" s="4">
        <v>2006.45</v>
      </c>
      <c r="K1440" s="4">
        <v>1358.35</v>
      </c>
      <c r="L1440" s="2">
        <v>7186750</v>
      </c>
      <c r="M1440" s="2">
        <v>11616004800.299999</v>
      </c>
      <c r="N1440" s="2">
        <v>229276</v>
      </c>
      <c r="O1440" t="s">
        <v>21</v>
      </c>
    </row>
    <row r="1441" spans="1:15" x14ac:dyDescent="0.3">
      <c r="A1441" s="1">
        <v>45735</v>
      </c>
      <c r="B1441" s="4" t="s">
        <v>15</v>
      </c>
      <c r="C1441" s="4">
        <v>1603</v>
      </c>
      <c r="D1441" s="4">
        <v>1603</v>
      </c>
      <c r="E1441" s="4">
        <v>1572.8</v>
      </c>
      <c r="F1441" s="4">
        <v>1609.35</v>
      </c>
      <c r="G1441" s="4">
        <v>1589.1</v>
      </c>
      <c r="H1441" s="4">
        <v>1586.55</v>
      </c>
      <c r="I1441" s="4">
        <v>1583.14</v>
      </c>
      <c r="J1441" s="4">
        <v>2006.45</v>
      </c>
      <c r="K1441" s="4">
        <v>1358.35</v>
      </c>
      <c r="L1441" s="2">
        <v>7387068</v>
      </c>
      <c r="M1441" s="2">
        <v>11694751809.1</v>
      </c>
      <c r="N1441" s="2">
        <v>250311</v>
      </c>
      <c r="O1441" t="s">
        <v>21</v>
      </c>
    </row>
    <row r="1442" spans="1:15" x14ac:dyDescent="0.3">
      <c r="A1442" s="1">
        <v>45734</v>
      </c>
      <c r="B1442" s="4" t="s">
        <v>15</v>
      </c>
      <c r="C1442" s="4">
        <v>1597.65</v>
      </c>
      <c r="D1442" s="4">
        <v>1612.9</v>
      </c>
      <c r="E1442" s="4">
        <v>1582.35</v>
      </c>
      <c r="F1442" s="4">
        <v>1590.05</v>
      </c>
      <c r="G1442" s="4">
        <v>1608.2</v>
      </c>
      <c r="H1442" s="4">
        <v>1609.35</v>
      </c>
      <c r="I1442" s="4">
        <v>1602.43</v>
      </c>
      <c r="J1442" s="4">
        <v>2006.45</v>
      </c>
      <c r="K1442" s="4">
        <v>1358.35</v>
      </c>
      <c r="L1442" s="2">
        <v>6298054</v>
      </c>
      <c r="M1442" s="2">
        <v>10092166910.700001</v>
      </c>
      <c r="N1442" s="2">
        <v>157097</v>
      </c>
      <c r="O1442" t="s">
        <v>21</v>
      </c>
    </row>
    <row r="1443" spans="1:15" x14ac:dyDescent="0.3">
      <c r="A1443" s="1">
        <v>45733</v>
      </c>
      <c r="B1443" s="4" t="s">
        <v>15</v>
      </c>
      <c r="C1443" s="4">
        <v>1545.15</v>
      </c>
      <c r="D1443" s="4">
        <v>1594</v>
      </c>
      <c r="E1443" s="4">
        <v>1545.15</v>
      </c>
      <c r="F1443" s="4">
        <v>1579.85</v>
      </c>
      <c r="G1443" s="4">
        <v>1590</v>
      </c>
      <c r="H1443" s="4">
        <v>1590.05</v>
      </c>
      <c r="I1443" s="4">
        <v>1581.7</v>
      </c>
      <c r="J1443" s="4">
        <v>2006.45</v>
      </c>
      <c r="K1443" s="4">
        <v>1358.35</v>
      </c>
      <c r="L1443" s="2">
        <v>7526032</v>
      </c>
      <c r="M1443" s="2">
        <v>11903959172.65</v>
      </c>
      <c r="N1443" s="2">
        <v>220262</v>
      </c>
      <c r="O1443" t="s">
        <v>21</v>
      </c>
    </row>
    <row r="1444" spans="1:15" x14ac:dyDescent="0.3">
      <c r="A1444" s="1">
        <v>45729</v>
      </c>
      <c r="B1444" s="4" t="s">
        <v>15</v>
      </c>
      <c r="C1444" s="4">
        <v>1599.25</v>
      </c>
      <c r="D1444" s="4">
        <v>1606.05</v>
      </c>
      <c r="E1444" s="4">
        <v>1570.3</v>
      </c>
      <c r="F1444" s="4">
        <v>1590.85</v>
      </c>
      <c r="G1444" s="4">
        <v>1579</v>
      </c>
      <c r="H1444" s="4">
        <v>1579.85</v>
      </c>
      <c r="I1444" s="4">
        <v>1582.31</v>
      </c>
      <c r="J1444" s="4">
        <v>2006.45</v>
      </c>
      <c r="K1444" s="4">
        <v>1358.35</v>
      </c>
      <c r="L1444" s="2">
        <v>7822888</v>
      </c>
      <c r="M1444" s="2">
        <v>12378247563.85</v>
      </c>
      <c r="N1444" s="2">
        <v>258464</v>
      </c>
      <c r="O1444" t="s">
        <v>21</v>
      </c>
    </row>
    <row r="1445" spans="1:15" x14ac:dyDescent="0.3">
      <c r="A1445" s="1">
        <v>45728</v>
      </c>
      <c r="B1445" s="4" t="s">
        <v>15</v>
      </c>
      <c r="C1445" s="4">
        <v>1636.9</v>
      </c>
      <c r="D1445" s="4">
        <v>1636.9</v>
      </c>
      <c r="E1445" s="4">
        <v>1563.8</v>
      </c>
      <c r="F1445" s="4">
        <v>1661.6</v>
      </c>
      <c r="G1445" s="4">
        <v>1590.05</v>
      </c>
      <c r="H1445" s="4">
        <v>1590.85</v>
      </c>
      <c r="I1445" s="4">
        <v>1586.51</v>
      </c>
      <c r="J1445" s="4">
        <v>2006.45</v>
      </c>
      <c r="K1445" s="4">
        <v>1358.35</v>
      </c>
      <c r="L1445" s="2">
        <v>14870008</v>
      </c>
      <c r="M1445" s="2">
        <v>23591364599.5</v>
      </c>
      <c r="N1445" s="2">
        <v>491121</v>
      </c>
      <c r="O1445" t="s">
        <v>21</v>
      </c>
    </row>
    <row r="1446" spans="1:15" x14ac:dyDescent="0.3">
      <c r="A1446" s="1">
        <v>45727</v>
      </c>
      <c r="B1446" s="4" t="s">
        <v>15</v>
      </c>
      <c r="C1446" s="4">
        <v>1680</v>
      </c>
      <c r="D1446" s="4">
        <v>1680</v>
      </c>
      <c r="E1446" s="4">
        <v>1637.05</v>
      </c>
      <c r="F1446" s="4">
        <v>1701.45</v>
      </c>
      <c r="G1446" s="4">
        <v>1667</v>
      </c>
      <c r="H1446" s="4">
        <v>1661.6</v>
      </c>
      <c r="I1446" s="4">
        <v>1655.07</v>
      </c>
      <c r="J1446" s="4">
        <v>2006.45</v>
      </c>
      <c r="K1446" s="4">
        <v>1358.35</v>
      </c>
      <c r="L1446" s="2">
        <v>12671234</v>
      </c>
      <c r="M1446" s="2">
        <v>20971794102.349998</v>
      </c>
      <c r="N1446" s="2">
        <v>259181</v>
      </c>
      <c r="O1446" t="s">
        <v>21</v>
      </c>
    </row>
    <row r="1447" spans="1:15" x14ac:dyDescent="0.3">
      <c r="A1447" s="1">
        <v>45726</v>
      </c>
      <c r="B1447" s="4" t="s">
        <v>15</v>
      </c>
      <c r="C1447" s="4">
        <v>1686</v>
      </c>
      <c r="D1447" s="4">
        <v>1719</v>
      </c>
      <c r="E1447" s="4">
        <v>1676.2</v>
      </c>
      <c r="F1447" s="4">
        <v>1686</v>
      </c>
      <c r="G1447" s="4">
        <v>1700.05</v>
      </c>
      <c r="H1447" s="4">
        <v>1701.45</v>
      </c>
      <c r="I1447" s="4">
        <v>1703.14</v>
      </c>
      <c r="J1447" s="4">
        <v>2006.45</v>
      </c>
      <c r="K1447" s="4">
        <v>1358.35</v>
      </c>
      <c r="L1447" s="2">
        <v>7558981</v>
      </c>
      <c r="M1447" s="2">
        <v>12874009178</v>
      </c>
      <c r="N1447" s="2">
        <v>184536</v>
      </c>
      <c r="O1447" t="s">
        <v>21</v>
      </c>
    </row>
    <row r="1448" spans="1:15" x14ac:dyDescent="0.3">
      <c r="A1448" s="1">
        <v>45723</v>
      </c>
      <c r="B1448" s="4" t="s">
        <v>15</v>
      </c>
      <c r="C1448" s="4">
        <v>1703.1</v>
      </c>
      <c r="D1448" s="4">
        <v>1705</v>
      </c>
      <c r="E1448" s="4">
        <v>1675.5</v>
      </c>
      <c r="F1448" s="4">
        <v>1715.85</v>
      </c>
      <c r="G1448" s="4">
        <v>1685</v>
      </c>
      <c r="H1448" s="4">
        <v>1686</v>
      </c>
      <c r="I1448" s="4">
        <v>1686.32</v>
      </c>
      <c r="J1448" s="4">
        <v>2006.45</v>
      </c>
      <c r="K1448" s="4">
        <v>1358.35</v>
      </c>
      <c r="L1448" s="2">
        <v>8019331</v>
      </c>
      <c r="M1448" s="2">
        <v>13523183544.049999</v>
      </c>
      <c r="N1448" s="2">
        <v>234031</v>
      </c>
      <c r="O1448" t="s">
        <v>21</v>
      </c>
    </row>
    <row r="1449" spans="1:15" x14ac:dyDescent="0.3">
      <c r="A1449" s="1">
        <v>45722</v>
      </c>
      <c r="B1449" s="4" t="s">
        <v>15</v>
      </c>
      <c r="C1449" s="4">
        <v>1715</v>
      </c>
      <c r="D1449" s="4">
        <v>1722.3</v>
      </c>
      <c r="E1449" s="4">
        <v>1691.1</v>
      </c>
      <c r="F1449" s="4">
        <v>1711.5</v>
      </c>
      <c r="G1449" s="4">
        <v>1712</v>
      </c>
      <c r="H1449" s="4">
        <v>1715.85</v>
      </c>
      <c r="I1449" s="4">
        <v>1709.66</v>
      </c>
      <c r="J1449" s="4">
        <v>2006.45</v>
      </c>
      <c r="K1449" s="4">
        <v>1358.35</v>
      </c>
      <c r="L1449" s="2">
        <v>10610547</v>
      </c>
      <c r="M1449" s="2">
        <v>18140399842.700001</v>
      </c>
      <c r="N1449" s="2">
        <v>236281</v>
      </c>
      <c r="O1449" t="s">
        <v>21</v>
      </c>
    </row>
    <row r="1450" spans="1:15" x14ac:dyDescent="0.3">
      <c r="A1450" s="1">
        <v>45721</v>
      </c>
      <c r="B1450" s="4" t="s">
        <v>15</v>
      </c>
      <c r="C1450" s="4">
        <v>1692.45</v>
      </c>
      <c r="D1450" s="4">
        <v>1732.95</v>
      </c>
      <c r="E1450" s="4">
        <v>1692.45</v>
      </c>
      <c r="F1450" s="4">
        <v>1688.3</v>
      </c>
      <c r="G1450" s="4">
        <v>1707</v>
      </c>
      <c r="H1450" s="4">
        <v>1711.5</v>
      </c>
      <c r="I1450" s="4">
        <v>1714.51</v>
      </c>
      <c r="J1450" s="4">
        <v>2006.45</v>
      </c>
      <c r="K1450" s="4">
        <v>1358.35</v>
      </c>
      <c r="L1450" s="2">
        <v>8180782</v>
      </c>
      <c r="M1450" s="2">
        <v>14026024448.6</v>
      </c>
      <c r="N1450" s="2">
        <v>184308</v>
      </c>
      <c r="O1450" t="s">
        <v>21</v>
      </c>
    </row>
    <row r="1451" spans="1:15" x14ac:dyDescent="0.3">
      <c r="A1451" s="1">
        <v>45720</v>
      </c>
      <c r="B1451" s="4" t="s">
        <v>15</v>
      </c>
      <c r="C1451" s="4">
        <v>1695</v>
      </c>
      <c r="D1451" s="4">
        <v>1699</v>
      </c>
      <c r="E1451" s="4">
        <v>1670</v>
      </c>
      <c r="F1451" s="4">
        <v>1708.6</v>
      </c>
      <c r="G1451" s="4">
        <v>1684</v>
      </c>
      <c r="H1451" s="4">
        <v>1688.3</v>
      </c>
      <c r="I1451" s="4">
        <v>1686.14</v>
      </c>
      <c r="J1451" s="4">
        <v>2006.45</v>
      </c>
      <c r="K1451" s="4">
        <v>1358.35</v>
      </c>
      <c r="L1451" s="2">
        <v>6759673</v>
      </c>
      <c r="M1451" s="2">
        <v>11397744323.6</v>
      </c>
      <c r="N1451" s="2">
        <v>244487</v>
      </c>
      <c r="O1451" t="s">
        <v>21</v>
      </c>
    </row>
    <row r="1452" spans="1:15" x14ac:dyDescent="0.3">
      <c r="A1452" s="1">
        <v>45719</v>
      </c>
      <c r="B1452" s="4" t="s">
        <v>15</v>
      </c>
      <c r="C1452" s="4">
        <v>1692.3</v>
      </c>
      <c r="D1452" s="4">
        <v>1728.6</v>
      </c>
      <c r="E1452" s="4">
        <v>1692.3</v>
      </c>
      <c r="F1452" s="4">
        <v>1687.7</v>
      </c>
      <c r="G1452" s="4">
        <v>1711</v>
      </c>
      <c r="H1452" s="4">
        <v>1708.6</v>
      </c>
      <c r="I1452" s="4">
        <v>1711.06</v>
      </c>
      <c r="J1452" s="4">
        <v>2006.45</v>
      </c>
      <c r="K1452" s="4">
        <v>1358.35</v>
      </c>
      <c r="L1452" s="2">
        <v>7504969</v>
      </c>
      <c r="M1452" s="2">
        <v>12841455573.450001</v>
      </c>
      <c r="N1452" s="2">
        <v>286660</v>
      </c>
      <c r="O1452" t="s">
        <v>21</v>
      </c>
    </row>
    <row r="1453" spans="1:15" x14ac:dyDescent="0.3">
      <c r="A1453" s="1">
        <v>45716</v>
      </c>
      <c r="B1453" s="4" t="s">
        <v>15</v>
      </c>
      <c r="C1453" s="4">
        <v>1755.05</v>
      </c>
      <c r="D1453" s="4">
        <v>1755.1</v>
      </c>
      <c r="E1453" s="4">
        <v>1682.45</v>
      </c>
      <c r="F1453" s="4">
        <v>1764.3</v>
      </c>
      <c r="G1453" s="4">
        <v>1693</v>
      </c>
      <c r="H1453" s="4">
        <v>1687.7</v>
      </c>
      <c r="I1453" s="4">
        <v>1694.54</v>
      </c>
      <c r="J1453" s="4">
        <v>2006.45</v>
      </c>
      <c r="K1453" s="4">
        <v>1358.35</v>
      </c>
      <c r="L1453" s="2">
        <v>12182167</v>
      </c>
      <c r="M1453" s="2">
        <v>20643137452.849998</v>
      </c>
      <c r="N1453" s="2">
        <v>460200</v>
      </c>
      <c r="O1453" t="s">
        <v>21</v>
      </c>
    </row>
    <row r="1454" spans="1:15" x14ac:dyDescent="0.3">
      <c r="A1454" s="1">
        <v>45715</v>
      </c>
      <c r="B1454" s="4" t="s">
        <v>15</v>
      </c>
      <c r="C1454" s="4">
        <v>1755.2</v>
      </c>
      <c r="D1454" s="4">
        <v>1775.85</v>
      </c>
      <c r="E1454" s="4">
        <v>1751.1</v>
      </c>
      <c r="F1454" s="4">
        <v>1767.7</v>
      </c>
      <c r="G1454" s="4">
        <v>1763</v>
      </c>
      <c r="H1454" s="4">
        <v>1764.3</v>
      </c>
      <c r="I1454" s="4">
        <v>1763.43</v>
      </c>
      <c r="J1454" s="4">
        <v>2006.45</v>
      </c>
      <c r="K1454" s="4">
        <v>1358.35</v>
      </c>
      <c r="L1454" s="2">
        <v>5757079</v>
      </c>
      <c r="M1454" s="2">
        <v>10152184052.299999</v>
      </c>
      <c r="N1454" s="2">
        <v>168385</v>
      </c>
      <c r="O1454" t="s">
        <v>21</v>
      </c>
    </row>
    <row r="1455" spans="1:15" x14ac:dyDescent="0.3">
      <c r="A1455" s="1">
        <v>45713</v>
      </c>
      <c r="B1455" s="4" t="s">
        <v>15</v>
      </c>
      <c r="C1455" s="4">
        <v>1745.15</v>
      </c>
      <c r="D1455" s="4">
        <v>1778.45</v>
      </c>
      <c r="E1455" s="4">
        <v>1745.15</v>
      </c>
      <c r="F1455" s="4">
        <v>1764.1</v>
      </c>
      <c r="G1455" s="4">
        <v>1766.75</v>
      </c>
      <c r="H1455" s="4">
        <v>1767.7</v>
      </c>
      <c r="I1455" s="4">
        <v>1766.12</v>
      </c>
      <c r="J1455" s="4">
        <v>2006.45</v>
      </c>
      <c r="K1455" s="4">
        <v>1358.35</v>
      </c>
      <c r="L1455" s="2">
        <v>5092963</v>
      </c>
      <c r="M1455" s="2">
        <v>8994761660.1499996</v>
      </c>
      <c r="N1455" s="2">
        <v>192822</v>
      </c>
      <c r="O1455" t="s">
        <v>21</v>
      </c>
    </row>
    <row r="1456" spans="1:15" x14ac:dyDescent="0.3">
      <c r="A1456" s="1">
        <v>45712</v>
      </c>
      <c r="B1456" s="4" t="s">
        <v>15</v>
      </c>
      <c r="C1456" s="4">
        <v>1800.05</v>
      </c>
      <c r="D1456" s="4">
        <v>1808</v>
      </c>
      <c r="E1456" s="4">
        <v>1750.25</v>
      </c>
      <c r="F1456" s="4">
        <v>1815</v>
      </c>
      <c r="G1456" s="4">
        <v>1763</v>
      </c>
      <c r="H1456" s="4">
        <v>1764.1</v>
      </c>
      <c r="I1456" s="4">
        <v>1766.73</v>
      </c>
      <c r="J1456" s="4">
        <v>2006.45</v>
      </c>
      <c r="K1456" s="4">
        <v>1358.35</v>
      </c>
      <c r="L1456" s="2">
        <v>7594720</v>
      </c>
      <c r="M1456" s="2">
        <v>13417827673.25</v>
      </c>
      <c r="N1456" s="2">
        <v>362392</v>
      </c>
      <c r="O1456" t="s">
        <v>21</v>
      </c>
    </row>
    <row r="1457" spans="1:15" x14ac:dyDescent="0.3">
      <c r="A1457" s="1">
        <v>45709</v>
      </c>
      <c r="B1457" s="4" t="s">
        <v>15</v>
      </c>
      <c r="C1457" s="4">
        <v>1821.8</v>
      </c>
      <c r="D1457" s="4">
        <v>1829.85</v>
      </c>
      <c r="E1457" s="4">
        <v>1806.2</v>
      </c>
      <c r="F1457" s="4">
        <v>1825.15</v>
      </c>
      <c r="G1457" s="4">
        <v>1815</v>
      </c>
      <c r="H1457" s="4">
        <v>1815</v>
      </c>
      <c r="I1457" s="4">
        <v>1817.56</v>
      </c>
      <c r="J1457" s="4">
        <v>2006.45</v>
      </c>
      <c r="K1457" s="4">
        <v>1358.35</v>
      </c>
      <c r="L1457" s="2">
        <v>3379879</v>
      </c>
      <c r="M1457" s="2">
        <v>6143129066.3500004</v>
      </c>
      <c r="N1457" s="2">
        <v>101664</v>
      </c>
      <c r="O1457" t="s">
        <v>21</v>
      </c>
    </row>
    <row r="1458" spans="1:15" x14ac:dyDescent="0.3">
      <c r="A1458" s="1">
        <v>45708</v>
      </c>
      <c r="B1458" s="4" t="s">
        <v>15</v>
      </c>
      <c r="C1458" s="4">
        <v>1805.55</v>
      </c>
      <c r="D1458" s="4">
        <v>1831</v>
      </c>
      <c r="E1458" s="4">
        <v>1805.55</v>
      </c>
      <c r="F1458" s="4">
        <v>1810.8</v>
      </c>
      <c r="G1458" s="4">
        <v>1826</v>
      </c>
      <c r="H1458" s="4">
        <v>1825.15</v>
      </c>
      <c r="I1458" s="4">
        <v>1822.29</v>
      </c>
      <c r="J1458" s="4">
        <v>2006.45</v>
      </c>
      <c r="K1458" s="4">
        <v>1358.35</v>
      </c>
      <c r="L1458" s="2">
        <v>2218020</v>
      </c>
      <c r="M1458" s="2">
        <v>4041874473.4000001</v>
      </c>
      <c r="N1458" s="2">
        <v>116360</v>
      </c>
      <c r="O1458" t="s">
        <v>21</v>
      </c>
    </row>
    <row r="1459" spans="1:15" x14ac:dyDescent="0.3">
      <c r="A1459" s="1">
        <v>45707</v>
      </c>
      <c r="B1459" s="4" t="s">
        <v>15</v>
      </c>
      <c r="C1459" s="4">
        <v>1847.4</v>
      </c>
      <c r="D1459" s="4">
        <v>1849.2</v>
      </c>
      <c r="E1459" s="4">
        <v>1805.9</v>
      </c>
      <c r="F1459" s="4">
        <v>1851.95</v>
      </c>
      <c r="G1459" s="4">
        <v>1810.85</v>
      </c>
      <c r="H1459" s="4">
        <v>1810.8</v>
      </c>
      <c r="I1459" s="4">
        <v>1820.83</v>
      </c>
      <c r="J1459" s="4">
        <v>2006.45</v>
      </c>
      <c r="K1459" s="4">
        <v>1358.35</v>
      </c>
      <c r="L1459" s="2">
        <v>4611411</v>
      </c>
      <c r="M1459" s="2">
        <v>8396592012.1999998</v>
      </c>
      <c r="N1459" s="2">
        <v>214412</v>
      </c>
      <c r="O1459" t="s">
        <v>21</v>
      </c>
    </row>
    <row r="1460" spans="1:15" x14ac:dyDescent="0.3">
      <c r="A1460" s="1">
        <v>45706</v>
      </c>
      <c r="B1460" s="4" t="s">
        <v>15</v>
      </c>
      <c r="C1460" s="4">
        <v>1842.3</v>
      </c>
      <c r="D1460" s="4">
        <v>1861.65</v>
      </c>
      <c r="E1460" s="4">
        <v>1837.6</v>
      </c>
      <c r="F1460" s="4">
        <v>1842.3</v>
      </c>
      <c r="G1460" s="4">
        <v>1848</v>
      </c>
      <c r="H1460" s="4">
        <v>1851.95</v>
      </c>
      <c r="I1460" s="4">
        <v>1848.81</v>
      </c>
      <c r="J1460" s="4">
        <v>2006.45</v>
      </c>
      <c r="K1460" s="4">
        <v>1358.35</v>
      </c>
      <c r="L1460" s="2">
        <v>4365260</v>
      </c>
      <c r="M1460" s="2">
        <v>8070546827.0500002</v>
      </c>
      <c r="N1460" s="2">
        <v>100362</v>
      </c>
      <c r="O1460" t="s">
        <v>21</v>
      </c>
    </row>
    <row r="1461" spans="1:15" x14ac:dyDescent="0.3">
      <c r="A1461" s="1">
        <v>45705</v>
      </c>
      <c r="B1461" s="4" t="s">
        <v>15</v>
      </c>
      <c r="C1461" s="4">
        <v>1838.55</v>
      </c>
      <c r="D1461" s="4">
        <v>1852.75</v>
      </c>
      <c r="E1461" s="4">
        <v>1822.15</v>
      </c>
      <c r="F1461" s="4">
        <v>1856.4</v>
      </c>
      <c r="G1461" s="4">
        <v>1843.05</v>
      </c>
      <c r="H1461" s="4">
        <v>1842.3</v>
      </c>
      <c r="I1461" s="4">
        <v>1838.63</v>
      </c>
      <c r="J1461" s="4">
        <v>2006.45</v>
      </c>
      <c r="K1461" s="4">
        <v>1358.35</v>
      </c>
      <c r="L1461" s="2">
        <v>4428956</v>
      </c>
      <c r="M1461" s="2">
        <v>8143213452.3000002</v>
      </c>
      <c r="N1461" s="2">
        <v>149656</v>
      </c>
      <c r="O1461" t="s">
        <v>21</v>
      </c>
    </row>
    <row r="1462" spans="1:15" x14ac:dyDescent="0.3">
      <c r="A1462" s="1">
        <v>45702</v>
      </c>
      <c r="B1462" s="4" t="s">
        <v>15</v>
      </c>
      <c r="C1462" s="4">
        <v>1854</v>
      </c>
      <c r="D1462" s="4">
        <v>1859.3</v>
      </c>
      <c r="E1462" s="4">
        <v>1828.35</v>
      </c>
      <c r="F1462" s="4">
        <v>1843.25</v>
      </c>
      <c r="G1462" s="4">
        <v>1853</v>
      </c>
      <c r="H1462" s="4">
        <v>1856.4</v>
      </c>
      <c r="I1462" s="4">
        <v>1845.06</v>
      </c>
      <c r="J1462" s="4">
        <v>2006.45</v>
      </c>
      <c r="K1462" s="4">
        <v>1358.35</v>
      </c>
      <c r="L1462" s="2">
        <v>5292961</v>
      </c>
      <c r="M1462" s="2">
        <v>9765818737.5499992</v>
      </c>
      <c r="N1462" s="2">
        <v>179989</v>
      </c>
      <c r="O1462" t="s">
        <v>21</v>
      </c>
    </row>
    <row r="1463" spans="1:15" x14ac:dyDescent="0.3">
      <c r="A1463" s="1">
        <v>45701</v>
      </c>
      <c r="B1463" s="4" t="s">
        <v>15</v>
      </c>
      <c r="C1463" s="4">
        <v>1868.5</v>
      </c>
      <c r="D1463" s="4">
        <v>1873.5</v>
      </c>
      <c r="E1463" s="4">
        <v>1835.65</v>
      </c>
      <c r="F1463" s="4">
        <v>1863.15</v>
      </c>
      <c r="G1463" s="4">
        <v>1840.65</v>
      </c>
      <c r="H1463" s="4">
        <v>1843.25</v>
      </c>
      <c r="I1463" s="4">
        <v>1851.21</v>
      </c>
      <c r="J1463" s="4">
        <v>2006.45</v>
      </c>
      <c r="K1463" s="4">
        <v>1358.35</v>
      </c>
      <c r="L1463" s="2">
        <v>5237744</v>
      </c>
      <c r="M1463" s="2">
        <v>9696150378.6499996</v>
      </c>
      <c r="N1463" s="2">
        <v>192119</v>
      </c>
      <c r="O1463" t="s">
        <v>21</v>
      </c>
    </row>
    <row r="1464" spans="1:15" x14ac:dyDescent="0.3">
      <c r="A1464" s="1">
        <v>45700</v>
      </c>
      <c r="B1464" s="4" t="s">
        <v>15</v>
      </c>
      <c r="C1464" s="4">
        <v>1885</v>
      </c>
      <c r="D1464" s="4">
        <v>1894.6</v>
      </c>
      <c r="E1464" s="4">
        <v>1847</v>
      </c>
      <c r="F1464" s="4">
        <v>1875.65</v>
      </c>
      <c r="G1464" s="4">
        <v>1864</v>
      </c>
      <c r="H1464" s="4">
        <v>1863.15</v>
      </c>
      <c r="I1464" s="4">
        <v>1866.72</v>
      </c>
      <c r="J1464" s="4">
        <v>2006.45</v>
      </c>
      <c r="K1464" s="4">
        <v>1358.35</v>
      </c>
      <c r="L1464" s="2">
        <v>5633947</v>
      </c>
      <c r="M1464" s="2">
        <v>10516984029.1</v>
      </c>
      <c r="N1464" s="2">
        <v>222006</v>
      </c>
      <c r="O1464" t="s">
        <v>21</v>
      </c>
    </row>
    <row r="1465" spans="1:15" x14ac:dyDescent="0.3">
      <c r="A1465" s="1">
        <v>45699</v>
      </c>
      <c r="B1465" s="4" t="s">
        <v>15</v>
      </c>
      <c r="C1465" s="4">
        <v>1883.1</v>
      </c>
      <c r="D1465" s="4">
        <v>1903</v>
      </c>
      <c r="E1465" s="4">
        <v>1870</v>
      </c>
      <c r="F1465" s="4">
        <v>1880.3</v>
      </c>
      <c r="G1465" s="4">
        <v>1879</v>
      </c>
      <c r="H1465" s="4">
        <v>1875.65</v>
      </c>
      <c r="I1465" s="4">
        <v>1883.68</v>
      </c>
      <c r="J1465" s="4">
        <v>2006.45</v>
      </c>
      <c r="K1465" s="4">
        <v>1358.35</v>
      </c>
      <c r="L1465" s="2">
        <v>4411601</v>
      </c>
      <c r="M1465" s="2">
        <v>8310066406.3000002</v>
      </c>
      <c r="N1465" s="2">
        <v>160934</v>
      </c>
      <c r="O1465" t="s">
        <v>21</v>
      </c>
    </row>
    <row r="1466" spans="1:15" x14ac:dyDescent="0.3">
      <c r="A1466" s="1">
        <v>45698</v>
      </c>
      <c r="B1466" s="4" t="s">
        <v>15</v>
      </c>
      <c r="C1466" s="4">
        <v>1905</v>
      </c>
      <c r="D1466" s="4">
        <v>1905</v>
      </c>
      <c r="E1466" s="4">
        <v>1878.6</v>
      </c>
      <c r="F1466" s="4">
        <v>1903.65</v>
      </c>
      <c r="G1466" s="4">
        <v>1880</v>
      </c>
      <c r="H1466" s="4">
        <v>1880.3</v>
      </c>
      <c r="I1466" s="4">
        <v>1885.89</v>
      </c>
      <c r="J1466" s="4">
        <v>2006.45</v>
      </c>
      <c r="K1466" s="4">
        <v>1358.35</v>
      </c>
      <c r="L1466" s="2">
        <v>3828734</v>
      </c>
      <c r="M1466" s="2">
        <v>7220570924.25</v>
      </c>
      <c r="N1466" s="2">
        <v>151607</v>
      </c>
      <c r="O1466" t="s">
        <v>21</v>
      </c>
    </row>
    <row r="1467" spans="1:15" x14ac:dyDescent="0.3">
      <c r="A1467" s="1">
        <v>45695</v>
      </c>
      <c r="B1467" s="4" t="s">
        <v>15</v>
      </c>
      <c r="C1467" s="4">
        <v>1919.3</v>
      </c>
      <c r="D1467" s="4">
        <v>1923.7</v>
      </c>
      <c r="E1467" s="4">
        <v>1889.45</v>
      </c>
      <c r="F1467" s="4">
        <v>1915.65</v>
      </c>
      <c r="G1467" s="4">
        <v>1901.1</v>
      </c>
      <c r="H1467" s="4">
        <v>1903.65</v>
      </c>
      <c r="I1467" s="4">
        <v>1902.44</v>
      </c>
      <c r="J1467" s="4">
        <v>2006.45</v>
      </c>
      <c r="K1467" s="4">
        <v>1358.35</v>
      </c>
      <c r="L1467" s="2">
        <v>4126260</v>
      </c>
      <c r="M1467" s="2">
        <v>7849962358.0500002</v>
      </c>
      <c r="N1467" s="2">
        <v>155494</v>
      </c>
      <c r="O1467" t="s">
        <v>21</v>
      </c>
    </row>
    <row r="1468" spans="1:15" x14ac:dyDescent="0.3">
      <c r="A1468" s="1">
        <v>45694</v>
      </c>
      <c r="B1468" s="4" t="s">
        <v>15</v>
      </c>
      <c r="C1468" s="4">
        <v>1917</v>
      </c>
      <c r="D1468" s="4">
        <v>1924</v>
      </c>
      <c r="E1468" s="4">
        <v>1900</v>
      </c>
      <c r="F1468" s="4">
        <v>1897.05</v>
      </c>
      <c r="G1468" s="4">
        <v>1913.75</v>
      </c>
      <c r="H1468" s="4">
        <v>1915.65</v>
      </c>
      <c r="I1468" s="4">
        <v>1910.66</v>
      </c>
      <c r="J1468" s="4">
        <v>2006.45</v>
      </c>
      <c r="K1468" s="4">
        <v>1358.35</v>
      </c>
      <c r="L1468" s="2">
        <v>4765255</v>
      </c>
      <c r="M1468" s="2">
        <v>9104791357.3999996</v>
      </c>
      <c r="N1468" s="2">
        <v>151924</v>
      </c>
      <c r="O1468" t="s">
        <v>21</v>
      </c>
    </row>
    <row r="1469" spans="1:15" x14ac:dyDescent="0.3">
      <c r="A1469" s="1">
        <v>45693</v>
      </c>
      <c r="B1469" s="4" t="s">
        <v>15</v>
      </c>
      <c r="C1469" s="4">
        <v>1906</v>
      </c>
      <c r="D1469" s="4">
        <v>1919.7</v>
      </c>
      <c r="E1469" s="4">
        <v>1894.3</v>
      </c>
      <c r="F1469" s="4">
        <v>1898.8</v>
      </c>
      <c r="G1469" s="4">
        <v>1899.15</v>
      </c>
      <c r="H1469" s="4">
        <v>1897.05</v>
      </c>
      <c r="I1469" s="4">
        <v>1901.79</v>
      </c>
      <c r="J1469" s="4">
        <v>2006.45</v>
      </c>
      <c r="K1469" s="4">
        <v>1358.35</v>
      </c>
      <c r="L1469" s="2">
        <v>4996744</v>
      </c>
      <c r="M1469" s="2">
        <v>9502754311.3500004</v>
      </c>
      <c r="N1469" s="2">
        <v>170651</v>
      </c>
      <c r="O1469" t="s">
        <v>21</v>
      </c>
    </row>
    <row r="1470" spans="1:15" x14ac:dyDescent="0.3">
      <c r="A1470" s="1">
        <v>45692</v>
      </c>
      <c r="B1470" s="4" t="s">
        <v>15</v>
      </c>
      <c r="C1470" s="4">
        <v>1889</v>
      </c>
      <c r="D1470" s="4">
        <v>1911.2</v>
      </c>
      <c r="E1470" s="4">
        <v>1875</v>
      </c>
      <c r="F1470" s="4">
        <v>1863.3</v>
      </c>
      <c r="G1470" s="4">
        <v>1894.85</v>
      </c>
      <c r="H1470" s="4">
        <v>1898.8</v>
      </c>
      <c r="I1470" s="4">
        <v>1892.32</v>
      </c>
      <c r="J1470" s="4">
        <v>2006.45</v>
      </c>
      <c r="K1470" s="4">
        <v>1358.35</v>
      </c>
      <c r="L1470" s="2">
        <v>7334787</v>
      </c>
      <c r="M1470" s="2">
        <v>13879756408.549999</v>
      </c>
      <c r="N1470" s="2">
        <v>254137</v>
      </c>
      <c r="O1470" t="s">
        <v>21</v>
      </c>
    </row>
    <row r="1471" spans="1:15" x14ac:dyDescent="0.3">
      <c r="A1471" s="1">
        <v>45691</v>
      </c>
      <c r="B1471" s="4" t="s">
        <v>15</v>
      </c>
      <c r="C1471" s="4">
        <v>1836</v>
      </c>
      <c r="D1471" s="4">
        <v>1876.55</v>
      </c>
      <c r="E1471" s="4">
        <v>1832.4</v>
      </c>
      <c r="F1471" s="4">
        <v>1851.35</v>
      </c>
      <c r="G1471" s="4">
        <v>1864.1</v>
      </c>
      <c r="H1471" s="4">
        <v>1863.3</v>
      </c>
      <c r="I1471" s="4">
        <v>1858.62</v>
      </c>
      <c r="J1471" s="4">
        <v>2006.45</v>
      </c>
      <c r="K1471" s="4">
        <v>1358.35</v>
      </c>
      <c r="L1471" s="2">
        <v>4823228</v>
      </c>
      <c r="M1471" s="2">
        <v>8964553565.3999996</v>
      </c>
      <c r="N1471" s="2">
        <v>177156</v>
      </c>
      <c r="O1471" t="s">
        <v>21</v>
      </c>
    </row>
    <row r="1472" spans="1:15" x14ac:dyDescent="0.3">
      <c r="A1472" s="1">
        <v>45689</v>
      </c>
      <c r="B1472" s="4" t="s">
        <v>15</v>
      </c>
      <c r="C1472" s="4">
        <v>1880.3</v>
      </c>
      <c r="D1472" s="4">
        <v>1890.6</v>
      </c>
      <c r="E1472" s="4">
        <v>1846</v>
      </c>
      <c r="F1472" s="4">
        <v>1879.8</v>
      </c>
      <c r="G1472" s="4">
        <v>1863</v>
      </c>
      <c r="H1472" s="4">
        <v>1851.35</v>
      </c>
      <c r="I1472" s="4">
        <v>1862.44</v>
      </c>
      <c r="J1472" s="4">
        <v>2006.45</v>
      </c>
      <c r="K1472" s="4">
        <v>1358.35</v>
      </c>
      <c r="L1472" s="2">
        <v>1701402</v>
      </c>
      <c r="M1472" s="2">
        <v>3168763954</v>
      </c>
      <c r="N1472" s="2">
        <v>70335</v>
      </c>
      <c r="O1472" t="s">
        <v>21</v>
      </c>
    </row>
    <row r="1473" spans="1:15" x14ac:dyDescent="0.3">
      <c r="A1473" s="1">
        <v>45688</v>
      </c>
      <c r="B1473" s="4" t="s">
        <v>15</v>
      </c>
      <c r="C1473" s="4">
        <v>1871</v>
      </c>
      <c r="D1473" s="4">
        <v>1897.45</v>
      </c>
      <c r="E1473" s="4">
        <v>1871</v>
      </c>
      <c r="F1473" s="4">
        <v>1859.95</v>
      </c>
      <c r="G1473" s="4">
        <v>1882.95</v>
      </c>
      <c r="H1473" s="4">
        <v>1879.8</v>
      </c>
      <c r="I1473" s="4">
        <v>1881.49</v>
      </c>
      <c r="J1473" s="4">
        <v>2006.45</v>
      </c>
      <c r="K1473" s="4">
        <v>1358.35</v>
      </c>
      <c r="L1473" s="2">
        <v>5820470</v>
      </c>
      <c r="M1473" s="2">
        <v>10951149690.200001</v>
      </c>
      <c r="N1473" s="2">
        <v>181998</v>
      </c>
      <c r="O1473" t="s">
        <v>21</v>
      </c>
    </row>
    <row r="1474" spans="1:15" x14ac:dyDescent="0.3">
      <c r="A1474" s="1">
        <v>45687</v>
      </c>
      <c r="B1474" s="4" t="s">
        <v>15</v>
      </c>
      <c r="C1474" s="4">
        <v>1873.15</v>
      </c>
      <c r="D1474" s="4">
        <v>1887.2</v>
      </c>
      <c r="E1474" s="4">
        <v>1844</v>
      </c>
      <c r="F1474" s="4">
        <v>1881.25</v>
      </c>
      <c r="G1474" s="4">
        <v>1868.4</v>
      </c>
      <c r="H1474" s="4">
        <v>1859.95</v>
      </c>
      <c r="I1474" s="4">
        <v>1859.61</v>
      </c>
      <c r="J1474" s="4">
        <v>2006.45</v>
      </c>
      <c r="K1474" s="4">
        <v>1358.35</v>
      </c>
      <c r="L1474" s="2">
        <v>7336056</v>
      </c>
      <c r="M1474" s="2">
        <v>13642183045.25</v>
      </c>
      <c r="N1474" s="2">
        <v>203038</v>
      </c>
      <c r="O1474" t="s">
        <v>21</v>
      </c>
    </row>
    <row r="1475" spans="1:15" x14ac:dyDescent="0.3">
      <c r="A1475" s="1">
        <v>45686</v>
      </c>
      <c r="B1475" s="4" t="s">
        <v>15</v>
      </c>
      <c r="C1475" s="4">
        <v>1845</v>
      </c>
      <c r="D1475" s="4">
        <v>1888.65</v>
      </c>
      <c r="E1475" s="4">
        <v>1840.5</v>
      </c>
      <c r="F1475" s="4">
        <v>1829.75</v>
      </c>
      <c r="G1475" s="4">
        <v>1877.55</v>
      </c>
      <c r="H1475" s="4">
        <v>1881.25</v>
      </c>
      <c r="I1475" s="4">
        <v>1867.04</v>
      </c>
      <c r="J1475" s="4">
        <v>2006.45</v>
      </c>
      <c r="K1475" s="4">
        <v>1358.35</v>
      </c>
      <c r="L1475" s="2">
        <v>5145155</v>
      </c>
      <c r="M1475" s="2">
        <v>9606185635.0499992</v>
      </c>
      <c r="N1475" s="2">
        <v>208458</v>
      </c>
      <c r="O1475" t="s">
        <v>21</v>
      </c>
    </row>
    <row r="1476" spans="1:15" x14ac:dyDescent="0.3">
      <c r="A1476" s="1">
        <v>45685</v>
      </c>
      <c r="B1476" s="4" t="s">
        <v>15</v>
      </c>
      <c r="C1476" s="4">
        <v>1830</v>
      </c>
      <c r="D1476" s="4">
        <v>1863.5</v>
      </c>
      <c r="E1476" s="4">
        <v>1824.9</v>
      </c>
      <c r="F1476" s="4">
        <v>1822</v>
      </c>
      <c r="G1476" s="4">
        <v>1831</v>
      </c>
      <c r="H1476" s="4">
        <v>1829.75</v>
      </c>
      <c r="I1476" s="4">
        <v>1842.44</v>
      </c>
      <c r="J1476" s="4">
        <v>2006.45</v>
      </c>
      <c r="K1476" s="4">
        <v>1358.35</v>
      </c>
      <c r="L1476" s="2">
        <v>6999495</v>
      </c>
      <c r="M1476" s="2">
        <v>12896153068.9</v>
      </c>
      <c r="N1476" s="2">
        <v>343851</v>
      </c>
      <c r="O1476" t="s">
        <v>21</v>
      </c>
    </row>
    <row r="1477" spans="1:15" x14ac:dyDescent="0.3">
      <c r="A1477" s="1">
        <v>45684</v>
      </c>
      <c r="B1477" s="4" t="s">
        <v>15</v>
      </c>
      <c r="C1477" s="4">
        <v>1848.75</v>
      </c>
      <c r="D1477" s="4">
        <v>1863</v>
      </c>
      <c r="E1477" s="4">
        <v>1812</v>
      </c>
      <c r="F1477" s="4">
        <v>1875.45</v>
      </c>
      <c r="G1477" s="4">
        <v>1823</v>
      </c>
      <c r="H1477" s="4">
        <v>1822</v>
      </c>
      <c r="I1477" s="4">
        <v>1838.09</v>
      </c>
      <c r="J1477" s="4">
        <v>2006.45</v>
      </c>
      <c r="K1477" s="4">
        <v>1358.35</v>
      </c>
      <c r="L1477" s="2">
        <v>7652371</v>
      </c>
      <c r="M1477" s="2">
        <v>14065747508.9</v>
      </c>
      <c r="N1477" s="2">
        <v>242782</v>
      </c>
      <c r="O1477" t="s">
        <v>21</v>
      </c>
    </row>
    <row r="1478" spans="1:15" x14ac:dyDescent="0.3">
      <c r="A1478" s="1">
        <v>45681</v>
      </c>
      <c r="B1478" s="4" t="s">
        <v>15</v>
      </c>
      <c r="C1478" s="4">
        <v>1865.5</v>
      </c>
      <c r="D1478" s="4">
        <v>1894.9</v>
      </c>
      <c r="E1478" s="4">
        <v>1864.25</v>
      </c>
      <c r="F1478" s="4">
        <v>1865.45</v>
      </c>
      <c r="G1478" s="4">
        <v>1875</v>
      </c>
      <c r="H1478" s="4">
        <v>1875.45</v>
      </c>
      <c r="I1478" s="4">
        <v>1881.56</v>
      </c>
      <c r="J1478" s="4">
        <v>2006.45</v>
      </c>
      <c r="K1478" s="4">
        <v>1358.35</v>
      </c>
      <c r="L1478" s="2">
        <v>4887027</v>
      </c>
      <c r="M1478" s="2">
        <v>9195242026.1000004</v>
      </c>
      <c r="N1478" s="2">
        <v>294925</v>
      </c>
      <c r="O1478" t="s">
        <v>21</v>
      </c>
    </row>
    <row r="1479" spans="1:15" x14ac:dyDescent="0.3">
      <c r="A1479" s="1">
        <v>45680</v>
      </c>
      <c r="B1479" s="4" t="s">
        <v>15</v>
      </c>
      <c r="C1479" s="4">
        <v>1858</v>
      </c>
      <c r="D1479" s="4">
        <v>1879.55</v>
      </c>
      <c r="E1479" s="4">
        <v>1852.7</v>
      </c>
      <c r="F1479" s="4">
        <v>1856.45</v>
      </c>
      <c r="G1479" s="4">
        <v>1864.8</v>
      </c>
      <c r="H1479" s="4">
        <v>1865.45</v>
      </c>
      <c r="I1479" s="4">
        <v>1868.88</v>
      </c>
      <c r="J1479" s="4">
        <v>2006.45</v>
      </c>
      <c r="K1479" s="4">
        <v>1358.35</v>
      </c>
      <c r="L1479" s="2">
        <v>5907471</v>
      </c>
      <c r="M1479" s="2">
        <v>11040365439.1</v>
      </c>
      <c r="N1479" s="2">
        <v>305255</v>
      </c>
      <c r="O1479" t="s">
        <v>21</v>
      </c>
    </row>
    <row r="1480" spans="1:15" x14ac:dyDescent="0.3">
      <c r="A1480" s="1">
        <v>45679</v>
      </c>
      <c r="B1480" s="4" t="s">
        <v>15</v>
      </c>
      <c r="C1480" s="4">
        <v>1807.4</v>
      </c>
      <c r="D1480" s="4">
        <v>1865.8</v>
      </c>
      <c r="E1480" s="4">
        <v>1805.15</v>
      </c>
      <c r="F1480" s="4">
        <v>1800.7</v>
      </c>
      <c r="G1480" s="4">
        <v>1855</v>
      </c>
      <c r="H1480" s="4">
        <v>1856.45</v>
      </c>
      <c r="I1480" s="4">
        <v>1846.53</v>
      </c>
      <c r="J1480" s="4">
        <v>2006.45</v>
      </c>
      <c r="K1480" s="4">
        <v>1358.35</v>
      </c>
      <c r="L1480" s="2">
        <v>8373913</v>
      </c>
      <c r="M1480" s="2">
        <v>15462699193.549999</v>
      </c>
      <c r="N1480" s="2">
        <v>493438</v>
      </c>
      <c r="O1480" t="s">
        <v>21</v>
      </c>
    </row>
    <row r="1481" spans="1:15" x14ac:dyDescent="0.3">
      <c r="A1481" s="1">
        <v>45678</v>
      </c>
      <c r="B1481" s="4" t="s">
        <v>15</v>
      </c>
      <c r="C1481" s="4">
        <v>1819.05</v>
      </c>
      <c r="D1481" s="4">
        <v>1831.65</v>
      </c>
      <c r="E1481" s="4">
        <v>1793.05</v>
      </c>
      <c r="F1481" s="4">
        <v>1813.3</v>
      </c>
      <c r="G1481" s="4">
        <v>1804</v>
      </c>
      <c r="H1481" s="4">
        <v>1800.7</v>
      </c>
      <c r="I1481" s="4">
        <v>1814.25</v>
      </c>
      <c r="J1481" s="4">
        <v>2006.45</v>
      </c>
      <c r="K1481" s="4">
        <v>1358.35</v>
      </c>
      <c r="L1481" s="2">
        <v>7169109</v>
      </c>
      <c r="M1481" s="2">
        <v>13006582697.549999</v>
      </c>
      <c r="N1481" s="2">
        <v>252390</v>
      </c>
      <c r="O1481" t="s">
        <v>21</v>
      </c>
    </row>
    <row r="1482" spans="1:15" x14ac:dyDescent="0.3">
      <c r="A1482" s="1">
        <v>45677</v>
      </c>
      <c r="B1482" s="4" t="s">
        <v>15</v>
      </c>
      <c r="C1482" s="4">
        <v>1822.95</v>
      </c>
      <c r="D1482" s="4">
        <v>1827.95</v>
      </c>
      <c r="E1482" s="4">
        <v>1793.15</v>
      </c>
      <c r="F1482" s="4">
        <v>1815.45</v>
      </c>
      <c r="G1482" s="4">
        <v>1813</v>
      </c>
      <c r="H1482" s="4">
        <v>1813.3</v>
      </c>
      <c r="I1482" s="4">
        <v>1809.37</v>
      </c>
      <c r="J1482" s="4">
        <v>2006.45</v>
      </c>
      <c r="K1482" s="4">
        <v>1358.35</v>
      </c>
      <c r="L1482" s="2">
        <v>4333011</v>
      </c>
      <c r="M1482" s="2">
        <v>7840006233.8000002</v>
      </c>
      <c r="N1482" s="2">
        <v>192938</v>
      </c>
      <c r="O1482" t="s">
        <v>21</v>
      </c>
    </row>
    <row r="1483" spans="1:15" x14ac:dyDescent="0.3">
      <c r="A1483" s="1">
        <v>45674</v>
      </c>
      <c r="B1483" s="4" t="s">
        <v>15</v>
      </c>
      <c r="C1483" s="4">
        <v>1851</v>
      </c>
      <c r="D1483" s="4">
        <v>1858</v>
      </c>
      <c r="E1483" s="4">
        <v>1812</v>
      </c>
      <c r="F1483" s="4">
        <v>1928.45</v>
      </c>
      <c r="G1483" s="4">
        <v>1817.5</v>
      </c>
      <c r="H1483" s="4">
        <v>1815.45</v>
      </c>
      <c r="I1483" s="4">
        <v>1824.17</v>
      </c>
      <c r="J1483" s="4">
        <v>2006.45</v>
      </c>
      <c r="K1483" s="4">
        <v>1358.35</v>
      </c>
      <c r="L1483" s="2">
        <v>16409953</v>
      </c>
      <c r="M1483" s="2">
        <v>29934601377.849998</v>
      </c>
      <c r="N1483" s="2">
        <v>503030</v>
      </c>
      <c r="O1483" t="s">
        <v>21</v>
      </c>
    </row>
    <row r="1484" spans="1:15" x14ac:dyDescent="0.3">
      <c r="A1484" s="1">
        <v>45673</v>
      </c>
      <c r="B1484" s="4" t="s">
        <v>15</v>
      </c>
      <c r="C1484" s="4">
        <v>1965.95</v>
      </c>
      <c r="D1484" s="4">
        <v>1966.95</v>
      </c>
      <c r="E1484" s="4">
        <v>1916.85</v>
      </c>
      <c r="F1484" s="4">
        <v>1949.65</v>
      </c>
      <c r="G1484" s="4">
        <v>1920.05</v>
      </c>
      <c r="H1484" s="4">
        <v>1928.45</v>
      </c>
      <c r="I1484" s="4">
        <v>1939.38</v>
      </c>
      <c r="J1484" s="4">
        <v>2006.45</v>
      </c>
      <c r="K1484" s="4">
        <v>1358.35</v>
      </c>
      <c r="L1484" s="2">
        <v>7533579</v>
      </c>
      <c r="M1484" s="2">
        <v>14610485616.25</v>
      </c>
      <c r="N1484" s="2">
        <v>233848</v>
      </c>
      <c r="O1484" t="s">
        <v>21</v>
      </c>
    </row>
    <row r="1485" spans="1:15" x14ac:dyDescent="0.3">
      <c r="A1485" s="1">
        <v>45672</v>
      </c>
      <c r="B1485" s="4" t="s">
        <v>15</v>
      </c>
      <c r="C1485" s="4">
        <v>1947</v>
      </c>
      <c r="D1485" s="4">
        <v>1958.05</v>
      </c>
      <c r="E1485" s="4">
        <v>1937.1</v>
      </c>
      <c r="F1485" s="4">
        <v>1940.05</v>
      </c>
      <c r="G1485" s="4">
        <v>1951.65</v>
      </c>
      <c r="H1485" s="4">
        <v>1949.65</v>
      </c>
      <c r="I1485" s="4">
        <v>1949.16</v>
      </c>
      <c r="J1485" s="4">
        <v>2006.45</v>
      </c>
      <c r="K1485" s="4">
        <v>1358.35</v>
      </c>
      <c r="L1485" s="2">
        <v>2985439</v>
      </c>
      <c r="M1485" s="2">
        <v>5819096239.5</v>
      </c>
      <c r="N1485" s="2">
        <v>153629</v>
      </c>
      <c r="O1485" t="s">
        <v>21</v>
      </c>
    </row>
    <row r="1486" spans="1:15" x14ac:dyDescent="0.3">
      <c r="A1486" s="1">
        <v>45671</v>
      </c>
      <c r="B1486" s="4" t="s">
        <v>15</v>
      </c>
      <c r="C1486" s="4">
        <v>1968.85</v>
      </c>
      <c r="D1486" s="4">
        <v>1971.8</v>
      </c>
      <c r="E1486" s="4">
        <v>1931.1</v>
      </c>
      <c r="F1486" s="4">
        <v>1962.2</v>
      </c>
      <c r="G1486" s="4">
        <v>1938</v>
      </c>
      <c r="H1486" s="4">
        <v>1940.05</v>
      </c>
      <c r="I1486" s="4">
        <v>1943.92</v>
      </c>
      <c r="J1486" s="4">
        <v>2006.45</v>
      </c>
      <c r="K1486" s="4">
        <v>1358.35</v>
      </c>
      <c r="L1486" s="2">
        <v>5792162</v>
      </c>
      <c r="M1486" s="2">
        <v>11259472879</v>
      </c>
      <c r="N1486" s="2">
        <v>267855</v>
      </c>
      <c r="O1486" t="s">
        <v>21</v>
      </c>
    </row>
    <row r="1487" spans="1:15" x14ac:dyDescent="0.3">
      <c r="A1487" s="1">
        <v>45670</v>
      </c>
      <c r="B1487" s="4" t="s">
        <v>15</v>
      </c>
      <c r="C1487" s="4">
        <v>1956</v>
      </c>
      <c r="D1487" s="4">
        <v>1982.8</v>
      </c>
      <c r="E1487" s="4">
        <v>1949</v>
      </c>
      <c r="F1487" s="4">
        <v>1966.95</v>
      </c>
      <c r="G1487" s="4">
        <v>1963</v>
      </c>
      <c r="H1487" s="4">
        <v>1962.2</v>
      </c>
      <c r="I1487" s="4">
        <v>1965.87</v>
      </c>
      <c r="J1487" s="4">
        <v>2006.45</v>
      </c>
      <c r="K1487" s="4">
        <v>1358.35</v>
      </c>
      <c r="L1487" s="2">
        <v>5804152</v>
      </c>
      <c r="M1487" s="2">
        <v>11410182349.85</v>
      </c>
      <c r="N1487" s="2">
        <v>224017</v>
      </c>
      <c r="O1487" t="s">
        <v>21</v>
      </c>
    </row>
    <row r="1488" spans="1:15" x14ac:dyDescent="0.3">
      <c r="A1488" s="1">
        <v>45667</v>
      </c>
      <c r="B1488" s="4" t="s">
        <v>15</v>
      </c>
      <c r="C1488" s="4">
        <v>1937</v>
      </c>
      <c r="D1488" s="4">
        <v>1977.8</v>
      </c>
      <c r="E1488" s="4">
        <v>1932.25</v>
      </c>
      <c r="F1488" s="4">
        <v>1917.3</v>
      </c>
      <c r="G1488" s="4">
        <v>1965.8</v>
      </c>
      <c r="H1488" s="4">
        <v>1966.95</v>
      </c>
      <c r="I1488" s="4">
        <v>1961.18</v>
      </c>
      <c r="J1488" s="4">
        <v>2006.45</v>
      </c>
      <c r="K1488" s="4">
        <v>1358.35</v>
      </c>
      <c r="L1488" s="2">
        <v>8036913</v>
      </c>
      <c r="M1488" s="2">
        <v>15761835256.950001</v>
      </c>
      <c r="N1488" s="2">
        <v>351137</v>
      </c>
      <c r="O1488" t="s">
        <v>21</v>
      </c>
    </row>
    <row r="1489" spans="1:15" x14ac:dyDescent="0.3">
      <c r="A1489" s="1">
        <v>45666</v>
      </c>
      <c r="B1489" s="4" t="s">
        <v>15</v>
      </c>
      <c r="C1489" s="4">
        <v>1934.05</v>
      </c>
      <c r="D1489" s="4">
        <v>1951.85</v>
      </c>
      <c r="E1489" s="4">
        <v>1910.55</v>
      </c>
      <c r="F1489" s="4">
        <v>1933.15</v>
      </c>
      <c r="G1489" s="4">
        <v>1920.1</v>
      </c>
      <c r="H1489" s="4">
        <v>1917.3</v>
      </c>
      <c r="I1489" s="4">
        <v>1928.12</v>
      </c>
      <c r="J1489" s="4">
        <v>2006.45</v>
      </c>
      <c r="K1489" s="4">
        <v>1358.35</v>
      </c>
      <c r="L1489" s="2">
        <v>6833503</v>
      </c>
      <c r="M1489" s="2">
        <v>13175834552.9</v>
      </c>
      <c r="N1489" s="2">
        <v>228829</v>
      </c>
      <c r="O1489" t="s">
        <v>21</v>
      </c>
    </row>
    <row r="1490" spans="1:15" x14ac:dyDescent="0.3">
      <c r="A1490" s="1">
        <v>45665</v>
      </c>
      <c r="B1490" s="4" t="s">
        <v>15</v>
      </c>
      <c r="C1490" s="4">
        <v>1930</v>
      </c>
      <c r="D1490" s="4">
        <v>1938.6</v>
      </c>
      <c r="E1490" s="4">
        <v>1888.75</v>
      </c>
      <c r="F1490" s="4">
        <v>1930.85</v>
      </c>
      <c r="G1490" s="4">
        <v>1932.75</v>
      </c>
      <c r="H1490" s="4">
        <v>1933.15</v>
      </c>
      <c r="I1490" s="4">
        <v>1916.14</v>
      </c>
      <c r="J1490" s="4">
        <v>2006.45</v>
      </c>
      <c r="K1490" s="4">
        <v>1358.35</v>
      </c>
      <c r="L1490" s="2">
        <v>5482050</v>
      </c>
      <c r="M1490" s="2">
        <v>10504391305.450001</v>
      </c>
      <c r="N1490" s="2">
        <v>210525</v>
      </c>
      <c r="O1490" t="s">
        <v>21</v>
      </c>
    </row>
    <row r="1491" spans="1:15" x14ac:dyDescent="0.3">
      <c r="A1491" s="1">
        <v>45664</v>
      </c>
      <c r="B1491" s="4" t="s">
        <v>15</v>
      </c>
      <c r="C1491" s="4">
        <v>1945</v>
      </c>
      <c r="D1491" s="4">
        <v>1958.55</v>
      </c>
      <c r="E1491" s="4">
        <v>1923.65</v>
      </c>
      <c r="F1491" s="4">
        <v>1937.85</v>
      </c>
      <c r="G1491" s="4">
        <v>1929</v>
      </c>
      <c r="H1491" s="4">
        <v>1930.85</v>
      </c>
      <c r="I1491" s="4">
        <v>1936.28</v>
      </c>
      <c r="J1491" s="4">
        <v>2006.45</v>
      </c>
      <c r="K1491" s="4">
        <v>1358.35</v>
      </c>
      <c r="L1491" s="2">
        <v>4294832</v>
      </c>
      <c r="M1491" s="2">
        <v>8315996332.75</v>
      </c>
      <c r="N1491" s="2">
        <v>250125</v>
      </c>
      <c r="O1491" t="s">
        <v>21</v>
      </c>
    </row>
    <row r="1492" spans="1:15" x14ac:dyDescent="0.3">
      <c r="A1492" s="1">
        <v>45663</v>
      </c>
      <c r="B1492" s="4" t="s">
        <v>15</v>
      </c>
      <c r="C1492" s="4">
        <v>1952</v>
      </c>
      <c r="D1492" s="4">
        <v>1973</v>
      </c>
      <c r="E1492" s="4">
        <v>1928</v>
      </c>
      <c r="F1492" s="4">
        <v>1938.75</v>
      </c>
      <c r="G1492" s="4">
        <v>1939</v>
      </c>
      <c r="H1492" s="4">
        <v>1937.85</v>
      </c>
      <c r="I1492" s="4">
        <v>1943.77</v>
      </c>
      <c r="J1492" s="4">
        <v>2006.45</v>
      </c>
      <c r="K1492" s="4">
        <v>1358.35</v>
      </c>
      <c r="L1492" s="2">
        <v>7164403</v>
      </c>
      <c r="M1492" s="2">
        <v>13925986567.85</v>
      </c>
      <c r="N1492" s="2">
        <v>247931</v>
      </c>
      <c r="O1492" t="s">
        <v>21</v>
      </c>
    </row>
    <row r="1493" spans="1:15" x14ac:dyDescent="0.3">
      <c r="A1493" s="1">
        <v>45660</v>
      </c>
      <c r="B1493" s="4" t="s">
        <v>15</v>
      </c>
      <c r="C1493" s="4">
        <v>1952.95</v>
      </c>
      <c r="D1493" s="4">
        <v>1952.95</v>
      </c>
      <c r="E1493" s="4">
        <v>1922</v>
      </c>
      <c r="F1493" s="4">
        <v>1957.85</v>
      </c>
      <c r="G1493" s="4">
        <v>1939.1</v>
      </c>
      <c r="H1493" s="4">
        <v>1938.75</v>
      </c>
      <c r="I1493" s="4">
        <v>1936.53</v>
      </c>
      <c r="J1493" s="4">
        <v>2006.45</v>
      </c>
      <c r="K1493" s="4">
        <v>1358.35</v>
      </c>
      <c r="L1493" s="2">
        <v>6218003</v>
      </c>
      <c r="M1493" s="2">
        <v>12041366929.799999</v>
      </c>
      <c r="N1493" s="2">
        <v>226724</v>
      </c>
      <c r="O1493" t="s">
        <v>21</v>
      </c>
    </row>
    <row r="1494" spans="1:15" x14ac:dyDescent="0.3">
      <c r="A1494" s="1">
        <v>45659</v>
      </c>
      <c r="B1494" s="4" t="s">
        <v>15</v>
      </c>
      <c r="C1494" s="4">
        <v>1887</v>
      </c>
      <c r="D1494" s="4">
        <v>1962.65</v>
      </c>
      <c r="E1494" s="4">
        <v>1885.3</v>
      </c>
      <c r="F1494" s="4">
        <v>1882.5</v>
      </c>
      <c r="G1494" s="4">
        <v>1954.75</v>
      </c>
      <c r="H1494" s="4">
        <v>1957.85</v>
      </c>
      <c r="I1494" s="4">
        <v>1944.51</v>
      </c>
      <c r="J1494" s="4">
        <v>2006.45</v>
      </c>
      <c r="K1494" s="4">
        <v>1358.35</v>
      </c>
      <c r="L1494" s="2">
        <v>7083645</v>
      </c>
      <c r="M1494" s="2">
        <v>13774239233.15</v>
      </c>
      <c r="N1494" s="2">
        <v>239506</v>
      </c>
      <c r="O1494" t="s">
        <v>21</v>
      </c>
    </row>
    <row r="1495" spans="1:15" x14ac:dyDescent="0.3">
      <c r="A1495" s="1">
        <v>45658</v>
      </c>
      <c r="B1495" s="4" t="s">
        <v>15</v>
      </c>
      <c r="C1495" s="4">
        <v>1874</v>
      </c>
      <c r="D1495" s="4">
        <v>1892.95</v>
      </c>
      <c r="E1495" s="4">
        <v>1874</v>
      </c>
      <c r="F1495" s="4">
        <v>1880</v>
      </c>
      <c r="G1495" s="4">
        <v>1885</v>
      </c>
      <c r="H1495" s="4">
        <v>1882.5</v>
      </c>
      <c r="I1495" s="4">
        <v>1884.95</v>
      </c>
      <c r="J1495" s="4">
        <v>2006.45</v>
      </c>
      <c r="K1495" s="4">
        <v>1358.35</v>
      </c>
      <c r="L1495" s="2">
        <v>1838368</v>
      </c>
      <c r="M1495" s="2">
        <v>3465223831.8499999</v>
      </c>
      <c r="N1495" s="2">
        <v>69020</v>
      </c>
      <c r="O1495" t="s">
        <v>21</v>
      </c>
    </row>
    <row r="1496" spans="1:15" x14ac:dyDescent="0.3">
      <c r="A1496" s="1">
        <v>46022</v>
      </c>
      <c r="B1496" t="s">
        <v>15</v>
      </c>
      <c r="C1496" s="3">
        <v>401.1</v>
      </c>
      <c r="D1496" s="3">
        <v>403.75</v>
      </c>
      <c r="E1496" s="3">
        <v>400.85</v>
      </c>
      <c r="F1496" s="3">
        <v>400.6</v>
      </c>
      <c r="G1496" s="3">
        <v>402.7</v>
      </c>
      <c r="H1496" s="3">
        <v>403</v>
      </c>
      <c r="I1496" s="3">
        <v>402.81</v>
      </c>
      <c r="J1496" s="3">
        <v>471.5</v>
      </c>
      <c r="K1496" s="3">
        <v>390.15</v>
      </c>
      <c r="L1496" s="2">
        <v>9945109</v>
      </c>
      <c r="M1496" s="2">
        <v>4005957774.4499998</v>
      </c>
      <c r="N1496" s="2">
        <v>93789</v>
      </c>
      <c r="O1496" t="s">
        <v>22</v>
      </c>
    </row>
    <row r="1497" spans="1:15" x14ac:dyDescent="0.3">
      <c r="A1497" s="1">
        <v>46021</v>
      </c>
      <c r="B1497" t="s">
        <v>15</v>
      </c>
      <c r="C1497" s="3">
        <v>403</v>
      </c>
      <c r="D1497" s="3">
        <v>403.45</v>
      </c>
      <c r="E1497" s="3">
        <v>400.3</v>
      </c>
      <c r="F1497" s="3">
        <v>402.6</v>
      </c>
      <c r="G1497" s="3">
        <v>401.1</v>
      </c>
      <c r="H1497" s="3">
        <v>400.6</v>
      </c>
      <c r="I1497" s="3">
        <v>401.22</v>
      </c>
      <c r="J1497" s="3">
        <v>471.5</v>
      </c>
      <c r="K1497" s="3">
        <v>390.15</v>
      </c>
      <c r="L1497" s="2">
        <v>12340527</v>
      </c>
      <c r="M1497" s="2">
        <v>4951265566.8500004</v>
      </c>
      <c r="N1497" s="2">
        <v>134214</v>
      </c>
      <c r="O1497" t="s">
        <v>22</v>
      </c>
    </row>
    <row r="1498" spans="1:15" x14ac:dyDescent="0.3">
      <c r="A1498" s="1">
        <v>46020</v>
      </c>
      <c r="B1498" t="s">
        <v>15</v>
      </c>
      <c r="C1498" s="3">
        <v>404.1</v>
      </c>
      <c r="D1498" s="3">
        <v>404.8</v>
      </c>
      <c r="E1498" s="3">
        <v>401.45</v>
      </c>
      <c r="F1498" s="3">
        <v>404.15</v>
      </c>
      <c r="G1498" s="3">
        <v>402.95</v>
      </c>
      <c r="H1498" s="3">
        <v>402.6</v>
      </c>
      <c r="I1498" s="3">
        <v>402.55</v>
      </c>
      <c r="J1498" s="3">
        <v>471.5</v>
      </c>
      <c r="K1498" s="3">
        <v>390.15</v>
      </c>
      <c r="L1498" s="2">
        <v>6647710</v>
      </c>
      <c r="M1498" s="2">
        <v>2676007103.6999998</v>
      </c>
      <c r="N1498" s="2">
        <v>90644</v>
      </c>
      <c r="O1498" t="s">
        <v>22</v>
      </c>
    </row>
    <row r="1499" spans="1:15" x14ac:dyDescent="0.3">
      <c r="A1499" s="1">
        <v>46017</v>
      </c>
      <c r="B1499" t="s">
        <v>15</v>
      </c>
      <c r="C1499" s="3">
        <v>406.5</v>
      </c>
      <c r="D1499" s="3">
        <v>407.15</v>
      </c>
      <c r="E1499" s="3">
        <v>403.85</v>
      </c>
      <c r="F1499" s="3">
        <v>406.6</v>
      </c>
      <c r="G1499" s="3">
        <v>404.9</v>
      </c>
      <c r="H1499" s="3">
        <v>404.15</v>
      </c>
      <c r="I1499" s="3">
        <v>404.63</v>
      </c>
      <c r="J1499" s="3">
        <v>471.5</v>
      </c>
      <c r="K1499" s="3">
        <v>390.15</v>
      </c>
      <c r="L1499" s="2">
        <v>3152453</v>
      </c>
      <c r="M1499" s="2">
        <v>1275562322.5999999</v>
      </c>
      <c r="N1499" s="2">
        <v>76263</v>
      </c>
      <c r="O1499" t="s">
        <v>22</v>
      </c>
    </row>
    <row r="1500" spans="1:15" x14ac:dyDescent="0.3">
      <c r="A1500" s="1">
        <v>46015</v>
      </c>
      <c r="B1500" t="s">
        <v>15</v>
      </c>
      <c r="C1500" s="3">
        <v>407.95</v>
      </c>
      <c r="D1500" s="3">
        <v>409.5</v>
      </c>
      <c r="E1500" s="3">
        <v>405.65</v>
      </c>
      <c r="F1500" s="3">
        <v>407.35</v>
      </c>
      <c r="G1500" s="3">
        <v>406.8</v>
      </c>
      <c r="H1500" s="3">
        <v>406.6</v>
      </c>
      <c r="I1500" s="3">
        <v>407.18</v>
      </c>
      <c r="J1500" s="3">
        <v>471.5</v>
      </c>
      <c r="K1500" s="3">
        <v>390.15</v>
      </c>
      <c r="L1500" s="2">
        <v>5777430</v>
      </c>
      <c r="M1500" s="2">
        <v>2352433725</v>
      </c>
      <c r="N1500" s="2">
        <v>73260</v>
      </c>
      <c r="O1500" t="s">
        <v>22</v>
      </c>
    </row>
    <row r="1501" spans="1:15" x14ac:dyDescent="0.3">
      <c r="A1501" s="1">
        <v>46014</v>
      </c>
      <c r="B1501" t="s">
        <v>15</v>
      </c>
      <c r="C1501" s="3">
        <v>402.5</v>
      </c>
      <c r="D1501" s="3">
        <v>408.9</v>
      </c>
      <c r="E1501" s="3">
        <v>401.8</v>
      </c>
      <c r="F1501" s="3">
        <v>402.7</v>
      </c>
      <c r="G1501" s="3">
        <v>408.85</v>
      </c>
      <c r="H1501" s="3">
        <v>407.35</v>
      </c>
      <c r="I1501" s="3">
        <v>405.66</v>
      </c>
      <c r="J1501" s="3">
        <v>471.5</v>
      </c>
      <c r="K1501" s="3">
        <v>390.15</v>
      </c>
      <c r="L1501" s="2">
        <v>10081997</v>
      </c>
      <c r="M1501" s="2">
        <v>4089815715.8499999</v>
      </c>
      <c r="N1501" s="2">
        <v>158483</v>
      </c>
      <c r="O1501" t="s">
        <v>22</v>
      </c>
    </row>
    <row r="1502" spans="1:15" x14ac:dyDescent="0.3">
      <c r="A1502" s="1">
        <v>46013</v>
      </c>
      <c r="B1502" t="s">
        <v>15</v>
      </c>
      <c r="C1502" s="3">
        <v>401.6</v>
      </c>
      <c r="D1502" s="3">
        <v>403.65</v>
      </c>
      <c r="E1502" s="3">
        <v>401.2</v>
      </c>
      <c r="F1502" s="3">
        <v>401.05</v>
      </c>
      <c r="G1502" s="3">
        <v>402.85</v>
      </c>
      <c r="H1502" s="3">
        <v>402.7</v>
      </c>
      <c r="I1502" s="3">
        <v>402.79</v>
      </c>
      <c r="J1502" s="3">
        <v>471.5</v>
      </c>
      <c r="K1502" s="3">
        <v>390.15</v>
      </c>
      <c r="L1502" s="2">
        <v>6847871</v>
      </c>
      <c r="M1502" s="2">
        <v>2758263703.8000002</v>
      </c>
      <c r="N1502" s="2">
        <v>96410</v>
      </c>
      <c r="O1502" t="s">
        <v>22</v>
      </c>
    </row>
    <row r="1503" spans="1:15" x14ac:dyDescent="0.3">
      <c r="A1503" s="1">
        <v>46010</v>
      </c>
      <c r="B1503" t="s">
        <v>15</v>
      </c>
      <c r="C1503" s="3">
        <v>400.25</v>
      </c>
      <c r="D1503" s="3">
        <v>402.65</v>
      </c>
      <c r="E1503" s="3">
        <v>400.25</v>
      </c>
      <c r="F1503" s="3">
        <v>400.4</v>
      </c>
      <c r="G1503" s="3">
        <v>400.9</v>
      </c>
      <c r="H1503" s="3">
        <v>401.05</v>
      </c>
      <c r="I1503" s="3">
        <v>401.39</v>
      </c>
      <c r="J1503" s="3">
        <v>471.5</v>
      </c>
      <c r="K1503" s="3">
        <v>390.15</v>
      </c>
      <c r="L1503" s="2">
        <v>10654835</v>
      </c>
      <c r="M1503" s="2">
        <v>4276783887.1999998</v>
      </c>
      <c r="N1503" s="2">
        <v>138048</v>
      </c>
      <c r="O1503" t="s">
        <v>22</v>
      </c>
    </row>
    <row r="1504" spans="1:15" x14ac:dyDescent="0.3">
      <c r="A1504" s="1">
        <v>46009</v>
      </c>
      <c r="B1504" t="s">
        <v>15</v>
      </c>
      <c r="C1504" s="3">
        <v>400</v>
      </c>
      <c r="D1504" s="3">
        <v>401.95</v>
      </c>
      <c r="E1504" s="3">
        <v>399.85</v>
      </c>
      <c r="F1504" s="3">
        <v>399.8</v>
      </c>
      <c r="G1504" s="3">
        <v>400.85</v>
      </c>
      <c r="H1504" s="3">
        <v>400.4</v>
      </c>
      <c r="I1504" s="3">
        <v>400.74</v>
      </c>
      <c r="J1504" s="3">
        <v>471.5</v>
      </c>
      <c r="K1504" s="3">
        <v>390.15</v>
      </c>
      <c r="L1504" s="2">
        <v>7227668</v>
      </c>
      <c r="M1504" s="2">
        <v>2896390248.8000002</v>
      </c>
      <c r="N1504" s="2">
        <v>106780</v>
      </c>
      <c r="O1504" t="s">
        <v>22</v>
      </c>
    </row>
    <row r="1505" spans="1:15" x14ac:dyDescent="0.3">
      <c r="A1505" s="1">
        <v>46008</v>
      </c>
      <c r="B1505" t="s">
        <v>15</v>
      </c>
      <c r="C1505" s="3">
        <v>401</v>
      </c>
      <c r="D1505" s="3">
        <v>403.1</v>
      </c>
      <c r="E1505" s="3">
        <v>399.1</v>
      </c>
      <c r="F1505" s="3">
        <v>401.7</v>
      </c>
      <c r="G1505" s="3">
        <v>400.25</v>
      </c>
      <c r="H1505" s="3">
        <v>399.8</v>
      </c>
      <c r="I1505" s="3">
        <v>400.53</v>
      </c>
      <c r="J1505" s="3">
        <v>471.5</v>
      </c>
      <c r="K1505" s="3">
        <v>390.15</v>
      </c>
      <c r="L1505" s="2">
        <v>8087490</v>
      </c>
      <c r="M1505" s="2">
        <v>3239301844.8000002</v>
      </c>
      <c r="N1505" s="2">
        <v>117330</v>
      </c>
      <c r="O1505" t="s">
        <v>22</v>
      </c>
    </row>
    <row r="1506" spans="1:15" x14ac:dyDescent="0.3">
      <c r="A1506" s="1">
        <v>46007</v>
      </c>
      <c r="B1506" t="s">
        <v>15</v>
      </c>
      <c r="C1506" s="3">
        <v>401.4</v>
      </c>
      <c r="D1506" s="3">
        <v>405.75</v>
      </c>
      <c r="E1506" s="3">
        <v>401.05</v>
      </c>
      <c r="F1506" s="3">
        <v>402.3</v>
      </c>
      <c r="G1506" s="3">
        <v>402</v>
      </c>
      <c r="H1506" s="3">
        <v>401.7</v>
      </c>
      <c r="I1506" s="3">
        <v>403.11</v>
      </c>
      <c r="J1506" s="3">
        <v>471.5</v>
      </c>
      <c r="K1506" s="3">
        <v>390.15</v>
      </c>
      <c r="L1506" s="2">
        <v>12347384</v>
      </c>
      <c r="M1506" s="2">
        <v>4977388189.8000002</v>
      </c>
      <c r="N1506" s="2">
        <v>120140</v>
      </c>
      <c r="O1506" t="s">
        <v>22</v>
      </c>
    </row>
    <row r="1507" spans="1:15" x14ac:dyDescent="0.3">
      <c r="A1507" s="1">
        <v>46006</v>
      </c>
      <c r="B1507" t="s">
        <v>15</v>
      </c>
      <c r="C1507" s="3">
        <v>400.1</v>
      </c>
      <c r="D1507" s="3">
        <v>403.35</v>
      </c>
      <c r="E1507" s="3">
        <v>399.5</v>
      </c>
      <c r="F1507" s="3">
        <v>400.1</v>
      </c>
      <c r="G1507" s="3">
        <v>402</v>
      </c>
      <c r="H1507" s="3">
        <v>402.3</v>
      </c>
      <c r="I1507" s="3">
        <v>401.8</v>
      </c>
      <c r="J1507" s="3">
        <v>471.5</v>
      </c>
      <c r="K1507" s="3">
        <v>390.15</v>
      </c>
      <c r="L1507" s="2">
        <v>7756564</v>
      </c>
      <c r="M1507" s="2">
        <v>3116564595.5500002</v>
      </c>
      <c r="N1507" s="2">
        <v>96420</v>
      </c>
      <c r="O1507" t="s">
        <v>22</v>
      </c>
    </row>
    <row r="1508" spans="1:15" x14ac:dyDescent="0.3">
      <c r="A1508" s="1">
        <v>46003</v>
      </c>
      <c r="B1508" t="s">
        <v>15</v>
      </c>
      <c r="C1508" s="3">
        <v>402.9</v>
      </c>
      <c r="D1508" s="3">
        <v>404</v>
      </c>
      <c r="E1508" s="3">
        <v>399.85</v>
      </c>
      <c r="F1508" s="3">
        <v>402.9</v>
      </c>
      <c r="G1508" s="3">
        <v>400.7</v>
      </c>
      <c r="H1508" s="3">
        <v>400.1</v>
      </c>
      <c r="I1508" s="3">
        <v>400.55</v>
      </c>
      <c r="J1508" s="3">
        <v>471.5</v>
      </c>
      <c r="K1508" s="3">
        <v>390.15</v>
      </c>
      <c r="L1508" s="2">
        <v>12407516</v>
      </c>
      <c r="M1508" s="2">
        <v>4969785471.8500004</v>
      </c>
      <c r="N1508" s="2">
        <v>115410</v>
      </c>
      <c r="O1508" t="s">
        <v>22</v>
      </c>
    </row>
    <row r="1509" spans="1:15" x14ac:dyDescent="0.3">
      <c r="A1509" s="1">
        <v>46002</v>
      </c>
      <c r="B1509" t="s">
        <v>15</v>
      </c>
      <c r="C1509" s="3">
        <v>403.15</v>
      </c>
      <c r="D1509" s="3">
        <v>404</v>
      </c>
      <c r="E1509" s="3">
        <v>401.1</v>
      </c>
      <c r="F1509" s="3">
        <v>403.15</v>
      </c>
      <c r="G1509" s="3">
        <v>403</v>
      </c>
      <c r="H1509" s="3">
        <v>402.9</v>
      </c>
      <c r="I1509" s="3">
        <v>402.4</v>
      </c>
      <c r="J1509" s="3">
        <v>471.5</v>
      </c>
      <c r="K1509" s="3">
        <v>390.15</v>
      </c>
      <c r="L1509" s="2">
        <v>6980147</v>
      </c>
      <c r="M1509" s="2">
        <v>2808821372.0500002</v>
      </c>
      <c r="N1509" s="2">
        <v>99653</v>
      </c>
      <c r="O1509" t="s">
        <v>22</v>
      </c>
    </row>
    <row r="1510" spans="1:15" x14ac:dyDescent="0.3">
      <c r="A1510" s="1">
        <v>46001</v>
      </c>
      <c r="B1510" t="s">
        <v>15</v>
      </c>
      <c r="C1510" s="3">
        <v>401.1</v>
      </c>
      <c r="D1510" s="3">
        <v>404.4</v>
      </c>
      <c r="E1510" s="3">
        <v>401</v>
      </c>
      <c r="F1510" s="3">
        <v>401.05</v>
      </c>
      <c r="G1510" s="3">
        <v>403.05</v>
      </c>
      <c r="H1510" s="3">
        <v>403.15</v>
      </c>
      <c r="I1510" s="3">
        <v>403.31</v>
      </c>
      <c r="J1510" s="3">
        <v>471.5</v>
      </c>
      <c r="K1510" s="3">
        <v>390.15</v>
      </c>
      <c r="L1510" s="2">
        <v>6969146</v>
      </c>
      <c r="M1510" s="2">
        <v>2810730997.4499998</v>
      </c>
      <c r="N1510" s="2">
        <v>106280</v>
      </c>
      <c r="O1510" t="s">
        <v>22</v>
      </c>
    </row>
    <row r="1511" spans="1:15" x14ac:dyDescent="0.3">
      <c r="A1511" s="1">
        <v>46000</v>
      </c>
      <c r="B1511" t="s">
        <v>15</v>
      </c>
      <c r="C1511" s="3">
        <v>402</v>
      </c>
      <c r="D1511" s="3">
        <v>404.5</v>
      </c>
      <c r="E1511" s="3">
        <v>400</v>
      </c>
      <c r="F1511" s="3">
        <v>402.3</v>
      </c>
      <c r="G1511" s="3">
        <v>401.25</v>
      </c>
      <c r="H1511" s="3">
        <v>401.05</v>
      </c>
      <c r="I1511" s="3">
        <v>402.28</v>
      </c>
      <c r="J1511" s="3">
        <v>471.5</v>
      </c>
      <c r="K1511" s="3">
        <v>390.15</v>
      </c>
      <c r="L1511" s="2">
        <v>9426717</v>
      </c>
      <c r="M1511" s="2">
        <v>3792190139.0500002</v>
      </c>
      <c r="N1511" s="2">
        <v>119643</v>
      </c>
      <c r="O1511" t="s">
        <v>22</v>
      </c>
    </row>
    <row r="1512" spans="1:15" x14ac:dyDescent="0.3">
      <c r="A1512" s="1">
        <v>45999</v>
      </c>
      <c r="B1512" t="s">
        <v>15</v>
      </c>
      <c r="C1512" s="3">
        <v>404.95</v>
      </c>
      <c r="D1512" s="3">
        <v>405.25</v>
      </c>
      <c r="E1512" s="3">
        <v>400.55</v>
      </c>
      <c r="F1512" s="3">
        <v>404.95</v>
      </c>
      <c r="G1512" s="3">
        <v>402</v>
      </c>
      <c r="H1512" s="3">
        <v>402.3</v>
      </c>
      <c r="I1512" s="3">
        <v>402.89</v>
      </c>
      <c r="J1512" s="3">
        <v>471.5</v>
      </c>
      <c r="K1512" s="3">
        <v>390.15</v>
      </c>
      <c r="L1512" s="2">
        <v>6056866</v>
      </c>
      <c r="M1512" s="2">
        <v>2440276710.1500001</v>
      </c>
      <c r="N1512" s="2">
        <v>101139</v>
      </c>
      <c r="O1512" t="s">
        <v>22</v>
      </c>
    </row>
    <row r="1513" spans="1:15" x14ac:dyDescent="0.3">
      <c r="A1513" s="1">
        <v>45996</v>
      </c>
      <c r="B1513" t="s">
        <v>15</v>
      </c>
      <c r="C1513" s="3">
        <v>403.05</v>
      </c>
      <c r="D1513" s="3">
        <v>405.35</v>
      </c>
      <c r="E1513" s="3">
        <v>402</v>
      </c>
      <c r="F1513" s="3">
        <v>403.05</v>
      </c>
      <c r="G1513" s="3">
        <v>404.6</v>
      </c>
      <c r="H1513" s="3">
        <v>404.95</v>
      </c>
      <c r="I1513" s="3">
        <v>404.12</v>
      </c>
      <c r="J1513" s="3">
        <v>471.5</v>
      </c>
      <c r="K1513" s="3">
        <v>390.15</v>
      </c>
      <c r="L1513" s="2">
        <v>4419747</v>
      </c>
      <c r="M1513" s="2">
        <v>1786097800.3499999</v>
      </c>
      <c r="N1513" s="2">
        <v>73360</v>
      </c>
      <c r="O1513" t="s">
        <v>22</v>
      </c>
    </row>
    <row r="1514" spans="1:15" x14ac:dyDescent="0.3">
      <c r="A1514" s="1">
        <v>45995</v>
      </c>
      <c r="B1514" t="s">
        <v>15</v>
      </c>
      <c r="C1514" s="3">
        <v>400.1</v>
      </c>
      <c r="D1514" s="3">
        <v>403.55</v>
      </c>
      <c r="E1514" s="3">
        <v>399.05</v>
      </c>
      <c r="F1514" s="3">
        <v>400.5</v>
      </c>
      <c r="G1514" s="3">
        <v>403.25</v>
      </c>
      <c r="H1514" s="3">
        <v>403.05</v>
      </c>
      <c r="I1514" s="3">
        <v>402.09</v>
      </c>
      <c r="J1514" s="3">
        <v>471.5</v>
      </c>
      <c r="K1514" s="3">
        <v>390.15</v>
      </c>
      <c r="L1514" s="2">
        <v>8057989</v>
      </c>
      <c r="M1514" s="2">
        <v>3240008562.1500001</v>
      </c>
      <c r="N1514" s="2">
        <v>100529</v>
      </c>
      <c r="O1514" t="s">
        <v>22</v>
      </c>
    </row>
    <row r="1515" spans="1:15" x14ac:dyDescent="0.3">
      <c r="A1515" s="1">
        <v>45994</v>
      </c>
      <c r="B1515" t="s">
        <v>15</v>
      </c>
      <c r="C1515" s="3">
        <v>401.7</v>
      </c>
      <c r="D1515" s="3">
        <v>402.2</v>
      </c>
      <c r="E1515" s="3">
        <v>398.85</v>
      </c>
      <c r="F1515" s="3">
        <v>400.95</v>
      </c>
      <c r="G1515" s="3">
        <v>400.7</v>
      </c>
      <c r="H1515" s="3">
        <v>400.5</v>
      </c>
      <c r="I1515" s="3">
        <v>400.33</v>
      </c>
      <c r="J1515" s="3">
        <v>471.5</v>
      </c>
      <c r="K1515" s="3">
        <v>390.15</v>
      </c>
      <c r="L1515" s="2">
        <v>10772192</v>
      </c>
      <c r="M1515" s="2">
        <v>4312388380.25</v>
      </c>
      <c r="N1515" s="2">
        <v>145572</v>
      </c>
      <c r="O1515" t="s">
        <v>22</v>
      </c>
    </row>
    <row r="1516" spans="1:15" x14ac:dyDescent="0.3">
      <c r="A1516" s="1">
        <v>45993</v>
      </c>
      <c r="B1516" t="s">
        <v>15</v>
      </c>
      <c r="C1516" s="3">
        <v>404.25</v>
      </c>
      <c r="D1516" s="3">
        <v>405.5</v>
      </c>
      <c r="E1516" s="3">
        <v>400.5</v>
      </c>
      <c r="F1516" s="3">
        <v>404.25</v>
      </c>
      <c r="G1516" s="3">
        <v>401.7</v>
      </c>
      <c r="H1516" s="3">
        <v>400.95</v>
      </c>
      <c r="I1516" s="3">
        <v>401.68</v>
      </c>
      <c r="J1516" s="3">
        <v>471.5</v>
      </c>
      <c r="K1516" s="3">
        <v>390.15</v>
      </c>
      <c r="L1516" s="2">
        <v>8093808</v>
      </c>
      <c r="M1516" s="2">
        <v>3251135210.4499998</v>
      </c>
      <c r="N1516" s="2">
        <v>112342</v>
      </c>
      <c r="O1516" t="s">
        <v>22</v>
      </c>
    </row>
    <row r="1517" spans="1:15" x14ac:dyDescent="0.3">
      <c r="A1517" s="1">
        <v>45992</v>
      </c>
      <c r="B1517" t="s">
        <v>15</v>
      </c>
      <c r="C1517" s="3">
        <v>402.8</v>
      </c>
      <c r="D1517" s="3">
        <v>405.5</v>
      </c>
      <c r="E1517" s="3">
        <v>398.2</v>
      </c>
      <c r="F1517" s="3">
        <v>404.25</v>
      </c>
      <c r="G1517" s="3">
        <v>404.05</v>
      </c>
      <c r="H1517" s="3">
        <v>404.25</v>
      </c>
      <c r="I1517" s="3">
        <v>402.48</v>
      </c>
      <c r="J1517" s="3">
        <v>471.5</v>
      </c>
      <c r="K1517" s="3">
        <v>390.15</v>
      </c>
      <c r="L1517" s="2">
        <v>13442658</v>
      </c>
      <c r="M1517" s="2">
        <v>5410424427.8999996</v>
      </c>
      <c r="N1517" s="2">
        <v>204438</v>
      </c>
      <c r="O1517" t="s">
        <v>22</v>
      </c>
    </row>
    <row r="1518" spans="1:15" x14ac:dyDescent="0.3">
      <c r="A1518" s="1">
        <v>45989</v>
      </c>
      <c r="B1518" t="s">
        <v>15</v>
      </c>
      <c r="C1518" s="3">
        <v>404.3</v>
      </c>
      <c r="D1518" s="3">
        <v>405</v>
      </c>
      <c r="E1518" s="3">
        <v>402.5</v>
      </c>
      <c r="F1518" s="3">
        <v>404.3</v>
      </c>
      <c r="G1518" s="3">
        <v>404.3</v>
      </c>
      <c r="H1518" s="3">
        <v>404.25</v>
      </c>
      <c r="I1518" s="3">
        <v>403.67</v>
      </c>
      <c r="J1518" s="3">
        <v>471.5</v>
      </c>
      <c r="K1518" s="3">
        <v>390.15</v>
      </c>
      <c r="L1518" s="2">
        <v>6883500</v>
      </c>
      <c r="M1518" s="2">
        <v>2778654678.4000001</v>
      </c>
      <c r="N1518" s="2">
        <v>104754</v>
      </c>
      <c r="O1518" t="s">
        <v>22</v>
      </c>
    </row>
    <row r="1519" spans="1:15" x14ac:dyDescent="0.3">
      <c r="A1519" s="1">
        <v>45988</v>
      </c>
      <c r="B1519" t="s">
        <v>15</v>
      </c>
      <c r="C1519" s="3">
        <v>403.5</v>
      </c>
      <c r="D1519" s="3">
        <v>405.95</v>
      </c>
      <c r="E1519" s="3">
        <v>402.1</v>
      </c>
      <c r="F1519" s="3">
        <v>402.3</v>
      </c>
      <c r="G1519" s="3">
        <v>405</v>
      </c>
      <c r="H1519" s="3">
        <v>404.3</v>
      </c>
      <c r="I1519" s="3">
        <v>403.22</v>
      </c>
      <c r="J1519" s="3">
        <v>471.5</v>
      </c>
      <c r="K1519" s="3">
        <v>390.15</v>
      </c>
      <c r="L1519" s="2">
        <v>8679529</v>
      </c>
      <c r="M1519" s="2">
        <v>3499792465.4000001</v>
      </c>
      <c r="N1519" s="2">
        <v>105551</v>
      </c>
      <c r="O1519" t="s">
        <v>22</v>
      </c>
    </row>
    <row r="1520" spans="1:15" x14ac:dyDescent="0.3">
      <c r="A1520" s="1">
        <v>45987</v>
      </c>
      <c r="B1520" t="s">
        <v>15</v>
      </c>
      <c r="C1520" s="3">
        <v>401</v>
      </c>
      <c r="D1520" s="3">
        <v>403.95</v>
      </c>
      <c r="E1520" s="3">
        <v>400.95</v>
      </c>
      <c r="F1520" s="3">
        <v>400.8</v>
      </c>
      <c r="G1520" s="3">
        <v>402.55</v>
      </c>
      <c r="H1520" s="3">
        <v>402.3</v>
      </c>
      <c r="I1520" s="3">
        <v>402.6</v>
      </c>
      <c r="J1520" s="3">
        <v>471.5</v>
      </c>
      <c r="K1520" s="3">
        <v>390.15</v>
      </c>
      <c r="L1520" s="2">
        <v>11443953</v>
      </c>
      <c r="M1520" s="2">
        <v>4607286432.3999996</v>
      </c>
      <c r="N1520" s="2">
        <v>107847</v>
      </c>
      <c r="O1520" t="s">
        <v>22</v>
      </c>
    </row>
    <row r="1521" spans="1:15" x14ac:dyDescent="0.3">
      <c r="A1521" s="1">
        <v>45986</v>
      </c>
      <c r="B1521" t="s">
        <v>15</v>
      </c>
      <c r="C1521" s="3">
        <v>403.55</v>
      </c>
      <c r="D1521" s="3">
        <v>404.5</v>
      </c>
      <c r="E1521" s="3">
        <v>400.1</v>
      </c>
      <c r="F1521" s="3">
        <v>403.55</v>
      </c>
      <c r="G1521" s="3">
        <v>400.4</v>
      </c>
      <c r="H1521" s="3">
        <v>400.8</v>
      </c>
      <c r="I1521" s="3">
        <v>402.29</v>
      </c>
      <c r="J1521" s="3">
        <v>471.5</v>
      </c>
      <c r="K1521" s="3">
        <v>390.15</v>
      </c>
      <c r="L1521" s="2">
        <v>8199785</v>
      </c>
      <c r="M1521" s="2">
        <v>3298722901.6500001</v>
      </c>
      <c r="N1521" s="2">
        <v>114076</v>
      </c>
      <c r="O1521" t="s">
        <v>22</v>
      </c>
    </row>
    <row r="1522" spans="1:15" x14ac:dyDescent="0.3">
      <c r="A1522" s="1">
        <v>45985</v>
      </c>
      <c r="B1522" t="s">
        <v>15</v>
      </c>
      <c r="C1522" s="3">
        <v>408.4</v>
      </c>
      <c r="D1522" s="3">
        <v>408.8</v>
      </c>
      <c r="E1522" s="3">
        <v>402.85</v>
      </c>
      <c r="F1522" s="3">
        <v>407.85</v>
      </c>
      <c r="G1522" s="3">
        <v>404.2</v>
      </c>
      <c r="H1522" s="3">
        <v>403.55</v>
      </c>
      <c r="I1522" s="3">
        <v>404.39</v>
      </c>
      <c r="J1522" s="3">
        <v>471.5</v>
      </c>
      <c r="K1522" s="3">
        <v>390.15</v>
      </c>
      <c r="L1522" s="2">
        <v>11037491</v>
      </c>
      <c r="M1522" s="2">
        <v>4463445092.75</v>
      </c>
      <c r="N1522" s="2">
        <v>128280</v>
      </c>
      <c r="O1522" t="s">
        <v>22</v>
      </c>
    </row>
    <row r="1523" spans="1:15" x14ac:dyDescent="0.3">
      <c r="A1523" s="1">
        <v>45982</v>
      </c>
      <c r="B1523" t="s">
        <v>15</v>
      </c>
      <c r="C1523" s="3">
        <v>405</v>
      </c>
      <c r="D1523" s="3">
        <v>408.5</v>
      </c>
      <c r="E1523" s="3">
        <v>404.7</v>
      </c>
      <c r="F1523" s="3">
        <v>405.45</v>
      </c>
      <c r="G1523" s="3">
        <v>408</v>
      </c>
      <c r="H1523" s="3">
        <v>407.85</v>
      </c>
      <c r="I1523" s="3">
        <v>407.28</v>
      </c>
      <c r="J1523" s="3">
        <v>471.5</v>
      </c>
      <c r="K1523" s="3">
        <v>390.15</v>
      </c>
      <c r="L1523" s="2">
        <v>5808131</v>
      </c>
      <c r="M1523" s="2">
        <v>2365541111.25</v>
      </c>
      <c r="N1523" s="2">
        <v>92059</v>
      </c>
      <c r="O1523" t="s">
        <v>22</v>
      </c>
    </row>
    <row r="1524" spans="1:15" x14ac:dyDescent="0.3">
      <c r="A1524" s="1">
        <v>45981</v>
      </c>
      <c r="B1524" t="s">
        <v>15</v>
      </c>
      <c r="C1524" s="3">
        <v>403.55</v>
      </c>
      <c r="D1524" s="3">
        <v>407</v>
      </c>
      <c r="E1524" s="3">
        <v>403.25</v>
      </c>
      <c r="F1524" s="3">
        <v>403.55</v>
      </c>
      <c r="G1524" s="3">
        <v>405.6</v>
      </c>
      <c r="H1524" s="3">
        <v>405.45</v>
      </c>
      <c r="I1524" s="3">
        <v>405.55</v>
      </c>
      <c r="J1524" s="3">
        <v>471.5</v>
      </c>
      <c r="K1524" s="3">
        <v>390.15</v>
      </c>
      <c r="L1524" s="2">
        <v>6693410</v>
      </c>
      <c r="M1524" s="2">
        <v>2714519990.3499999</v>
      </c>
      <c r="N1524" s="2">
        <v>108333</v>
      </c>
      <c r="O1524" t="s">
        <v>22</v>
      </c>
    </row>
    <row r="1525" spans="1:15" x14ac:dyDescent="0.3">
      <c r="A1525" s="1">
        <v>45980</v>
      </c>
      <c r="B1525" t="s">
        <v>15</v>
      </c>
      <c r="C1525" s="3">
        <v>404.85</v>
      </c>
      <c r="D1525" s="3">
        <v>405.55</v>
      </c>
      <c r="E1525" s="3">
        <v>402.8</v>
      </c>
      <c r="F1525" s="3">
        <v>405.85</v>
      </c>
      <c r="G1525" s="3">
        <v>403.7</v>
      </c>
      <c r="H1525" s="3">
        <v>403.55</v>
      </c>
      <c r="I1525" s="3">
        <v>403.68</v>
      </c>
      <c r="J1525" s="3">
        <v>471.5</v>
      </c>
      <c r="K1525" s="3">
        <v>390.15</v>
      </c>
      <c r="L1525" s="2">
        <v>7882450</v>
      </c>
      <c r="M1525" s="2">
        <v>3181992048.0999999</v>
      </c>
      <c r="N1525" s="2">
        <v>134281</v>
      </c>
      <c r="O1525" t="s">
        <v>22</v>
      </c>
    </row>
    <row r="1526" spans="1:15" x14ac:dyDescent="0.3">
      <c r="A1526" s="1">
        <v>45979</v>
      </c>
      <c r="B1526" t="s">
        <v>15</v>
      </c>
      <c r="C1526" s="3">
        <v>408.25</v>
      </c>
      <c r="D1526" s="3">
        <v>409.8</v>
      </c>
      <c r="E1526" s="3">
        <v>404.55</v>
      </c>
      <c r="F1526" s="3">
        <v>407.1</v>
      </c>
      <c r="G1526" s="3">
        <v>405.7</v>
      </c>
      <c r="H1526" s="3">
        <v>405.85</v>
      </c>
      <c r="I1526" s="3">
        <v>405.64</v>
      </c>
      <c r="J1526" s="3">
        <v>471.5</v>
      </c>
      <c r="K1526" s="3">
        <v>390.15</v>
      </c>
      <c r="L1526" s="2">
        <v>7661681</v>
      </c>
      <c r="M1526" s="2">
        <v>3107854790.6500001</v>
      </c>
      <c r="N1526" s="2">
        <v>92029</v>
      </c>
      <c r="O1526" t="s">
        <v>22</v>
      </c>
    </row>
    <row r="1527" spans="1:15" x14ac:dyDescent="0.3">
      <c r="A1527" s="1">
        <v>45978</v>
      </c>
      <c r="B1527" t="s">
        <v>15</v>
      </c>
      <c r="C1527" s="3">
        <v>409.75</v>
      </c>
      <c r="D1527" s="3">
        <v>412</v>
      </c>
      <c r="E1527" s="3">
        <v>406</v>
      </c>
      <c r="F1527" s="3">
        <v>408.15</v>
      </c>
      <c r="G1527" s="3">
        <v>407.5</v>
      </c>
      <c r="H1527" s="3">
        <v>407.1</v>
      </c>
      <c r="I1527" s="3">
        <v>407.38</v>
      </c>
      <c r="J1527" s="3">
        <v>471.5</v>
      </c>
      <c r="K1527" s="3">
        <v>390.15</v>
      </c>
      <c r="L1527" s="2">
        <v>7855399</v>
      </c>
      <c r="M1527" s="2">
        <v>3200140693.4000001</v>
      </c>
      <c r="N1527" s="2">
        <v>114679</v>
      </c>
      <c r="O1527" t="s">
        <v>22</v>
      </c>
    </row>
    <row r="1528" spans="1:15" x14ac:dyDescent="0.3">
      <c r="A1528" s="1">
        <v>45975</v>
      </c>
      <c r="B1528" t="s">
        <v>15</v>
      </c>
      <c r="C1528" s="3">
        <v>404.7</v>
      </c>
      <c r="D1528" s="3">
        <v>408.75</v>
      </c>
      <c r="E1528" s="3">
        <v>400.1</v>
      </c>
      <c r="F1528" s="3">
        <v>405.7</v>
      </c>
      <c r="G1528" s="3">
        <v>408.25</v>
      </c>
      <c r="H1528" s="3">
        <v>408.15</v>
      </c>
      <c r="I1528" s="3">
        <v>401.39</v>
      </c>
      <c r="J1528" s="3">
        <v>471.5</v>
      </c>
      <c r="K1528" s="3">
        <v>390.15</v>
      </c>
      <c r="L1528" s="2">
        <v>64020258</v>
      </c>
      <c r="M1528" s="2">
        <v>25697182566.799999</v>
      </c>
      <c r="N1528" s="2">
        <v>151924</v>
      </c>
      <c r="O1528" t="s">
        <v>22</v>
      </c>
    </row>
    <row r="1529" spans="1:15" x14ac:dyDescent="0.3">
      <c r="A1529" s="1">
        <v>45974</v>
      </c>
      <c r="B1529" t="s">
        <v>15</v>
      </c>
      <c r="C1529" s="3">
        <v>407</v>
      </c>
      <c r="D1529" s="3">
        <v>407.5</v>
      </c>
      <c r="E1529" s="3">
        <v>404.5</v>
      </c>
      <c r="F1529" s="3">
        <v>407</v>
      </c>
      <c r="G1529" s="3">
        <v>406.5</v>
      </c>
      <c r="H1529" s="3">
        <v>405.7</v>
      </c>
      <c r="I1529" s="3">
        <v>406.31</v>
      </c>
      <c r="J1529" s="3">
        <v>471.5</v>
      </c>
      <c r="K1529" s="3">
        <v>390.15</v>
      </c>
      <c r="L1529" s="2">
        <v>6617185</v>
      </c>
      <c r="M1529" s="2">
        <v>2688612018.5</v>
      </c>
      <c r="N1529" s="2">
        <v>90395</v>
      </c>
      <c r="O1529" t="s">
        <v>22</v>
      </c>
    </row>
    <row r="1530" spans="1:15" x14ac:dyDescent="0.3">
      <c r="A1530" s="1">
        <v>45973</v>
      </c>
      <c r="B1530" t="s">
        <v>15</v>
      </c>
      <c r="C1530" s="3">
        <v>408</v>
      </c>
      <c r="D1530" s="3">
        <v>408.1</v>
      </c>
      <c r="E1530" s="3">
        <v>405.55</v>
      </c>
      <c r="F1530" s="3">
        <v>406.85</v>
      </c>
      <c r="G1530" s="3">
        <v>407.4</v>
      </c>
      <c r="H1530" s="3">
        <v>407</v>
      </c>
      <c r="I1530" s="3">
        <v>406.82</v>
      </c>
      <c r="J1530" s="3">
        <v>471.5</v>
      </c>
      <c r="K1530" s="3">
        <v>390.15</v>
      </c>
      <c r="L1530" s="2">
        <v>7987236</v>
      </c>
      <c r="M1530" s="2">
        <v>3249380333.5500002</v>
      </c>
      <c r="N1530" s="2">
        <v>107940</v>
      </c>
      <c r="O1530" t="s">
        <v>22</v>
      </c>
    </row>
    <row r="1531" spans="1:15" x14ac:dyDescent="0.3">
      <c r="A1531" s="1">
        <v>45972</v>
      </c>
      <c r="B1531" t="s">
        <v>15</v>
      </c>
      <c r="C1531" s="3">
        <v>406</v>
      </c>
      <c r="D1531" s="3">
        <v>408.05</v>
      </c>
      <c r="E1531" s="3">
        <v>404.6</v>
      </c>
      <c r="F1531" s="3">
        <v>405.55</v>
      </c>
      <c r="G1531" s="3">
        <v>407.2</v>
      </c>
      <c r="H1531" s="3">
        <v>406.85</v>
      </c>
      <c r="I1531" s="3">
        <v>406.29</v>
      </c>
      <c r="J1531" s="3">
        <v>471.5</v>
      </c>
      <c r="K1531" s="3">
        <v>390.15</v>
      </c>
      <c r="L1531" s="2">
        <v>12005318</v>
      </c>
      <c r="M1531" s="2">
        <v>4877632724.5500002</v>
      </c>
      <c r="N1531" s="2">
        <v>97321</v>
      </c>
      <c r="O1531" t="s">
        <v>22</v>
      </c>
    </row>
    <row r="1532" spans="1:15" x14ac:dyDescent="0.3">
      <c r="A1532" s="1">
        <v>45971</v>
      </c>
      <c r="B1532" t="s">
        <v>15</v>
      </c>
      <c r="C1532" s="3">
        <v>404.05</v>
      </c>
      <c r="D1532" s="3">
        <v>407.1</v>
      </c>
      <c r="E1532" s="3">
        <v>403.65</v>
      </c>
      <c r="F1532" s="3">
        <v>404.05</v>
      </c>
      <c r="G1532" s="3">
        <v>406</v>
      </c>
      <c r="H1532" s="3">
        <v>405.55</v>
      </c>
      <c r="I1532" s="3">
        <v>405.75</v>
      </c>
      <c r="J1532" s="3">
        <v>471.5</v>
      </c>
      <c r="K1532" s="3">
        <v>390.15</v>
      </c>
      <c r="L1532" s="2">
        <v>6650003</v>
      </c>
      <c r="M1532" s="2">
        <v>2698266556.5500002</v>
      </c>
      <c r="N1532" s="2">
        <v>128591</v>
      </c>
      <c r="O1532" t="s">
        <v>22</v>
      </c>
    </row>
    <row r="1533" spans="1:15" x14ac:dyDescent="0.3">
      <c r="A1533" s="1">
        <v>45968</v>
      </c>
      <c r="B1533" t="s">
        <v>15</v>
      </c>
      <c r="C1533" s="3">
        <v>406.05</v>
      </c>
      <c r="D1533" s="3">
        <v>409.1</v>
      </c>
      <c r="E1533" s="3">
        <v>403.1</v>
      </c>
      <c r="F1533" s="3">
        <v>407.5</v>
      </c>
      <c r="G1533" s="3">
        <v>404.4</v>
      </c>
      <c r="H1533" s="3">
        <v>404.05</v>
      </c>
      <c r="I1533" s="3">
        <v>405.13</v>
      </c>
      <c r="J1533" s="3">
        <v>471.5</v>
      </c>
      <c r="K1533" s="3">
        <v>390.15</v>
      </c>
      <c r="L1533" s="2">
        <v>8411611</v>
      </c>
      <c r="M1533" s="2">
        <v>3407815043.1999998</v>
      </c>
      <c r="N1533" s="2">
        <v>92747</v>
      </c>
      <c r="O1533" t="s">
        <v>22</v>
      </c>
    </row>
    <row r="1534" spans="1:15" x14ac:dyDescent="0.3">
      <c r="A1534" s="1">
        <v>45967</v>
      </c>
      <c r="B1534" t="s">
        <v>15</v>
      </c>
      <c r="C1534" s="3">
        <v>410</v>
      </c>
      <c r="D1534" s="3">
        <v>413.3</v>
      </c>
      <c r="E1534" s="3">
        <v>406.55</v>
      </c>
      <c r="F1534" s="3">
        <v>408.9</v>
      </c>
      <c r="G1534" s="3">
        <v>408.5</v>
      </c>
      <c r="H1534" s="3">
        <v>407.5</v>
      </c>
      <c r="I1534" s="3">
        <v>408.26</v>
      </c>
      <c r="J1534" s="3">
        <v>471.5</v>
      </c>
      <c r="K1534" s="3">
        <v>390.15</v>
      </c>
      <c r="L1534" s="2">
        <v>10095563</v>
      </c>
      <c r="M1534" s="2">
        <v>4121588309.6500001</v>
      </c>
      <c r="N1534" s="2">
        <v>146248</v>
      </c>
      <c r="O1534" t="s">
        <v>22</v>
      </c>
    </row>
    <row r="1535" spans="1:15" x14ac:dyDescent="0.3">
      <c r="A1535" s="1">
        <v>45965</v>
      </c>
      <c r="B1535" t="s">
        <v>15</v>
      </c>
      <c r="C1535" s="3">
        <v>414</v>
      </c>
      <c r="D1535" s="3">
        <v>414.5</v>
      </c>
      <c r="E1535" s="3">
        <v>408.35</v>
      </c>
      <c r="F1535" s="3">
        <v>413.95</v>
      </c>
      <c r="G1535" s="3">
        <v>408.8</v>
      </c>
      <c r="H1535" s="3">
        <v>408.9</v>
      </c>
      <c r="I1535" s="3">
        <v>410.16</v>
      </c>
      <c r="J1535" s="3">
        <v>471.5</v>
      </c>
      <c r="K1535" s="3">
        <v>390.15</v>
      </c>
      <c r="L1535" s="2">
        <v>10085404</v>
      </c>
      <c r="M1535" s="2">
        <v>4136635461.4000001</v>
      </c>
      <c r="N1535" s="2">
        <v>140114</v>
      </c>
      <c r="O1535" t="s">
        <v>22</v>
      </c>
    </row>
    <row r="1536" spans="1:15" x14ac:dyDescent="0.3">
      <c r="A1536" s="1">
        <v>45964</v>
      </c>
      <c r="B1536" t="s">
        <v>15</v>
      </c>
      <c r="C1536" s="3">
        <v>419.95</v>
      </c>
      <c r="D1536" s="3">
        <v>421.65</v>
      </c>
      <c r="E1536" s="3">
        <v>413.3</v>
      </c>
      <c r="F1536" s="3">
        <v>420.35</v>
      </c>
      <c r="G1536" s="3">
        <v>414</v>
      </c>
      <c r="H1536" s="3">
        <v>413.95</v>
      </c>
      <c r="I1536" s="3">
        <v>415.71</v>
      </c>
      <c r="J1536" s="3">
        <v>471.5</v>
      </c>
      <c r="K1536" s="3">
        <v>390.15</v>
      </c>
      <c r="L1536" s="2">
        <v>7635440</v>
      </c>
      <c r="M1536" s="2">
        <v>3174092208.1999998</v>
      </c>
      <c r="N1536" s="2">
        <v>168846</v>
      </c>
      <c r="O1536" t="s">
        <v>22</v>
      </c>
    </row>
    <row r="1537" spans="1:15" x14ac:dyDescent="0.3">
      <c r="A1537" s="1">
        <v>45961</v>
      </c>
      <c r="B1537" t="s">
        <v>15</v>
      </c>
      <c r="C1537" s="3">
        <v>420.5</v>
      </c>
      <c r="D1537" s="3">
        <v>426.4</v>
      </c>
      <c r="E1537" s="3">
        <v>418.2</v>
      </c>
      <c r="F1537" s="3">
        <v>418.75</v>
      </c>
      <c r="G1537" s="3">
        <v>419.95</v>
      </c>
      <c r="H1537" s="3">
        <v>420.35</v>
      </c>
      <c r="I1537" s="3">
        <v>422.45</v>
      </c>
      <c r="J1537" s="3">
        <v>471.5</v>
      </c>
      <c r="K1537" s="3">
        <v>390.15</v>
      </c>
      <c r="L1537" s="2">
        <v>18599864</v>
      </c>
      <c r="M1537" s="2">
        <v>7857495955.9499998</v>
      </c>
      <c r="N1537" s="2">
        <v>203655</v>
      </c>
      <c r="O1537" t="s">
        <v>22</v>
      </c>
    </row>
    <row r="1538" spans="1:15" x14ac:dyDescent="0.3">
      <c r="A1538" s="1">
        <v>45960</v>
      </c>
      <c r="B1538" t="s">
        <v>15</v>
      </c>
      <c r="C1538" s="3">
        <v>421.6</v>
      </c>
      <c r="D1538" s="3">
        <v>421.7</v>
      </c>
      <c r="E1538" s="3">
        <v>416.15</v>
      </c>
      <c r="F1538" s="3">
        <v>421.6</v>
      </c>
      <c r="G1538" s="3">
        <v>419.35</v>
      </c>
      <c r="H1538" s="3">
        <v>418.75</v>
      </c>
      <c r="I1538" s="3">
        <v>419.29</v>
      </c>
      <c r="J1538" s="3">
        <v>471.5</v>
      </c>
      <c r="K1538" s="3">
        <v>390.15</v>
      </c>
      <c r="L1538" s="2">
        <v>12938674</v>
      </c>
      <c r="M1538" s="2">
        <v>5425028130.1999998</v>
      </c>
      <c r="N1538" s="2">
        <v>128633</v>
      </c>
      <c r="O1538" t="s">
        <v>22</v>
      </c>
    </row>
    <row r="1539" spans="1:15" x14ac:dyDescent="0.3">
      <c r="A1539" s="1">
        <v>45959</v>
      </c>
      <c r="B1539" t="s">
        <v>15</v>
      </c>
      <c r="C1539" s="3">
        <v>418.2</v>
      </c>
      <c r="D1539" s="3">
        <v>422.2</v>
      </c>
      <c r="E1539" s="3">
        <v>416.05</v>
      </c>
      <c r="F1539" s="3">
        <v>417.9</v>
      </c>
      <c r="G1539" s="3">
        <v>421.85</v>
      </c>
      <c r="H1539" s="3">
        <v>421.6</v>
      </c>
      <c r="I1539" s="3">
        <v>419.47</v>
      </c>
      <c r="J1539" s="3">
        <v>471.5</v>
      </c>
      <c r="K1539" s="3">
        <v>390.15</v>
      </c>
      <c r="L1539" s="2">
        <v>11470661</v>
      </c>
      <c r="M1539" s="2">
        <v>4811576571.1499996</v>
      </c>
      <c r="N1539" s="2">
        <v>126826</v>
      </c>
      <c r="O1539" t="s">
        <v>22</v>
      </c>
    </row>
    <row r="1540" spans="1:15" x14ac:dyDescent="0.3">
      <c r="A1540" s="1">
        <v>45958</v>
      </c>
      <c r="B1540" t="s">
        <v>15</v>
      </c>
      <c r="C1540" s="3">
        <v>420.5</v>
      </c>
      <c r="D1540" s="3">
        <v>421.65</v>
      </c>
      <c r="E1540" s="3">
        <v>415.9</v>
      </c>
      <c r="F1540" s="3">
        <v>420.65</v>
      </c>
      <c r="G1540" s="3">
        <v>417.85</v>
      </c>
      <c r="H1540" s="3">
        <v>417.9</v>
      </c>
      <c r="I1540" s="3">
        <v>417.96</v>
      </c>
      <c r="J1540" s="3">
        <v>471.5</v>
      </c>
      <c r="K1540" s="3">
        <v>390.15</v>
      </c>
      <c r="L1540" s="2">
        <v>17163147</v>
      </c>
      <c r="M1540" s="2">
        <v>7173491707.0500002</v>
      </c>
      <c r="N1540" s="2">
        <v>147046</v>
      </c>
      <c r="O1540" t="s">
        <v>22</v>
      </c>
    </row>
    <row r="1541" spans="1:15" x14ac:dyDescent="0.3">
      <c r="A1541" s="1">
        <v>45957</v>
      </c>
      <c r="B1541" t="s">
        <v>15</v>
      </c>
      <c r="C1541" s="3">
        <v>417</v>
      </c>
      <c r="D1541" s="3">
        <v>422.7</v>
      </c>
      <c r="E1541" s="3">
        <v>416.6</v>
      </c>
      <c r="F1541" s="3">
        <v>416.8</v>
      </c>
      <c r="G1541" s="3">
        <v>421</v>
      </c>
      <c r="H1541" s="3">
        <v>420.65</v>
      </c>
      <c r="I1541" s="3">
        <v>420.58</v>
      </c>
      <c r="J1541" s="3">
        <v>471.5</v>
      </c>
      <c r="K1541" s="3">
        <v>390.15</v>
      </c>
      <c r="L1541" s="2">
        <v>11603679</v>
      </c>
      <c r="M1541" s="2">
        <v>4880229507.8500004</v>
      </c>
      <c r="N1541" s="2">
        <v>115318</v>
      </c>
      <c r="O1541" t="s">
        <v>22</v>
      </c>
    </row>
    <row r="1542" spans="1:15" x14ac:dyDescent="0.3">
      <c r="A1542" s="1">
        <v>45954</v>
      </c>
      <c r="B1542" t="s">
        <v>15</v>
      </c>
      <c r="C1542" s="3">
        <v>415.95</v>
      </c>
      <c r="D1542" s="3">
        <v>417.95</v>
      </c>
      <c r="E1542" s="3">
        <v>413.45</v>
      </c>
      <c r="F1542" s="3">
        <v>415.95</v>
      </c>
      <c r="G1542" s="3">
        <v>417.8</v>
      </c>
      <c r="H1542" s="3">
        <v>416.8</v>
      </c>
      <c r="I1542" s="3">
        <v>415.51</v>
      </c>
      <c r="J1542" s="3">
        <v>471.5</v>
      </c>
      <c r="K1542" s="3">
        <v>390.15</v>
      </c>
      <c r="L1542" s="2">
        <v>14935678</v>
      </c>
      <c r="M1542" s="2">
        <v>6205957776.1000004</v>
      </c>
      <c r="N1542" s="2">
        <v>114037</v>
      </c>
      <c r="O1542" t="s">
        <v>22</v>
      </c>
    </row>
    <row r="1543" spans="1:15" x14ac:dyDescent="0.3">
      <c r="A1543" s="1">
        <v>45953</v>
      </c>
      <c r="B1543" t="s">
        <v>15</v>
      </c>
      <c r="C1543" s="3">
        <v>416</v>
      </c>
      <c r="D1543" s="3">
        <v>420.45</v>
      </c>
      <c r="E1543" s="3">
        <v>413.55</v>
      </c>
      <c r="F1543" s="3">
        <v>412.85</v>
      </c>
      <c r="G1543" s="3">
        <v>416.25</v>
      </c>
      <c r="H1543" s="3">
        <v>415.95</v>
      </c>
      <c r="I1543" s="3">
        <v>417.33</v>
      </c>
      <c r="J1543" s="3">
        <v>471.5</v>
      </c>
      <c r="K1543" s="3">
        <v>390.15</v>
      </c>
      <c r="L1543" s="2">
        <v>24305990</v>
      </c>
      <c r="M1543" s="2">
        <v>10143543220.15</v>
      </c>
      <c r="N1543" s="2">
        <v>189470</v>
      </c>
      <c r="O1543" t="s">
        <v>22</v>
      </c>
    </row>
    <row r="1544" spans="1:15" x14ac:dyDescent="0.3">
      <c r="A1544" s="1">
        <v>45951</v>
      </c>
      <c r="B1544" t="s">
        <v>15</v>
      </c>
      <c r="C1544" s="3">
        <v>413.5</v>
      </c>
      <c r="D1544" s="3">
        <v>413.95</v>
      </c>
      <c r="E1544" s="3">
        <v>412.35</v>
      </c>
      <c r="F1544" s="3">
        <v>413.05</v>
      </c>
      <c r="G1544" s="3">
        <v>412.5</v>
      </c>
      <c r="H1544" s="3">
        <v>412.85</v>
      </c>
      <c r="I1544" s="3">
        <v>412.93</v>
      </c>
      <c r="J1544" s="3">
        <v>471.5</v>
      </c>
      <c r="K1544" s="3">
        <v>390.15</v>
      </c>
      <c r="L1544" s="2">
        <v>1142130</v>
      </c>
      <c r="M1544" s="2">
        <v>471623300.60000002</v>
      </c>
      <c r="N1544" s="2">
        <v>38260</v>
      </c>
      <c r="O1544" t="s">
        <v>22</v>
      </c>
    </row>
    <row r="1545" spans="1:15" x14ac:dyDescent="0.3">
      <c r="A1545" s="1">
        <v>45950</v>
      </c>
      <c r="B1545" t="s">
        <v>15</v>
      </c>
      <c r="C1545" s="3">
        <v>412.55</v>
      </c>
      <c r="D1545" s="3">
        <v>414.85</v>
      </c>
      <c r="E1545" s="3">
        <v>411.3</v>
      </c>
      <c r="F1545" s="3">
        <v>412.15</v>
      </c>
      <c r="G1545" s="3">
        <v>412.6</v>
      </c>
      <c r="H1545" s="3">
        <v>413.05</v>
      </c>
      <c r="I1545" s="3">
        <v>412.96</v>
      </c>
      <c r="J1545" s="3">
        <v>471.5</v>
      </c>
      <c r="K1545" s="3">
        <v>390.15</v>
      </c>
      <c r="L1545" s="2">
        <v>13083621</v>
      </c>
      <c r="M1545" s="2">
        <v>5403072501.6000004</v>
      </c>
      <c r="N1545" s="2">
        <v>126249</v>
      </c>
      <c r="O1545" t="s">
        <v>22</v>
      </c>
    </row>
    <row r="1546" spans="1:15" x14ac:dyDescent="0.3">
      <c r="A1546" s="1">
        <v>45947</v>
      </c>
      <c r="B1546" t="s">
        <v>15</v>
      </c>
      <c r="C1546" s="3">
        <v>405.35</v>
      </c>
      <c r="D1546" s="3">
        <v>413.85</v>
      </c>
      <c r="E1546" s="3">
        <v>405.25</v>
      </c>
      <c r="F1546" s="3">
        <v>405.15</v>
      </c>
      <c r="G1546" s="3">
        <v>411.4</v>
      </c>
      <c r="H1546" s="3">
        <v>412.15</v>
      </c>
      <c r="I1546" s="3">
        <v>411.42</v>
      </c>
      <c r="J1546" s="3">
        <v>471.5</v>
      </c>
      <c r="K1546" s="3">
        <v>390.15</v>
      </c>
      <c r="L1546" s="2">
        <v>21071344</v>
      </c>
      <c r="M1546" s="2">
        <v>8669197740.6499996</v>
      </c>
      <c r="N1546" s="2">
        <v>155146</v>
      </c>
      <c r="O1546" t="s">
        <v>22</v>
      </c>
    </row>
    <row r="1547" spans="1:15" x14ac:dyDescent="0.3">
      <c r="A1547" s="1">
        <v>45946</v>
      </c>
      <c r="B1547" t="s">
        <v>15</v>
      </c>
      <c r="C1547" s="3">
        <v>401</v>
      </c>
      <c r="D1547" s="3">
        <v>406</v>
      </c>
      <c r="E1547" s="3">
        <v>399.55</v>
      </c>
      <c r="F1547" s="3">
        <v>399.9</v>
      </c>
      <c r="G1547" s="3">
        <v>405.45</v>
      </c>
      <c r="H1547" s="3">
        <v>405.15</v>
      </c>
      <c r="I1547" s="3">
        <v>403</v>
      </c>
      <c r="J1547" s="3">
        <v>471.5</v>
      </c>
      <c r="K1547" s="3">
        <v>390.15</v>
      </c>
      <c r="L1547" s="2">
        <v>22962049</v>
      </c>
      <c r="M1547" s="2">
        <v>9253741617.7000008</v>
      </c>
      <c r="N1547" s="2">
        <v>161737</v>
      </c>
      <c r="O1547" t="s">
        <v>22</v>
      </c>
    </row>
    <row r="1548" spans="1:15" x14ac:dyDescent="0.3">
      <c r="A1548" s="1">
        <v>45945</v>
      </c>
      <c r="B1548" t="s">
        <v>15</v>
      </c>
      <c r="C1548" s="3">
        <v>398</v>
      </c>
      <c r="D1548" s="3">
        <v>400.85</v>
      </c>
      <c r="E1548" s="3">
        <v>397.25</v>
      </c>
      <c r="F1548" s="3">
        <v>396.8</v>
      </c>
      <c r="G1548" s="3">
        <v>400.3</v>
      </c>
      <c r="H1548" s="3">
        <v>399.9</v>
      </c>
      <c r="I1548" s="3">
        <v>399.77</v>
      </c>
      <c r="J1548" s="3">
        <v>471.5</v>
      </c>
      <c r="K1548" s="3">
        <v>390.15</v>
      </c>
      <c r="L1548" s="2">
        <v>16043867</v>
      </c>
      <c r="M1548" s="2">
        <v>6413886116.5</v>
      </c>
      <c r="N1548" s="2">
        <v>107335</v>
      </c>
      <c r="O1548" t="s">
        <v>22</v>
      </c>
    </row>
    <row r="1549" spans="1:15" x14ac:dyDescent="0.3">
      <c r="A1549" s="1">
        <v>45944</v>
      </c>
      <c r="B1549" t="s">
        <v>15</v>
      </c>
      <c r="C1549" s="3">
        <v>400</v>
      </c>
      <c r="D1549" s="3">
        <v>400.85</v>
      </c>
      <c r="E1549" s="3">
        <v>396.2</v>
      </c>
      <c r="F1549" s="3">
        <v>399.25</v>
      </c>
      <c r="G1549" s="3">
        <v>396.7</v>
      </c>
      <c r="H1549" s="3">
        <v>396.8</v>
      </c>
      <c r="I1549" s="3">
        <v>397.77</v>
      </c>
      <c r="J1549" s="3">
        <v>471.5</v>
      </c>
      <c r="K1549" s="3">
        <v>390.15</v>
      </c>
      <c r="L1549" s="2">
        <v>10291102</v>
      </c>
      <c r="M1549" s="2">
        <v>4093509264</v>
      </c>
      <c r="N1549" s="2">
        <v>155469</v>
      </c>
      <c r="O1549" t="s">
        <v>22</v>
      </c>
    </row>
    <row r="1550" spans="1:15" x14ac:dyDescent="0.3">
      <c r="A1550" s="1">
        <v>45943</v>
      </c>
      <c r="B1550" t="s">
        <v>15</v>
      </c>
      <c r="C1550" s="3">
        <v>400</v>
      </c>
      <c r="D1550" s="3">
        <v>400.95</v>
      </c>
      <c r="E1550" s="3">
        <v>398.55</v>
      </c>
      <c r="F1550" s="3">
        <v>402.8</v>
      </c>
      <c r="G1550" s="3">
        <v>399.4</v>
      </c>
      <c r="H1550" s="3">
        <v>399.25</v>
      </c>
      <c r="I1550" s="3">
        <v>399.67</v>
      </c>
      <c r="J1550" s="3">
        <v>471.5</v>
      </c>
      <c r="K1550" s="3">
        <v>390.15</v>
      </c>
      <c r="L1550" s="2">
        <v>9508594</v>
      </c>
      <c r="M1550" s="2">
        <v>3800278856.6999998</v>
      </c>
      <c r="N1550" s="2">
        <v>172792</v>
      </c>
      <c r="O1550" t="s">
        <v>22</v>
      </c>
    </row>
    <row r="1551" spans="1:15" x14ac:dyDescent="0.3">
      <c r="A1551" s="1">
        <v>45940</v>
      </c>
      <c r="B1551" t="s">
        <v>15</v>
      </c>
      <c r="C1551" s="3">
        <v>400.45</v>
      </c>
      <c r="D1551" s="3">
        <v>403.85</v>
      </c>
      <c r="E1551" s="3">
        <v>399.5</v>
      </c>
      <c r="F1551" s="3">
        <v>399.9</v>
      </c>
      <c r="G1551" s="3">
        <v>402.5</v>
      </c>
      <c r="H1551" s="3">
        <v>402.8</v>
      </c>
      <c r="I1551" s="3">
        <v>402.29</v>
      </c>
      <c r="J1551" s="3">
        <v>471.5</v>
      </c>
      <c r="K1551" s="3">
        <v>390.15</v>
      </c>
      <c r="L1551" s="2">
        <v>15085738</v>
      </c>
      <c r="M1551" s="2">
        <v>6068794009.1000004</v>
      </c>
      <c r="N1551" s="2">
        <v>115991</v>
      </c>
      <c r="O1551" t="s">
        <v>22</v>
      </c>
    </row>
    <row r="1552" spans="1:15" x14ac:dyDescent="0.3">
      <c r="A1552" s="1">
        <v>45939</v>
      </c>
      <c r="B1552" t="s">
        <v>15</v>
      </c>
      <c r="C1552" s="3">
        <v>399</v>
      </c>
      <c r="D1552" s="3">
        <v>401.4</v>
      </c>
      <c r="E1552" s="3">
        <v>398.95</v>
      </c>
      <c r="F1552" s="3">
        <v>399.75</v>
      </c>
      <c r="G1552" s="3">
        <v>399.3</v>
      </c>
      <c r="H1552" s="3">
        <v>399.9</v>
      </c>
      <c r="I1552" s="3">
        <v>399.97</v>
      </c>
      <c r="J1552" s="3">
        <v>471.5</v>
      </c>
      <c r="K1552" s="3">
        <v>390.15</v>
      </c>
      <c r="L1552" s="2">
        <v>15656267</v>
      </c>
      <c r="M1552" s="2">
        <v>6262021427.1000004</v>
      </c>
      <c r="N1552" s="2">
        <v>127019</v>
      </c>
      <c r="O1552" t="s">
        <v>22</v>
      </c>
    </row>
    <row r="1553" spans="1:15" x14ac:dyDescent="0.3">
      <c r="A1553" s="1">
        <v>45938</v>
      </c>
      <c r="B1553" t="s">
        <v>15</v>
      </c>
      <c r="C1553" s="3">
        <v>400</v>
      </c>
      <c r="D1553" s="3">
        <v>401.75</v>
      </c>
      <c r="E1553" s="3">
        <v>398</v>
      </c>
      <c r="F1553" s="3">
        <v>399.8</v>
      </c>
      <c r="G1553" s="3">
        <v>399.5</v>
      </c>
      <c r="H1553" s="3">
        <v>399.75</v>
      </c>
      <c r="I1553" s="3">
        <v>399.5</v>
      </c>
      <c r="J1553" s="3">
        <v>471.5</v>
      </c>
      <c r="K1553" s="3">
        <v>390.15</v>
      </c>
      <c r="L1553" s="2">
        <v>8402463</v>
      </c>
      <c r="M1553" s="2">
        <v>3356745732.5500002</v>
      </c>
      <c r="N1553" s="2">
        <v>93216</v>
      </c>
      <c r="O1553" t="s">
        <v>22</v>
      </c>
    </row>
    <row r="1554" spans="1:15" x14ac:dyDescent="0.3">
      <c r="A1554" s="1">
        <v>45937</v>
      </c>
      <c r="B1554" t="s">
        <v>15</v>
      </c>
      <c r="C1554" s="3">
        <v>402.5</v>
      </c>
      <c r="D1554" s="3">
        <v>402.6</v>
      </c>
      <c r="E1554" s="3">
        <v>399.5</v>
      </c>
      <c r="F1554" s="3">
        <v>400.75</v>
      </c>
      <c r="G1554" s="3">
        <v>399.9</v>
      </c>
      <c r="H1554" s="3">
        <v>399.8</v>
      </c>
      <c r="I1554" s="3">
        <v>400.47</v>
      </c>
      <c r="J1554" s="3">
        <v>471.5</v>
      </c>
      <c r="K1554" s="3">
        <v>390.15</v>
      </c>
      <c r="L1554" s="2">
        <v>12298968</v>
      </c>
      <c r="M1554" s="2">
        <v>4925318576.6999998</v>
      </c>
      <c r="N1554" s="2">
        <v>128812</v>
      </c>
      <c r="O1554" t="s">
        <v>22</v>
      </c>
    </row>
    <row r="1555" spans="1:15" x14ac:dyDescent="0.3">
      <c r="A1555" s="1">
        <v>45936</v>
      </c>
      <c r="B1555" t="s">
        <v>15</v>
      </c>
      <c r="C1555" s="3">
        <v>403</v>
      </c>
      <c r="D1555" s="3">
        <v>403.9</v>
      </c>
      <c r="E1555" s="3">
        <v>399.8</v>
      </c>
      <c r="F1555" s="3">
        <v>404.3</v>
      </c>
      <c r="G1555" s="3">
        <v>401.1</v>
      </c>
      <c r="H1555" s="3">
        <v>400.75</v>
      </c>
      <c r="I1555" s="3">
        <v>400.71</v>
      </c>
      <c r="J1555" s="3">
        <v>471.5</v>
      </c>
      <c r="K1555" s="3">
        <v>390.15</v>
      </c>
      <c r="L1555" s="2">
        <v>13989077</v>
      </c>
      <c r="M1555" s="2">
        <v>5605584637.3000002</v>
      </c>
      <c r="N1555" s="2">
        <v>119696</v>
      </c>
      <c r="O1555" t="s">
        <v>22</v>
      </c>
    </row>
    <row r="1556" spans="1:15" x14ac:dyDescent="0.3">
      <c r="A1556" s="1">
        <v>45933</v>
      </c>
      <c r="B1556" t="s">
        <v>15</v>
      </c>
      <c r="C1556" s="3">
        <v>404.9</v>
      </c>
      <c r="D1556" s="3">
        <v>405.5</v>
      </c>
      <c r="E1556" s="3">
        <v>402.3</v>
      </c>
      <c r="F1556" s="3">
        <v>405.6</v>
      </c>
      <c r="G1556" s="3">
        <v>404.6</v>
      </c>
      <c r="H1556" s="3">
        <v>404.3</v>
      </c>
      <c r="I1556" s="3">
        <v>404.32</v>
      </c>
      <c r="J1556" s="3">
        <v>471.5</v>
      </c>
      <c r="K1556" s="3">
        <v>390.15</v>
      </c>
      <c r="L1556" s="2">
        <v>16987141</v>
      </c>
      <c r="M1556" s="2">
        <v>6868213808.3000002</v>
      </c>
      <c r="N1556" s="2">
        <v>119898</v>
      </c>
      <c r="O1556" t="s">
        <v>22</v>
      </c>
    </row>
    <row r="1557" spans="1:15" x14ac:dyDescent="0.3">
      <c r="A1557" s="1">
        <v>45931</v>
      </c>
      <c r="B1557" t="s">
        <v>15</v>
      </c>
      <c r="C1557" s="3">
        <v>402.35</v>
      </c>
      <c r="D1557" s="3">
        <v>406</v>
      </c>
      <c r="E1557" s="3">
        <v>399.75</v>
      </c>
      <c r="F1557" s="3">
        <v>401.55</v>
      </c>
      <c r="G1557" s="3">
        <v>404.9</v>
      </c>
      <c r="H1557" s="3">
        <v>405.6</v>
      </c>
      <c r="I1557" s="3">
        <v>403.72</v>
      </c>
      <c r="J1557" s="3">
        <v>471.5</v>
      </c>
      <c r="K1557" s="3">
        <v>390.15</v>
      </c>
      <c r="L1557" s="2">
        <v>17643039</v>
      </c>
      <c r="M1557" s="2">
        <v>7122831971.25</v>
      </c>
      <c r="N1557" s="2">
        <v>116986</v>
      </c>
      <c r="O1557" t="s">
        <v>22</v>
      </c>
    </row>
    <row r="1558" spans="1:15" x14ac:dyDescent="0.3">
      <c r="A1558" s="1">
        <v>45930</v>
      </c>
      <c r="B1558" t="s">
        <v>15</v>
      </c>
      <c r="C1558" s="3">
        <v>406.75</v>
      </c>
      <c r="D1558" s="3">
        <v>406.75</v>
      </c>
      <c r="E1558" s="3">
        <v>400.4</v>
      </c>
      <c r="F1558" s="3">
        <v>407.25</v>
      </c>
      <c r="G1558" s="3">
        <v>401.7</v>
      </c>
      <c r="H1558" s="3">
        <v>401.55</v>
      </c>
      <c r="I1558" s="3">
        <v>402.22</v>
      </c>
      <c r="J1558" s="3">
        <v>471.5</v>
      </c>
      <c r="K1558" s="3">
        <v>390.15</v>
      </c>
      <c r="L1558" s="2">
        <v>9465490</v>
      </c>
      <c r="M1558" s="2">
        <v>3807199569.5</v>
      </c>
      <c r="N1558" s="2">
        <v>135011</v>
      </c>
      <c r="O1558" t="s">
        <v>22</v>
      </c>
    </row>
    <row r="1559" spans="1:15" x14ac:dyDescent="0.3">
      <c r="A1559" s="1">
        <v>45929</v>
      </c>
      <c r="B1559" t="s">
        <v>15</v>
      </c>
      <c r="C1559" s="3">
        <v>406.9</v>
      </c>
      <c r="D1559" s="3">
        <v>408</v>
      </c>
      <c r="E1559" s="3">
        <v>403.2</v>
      </c>
      <c r="F1559" s="3">
        <v>405.1</v>
      </c>
      <c r="G1559" s="3">
        <v>404.4</v>
      </c>
      <c r="H1559" s="3">
        <v>407.25</v>
      </c>
      <c r="I1559" s="3">
        <v>406.55</v>
      </c>
      <c r="J1559" s="3">
        <v>471.5</v>
      </c>
      <c r="K1559" s="3">
        <v>390.15</v>
      </c>
      <c r="L1559" s="2">
        <v>19717660</v>
      </c>
      <c r="M1559" s="2">
        <v>8016125728.8000002</v>
      </c>
      <c r="N1559" s="2">
        <v>138356</v>
      </c>
      <c r="O1559" t="s">
        <v>22</v>
      </c>
    </row>
    <row r="1560" spans="1:15" x14ac:dyDescent="0.3">
      <c r="A1560" s="1">
        <v>45926</v>
      </c>
      <c r="B1560" t="s">
        <v>15</v>
      </c>
      <c r="C1560" s="3">
        <v>400.1</v>
      </c>
      <c r="D1560" s="3">
        <v>405.9</v>
      </c>
      <c r="E1560" s="3">
        <v>399.8</v>
      </c>
      <c r="F1560" s="3">
        <v>400.1</v>
      </c>
      <c r="G1560" s="3">
        <v>405</v>
      </c>
      <c r="H1560" s="3">
        <v>405.1</v>
      </c>
      <c r="I1560" s="3">
        <v>403.62</v>
      </c>
      <c r="J1560" s="3">
        <v>471.5</v>
      </c>
      <c r="K1560" s="3">
        <v>390.15</v>
      </c>
      <c r="L1560" s="2">
        <v>14414044</v>
      </c>
      <c r="M1560" s="2">
        <v>5817782528.8999996</v>
      </c>
      <c r="N1560" s="2">
        <v>120767</v>
      </c>
      <c r="O1560" t="s">
        <v>22</v>
      </c>
    </row>
    <row r="1561" spans="1:15" x14ac:dyDescent="0.3">
      <c r="A1561" s="1">
        <v>45925</v>
      </c>
      <c r="B1561" t="s">
        <v>15</v>
      </c>
      <c r="C1561" s="3">
        <v>401.45</v>
      </c>
      <c r="D1561" s="3">
        <v>403</v>
      </c>
      <c r="E1561" s="3">
        <v>398</v>
      </c>
      <c r="F1561" s="3">
        <v>401</v>
      </c>
      <c r="G1561" s="3">
        <v>400.45</v>
      </c>
      <c r="H1561" s="3">
        <v>400.1</v>
      </c>
      <c r="I1561" s="3">
        <v>400.05</v>
      </c>
      <c r="J1561" s="3">
        <v>471.5</v>
      </c>
      <c r="K1561" s="3">
        <v>390.15</v>
      </c>
      <c r="L1561" s="2">
        <v>22006368</v>
      </c>
      <c r="M1561" s="2">
        <v>8803608106.5499992</v>
      </c>
      <c r="N1561" s="2">
        <v>174393</v>
      </c>
      <c r="O1561" t="s">
        <v>22</v>
      </c>
    </row>
    <row r="1562" spans="1:15" x14ac:dyDescent="0.3">
      <c r="A1562" s="1">
        <v>45924</v>
      </c>
      <c r="B1562" t="s">
        <v>15</v>
      </c>
      <c r="C1562" s="3">
        <v>403.2</v>
      </c>
      <c r="D1562" s="3">
        <v>404.65</v>
      </c>
      <c r="E1562" s="3">
        <v>400.7</v>
      </c>
      <c r="F1562" s="3">
        <v>403.2</v>
      </c>
      <c r="G1562" s="3">
        <v>401</v>
      </c>
      <c r="H1562" s="3">
        <v>401</v>
      </c>
      <c r="I1562" s="3">
        <v>401.65</v>
      </c>
      <c r="J1562" s="3">
        <v>471.5</v>
      </c>
      <c r="K1562" s="3">
        <v>390.15</v>
      </c>
      <c r="L1562" s="2">
        <v>12380865</v>
      </c>
      <c r="M1562" s="2">
        <v>4972836129.3500004</v>
      </c>
      <c r="N1562" s="2">
        <v>117613</v>
      </c>
      <c r="O1562" t="s">
        <v>22</v>
      </c>
    </row>
    <row r="1563" spans="1:15" x14ac:dyDescent="0.3">
      <c r="A1563" s="1">
        <v>45923</v>
      </c>
      <c r="B1563" t="s">
        <v>15</v>
      </c>
      <c r="C1563" s="3">
        <v>407.1</v>
      </c>
      <c r="D1563" s="3">
        <v>408.1</v>
      </c>
      <c r="E1563" s="3">
        <v>402.1</v>
      </c>
      <c r="F1563" s="3">
        <v>406.95</v>
      </c>
      <c r="G1563" s="3">
        <v>404</v>
      </c>
      <c r="H1563" s="3">
        <v>403.2</v>
      </c>
      <c r="I1563" s="3">
        <v>403.67</v>
      </c>
      <c r="J1563" s="3">
        <v>471.5</v>
      </c>
      <c r="K1563" s="3">
        <v>390.15</v>
      </c>
      <c r="L1563" s="2">
        <v>14936357</v>
      </c>
      <c r="M1563" s="2">
        <v>6029414917.8500004</v>
      </c>
      <c r="N1563" s="2">
        <v>165353</v>
      </c>
      <c r="O1563" t="s">
        <v>22</v>
      </c>
    </row>
    <row r="1564" spans="1:15" x14ac:dyDescent="0.3">
      <c r="A1564" s="1">
        <v>45922</v>
      </c>
      <c r="B1564" t="s">
        <v>15</v>
      </c>
      <c r="C1564" s="3">
        <v>410.65</v>
      </c>
      <c r="D1564" s="3">
        <v>411</v>
      </c>
      <c r="E1564" s="3">
        <v>406.05</v>
      </c>
      <c r="F1564" s="3">
        <v>410.65</v>
      </c>
      <c r="G1564" s="3">
        <v>407</v>
      </c>
      <c r="H1564" s="3">
        <v>406.95</v>
      </c>
      <c r="I1564" s="3">
        <v>408.02</v>
      </c>
      <c r="J1564" s="3">
        <v>471.5</v>
      </c>
      <c r="K1564" s="3">
        <v>390.15</v>
      </c>
      <c r="L1564" s="2">
        <v>8930779</v>
      </c>
      <c r="M1564" s="2">
        <v>3643975296.25</v>
      </c>
      <c r="N1564" s="2">
        <v>128779</v>
      </c>
      <c r="O1564" t="s">
        <v>22</v>
      </c>
    </row>
    <row r="1565" spans="1:15" x14ac:dyDescent="0.3">
      <c r="A1565" s="1">
        <v>45919</v>
      </c>
      <c r="B1565" t="s">
        <v>15</v>
      </c>
      <c r="C1565" s="3">
        <v>411.55</v>
      </c>
      <c r="D1565" s="3">
        <v>412.6</v>
      </c>
      <c r="E1565" s="3">
        <v>408.95</v>
      </c>
      <c r="F1565" s="3">
        <v>411.55</v>
      </c>
      <c r="G1565" s="3">
        <v>410</v>
      </c>
      <c r="H1565" s="3">
        <v>410.65</v>
      </c>
      <c r="I1565" s="3">
        <v>410.47</v>
      </c>
      <c r="J1565" s="3">
        <v>471.5</v>
      </c>
      <c r="K1565" s="3">
        <v>390.15</v>
      </c>
      <c r="L1565" s="2">
        <v>19505321</v>
      </c>
      <c r="M1565" s="2">
        <v>8006379578.25</v>
      </c>
      <c r="N1565" s="2">
        <v>119041</v>
      </c>
      <c r="O1565" t="s">
        <v>22</v>
      </c>
    </row>
    <row r="1566" spans="1:15" x14ac:dyDescent="0.3">
      <c r="A1566" s="1">
        <v>45918</v>
      </c>
      <c r="B1566" t="s">
        <v>15</v>
      </c>
      <c r="C1566" s="3">
        <v>411.35</v>
      </c>
      <c r="D1566" s="3">
        <v>413.05</v>
      </c>
      <c r="E1566" s="3">
        <v>410.1</v>
      </c>
      <c r="F1566" s="3">
        <v>409.3</v>
      </c>
      <c r="G1566" s="3">
        <v>412.5</v>
      </c>
      <c r="H1566" s="3">
        <v>411.55</v>
      </c>
      <c r="I1566" s="3">
        <v>411.51</v>
      </c>
      <c r="J1566" s="3">
        <v>471.5</v>
      </c>
      <c r="K1566" s="3">
        <v>390.15</v>
      </c>
      <c r="L1566" s="2">
        <v>15647808</v>
      </c>
      <c r="M1566" s="2">
        <v>6439299773.3000002</v>
      </c>
      <c r="N1566" s="2">
        <v>105500</v>
      </c>
      <c r="O1566" t="s">
        <v>22</v>
      </c>
    </row>
    <row r="1567" spans="1:15" x14ac:dyDescent="0.3">
      <c r="A1567" s="1">
        <v>45917</v>
      </c>
      <c r="B1567" t="s">
        <v>15</v>
      </c>
      <c r="C1567" s="3">
        <v>413.95</v>
      </c>
      <c r="D1567" s="3">
        <v>414.6</v>
      </c>
      <c r="E1567" s="3">
        <v>408.05</v>
      </c>
      <c r="F1567" s="3">
        <v>413.1</v>
      </c>
      <c r="G1567" s="3">
        <v>410.05</v>
      </c>
      <c r="H1567" s="3">
        <v>409.3</v>
      </c>
      <c r="I1567" s="3">
        <v>410.17</v>
      </c>
      <c r="J1567" s="3">
        <v>471.5</v>
      </c>
      <c r="K1567" s="3">
        <v>390.15</v>
      </c>
      <c r="L1567" s="2">
        <v>14113882</v>
      </c>
      <c r="M1567" s="2">
        <v>5789128854.5500002</v>
      </c>
      <c r="N1567" s="2">
        <v>147228</v>
      </c>
      <c r="O1567" t="s">
        <v>22</v>
      </c>
    </row>
    <row r="1568" spans="1:15" x14ac:dyDescent="0.3">
      <c r="A1568" s="1">
        <v>45916</v>
      </c>
      <c r="B1568" t="s">
        <v>15</v>
      </c>
      <c r="C1568" s="3">
        <v>413.2</v>
      </c>
      <c r="D1568" s="3">
        <v>414.35</v>
      </c>
      <c r="E1568" s="3">
        <v>412</v>
      </c>
      <c r="F1568" s="3">
        <v>412.65</v>
      </c>
      <c r="G1568" s="3">
        <v>413.65</v>
      </c>
      <c r="H1568" s="3">
        <v>413.1</v>
      </c>
      <c r="I1568" s="3">
        <v>413.12</v>
      </c>
      <c r="J1568" s="3">
        <v>471.5</v>
      </c>
      <c r="K1568" s="3">
        <v>390.15</v>
      </c>
      <c r="L1568" s="2">
        <v>8239087</v>
      </c>
      <c r="M1568" s="2">
        <v>3403729371.0500002</v>
      </c>
      <c r="N1568" s="2">
        <v>97899</v>
      </c>
      <c r="O1568" t="s">
        <v>22</v>
      </c>
    </row>
    <row r="1569" spans="1:15" x14ac:dyDescent="0.3">
      <c r="A1569" s="1">
        <v>45915</v>
      </c>
      <c r="B1569" t="s">
        <v>15</v>
      </c>
      <c r="C1569" s="3">
        <v>413.05</v>
      </c>
      <c r="D1569" s="3">
        <v>414.3</v>
      </c>
      <c r="E1569" s="3">
        <v>411.75</v>
      </c>
      <c r="F1569" s="3">
        <v>413.75</v>
      </c>
      <c r="G1569" s="3">
        <v>412.8</v>
      </c>
      <c r="H1569" s="3">
        <v>412.65</v>
      </c>
      <c r="I1569" s="3">
        <v>413.05</v>
      </c>
      <c r="J1569" s="3">
        <v>471.5</v>
      </c>
      <c r="K1569" s="3">
        <v>390.15</v>
      </c>
      <c r="L1569" s="2">
        <v>5707331</v>
      </c>
      <c r="M1569" s="2">
        <v>2357418512.5500002</v>
      </c>
      <c r="N1569" s="2">
        <v>91972</v>
      </c>
      <c r="O1569" t="s">
        <v>22</v>
      </c>
    </row>
    <row r="1570" spans="1:15" x14ac:dyDescent="0.3">
      <c r="A1570" s="1">
        <v>45912</v>
      </c>
      <c r="B1570" t="s">
        <v>15</v>
      </c>
      <c r="C1570" s="3">
        <v>415.35</v>
      </c>
      <c r="D1570" s="3">
        <v>417.05</v>
      </c>
      <c r="E1570" s="3">
        <v>412.85</v>
      </c>
      <c r="F1570" s="3">
        <v>415.05</v>
      </c>
      <c r="G1570" s="3">
        <v>413.55</v>
      </c>
      <c r="H1570" s="3">
        <v>413.75</v>
      </c>
      <c r="I1570" s="3">
        <v>414.89</v>
      </c>
      <c r="J1570" s="3">
        <v>471.5</v>
      </c>
      <c r="K1570" s="3">
        <v>390.15</v>
      </c>
      <c r="L1570" s="2">
        <v>7803379</v>
      </c>
      <c r="M1570" s="2">
        <v>3237550924.5</v>
      </c>
      <c r="N1570" s="2">
        <v>78225</v>
      </c>
      <c r="O1570" t="s">
        <v>22</v>
      </c>
    </row>
    <row r="1571" spans="1:15" x14ac:dyDescent="0.3">
      <c r="A1571" s="1">
        <v>45911</v>
      </c>
      <c r="B1571" t="s">
        <v>15</v>
      </c>
      <c r="C1571" s="3">
        <v>413.05</v>
      </c>
      <c r="D1571" s="3">
        <v>416.7</v>
      </c>
      <c r="E1571" s="3">
        <v>412.45</v>
      </c>
      <c r="F1571" s="3">
        <v>413.05</v>
      </c>
      <c r="G1571" s="3">
        <v>415.35</v>
      </c>
      <c r="H1571" s="3">
        <v>415.05</v>
      </c>
      <c r="I1571" s="3">
        <v>415.51</v>
      </c>
      <c r="J1571" s="3">
        <v>471.5</v>
      </c>
      <c r="K1571" s="3">
        <v>390.15</v>
      </c>
      <c r="L1571" s="2">
        <v>8274406</v>
      </c>
      <c r="M1571" s="2">
        <v>3438066391.5500002</v>
      </c>
      <c r="N1571" s="2">
        <v>195524</v>
      </c>
      <c r="O1571" t="s">
        <v>22</v>
      </c>
    </row>
    <row r="1572" spans="1:15" x14ac:dyDescent="0.3">
      <c r="A1572" s="1">
        <v>45910</v>
      </c>
      <c r="B1572" t="s">
        <v>15</v>
      </c>
      <c r="C1572" s="3">
        <v>411</v>
      </c>
      <c r="D1572" s="3">
        <v>413.7</v>
      </c>
      <c r="E1572" s="3">
        <v>408.95</v>
      </c>
      <c r="F1572" s="3">
        <v>410.05</v>
      </c>
      <c r="G1572" s="3">
        <v>413</v>
      </c>
      <c r="H1572" s="3">
        <v>413.05</v>
      </c>
      <c r="I1572" s="3">
        <v>411.25</v>
      </c>
      <c r="J1572" s="3">
        <v>471.5</v>
      </c>
      <c r="K1572" s="3">
        <v>390.15</v>
      </c>
      <c r="L1572" s="2">
        <v>9252397</v>
      </c>
      <c r="M1572" s="2">
        <v>3805055609.0500002</v>
      </c>
      <c r="N1572" s="2">
        <v>141806</v>
      </c>
      <c r="O1572" t="s">
        <v>22</v>
      </c>
    </row>
    <row r="1573" spans="1:15" x14ac:dyDescent="0.3">
      <c r="A1573" s="1">
        <v>45909</v>
      </c>
      <c r="B1573" t="s">
        <v>15</v>
      </c>
      <c r="C1573" s="3">
        <v>408.5</v>
      </c>
      <c r="D1573" s="3">
        <v>410.95</v>
      </c>
      <c r="E1573" s="3">
        <v>407.4</v>
      </c>
      <c r="F1573" s="3">
        <v>407.55</v>
      </c>
      <c r="G1573" s="3">
        <v>410</v>
      </c>
      <c r="H1573" s="3">
        <v>410.05</v>
      </c>
      <c r="I1573" s="3">
        <v>409.78</v>
      </c>
      <c r="J1573" s="3">
        <v>471.5</v>
      </c>
      <c r="K1573" s="3">
        <v>390.15</v>
      </c>
      <c r="L1573" s="2">
        <v>8825896</v>
      </c>
      <c r="M1573" s="2">
        <v>3616692854.5999999</v>
      </c>
      <c r="N1573" s="2">
        <v>88691</v>
      </c>
      <c r="O1573" t="s">
        <v>22</v>
      </c>
    </row>
    <row r="1574" spans="1:15" x14ac:dyDescent="0.3">
      <c r="A1574" s="1">
        <v>45908</v>
      </c>
      <c r="B1574" t="s">
        <v>15</v>
      </c>
      <c r="C1574" s="3">
        <v>407.45</v>
      </c>
      <c r="D1574" s="3">
        <v>410.55</v>
      </c>
      <c r="E1574" s="3">
        <v>406.8</v>
      </c>
      <c r="F1574" s="3">
        <v>407.35</v>
      </c>
      <c r="G1574" s="3">
        <v>408.4</v>
      </c>
      <c r="H1574" s="3">
        <v>407.55</v>
      </c>
      <c r="I1574" s="3">
        <v>408.21</v>
      </c>
      <c r="J1574" s="3">
        <v>471.5</v>
      </c>
      <c r="K1574" s="3">
        <v>390.15</v>
      </c>
      <c r="L1574" s="2">
        <v>7419022</v>
      </c>
      <c r="M1574" s="2">
        <v>3028506105.1500001</v>
      </c>
      <c r="N1574" s="2">
        <v>113635</v>
      </c>
      <c r="O1574" t="s">
        <v>22</v>
      </c>
    </row>
    <row r="1575" spans="1:15" x14ac:dyDescent="0.3">
      <c r="A1575" s="1">
        <v>45905</v>
      </c>
      <c r="B1575" t="s">
        <v>15</v>
      </c>
      <c r="C1575" s="3">
        <v>416.9</v>
      </c>
      <c r="D1575" s="3">
        <v>417</v>
      </c>
      <c r="E1575" s="3">
        <v>404.4</v>
      </c>
      <c r="F1575" s="3">
        <v>415.9</v>
      </c>
      <c r="G1575" s="3">
        <v>407.9</v>
      </c>
      <c r="H1575" s="3">
        <v>407.35</v>
      </c>
      <c r="I1575" s="3">
        <v>406.82</v>
      </c>
      <c r="J1575" s="3">
        <v>471.5</v>
      </c>
      <c r="K1575" s="3">
        <v>390.15</v>
      </c>
      <c r="L1575" s="2">
        <v>16000675</v>
      </c>
      <c r="M1575" s="2">
        <v>6509428201.4499998</v>
      </c>
      <c r="N1575" s="2">
        <v>213298</v>
      </c>
      <c r="O1575" t="s">
        <v>22</v>
      </c>
    </row>
    <row r="1576" spans="1:15" x14ac:dyDescent="0.3">
      <c r="A1576" s="1">
        <v>45904</v>
      </c>
      <c r="B1576" t="s">
        <v>15</v>
      </c>
      <c r="C1576" s="3">
        <v>423.95</v>
      </c>
      <c r="D1576" s="3">
        <v>427</v>
      </c>
      <c r="E1576" s="3">
        <v>415</v>
      </c>
      <c r="F1576" s="3">
        <v>411.75</v>
      </c>
      <c r="G1576" s="3">
        <v>415.75</v>
      </c>
      <c r="H1576" s="3">
        <v>415.9</v>
      </c>
      <c r="I1576" s="3">
        <v>418.56</v>
      </c>
      <c r="J1576" s="3">
        <v>471.5</v>
      </c>
      <c r="K1576" s="3">
        <v>390.15</v>
      </c>
      <c r="L1576" s="2">
        <v>27274123</v>
      </c>
      <c r="M1576" s="2">
        <v>11415887821.049999</v>
      </c>
      <c r="N1576" s="2">
        <v>271564</v>
      </c>
      <c r="O1576" t="s">
        <v>22</v>
      </c>
    </row>
    <row r="1577" spans="1:15" x14ac:dyDescent="0.3">
      <c r="A1577" s="1">
        <v>45903</v>
      </c>
      <c r="B1577" t="s">
        <v>15</v>
      </c>
      <c r="C1577" s="3">
        <v>408.5</v>
      </c>
      <c r="D1577" s="3">
        <v>413.25</v>
      </c>
      <c r="E1577" s="3">
        <v>407.3</v>
      </c>
      <c r="F1577" s="3">
        <v>406.75</v>
      </c>
      <c r="G1577" s="3">
        <v>411.1</v>
      </c>
      <c r="H1577" s="3">
        <v>411.75</v>
      </c>
      <c r="I1577" s="3">
        <v>410.55</v>
      </c>
      <c r="J1577" s="3">
        <v>471.5</v>
      </c>
      <c r="K1577" s="3">
        <v>390.15</v>
      </c>
      <c r="L1577" s="2">
        <v>12936588</v>
      </c>
      <c r="M1577" s="2">
        <v>5311134586.6000004</v>
      </c>
      <c r="N1577" s="2">
        <v>118422</v>
      </c>
      <c r="O1577" t="s">
        <v>22</v>
      </c>
    </row>
    <row r="1578" spans="1:15" x14ac:dyDescent="0.3">
      <c r="A1578" s="1">
        <v>45902</v>
      </c>
      <c r="B1578" t="s">
        <v>15</v>
      </c>
      <c r="C1578" s="3">
        <v>406.55</v>
      </c>
      <c r="D1578" s="3">
        <v>407.85</v>
      </c>
      <c r="E1578" s="3">
        <v>404.45</v>
      </c>
      <c r="F1578" s="3">
        <v>405.85</v>
      </c>
      <c r="G1578" s="3">
        <v>407</v>
      </c>
      <c r="H1578" s="3">
        <v>406.75</v>
      </c>
      <c r="I1578" s="3">
        <v>406.37</v>
      </c>
      <c r="J1578" s="3">
        <v>471.5</v>
      </c>
      <c r="K1578" s="3">
        <v>390.15</v>
      </c>
      <c r="L1578" s="2">
        <v>19808255</v>
      </c>
      <c r="M1578" s="2">
        <v>8049546791.5</v>
      </c>
      <c r="N1578" s="2">
        <v>224334</v>
      </c>
      <c r="O1578" t="s">
        <v>22</v>
      </c>
    </row>
    <row r="1579" spans="1:15" x14ac:dyDescent="0.3">
      <c r="A1579" s="1">
        <v>45901</v>
      </c>
      <c r="B1579" t="s">
        <v>15</v>
      </c>
      <c r="C1579" s="3">
        <v>409.75</v>
      </c>
      <c r="D1579" s="3">
        <v>410.2</v>
      </c>
      <c r="E1579" s="3">
        <v>405</v>
      </c>
      <c r="F1579" s="3">
        <v>409.75</v>
      </c>
      <c r="G1579" s="3">
        <v>405.55</v>
      </c>
      <c r="H1579" s="3">
        <v>405.85</v>
      </c>
      <c r="I1579" s="3">
        <v>406.32</v>
      </c>
      <c r="J1579" s="3">
        <v>471.5</v>
      </c>
      <c r="K1579" s="3">
        <v>390.15</v>
      </c>
      <c r="L1579" s="2">
        <v>12268090</v>
      </c>
      <c r="M1579" s="2">
        <v>4984783795.8000002</v>
      </c>
      <c r="N1579" s="2">
        <v>169790</v>
      </c>
      <c r="O1579" t="s">
        <v>22</v>
      </c>
    </row>
    <row r="1580" spans="1:15" x14ac:dyDescent="0.3">
      <c r="A1580" s="1">
        <v>45898</v>
      </c>
      <c r="B1580" t="s">
        <v>15</v>
      </c>
      <c r="C1580" s="3">
        <v>402</v>
      </c>
      <c r="D1580" s="3">
        <v>410.45</v>
      </c>
      <c r="E1580" s="3">
        <v>401.9</v>
      </c>
      <c r="F1580" s="3">
        <v>400.9</v>
      </c>
      <c r="G1580" s="3">
        <v>409.5</v>
      </c>
      <c r="H1580" s="3">
        <v>409.75</v>
      </c>
      <c r="I1580" s="3">
        <v>407.54</v>
      </c>
      <c r="J1580" s="3">
        <v>471.5</v>
      </c>
      <c r="K1580" s="3">
        <v>390.15</v>
      </c>
      <c r="L1580" s="2">
        <v>25255050</v>
      </c>
      <c r="M1580" s="2">
        <v>10292536558.9</v>
      </c>
      <c r="N1580" s="2">
        <v>152907</v>
      </c>
      <c r="O1580" t="s">
        <v>22</v>
      </c>
    </row>
    <row r="1581" spans="1:15" x14ac:dyDescent="0.3">
      <c r="A1581" s="1">
        <v>45897</v>
      </c>
      <c r="B1581" t="s">
        <v>15</v>
      </c>
      <c r="C1581" s="3">
        <v>404.5</v>
      </c>
      <c r="D1581" s="3">
        <v>404.5</v>
      </c>
      <c r="E1581" s="3">
        <v>400</v>
      </c>
      <c r="F1581" s="3">
        <v>403.35</v>
      </c>
      <c r="G1581" s="3">
        <v>400.8</v>
      </c>
      <c r="H1581" s="3">
        <v>400.9</v>
      </c>
      <c r="I1581" s="3">
        <v>401.4</v>
      </c>
      <c r="J1581" s="3">
        <v>471.5</v>
      </c>
      <c r="K1581" s="3">
        <v>390.15</v>
      </c>
      <c r="L1581" s="2">
        <v>12471719</v>
      </c>
      <c r="M1581" s="2">
        <v>5006114050</v>
      </c>
      <c r="N1581" s="2">
        <v>165609</v>
      </c>
      <c r="O1581" t="s">
        <v>22</v>
      </c>
    </row>
    <row r="1582" spans="1:15" x14ac:dyDescent="0.3">
      <c r="A1582" s="1">
        <v>45895</v>
      </c>
      <c r="B1582" t="s">
        <v>15</v>
      </c>
      <c r="C1582" s="3">
        <v>399.3</v>
      </c>
      <c r="D1582" s="3">
        <v>405.4</v>
      </c>
      <c r="E1582" s="3">
        <v>398.4</v>
      </c>
      <c r="F1582" s="3">
        <v>399.35</v>
      </c>
      <c r="G1582" s="3">
        <v>403.35</v>
      </c>
      <c r="H1582" s="3">
        <v>403.35</v>
      </c>
      <c r="I1582" s="3">
        <v>402.3</v>
      </c>
      <c r="J1582" s="3">
        <v>471.5</v>
      </c>
      <c r="K1582" s="3">
        <v>390.15</v>
      </c>
      <c r="L1582" s="2">
        <v>13715752</v>
      </c>
      <c r="M1582" s="2">
        <v>5517842190</v>
      </c>
      <c r="N1582" s="2">
        <v>180641</v>
      </c>
      <c r="O1582" t="s">
        <v>22</v>
      </c>
    </row>
    <row r="1583" spans="1:15" x14ac:dyDescent="0.3">
      <c r="A1583" s="1">
        <v>45894</v>
      </c>
      <c r="B1583" t="s">
        <v>15</v>
      </c>
      <c r="C1583" s="3">
        <v>399</v>
      </c>
      <c r="D1583" s="3">
        <v>400.55</v>
      </c>
      <c r="E1583" s="3">
        <v>396.25</v>
      </c>
      <c r="F1583" s="3">
        <v>398.3</v>
      </c>
      <c r="G1583" s="3">
        <v>399.15</v>
      </c>
      <c r="H1583" s="3">
        <v>399.35</v>
      </c>
      <c r="I1583" s="3">
        <v>399.17</v>
      </c>
      <c r="J1583" s="3">
        <v>471.5</v>
      </c>
      <c r="K1583" s="3">
        <v>390.15</v>
      </c>
      <c r="L1583" s="2">
        <v>10440286</v>
      </c>
      <c r="M1583" s="2">
        <v>4167497911.5</v>
      </c>
      <c r="N1583" s="2">
        <v>142577</v>
      </c>
      <c r="O1583" t="s">
        <v>22</v>
      </c>
    </row>
    <row r="1584" spans="1:15" x14ac:dyDescent="0.3">
      <c r="A1584" s="1">
        <v>45891</v>
      </c>
      <c r="B1584" t="s">
        <v>15</v>
      </c>
      <c r="C1584" s="3">
        <v>406</v>
      </c>
      <c r="D1584" s="3">
        <v>406.5</v>
      </c>
      <c r="E1584" s="3">
        <v>397.5</v>
      </c>
      <c r="F1584" s="3">
        <v>405.55</v>
      </c>
      <c r="G1584" s="3">
        <v>398.3</v>
      </c>
      <c r="H1584" s="3">
        <v>398.3</v>
      </c>
      <c r="I1584" s="3">
        <v>399.91</v>
      </c>
      <c r="J1584" s="3">
        <v>471.5</v>
      </c>
      <c r="K1584" s="3">
        <v>390.15</v>
      </c>
      <c r="L1584" s="2">
        <v>13087624</v>
      </c>
      <c r="M1584" s="2">
        <v>5233881432.8000002</v>
      </c>
      <c r="N1584" s="2">
        <v>204639</v>
      </c>
      <c r="O1584" t="s">
        <v>22</v>
      </c>
    </row>
    <row r="1585" spans="1:15" x14ac:dyDescent="0.3">
      <c r="A1585" s="1">
        <v>45890</v>
      </c>
      <c r="B1585" t="s">
        <v>15</v>
      </c>
      <c r="C1585" s="3">
        <v>406.05</v>
      </c>
      <c r="D1585" s="3">
        <v>406.85</v>
      </c>
      <c r="E1585" s="3">
        <v>403.35</v>
      </c>
      <c r="F1585" s="3">
        <v>406.05</v>
      </c>
      <c r="G1585" s="3">
        <v>406</v>
      </c>
      <c r="H1585" s="3">
        <v>405.55</v>
      </c>
      <c r="I1585" s="3">
        <v>405.69</v>
      </c>
      <c r="J1585" s="3">
        <v>471.5</v>
      </c>
      <c r="K1585" s="3">
        <v>390.15</v>
      </c>
      <c r="L1585" s="2">
        <v>15028966</v>
      </c>
      <c r="M1585" s="2">
        <v>6097100177.4499998</v>
      </c>
      <c r="N1585" s="2">
        <v>182931</v>
      </c>
      <c r="O1585" t="s">
        <v>22</v>
      </c>
    </row>
    <row r="1586" spans="1:15" x14ac:dyDescent="0.3">
      <c r="A1586" s="1">
        <v>45889</v>
      </c>
      <c r="B1586" t="s">
        <v>15</v>
      </c>
      <c r="C1586" s="3">
        <v>409.1</v>
      </c>
      <c r="D1586" s="3">
        <v>410.25</v>
      </c>
      <c r="E1586" s="3">
        <v>405.45</v>
      </c>
      <c r="F1586" s="3">
        <v>409.1</v>
      </c>
      <c r="G1586" s="3">
        <v>406.25</v>
      </c>
      <c r="H1586" s="3">
        <v>406.05</v>
      </c>
      <c r="I1586" s="3">
        <v>407.87</v>
      </c>
      <c r="J1586" s="3">
        <v>471.5</v>
      </c>
      <c r="K1586" s="3">
        <v>390.15</v>
      </c>
      <c r="L1586" s="2">
        <v>18188129</v>
      </c>
      <c r="M1586" s="2">
        <v>7418416584.5500002</v>
      </c>
      <c r="N1586" s="2">
        <v>158846</v>
      </c>
      <c r="O1586" t="s">
        <v>22</v>
      </c>
    </row>
    <row r="1587" spans="1:15" x14ac:dyDescent="0.3">
      <c r="A1587" s="1">
        <v>45888</v>
      </c>
      <c r="B1587" t="s">
        <v>15</v>
      </c>
      <c r="C1587" s="3">
        <v>406.35</v>
      </c>
      <c r="D1587" s="3">
        <v>409.4</v>
      </c>
      <c r="E1587" s="3">
        <v>404.5</v>
      </c>
      <c r="F1587" s="3">
        <v>406.3</v>
      </c>
      <c r="G1587" s="3">
        <v>409.1</v>
      </c>
      <c r="H1587" s="3">
        <v>409.1</v>
      </c>
      <c r="I1587" s="3">
        <v>406.86</v>
      </c>
      <c r="J1587" s="3">
        <v>471.5</v>
      </c>
      <c r="K1587" s="3">
        <v>390.15</v>
      </c>
      <c r="L1587" s="2">
        <v>16681331</v>
      </c>
      <c r="M1587" s="2">
        <v>6786912397.3000002</v>
      </c>
      <c r="N1587" s="2">
        <v>175005</v>
      </c>
      <c r="O1587" t="s">
        <v>22</v>
      </c>
    </row>
    <row r="1588" spans="1:15" x14ac:dyDescent="0.3">
      <c r="A1588" s="1">
        <v>45887</v>
      </c>
      <c r="B1588" t="s">
        <v>15</v>
      </c>
      <c r="C1588" s="3">
        <v>413</v>
      </c>
      <c r="D1588" s="3">
        <v>413.7</v>
      </c>
      <c r="E1588" s="3">
        <v>404.85</v>
      </c>
      <c r="F1588" s="3">
        <v>411.45</v>
      </c>
      <c r="G1588" s="3">
        <v>405.3</v>
      </c>
      <c r="H1588" s="3">
        <v>406.3</v>
      </c>
      <c r="I1588" s="3">
        <v>408.7</v>
      </c>
      <c r="J1588" s="3">
        <v>471.5</v>
      </c>
      <c r="K1588" s="3">
        <v>390.15</v>
      </c>
      <c r="L1588" s="2">
        <v>30950814</v>
      </c>
      <c r="M1588" s="2">
        <v>12649659054.299999</v>
      </c>
      <c r="N1588" s="2">
        <v>193343</v>
      </c>
      <c r="O1588" t="s">
        <v>22</v>
      </c>
    </row>
    <row r="1589" spans="1:15" x14ac:dyDescent="0.3">
      <c r="A1589" s="1">
        <v>45883</v>
      </c>
      <c r="B1589" t="s">
        <v>15</v>
      </c>
      <c r="C1589" s="3">
        <v>414.25</v>
      </c>
      <c r="D1589" s="3">
        <v>415.05</v>
      </c>
      <c r="E1589" s="3">
        <v>411</v>
      </c>
      <c r="F1589" s="3">
        <v>414.1</v>
      </c>
      <c r="G1589" s="3">
        <v>411.45</v>
      </c>
      <c r="H1589" s="3">
        <v>411.45</v>
      </c>
      <c r="I1589" s="3">
        <v>412.48</v>
      </c>
      <c r="J1589" s="3">
        <v>471.5</v>
      </c>
      <c r="K1589" s="3">
        <v>390.15</v>
      </c>
      <c r="L1589" s="2">
        <v>9580361</v>
      </c>
      <c r="M1589" s="2">
        <v>3951669337.5</v>
      </c>
      <c r="N1589" s="2">
        <v>122767</v>
      </c>
      <c r="O1589" t="s">
        <v>22</v>
      </c>
    </row>
    <row r="1590" spans="1:15" x14ac:dyDescent="0.3">
      <c r="A1590" s="1">
        <v>45882</v>
      </c>
      <c r="B1590" t="s">
        <v>15</v>
      </c>
      <c r="C1590" s="3">
        <v>417.2</v>
      </c>
      <c r="D1590" s="3">
        <v>417.5</v>
      </c>
      <c r="E1590" s="3">
        <v>413.6</v>
      </c>
      <c r="F1590" s="3">
        <v>416.35</v>
      </c>
      <c r="G1590" s="3">
        <v>414.2</v>
      </c>
      <c r="H1590" s="3">
        <v>414.1</v>
      </c>
      <c r="I1590" s="3">
        <v>414.82</v>
      </c>
      <c r="J1590" s="3">
        <v>471.5</v>
      </c>
      <c r="K1590" s="3">
        <v>390.15</v>
      </c>
      <c r="L1590" s="2">
        <v>10874910</v>
      </c>
      <c r="M1590" s="2">
        <v>4511079760.8000002</v>
      </c>
      <c r="N1590" s="2">
        <v>86765</v>
      </c>
      <c r="O1590" t="s">
        <v>22</v>
      </c>
    </row>
    <row r="1591" spans="1:15" x14ac:dyDescent="0.3">
      <c r="A1591" s="1">
        <v>45881</v>
      </c>
      <c r="B1591" t="s">
        <v>15</v>
      </c>
      <c r="C1591" s="3">
        <v>417</v>
      </c>
      <c r="D1591" s="3">
        <v>419.8</v>
      </c>
      <c r="E1591" s="3">
        <v>415.3</v>
      </c>
      <c r="F1591" s="3">
        <v>416.85</v>
      </c>
      <c r="G1591" s="3">
        <v>416.1</v>
      </c>
      <c r="H1591" s="3">
        <v>416.35</v>
      </c>
      <c r="I1591" s="3">
        <v>417.43</v>
      </c>
      <c r="J1591" s="3">
        <v>471.5</v>
      </c>
      <c r="K1591" s="3">
        <v>390.15</v>
      </c>
      <c r="L1591" s="2">
        <v>13635738</v>
      </c>
      <c r="M1591" s="2">
        <v>5692002511.3999996</v>
      </c>
      <c r="N1591" s="2">
        <v>105553</v>
      </c>
      <c r="O1591" t="s">
        <v>22</v>
      </c>
    </row>
    <row r="1592" spans="1:15" x14ac:dyDescent="0.3">
      <c r="A1592" s="1">
        <v>45880</v>
      </c>
      <c r="B1592" t="s">
        <v>15</v>
      </c>
      <c r="C1592" s="3">
        <v>414.5</v>
      </c>
      <c r="D1592" s="3">
        <v>417</v>
      </c>
      <c r="E1592" s="3">
        <v>414</v>
      </c>
      <c r="F1592" s="3">
        <v>414.5</v>
      </c>
      <c r="G1592" s="3">
        <v>417</v>
      </c>
      <c r="H1592" s="3">
        <v>416.85</v>
      </c>
      <c r="I1592" s="3">
        <v>416.05</v>
      </c>
      <c r="J1592" s="3">
        <v>471.5</v>
      </c>
      <c r="K1592" s="3">
        <v>390.15</v>
      </c>
      <c r="L1592" s="2">
        <v>8514272</v>
      </c>
      <c r="M1592" s="2">
        <v>3542355434.8000002</v>
      </c>
      <c r="N1592" s="2">
        <v>111986</v>
      </c>
      <c r="O1592" t="s">
        <v>22</v>
      </c>
    </row>
    <row r="1593" spans="1:15" x14ac:dyDescent="0.3">
      <c r="A1593" s="1">
        <v>45877</v>
      </c>
      <c r="B1593" t="s">
        <v>15</v>
      </c>
      <c r="C1593" s="3">
        <v>413.9</v>
      </c>
      <c r="D1593" s="3">
        <v>415.35</v>
      </c>
      <c r="E1593" s="3">
        <v>412.95</v>
      </c>
      <c r="F1593" s="3">
        <v>413.6</v>
      </c>
      <c r="G1593" s="3">
        <v>414.45</v>
      </c>
      <c r="H1593" s="3">
        <v>414.5</v>
      </c>
      <c r="I1593" s="3">
        <v>414.32</v>
      </c>
      <c r="J1593" s="3">
        <v>471.5</v>
      </c>
      <c r="K1593" s="3">
        <v>390.15</v>
      </c>
      <c r="L1593" s="2">
        <v>9814361</v>
      </c>
      <c r="M1593" s="2">
        <v>4066250194.9000001</v>
      </c>
      <c r="N1593" s="2">
        <v>95336</v>
      </c>
      <c r="O1593" t="s">
        <v>22</v>
      </c>
    </row>
    <row r="1594" spans="1:15" x14ac:dyDescent="0.3">
      <c r="A1594" s="1">
        <v>45876</v>
      </c>
      <c r="B1594" t="s">
        <v>15</v>
      </c>
      <c r="C1594" s="3">
        <v>412</v>
      </c>
      <c r="D1594" s="3">
        <v>414.75</v>
      </c>
      <c r="E1594" s="3">
        <v>411.65</v>
      </c>
      <c r="F1594" s="3">
        <v>412</v>
      </c>
      <c r="G1594" s="3">
        <v>413.8</v>
      </c>
      <c r="H1594" s="3">
        <v>413.6</v>
      </c>
      <c r="I1594" s="3">
        <v>413.34</v>
      </c>
      <c r="J1594" s="3">
        <v>471.5</v>
      </c>
      <c r="K1594" s="3">
        <v>390.15</v>
      </c>
      <c r="L1594" s="2">
        <v>11514878</v>
      </c>
      <c r="M1594" s="2">
        <v>4759538600.1000004</v>
      </c>
      <c r="N1594" s="2">
        <v>107647</v>
      </c>
      <c r="O1594" t="s">
        <v>22</v>
      </c>
    </row>
    <row r="1595" spans="1:15" x14ac:dyDescent="0.3">
      <c r="A1595" s="1">
        <v>45875</v>
      </c>
      <c r="B1595" t="s">
        <v>15</v>
      </c>
      <c r="C1595" s="3">
        <v>414.15</v>
      </c>
      <c r="D1595" s="3">
        <v>415</v>
      </c>
      <c r="E1595" s="3">
        <v>410.5</v>
      </c>
      <c r="F1595" s="3">
        <v>414.15</v>
      </c>
      <c r="G1595" s="3">
        <v>412.2</v>
      </c>
      <c r="H1595" s="3">
        <v>412</v>
      </c>
      <c r="I1595" s="3">
        <v>411.74</v>
      </c>
      <c r="J1595" s="3">
        <v>471.5</v>
      </c>
      <c r="K1595" s="3">
        <v>390.15</v>
      </c>
      <c r="L1595" s="2">
        <v>9080543</v>
      </c>
      <c r="M1595" s="2">
        <v>3738841645.3000002</v>
      </c>
      <c r="N1595" s="2">
        <v>123746</v>
      </c>
      <c r="O1595" t="s">
        <v>22</v>
      </c>
    </row>
    <row r="1596" spans="1:15" x14ac:dyDescent="0.3">
      <c r="A1596" s="1">
        <v>45874</v>
      </c>
      <c r="B1596" t="s">
        <v>15</v>
      </c>
      <c r="C1596" s="3">
        <v>417.2</v>
      </c>
      <c r="D1596" s="3">
        <v>417.95</v>
      </c>
      <c r="E1596" s="3">
        <v>413</v>
      </c>
      <c r="F1596" s="3">
        <v>416.85</v>
      </c>
      <c r="G1596" s="3">
        <v>413.8</v>
      </c>
      <c r="H1596" s="3">
        <v>414.15</v>
      </c>
      <c r="I1596" s="3">
        <v>414.33</v>
      </c>
      <c r="J1596" s="3">
        <v>471.5</v>
      </c>
      <c r="K1596" s="3">
        <v>390.15</v>
      </c>
      <c r="L1596" s="2">
        <v>8495104</v>
      </c>
      <c r="M1596" s="2">
        <v>3519798904.0500002</v>
      </c>
      <c r="N1596" s="2">
        <v>147684</v>
      </c>
      <c r="O1596" t="s">
        <v>22</v>
      </c>
    </row>
    <row r="1597" spans="1:15" x14ac:dyDescent="0.3">
      <c r="A1597" s="1">
        <v>45873</v>
      </c>
      <c r="B1597" t="s">
        <v>15</v>
      </c>
      <c r="C1597" s="3">
        <v>420.2</v>
      </c>
      <c r="D1597" s="3">
        <v>422.5</v>
      </c>
      <c r="E1597" s="3">
        <v>415.1</v>
      </c>
      <c r="F1597" s="3">
        <v>416.45</v>
      </c>
      <c r="G1597" s="3">
        <v>416.65</v>
      </c>
      <c r="H1597" s="3">
        <v>416.85</v>
      </c>
      <c r="I1597" s="3">
        <v>417.96</v>
      </c>
      <c r="J1597" s="3">
        <v>471.5</v>
      </c>
      <c r="K1597" s="3">
        <v>390.15</v>
      </c>
      <c r="L1597" s="2">
        <v>18352458</v>
      </c>
      <c r="M1597" s="2">
        <v>7670504419.3999996</v>
      </c>
      <c r="N1597" s="2">
        <v>346053</v>
      </c>
      <c r="O1597" t="s">
        <v>22</v>
      </c>
    </row>
    <row r="1598" spans="1:15" x14ac:dyDescent="0.3">
      <c r="A1598" s="1">
        <v>45870</v>
      </c>
      <c r="B1598" t="s">
        <v>15</v>
      </c>
      <c r="C1598" s="3">
        <v>412.4</v>
      </c>
      <c r="D1598" s="3">
        <v>419.35</v>
      </c>
      <c r="E1598" s="3">
        <v>411.8</v>
      </c>
      <c r="F1598" s="3">
        <v>411.95</v>
      </c>
      <c r="G1598" s="3">
        <v>416.6</v>
      </c>
      <c r="H1598" s="3">
        <v>416.45</v>
      </c>
      <c r="I1598" s="3">
        <v>416.54</v>
      </c>
      <c r="J1598" s="3">
        <v>471.5</v>
      </c>
      <c r="K1598" s="3">
        <v>390.15</v>
      </c>
      <c r="L1598" s="2">
        <v>14324065</v>
      </c>
      <c r="M1598" s="2">
        <v>5966572601.75</v>
      </c>
      <c r="N1598" s="2">
        <v>143905</v>
      </c>
      <c r="O1598" t="s">
        <v>22</v>
      </c>
    </row>
    <row r="1599" spans="1:15" x14ac:dyDescent="0.3">
      <c r="A1599" s="1">
        <v>45869</v>
      </c>
      <c r="B1599" t="s">
        <v>15</v>
      </c>
      <c r="C1599" s="3">
        <v>405.95</v>
      </c>
      <c r="D1599" s="3">
        <v>414</v>
      </c>
      <c r="E1599" s="3">
        <v>405.55</v>
      </c>
      <c r="F1599" s="3">
        <v>407.6</v>
      </c>
      <c r="G1599" s="3">
        <v>411.7</v>
      </c>
      <c r="H1599" s="3">
        <v>411.95</v>
      </c>
      <c r="I1599" s="3">
        <v>410.46</v>
      </c>
      <c r="J1599" s="3">
        <v>471.5</v>
      </c>
      <c r="K1599" s="3">
        <v>390.15</v>
      </c>
      <c r="L1599" s="2">
        <v>19364174</v>
      </c>
      <c r="M1599" s="2">
        <v>7948130344.6999998</v>
      </c>
      <c r="N1599" s="2">
        <v>145541</v>
      </c>
      <c r="O1599" t="s">
        <v>22</v>
      </c>
    </row>
    <row r="1600" spans="1:15" x14ac:dyDescent="0.3">
      <c r="A1600" s="1">
        <v>45868</v>
      </c>
      <c r="B1600" t="s">
        <v>15</v>
      </c>
      <c r="C1600" s="3">
        <v>409</v>
      </c>
      <c r="D1600" s="3">
        <v>409.3</v>
      </c>
      <c r="E1600" s="3">
        <v>405.75</v>
      </c>
      <c r="F1600" s="3">
        <v>408.45</v>
      </c>
      <c r="G1600" s="3">
        <v>407.8</v>
      </c>
      <c r="H1600" s="3">
        <v>407.6</v>
      </c>
      <c r="I1600" s="3">
        <v>407.37</v>
      </c>
      <c r="J1600" s="3">
        <v>471.5</v>
      </c>
      <c r="K1600" s="3">
        <v>390.15</v>
      </c>
      <c r="L1600" s="2">
        <v>10915863</v>
      </c>
      <c r="M1600" s="2">
        <v>4446803251.75</v>
      </c>
      <c r="N1600" s="2">
        <v>102742</v>
      </c>
      <c r="O1600" t="s">
        <v>22</v>
      </c>
    </row>
    <row r="1601" spans="1:15" x14ac:dyDescent="0.3">
      <c r="A1601" s="1">
        <v>45867</v>
      </c>
      <c r="B1601" t="s">
        <v>15</v>
      </c>
      <c r="C1601" s="3">
        <v>410</v>
      </c>
      <c r="D1601" s="3">
        <v>411.4</v>
      </c>
      <c r="E1601" s="3">
        <v>408</v>
      </c>
      <c r="F1601" s="3">
        <v>409.9</v>
      </c>
      <c r="G1601" s="3">
        <v>408.2</v>
      </c>
      <c r="H1601" s="3">
        <v>408.45</v>
      </c>
      <c r="I1601" s="3">
        <v>409.3</v>
      </c>
      <c r="J1601" s="3">
        <v>471.5</v>
      </c>
      <c r="K1601" s="3">
        <v>390.15</v>
      </c>
      <c r="L1601" s="2">
        <v>6811772</v>
      </c>
      <c r="M1601" s="2">
        <v>2788074823.5500002</v>
      </c>
      <c r="N1601" s="2">
        <v>97448</v>
      </c>
      <c r="O1601" t="s">
        <v>22</v>
      </c>
    </row>
    <row r="1602" spans="1:15" x14ac:dyDescent="0.3">
      <c r="A1602" s="1">
        <v>45866</v>
      </c>
      <c r="B1602" t="s">
        <v>15</v>
      </c>
      <c r="C1602" s="3">
        <v>410.8</v>
      </c>
      <c r="D1602" s="3">
        <v>410.85</v>
      </c>
      <c r="E1602" s="3">
        <v>408.6</v>
      </c>
      <c r="F1602" s="3">
        <v>409.4</v>
      </c>
      <c r="G1602" s="3">
        <v>409.8</v>
      </c>
      <c r="H1602" s="3">
        <v>409.9</v>
      </c>
      <c r="I1602" s="3">
        <v>409.88</v>
      </c>
      <c r="J1602" s="3">
        <v>471.5</v>
      </c>
      <c r="K1602" s="3">
        <v>390.15</v>
      </c>
      <c r="L1602" s="2">
        <v>8123337</v>
      </c>
      <c r="M1602" s="2">
        <v>3329557179.75</v>
      </c>
      <c r="N1602" s="2">
        <v>86106</v>
      </c>
      <c r="O1602" t="s">
        <v>22</v>
      </c>
    </row>
    <row r="1603" spans="1:15" x14ac:dyDescent="0.3">
      <c r="A1603" s="1">
        <v>45863</v>
      </c>
      <c r="B1603" t="s">
        <v>15</v>
      </c>
      <c r="C1603" s="3">
        <v>410</v>
      </c>
      <c r="D1603" s="3">
        <v>410.25</v>
      </c>
      <c r="E1603" s="3">
        <v>407.75</v>
      </c>
      <c r="F1603" s="3">
        <v>409.95</v>
      </c>
      <c r="G1603" s="3">
        <v>409.6</v>
      </c>
      <c r="H1603" s="3">
        <v>409.4</v>
      </c>
      <c r="I1603" s="3">
        <v>409.17</v>
      </c>
      <c r="J1603" s="3">
        <v>471.5</v>
      </c>
      <c r="K1603" s="3">
        <v>390.15</v>
      </c>
      <c r="L1603" s="2">
        <v>5824089</v>
      </c>
      <c r="M1603" s="2">
        <v>2383043433.0500002</v>
      </c>
      <c r="N1603" s="2">
        <v>100941</v>
      </c>
      <c r="O1603" t="s">
        <v>22</v>
      </c>
    </row>
    <row r="1604" spans="1:15" x14ac:dyDescent="0.3">
      <c r="A1604" s="1">
        <v>45862</v>
      </c>
      <c r="B1604" t="s">
        <v>15</v>
      </c>
      <c r="C1604" s="3">
        <v>415.85</v>
      </c>
      <c r="D1604" s="3">
        <v>415.85</v>
      </c>
      <c r="E1604" s="3">
        <v>409.45</v>
      </c>
      <c r="F1604" s="3">
        <v>414.95</v>
      </c>
      <c r="G1604" s="3">
        <v>410</v>
      </c>
      <c r="H1604" s="3">
        <v>409.95</v>
      </c>
      <c r="I1604" s="3">
        <v>411.42</v>
      </c>
      <c r="J1604" s="3">
        <v>471.5</v>
      </c>
      <c r="K1604" s="3">
        <v>390.15</v>
      </c>
      <c r="L1604" s="2">
        <v>9005157</v>
      </c>
      <c r="M1604" s="2">
        <v>3704882523.9499998</v>
      </c>
      <c r="N1604" s="2">
        <v>132378</v>
      </c>
      <c r="O1604" t="s">
        <v>22</v>
      </c>
    </row>
    <row r="1605" spans="1:15" x14ac:dyDescent="0.3">
      <c r="A1605" s="1">
        <v>45861</v>
      </c>
      <c r="B1605" t="s">
        <v>15</v>
      </c>
      <c r="C1605" s="3">
        <v>417.1</v>
      </c>
      <c r="D1605" s="3">
        <v>417.9</v>
      </c>
      <c r="E1605" s="3">
        <v>414</v>
      </c>
      <c r="F1605" s="3">
        <v>416</v>
      </c>
      <c r="G1605" s="3">
        <v>415</v>
      </c>
      <c r="H1605" s="3">
        <v>414.95</v>
      </c>
      <c r="I1605" s="3">
        <v>415.04</v>
      </c>
      <c r="J1605" s="3">
        <v>471.5</v>
      </c>
      <c r="K1605" s="3">
        <v>390.15</v>
      </c>
      <c r="L1605" s="2">
        <v>12196187</v>
      </c>
      <c r="M1605" s="2">
        <v>5061866238.3999996</v>
      </c>
      <c r="N1605" s="2">
        <v>99775</v>
      </c>
      <c r="O1605" t="s">
        <v>22</v>
      </c>
    </row>
    <row r="1606" spans="1:15" x14ac:dyDescent="0.3">
      <c r="A1606" s="1">
        <v>45860</v>
      </c>
      <c r="B1606" t="s">
        <v>15</v>
      </c>
      <c r="C1606" s="3">
        <v>420.1</v>
      </c>
      <c r="D1606" s="3">
        <v>420.4</v>
      </c>
      <c r="E1606" s="3">
        <v>415.2</v>
      </c>
      <c r="F1606" s="3">
        <v>420.1</v>
      </c>
      <c r="G1606" s="3">
        <v>415.95</v>
      </c>
      <c r="H1606" s="3">
        <v>416</v>
      </c>
      <c r="I1606" s="3">
        <v>416.82</v>
      </c>
      <c r="J1606" s="3">
        <v>471.5</v>
      </c>
      <c r="K1606" s="3">
        <v>390.15</v>
      </c>
      <c r="L1606" s="2">
        <v>9869507</v>
      </c>
      <c r="M1606" s="2">
        <v>4113826380.9499998</v>
      </c>
      <c r="N1606" s="2">
        <v>117437</v>
      </c>
      <c r="O1606" t="s">
        <v>22</v>
      </c>
    </row>
    <row r="1607" spans="1:15" x14ac:dyDescent="0.3">
      <c r="A1607" s="1">
        <v>45859</v>
      </c>
      <c r="B1607" t="s">
        <v>15</v>
      </c>
      <c r="C1607" s="3">
        <v>422</v>
      </c>
      <c r="D1607" s="3">
        <v>422.75</v>
      </c>
      <c r="E1607" s="3">
        <v>418.4</v>
      </c>
      <c r="F1607" s="3">
        <v>422.75</v>
      </c>
      <c r="G1607" s="3">
        <v>420.3</v>
      </c>
      <c r="H1607" s="3">
        <v>420.1</v>
      </c>
      <c r="I1607" s="3">
        <v>420.55</v>
      </c>
      <c r="J1607" s="3">
        <v>471.5</v>
      </c>
      <c r="K1607" s="3">
        <v>390.15</v>
      </c>
      <c r="L1607" s="2">
        <v>4822343</v>
      </c>
      <c r="M1607" s="2">
        <v>2028012485.95</v>
      </c>
      <c r="N1607" s="2">
        <v>85747</v>
      </c>
      <c r="O1607" t="s">
        <v>22</v>
      </c>
    </row>
    <row r="1608" spans="1:15" x14ac:dyDescent="0.3">
      <c r="A1608" s="1">
        <v>45856</v>
      </c>
      <c r="B1608" t="s">
        <v>15</v>
      </c>
      <c r="C1608" s="3">
        <v>425.2</v>
      </c>
      <c r="D1608" s="3">
        <v>425.2</v>
      </c>
      <c r="E1608" s="3">
        <v>420.1</v>
      </c>
      <c r="F1608" s="3">
        <v>423.95</v>
      </c>
      <c r="G1608" s="3">
        <v>422</v>
      </c>
      <c r="H1608" s="3">
        <v>422.75</v>
      </c>
      <c r="I1608" s="3">
        <v>422.22</v>
      </c>
      <c r="J1608" s="3">
        <v>471.5</v>
      </c>
      <c r="K1608" s="3">
        <v>390.15</v>
      </c>
      <c r="L1608" s="2">
        <v>6730256</v>
      </c>
      <c r="M1608" s="2">
        <v>2841642514.0500002</v>
      </c>
      <c r="N1608" s="2">
        <v>82551</v>
      </c>
      <c r="O1608" t="s">
        <v>22</v>
      </c>
    </row>
    <row r="1609" spans="1:15" x14ac:dyDescent="0.3">
      <c r="A1609" s="1">
        <v>45855</v>
      </c>
      <c r="B1609" t="s">
        <v>15</v>
      </c>
      <c r="C1609" s="3">
        <v>425.8</v>
      </c>
      <c r="D1609" s="3">
        <v>425.9</v>
      </c>
      <c r="E1609" s="3">
        <v>423</v>
      </c>
      <c r="F1609" s="3">
        <v>424.6</v>
      </c>
      <c r="G1609" s="3">
        <v>423.25</v>
      </c>
      <c r="H1609" s="3">
        <v>423.95</v>
      </c>
      <c r="I1609" s="3">
        <v>424.62</v>
      </c>
      <c r="J1609" s="3">
        <v>471.5</v>
      </c>
      <c r="K1609" s="3">
        <v>390.15</v>
      </c>
      <c r="L1609" s="2">
        <v>7240795</v>
      </c>
      <c r="M1609" s="2">
        <v>3074622256.6999998</v>
      </c>
      <c r="N1609" s="2">
        <v>85266</v>
      </c>
      <c r="O1609" t="s">
        <v>22</v>
      </c>
    </row>
    <row r="1610" spans="1:15" x14ac:dyDescent="0.3">
      <c r="A1610" s="1">
        <v>45854</v>
      </c>
      <c r="B1610" t="s">
        <v>15</v>
      </c>
      <c r="C1610" s="3">
        <v>422.1</v>
      </c>
      <c r="D1610" s="3">
        <v>425.45</v>
      </c>
      <c r="E1610" s="3">
        <v>420.3</v>
      </c>
      <c r="F1610" s="3">
        <v>422.1</v>
      </c>
      <c r="G1610" s="3">
        <v>424.4</v>
      </c>
      <c r="H1610" s="3">
        <v>424.6</v>
      </c>
      <c r="I1610" s="3">
        <v>423.52</v>
      </c>
      <c r="J1610" s="3">
        <v>471.5</v>
      </c>
      <c r="K1610" s="3">
        <v>390.15</v>
      </c>
      <c r="L1610" s="2">
        <v>9780773</v>
      </c>
      <c r="M1610" s="2">
        <v>4142330034.6500001</v>
      </c>
      <c r="N1610" s="2">
        <v>91064</v>
      </c>
      <c r="O1610" t="s">
        <v>22</v>
      </c>
    </row>
    <row r="1611" spans="1:15" x14ac:dyDescent="0.3">
      <c r="A1611" s="1">
        <v>45853</v>
      </c>
      <c r="B1611" t="s">
        <v>15</v>
      </c>
      <c r="C1611" s="3">
        <v>420.9</v>
      </c>
      <c r="D1611" s="3">
        <v>422.4</v>
      </c>
      <c r="E1611" s="3">
        <v>419</v>
      </c>
      <c r="F1611" s="3">
        <v>419.4</v>
      </c>
      <c r="G1611" s="3">
        <v>422.3</v>
      </c>
      <c r="H1611" s="3">
        <v>422.1</v>
      </c>
      <c r="I1611" s="3">
        <v>421.37</v>
      </c>
      <c r="J1611" s="3">
        <v>471.5</v>
      </c>
      <c r="K1611" s="3">
        <v>390.15</v>
      </c>
      <c r="L1611" s="2">
        <v>8532755</v>
      </c>
      <c r="M1611" s="2">
        <v>3595425226.1999998</v>
      </c>
      <c r="N1611" s="2">
        <v>112643</v>
      </c>
      <c r="O1611" t="s">
        <v>22</v>
      </c>
    </row>
    <row r="1612" spans="1:15" x14ac:dyDescent="0.3">
      <c r="A1612" s="1">
        <v>45852</v>
      </c>
      <c r="B1612" t="s">
        <v>15</v>
      </c>
      <c r="C1612" s="3">
        <v>417.05</v>
      </c>
      <c r="D1612" s="3">
        <v>419.95</v>
      </c>
      <c r="E1612" s="3">
        <v>416.55</v>
      </c>
      <c r="F1612" s="3">
        <v>416.8</v>
      </c>
      <c r="G1612" s="3">
        <v>419.35</v>
      </c>
      <c r="H1612" s="3">
        <v>419.4</v>
      </c>
      <c r="I1612" s="3">
        <v>418.9</v>
      </c>
      <c r="J1612" s="3">
        <v>471.5</v>
      </c>
      <c r="K1612" s="3">
        <v>390.15</v>
      </c>
      <c r="L1612" s="2">
        <v>6896989</v>
      </c>
      <c r="M1612" s="2">
        <v>2889123352.9499998</v>
      </c>
      <c r="N1612" s="2">
        <v>94592</v>
      </c>
      <c r="O1612" t="s">
        <v>22</v>
      </c>
    </row>
    <row r="1613" spans="1:15" x14ac:dyDescent="0.3">
      <c r="A1613" s="1">
        <v>45849</v>
      </c>
      <c r="B1613" t="s">
        <v>15</v>
      </c>
      <c r="C1613" s="3">
        <v>417</v>
      </c>
      <c r="D1613" s="3">
        <v>418.05</v>
      </c>
      <c r="E1613" s="3">
        <v>415.5</v>
      </c>
      <c r="F1613" s="3">
        <v>416.85</v>
      </c>
      <c r="G1613" s="3">
        <v>416.65</v>
      </c>
      <c r="H1613" s="3">
        <v>416.8</v>
      </c>
      <c r="I1613" s="3">
        <v>416.92</v>
      </c>
      <c r="J1613" s="3">
        <v>471.5</v>
      </c>
      <c r="K1613" s="3">
        <v>390.15</v>
      </c>
      <c r="L1613" s="2">
        <v>8578844</v>
      </c>
      <c r="M1613" s="2">
        <v>3576713516.4499998</v>
      </c>
      <c r="N1613" s="2">
        <v>96778</v>
      </c>
      <c r="O1613" t="s">
        <v>22</v>
      </c>
    </row>
    <row r="1614" spans="1:15" x14ac:dyDescent="0.3">
      <c r="A1614" s="1">
        <v>45848</v>
      </c>
      <c r="B1614" t="s">
        <v>15</v>
      </c>
      <c r="C1614" s="3">
        <v>420.3</v>
      </c>
      <c r="D1614" s="3">
        <v>420.3</v>
      </c>
      <c r="E1614" s="3">
        <v>416.4</v>
      </c>
      <c r="F1614" s="3">
        <v>419.45</v>
      </c>
      <c r="G1614" s="3">
        <v>416.65</v>
      </c>
      <c r="H1614" s="3">
        <v>416.85</v>
      </c>
      <c r="I1614" s="3">
        <v>417.61</v>
      </c>
      <c r="J1614" s="3">
        <v>471.5</v>
      </c>
      <c r="K1614" s="3">
        <v>390.15</v>
      </c>
      <c r="L1614" s="2">
        <v>6220360</v>
      </c>
      <c r="M1614" s="2">
        <v>2597661683.25</v>
      </c>
      <c r="N1614" s="2">
        <v>76333</v>
      </c>
      <c r="O1614" t="s">
        <v>22</v>
      </c>
    </row>
    <row r="1615" spans="1:15" x14ac:dyDescent="0.3">
      <c r="A1615" s="1">
        <v>45847</v>
      </c>
      <c r="B1615" t="s">
        <v>15</v>
      </c>
      <c r="C1615" s="3">
        <v>416.2</v>
      </c>
      <c r="D1615" s="3">
        <v>420.3</v>
      </c>
      <c r="E1615" s="3">
        <v>415.45</v>
      </c>
      <c r="F1615" s="3">
        <v>417.2</v>
      </c>
      <c r="G1615" s="3">
        <v>419.1</v>
      </c>
      <c r="H1615" s="3">
        <v>419.45</v>
      </c>
      <c r="I1615" s="3">
        <v>419.08</v>
      </c>
      <c r="J1615" s="3">
        <v>471.5</v>
      </c>
      <c r="K1615" s="3">
        <v>390.15</v>
      </c>
      <c r="L1615" s="2">
        <v>9930533</v>
      </c>
      <c r="M1615" s="2">
        <v>4161651352.25</v>
      </c>
      <c r="N1615" s="2">
        <v>146808</v>
      </c>
      <c r="O1615" t="s">
        <v>22</v>
      </c>
    </row>
    <row r="1616" spans="1:15" x14ac:dyDescent="0.3">
      <c r="A1616" s="1">
        <v>45846</v>
      </c>
      <c r="B1616" t="s">
        <v>15</v>
      </c>
      <c r="C1616" s="3">
        <v>416.15</v>
      </c>
      <c r="D1616" s="3">
        <v>418.1</v>
      </c>
      <c r="E1616" s="3">
        <v>414.65</v>
      </c>
      <c r="F1616" s="3">
        <v>416.15</v>
      </c>
      <c r="G1616" s="3">
        <v>418</v>
      </c>
      <c r="H1616" s="3">
        <v>417.2</v>
      </c>
      <c r="I1616" s="3">
        <v>416.46</v>
      </c>
      <c r="J1616" s="3">
        <v>471.5</v>
      </c>
      <c r="K1616" s="3">
        <v>390.15</v>
      </c>
      <c r="L1616" s="2">
        <v>6807192</v>
      </c>
      <c r="M1616" s="2">
        <v>2834924838.5500002</v>
      </c>
      <c r="N1616" s="2">
        <v>76566</v>
      </c>
      <c r="O1616" t="s">
        <v>22</v>
      </c>
    </row>
    <row r="1617" spans="1:15" x14ac:dyDescent="0.3">
      <c r="A1617" s="1">
        <v>45845</v>
      </c>
      <c r="B1617" t="s">
        <v>15</v>
      </c>
      <c r="C1617" s="3">
        <v>413</v>
      </c>
      <c r="D1617" s="3">
        <v>417.2</v>
      </c>
      <c r="E1617" s="3">
        <v>412</v>
      </c>
      <c r="F1617" s="3">
        <v>412.55</v>
      </c>
      <c r="G1617" s="3">
        <v>416.5</v>
      </c>
      <c r="H1617" s="3">
        <v>416.15</v>
      </c>
      <c r="I1617" s="3">
        <v>415.88</v>
      </c>
      <c r="J1617" s="3">
        <v>471.5</v>
      </c>
      <c r="K1617" s="3">
        <v>390.15</v>
      </c>
      <c r="L1617" s="2">
        <v>6845218</v>
      </c>
      <c r="M1617" s="2">
        <v>2846807822.5</v>
      </c>
      <c r="N1617" s="2">
        <v>120392</v>
      </c>
      <c r="O1617" t="s">
        <v>22</v>
      </c>
    </row>
    <row r="1618" spans="1:15" x14ac:dyDescent="0.3">
      <c r="A1618" s="1">
        <v>45842</v>
      </c>
      <c r="B1618" t="s">
        <v>15</v>
      </c>
      <c r="C1618" s="3">
        <v>414.9</v>
      </c>
      <c r="D1618" s="3">
        <v>415</v>
      </c>
      <c r="E1618" s="3">
        <v>411.75</v>
      </c>
      <c r="F1618" s="3">
        <v>413.35</v>
      </c>
      <c r="G1618" s="3">
        <v>412.7</v>
      </c>
      <c r="H1618" s="3">
        <v>412.55</v>
      </c>
      <c r="I1618" s="3">
        <v>412.8</v>
      </c>
      <c r="J1618" s="3">
        <v>471.5</v>
      </c>
      <c r="K1618" s="3">
        <v>390.15</v>
      </c>
      <c r="L1618" s="2">
        <v>8256733</v>
      </c>
      <c r="M1618" s="2">
        <v>3408342585.9499998</v>
      </c>
      <c r="N1618" s="2">
        <v>103880</v>
      </c>
      <c r="O1618" t="s">
        <v>22</v>
      </c>
    </row>
    <row r="1619" spans="1:15" x14ac:dyDescent="0.3">
      <c r="A1619" s="1">
        <v>45841</v>
      </c>
      <c r="B1619" t="s">
        <v>15</v>
      </c>
      <c r="C1619" s="3">
        <v>414</v>
      </c>
      <c r="D1619" s="3">
        <v>416</v>
      </c>
      <c r="E1619" s="3">
        <v>411.25</v>
      </c>
      <c r="F1619" s="3">
        <v>412.95</v>
      </c>
      <c r="G1619" s="3">
        <v>413.9</v>
      </c>
      <c r="H1619" s="3">
        <v>413.35</v>
      </c>
      <c r="I1619" s="3">
        <v>413.57</v>
      </c>
      <c r="J1619" s="3">
        <v>471.5</v>
      </c>
      <c r="K1619" s="3">
        <v>390.15</v>
      </c>
      <c r="L1619" s="2">
        <v>14185298</v>
      </c>
      <c r="M1619" s="2">
        <v>5866630211.25</v>
      </c>
      <c r="N1619" s="2">
        <v>142804</v>
      </c>
      <c r="O1619" t="s">
        <v>22</v>
      </c>
    </row>
    <row r="1620" spans="1:15" x14ac:dyDescent="0.3">
      <c r="A1620" s="1">
        <v>45840</v>
      </c>
      <c r="B1620" t="s">
        <v>15</v>
      </c>
      <c r="C1620" s="3">
        <v>416.9</v>
      </c>
      <c r="D1620" s="3">
        <v>416.9</v>
      </c>
      <c r="E1620" s="3">
        <v>411.7</v>
      </c>
      <c r="F1620" s="3">
        <v>415.1</v>
      </c>
      <c r="G1620" s="3">
        <v>413.2</v>
      </c>
      <c r="H1620" s="3">
        <v>412.95</v>
      </c>
      <c r="I1620" s="3">
        <v>413.58</v>
      </c>
      <c r="J1620" s="3">
        <v>471.5</v>
      </c>
      <c r="K1620" s="3">
        <v>390.15</v>
      </c>
      <c r="L1620" s="2">
        <v>15990899</v>
      </c>
      <c r="M1620" s="2">
        <v>6613437048</v>
      </c>
      <c r="N1620" s="2">
        <v>148675</v>
      </c>
      <c r="O1620" t="s">
        <v>22</v>
      </c>
    </row>
    <row r="1621" spans="1:15" x14ac:dyDescent="0.3">
      <c r="A1621" s="1">
        <v>45839</v>
      </c>
      <c r="B1621" t="s">
        <v>15</v>
      </c>
      <c r="C1621" s="3">
        <v>417</v>
      </c>
      <c r="D1621" s="3">
        <v>418.85</v>
      </c>
      <c r="E1621" s="3">
        <v>414.9</v>
      </c>
      <c r="F1621" s="3">
        <v>416.45</v>
      </c>
      <c r="G1621" s="3">
        <v>415.1</v>
      </c>
      <c r="H1621" s="3">
        <v>415.1</v>
      </c>
      <c r="I1621" s="3">
        <v>416.37</v>
      </c>
      <c r="J1621" s="3">
        <v>471.5</v>
      </c>
      <c r="K1621" s="3">
        <v>390.15</v>
      </c>
      <c r="L1621" s="2">
        <v>13670465</v>
      </c>
      <c r="M1621" s="2">
        <v>5691910423.4499998</v>
      </c>
      <c r="N1621" s="2">
        <v>135207</v>
      </c>
      <c r="O1621" t="s">
        <v>22</v>
      </c>
    </row>
    <row r="1622" spans="1:15" x14ac:dyDescent="0.3">
      <c r="A1622" s="1">
        <v>45838</v>
      </c>
      <c r="B1622" t="s">
        <v>15</v>
      </c>
      <c r="C1622" s="3">
        <v>419.8</v>
      </c>
      <c r="D1622" s="3">
        <v>420.75</v>
      </c>
      <c r="E1622" s="3">
        <v>415.8</v>
      </c>
      <c r="F1622" s="3">
        <v>418.65</v>
      </c>
      <c r="G1622" s="3">
        <v>416.3</v>
      </c>
      <c r="H1622" s="3">
        <v>416.45</v>
      </c>
      <c r="I1622" s="3">
        <v>417.37</v>
      </c>
      <c r="J1622" s="3">
        <v>471.5</v>
      </c>
      <c r="K1622" s="3">
        <v>390.15</v>
      </c>
      <c r="L1622" s="2">
        <v>12317124</v>
      </c>
      <c r="M1622" s="2">
        <v>5140785633.0500002</v>
      </c>
      <c r="N1622" s="2">
        <v>145533</v>
      </c>
      <c r="O1622" t="s">
        <v>22</v>
      </c>
    </row>
    <row r="1623" spans="1:15" x14ac:dyDescent="0.3">
      <c r="A1623" s="1">
        <v>45835</v>
      </c>
      <c r="B1623" t="s">
        <v>15</v>
      </c>
      <c r="C1623" s="3">
        <v>421</v>
      </c>
      <c r="D1623" s="3">
        <v>422</v>
      </c>
      <c r="E1623" s="3">
        <v>417.8</v>
      </c>
      <c r="F1623" s="3">
        <v>420.3</v>
      </c>
      <c r="G1623" s="3">
        <v>420</v>
      </c>
      <c r="H1623" s="3">
        <v>418.65</v>
      </c>
      <c r="I1623" s="3">
        <v>419.38</v>
      </c>
      <c r="J1623" s="3">
        <v>471.5</v>
      </c>
      <c r="K1623" s="3">
        <v>390.15</v>
      </c>
      <c r="L1623" s="2">
        <v>21409935</v>
      </c>
      <c r="M1623" s="2">
        <v>8978830736</v>
      </c>
      <c r="N1623" s="2">
        <v>138937</v>
      </c>
      <c r="O1623" t="s">
        <v>22</v>
      </c>
    </row>
    <row r="1624" spans="1:15" x14ac:dyDescent="0.3">
      <c r="A1624" s="1">
        <v>45834</v>
      </c>
      <c r="B1624" t="s">
        <v>15</v>
      </c>
      <c r="C1624" s="3">
        <v>417.2</v>
      </c>
      <c r="D1624" s="3">
        <v>420.9</v>
      </c>
      <c r="E1624" s="3">
        <v>416.25</v>
      </c>
      <c r="F1624" s="3">
        <v>416.35</v>
      </c>
      <c r="G1624" s="3">
        <v>420</v>
      </c>
      <c r="H1624" s="3">
        <v>420.3</v>
      </c>
      <c r="I1624" s="3">
        <v>418.46</v>
      </c>
      <c r="J1624" s="3">
        <v>471.5</v>
      </c>
      <c r="K1624" s="3">
        <v>390.15</v>
      </c>
      <c r="L1624" s="2">
        <v>13703918</v>
      </c>
      <c r="M1624" s="2">
        <v>5734531592.1499996</v>
      </c>
      <c r="N1624" s="2">
        <v>248476</v>
      </c>
      <c r="O1624" t="s">
        <v>22</v>
      </c>
    </row>
    <row r="1625" spans="1:15" x14ac:dyDescent="0.3">
      <c r="A1625" s="1">
        <v>45833</v>
      </c>
      <c r="B1625" t="s">
        <v>15</v>
      </c>
      <c r="C1625" s="3">
        <v>416.4</v>
      </c>
      <c r="D1625" s="3">
        <v>418.15</v>
      </c>
      <c r="E1625" s="3">
        <v>415.1</v>
      </c>
      <c r="F1625" s="3">
        <v>414.35</v>
      </c>
      <c r="G1625" s="3">
        <v>416.1</v>
      </c>
      <c r="H1625" s="3">
        <v>416.35</v>
      </c>
      <c r="I1625" s="3">
        <v>416.89</v>
      </c>
      <c r="J1625" s="3">
        <v>471.5</v>
      </c>
      <c r="K1625" s="3">
        <v>390.15</v>
      </c>
      <c r="L1625" s="2">
        <v>9946718</v>
      </c>
      <c r="M1625" s="2">
        <v>4146714301.4499998</v>
      </c>
      <c r="N1625" s="2">
        <v>150780</v>
      </c>
      <c r="O1625" t="s">
        <v>22</v>
      </c>
    </row>
    <row r="1626" spans="1:15" x14ac:dyDescent="0.3">
      <c r="A1626" s="1">
        <v>45832</v>
      </c>
      <c r="B1626" t="s">
        <v>15</v>
      </c>
      <c r="C1626" s="3">
        <v>416.9</v>
      </c>
      <c r="D1626" s="3">
        <v>420.65</v>
      </c>
      <c r="E1626" s="3">
        <v>413.75</v>
      </c>
      <c r="F1626" s="3">
        <v>413.9</v>
      </c>
      <c r="G1626" s="3">
        <v>414.55</v>
      </c>
      <c r="H1626" s="3">
        <v>414.35</v>
      </c>
      <c r="I1626" s="3">
        <v>416.39</v>
      </c>
      <c r="J1626" s="3">
        <v>471.5</v>
      </c>
      <c r="K1626" s="3">
        <v>390.15</v>
      </c>
      <c r="L1626" s="2">
        <v>16690068</v>
      </c>
      <c r="M1626" s="2">
        <v>6949518762.75</v>
      </c>
      <c r="N1626" s="2">
        <v>201406</v>
      </c>
      <c r="O1626" t="s">
        <v>22</v>
      </c>
    </row>
    <row r="1627" spans="1:15" x14ac:dyDescent="0.3">
      <c r="A1627" s="1">
        <v>45831</v>
      </c>
      <c r="B1627" t="s">
        <v>15</v>
      </c>
      <c r="C1627" s="3">
        <v>417</v>
      </c>
      <c r="D1627" s="3">
        <v>417.5</v>
      </c>
      <c r="E1627" s="3">
        <v>411.75</v>
      </c>
      <c r="F1627" s="3">
        <v>418.55</v>
      </c>
      <c r="G1627" s="3">
        <v>413.4</v>
      </c>
      <c r="H1627" s="3">
        <v>413.9</v>
      </c>
      <c r="I1627" s="3">
        <v>415</v>
      </c>
      <c r="J1627" s="3">
        <v>471.5</v>
      </c>
      <c r="K1627" s="3">
        <v>390.15</v>
      </c>
      <c r="L1627" s="2">
        <v>14839890</v>
      </c>
      <c r="M1627" s="2">
        <v>6158508971.4499998</v>
      </c>
      <c r="N1627" s="2">
        <v>171311</v>
      </c>
      <c r="O1627" t="s">
        <v>22</v>
      </c>
    </row>
    <row r="1628" spans="1:15" x14ac:dyDescent="0.3">
      <c r="A1628" s="1">
        <v>45828</v>
      </c>
      <c r="B1628" t="s">
        <v>15</v>
      </c>
      <c r="C1628" s="3">
        <v>416</v>
      </c>
      <c r="D1628" s="3">
        <v>419.5</v>
      </c>
      <c r="E1628" s="3">
        <v>416</v>
      </c>
      <c r="F1628" s="3">
        <v>416</v>
      </c>
      <c r="G1628" s="3">
        <v>417.25</v>
      </c>
      <c r="H1628" s="3">
        <v>418.55</v>
      </c>
      <c r="I1628" s="3">
        <v>418.46</v>
      </c>
      <c r="J1628" s="3">
        <v>471.5</v>
      </c>
      <c r="K1628" s="3">
        <v>390.15</v>
      </c>
      <c r="L1628" s="2">
        <v>13203184</v>
      </c>
      <c r="M1628" s="2">
        <v>5524985516.3000002</v>
      </c>
      <c r="N1628" s="2">
        <v>110675</v>
      </c>
      <c r="O1628" t="s">
        <v>22</v>
      </c>
    </row>
    <row r="1629" spans="1:15" x14ac:dyDescent="0.3">
      <c r="A1629" s="1">
        <v>45827</v>
      </c>
      <c r="B1629" t="s">
        <v>15</v>
      </c>
      <c r="C1629" s="3">
        <v>415.65</v>
      </c>
      <c r="D1629" s="3">
        <v>418.25</v>
      </c>
      <c r="E1629" s="3">
        <v>414.8</v>
      </c>
      <c r="F1629" s="3">
        <v>415.9</v>
      </c>
      <c r="G1629" s="3">
        <v>415.8</v>
      </c>
      <c r="H1629" s="3">
        <v>416</v>
      </c>
      <c r="I1629" s="3">
        <v>416.72</v>
      </c>
      <c r="J1629" s="3">
        <v>471.5</v>
      </c>
      <c r="K1629" s="3">
        <v>390.15</v>
      </c>
      <c r="L1629" s="2">
        <v>12601006</v>
      </c>
      <c r="M1629" s="2">
        <v>5251107254.8500004</v>
      </c>
      <c r="N1629" s="2">
        <v>91846</v>
      </c>
      <c r="O1629" t="s">
        <v>22</v>
      </c>
    </row>
    <row r="1630" spans="1:15" x14ac:dyDescent="0.3">
      <c r="A1630" s="1">
        <v>45826</v>
      </c>
      <c r="B1630" t="s">
        <v>15</v>
      </c>
      <c r="C1630" s="3">
        <v>417</v>
      </c>
      <c r="D1630" s="3">
        <v>418.45</v>
      </c>
      <c r="E1630" s="3">
        <v>414.9</v>
      </c>
      <c r="F1630" s="3">
        <v>417.4</v>
      </c>
      <c r="G1630" s="3">
        <v>415.6</v>
      </c>
      <c r="H1630" s="3">
        <v>415.9</v>
      </c>
      <c r="I1630" s="3">
        <v>416.11</v>
      </c>
      <c r="J1630" s="3">
        <v>471.5</v>
      </c>
      <c r="K1630" s="3">
        <v>390.15</v>
      </c>
      <c r="L1630" s="2">
        <v>8036215</v>
      </c>
      <c r="M1630" s="2">
        <v>3343960493.9499998</v>
      </c>
      <c r="N1630" s="2">
        <v>126035</v>
      </c>
      <c r="O1630" t="s">
        <v>22</v>
      </c>
    </row>
    <row r="1631" spans="1:15" x14ac:dyDescent="0.3">
      <c r="A1631" s="1">
        <v>45825</v>
      </c>
      <c r="B1631" t="s">
        <v>15</v>
      </c>
      <c r="C1631" s="3">
        <v>418.1</v>
      </c>
      <c r="D1631" s="3">
        <v>419.05</v>
      </c>
      <c r="E1631" s="3">
        <v>415.7</v>
      </c>
      <c r="F1631" s="3">
        <v>418.2</v>
      </c>
      <c r="G1631" s="3">
        <v>417.05</v>
      </c>
      <c r="H1631" s="3">
        <v>417.4</v>
      </c>
      <c r="I1631" s="3">
        <v>417.33</v>
      </c>
      <c r="J1631" s="3">
        <v>471.5</v>
      </c>
      <c r="K1631" s="3">
        <v>390.15</v>
      </c>
      <c r="L1631" s="2">
        <v>9028406</v>
      </c>
      <c r="M1631" s="2">
        <v>3767781671.25</v>
      </c>
      <c r="N1631" s="2">
        <v>115094</v>
      </c>
      <c r="O1631" t="s">
        <v>22</v>
      </c>
    </row>
    <row r="1632" spans="1:15" x14ac:dyDescent="0.3">
      <c r="A1632" s="1">
        <v>45824</v>
      </c>
      <c r="B1632" t="s">
        <v>15</v>
      </c>
      <c r="C1632" s="3">
        <v>414.95</v>
      </c>
      <c r="D1632" s="3">
        <v>418.9</v>
      </c>
      <c r="E1632" s="3">
        <v>413.25</v>
      </c>
      <c r="F1632" s="3">
        <v>413.9</v>
      </c>
      <c r="G1632" s="3">
        <v>418.65</v>
      </c>
      <c r="H1632" s="3">
        <v>418.2</v>
      </c>
      <c r="I1632" s="3">
        <v>417.32</v>
      </c>
      <c r="J1632" s="3">
        <v>471.5</v>
      </c>
      <c r="K1632" s="3">
        <v>390.15</v>
      </c>
      <c r="L1632" s="2">
        <v>7006629</v>
      </c>
      <c r="M1632" s="2">
        <v>2924040280.9499998</v>
      </c>
      <c r="N1632" s="2">
        <v>101302</v>
      </c>
      <c r="O1632" t="s">
        <v>22</v>
      </c>
    </row>
    <row r="1633" spans="1:15" x14ac:dyDescent="0.3">
      <c r="A1633" s="1">
        <v>45821</v>
      </c>
      <c r="B1633" t="s">
        <v>15</v>
      </c>
      <c r="C1633" s="3">
        <v>415</v>
      </c>
      <c r="D1633" s="3">
        <v>419.35</v>
      </c>
      <c r="E1633" s="3">
        <v>413.5</v>
      </c>
      <c r="F1633" s="3">
        <v>421</v>
      </c>
      <c r="G1633" s="3">
        <v>413.95</v>
      </c>
      <c r="H1633" s="3">
        <v>413.9</v>
      </c>
      <c r="I1633" s="3">
        <v>416.29</v>
      </c>
      <c r="J1633" s="3">
        <v>471.5</v>
      </c>
      <c r="K1633" s="3">
        <v>390.15</v>
      </c>
      <c r="L1633" s="2">
        <v>17873926</v>
      </c>
      <c r="M1633" s="2">
        <v>7440750348.6999998</v>
      </c>
      <c r="N1633" s="2">
        <v>163341</v>
      </c>
      <c r="O1633" t="s">
        <v>22</v>
      </c>
    </row>
    <row r="1634" spans="1:15" x14ac:dyDescent="0.3">
      <c r="A1634" s="1">
        <v>45820</v>
      </c>
      <c r="B1634" t="s">
        <v>15</v>
      </c>
      <c r="C1634" s="3">
        <v>427</v>
      </c>
      <c r="D1634" s="3">
        <v>427.2</v>
      </c>
      <c r="E1634" s="3">
        <v>419.55</v>
      </c>
      <c r="F1634" s="3">
        <v>426.15</v>
      </c>
      <c r="G1634" s="3">
        <v>420.95</v>
      </c>
      <c r="H1634" s="3">
        <v>421</v>
      </c>
      <c r="I1634" s="3">
        <v>421.78</v>
      </c>
      <c r="J1634" s="3">
        <v>471.5</v>
      </c>
      <c r="K1634" s="3">
        <v>390.15</v>
      </c>
      <c r="L1634" s="2">
        <v>18508835</v>
      </c>
      <c r="M1634" s="2">
        <v>7806698998.5</v>
      </c>
      <c r="N1634" s="2">
        <v>250912</v>
      </c>
      <c r="O1634" t="s">
        <v>22</v>
      </c>
    </row>
    <row r="1635" spans="1:15" x14ac:dyDescent="0.3">
      <c r="A1635" s="1">
        <v>45819</v>
      </c>
      <c r="B1635" t="s">
        <v>15</v>
      </c>
      <c r="C1635" s="3">
        <v>428</v>
      </c>
      <c r="D1635" s="3">
        <v>428.1</v>
      </c>
      <c r="E1635" s="3">
        <v>424.85</v>
      </c>
      <c r="F1635" s="3">
        <v>427</v>
      </c>
      <c r="G1635" s="3">
        <v>425.55</v>
      </c>
      <c r="H1635" s="3">
        <v>426.15</v>
      </c>
      <c r="I1635" s="3">
        <v>426.47</v>
      </c>
      <c r="J1635" s="3">
        <v>471.5</v>
      </c>
      <c r="K1635" s="3">
        <v>390.15</v>
      </c>
      <c r="L1635" s="2">
        <v>20789182</v>
      </c>
      <c r="M1635" s="2">
        <v>8866064896.5</v>
      </c>
      <c r="N1635" s="2">
        <v>148079</v>
      </c>
      <c r="O1635" t="s">
        <v>22</v>
      </c>
    </row>
    <row r="1636" spans="1:15" x14ac:dyDescent="0.3">
      <c r="A1636" s="1">
        <v>45818</v>
      </c>
      <c r="B1636" t="s">
        <v>15</v>
      </c>
      <c r="C1636" s="3">
        <v>424.5</v>
      </c>
      <c r="D1636" s="3">
        <v>428.55</v>
      </c>
      <c r="E1636" s="3">
        <v>423.05</v>
      </c>
      <c r="F1636" s="3">
        <v>423.05</v>
      </c>
      <c r="G1636" s="3">
        <v>427.65</v>
      </c>
      <c r="H1636" s="3">
        <v>427</v>
      </c>
      <c r="I1636" s="3">
        <v>426.58</v>
      </c>
      <c r="J1636" s="3">
        <v>471.5</v>
      </c>
      <c r="K1636" s="3">
        <v>390.15</v>
      </c>
      <c r="L1636" s="2">
        <v>13041075</v>
      </c>
      <c r="M1636" s="2">
        <v>5563034401.5</v>
      </c>
      <c r="N1636" s="2">
        <v>170097</v>
      </c>
      <c r="O1636" t="s">
        <v>22</v>
      </c>
    </row>
    <row r="1637" spans="1:15" x14ac:dyDescent="0.3">
      <c r="A1637" s="1">
        <v>45817</v>
      </c>
      <c r="B1637" t="s">
        <v>15</v>
      </c>
      <c r="C1637" s="3">
        <v>422</v>
      </c>
      <c r="D1637" s="3">
        <v>423.6</v>
      </c>
      <c r="E1637" s="3">
        <v>420.5</v>
      </c>
      <c r="F1637" s="3">
        <v>421.05</v>
      </c>
      <c r="G1637" s="3">
        <v>423</v>
      </c>
      <c r="H1637" s="3">
        <v>423.05</v>
      </c>
      <c r="I1637" s="3">
        <v>422.61</v>
      </c>
      <c r="J1637" s="3">
        <v>471.5</v>
      </c>
      <c r="K1637" s="3">
        <v>390.15</v>
      </c>
      <c r="L1637" s="2">
        <v>10473123</v>
      </c>
      <c r="M1637" s="2">
        <v>4426007949.6499996</v>
      </c>
      <c r="N1637" s="2">
        <v>152980</v>
      </c>
      <c r="O1637" t="s">
        <v>22</v>
      </c>
    </row>
    <row r="1638" spans="1:15" x14ac:dyDescent="0.3">
      <c r="A1638" s="1">
        <v>45814</v>
      </c>
      <c r="B1638" t="s">
        <v>15</v>
      </c>
      <c r="C1638" s="3">
        <v>420.3</v>
      </c>
      <c r="D1638" s="3">
        <v>421.3</v>
      </c>
      <c r="E1638" s="3">
        <v>419</v>
      </c>
      <c r="F1638" s="3">
        <v>419.1</v>
      </c>
      <c r="G1638" s="3">
        <v>421.05</v>
      </c>
      <c r="H1638" s="3">
        <v>421.05</v>
      </c>
      <c r="I1638" s="3">
        <v>420.36</v>
      </c>
      <c r="J1638" s="3">
        <v>471.5</v>
      </c>
      <c r="K1638" s="3">
        <v>390.15</v>
      </c>
      <c r="L1638" s="2">
        <v>8774988</v>
      </c>
      <c r="M1638" s="2">
        <v>3688650527.1999998</v>
      </c>
      <c r="N1638" s="2">
        <v>135147</v>
      </c>
      <c r="O1638" t="s">
        <v>22</v>
      </c>
    </row>
    <row r="1639" spans="1:15" x14ac:dyDescent="0.3">
      <c r="A1639" s="1">
        <v>45813</v>
      </c>
      <c r="B1639" t="s">
        <v>15</v>
      </c>
      <c r="C1639" s="3">
        <v>418.5</v>
      </c>
      <c r="D1639" s="3">
        <v>420.95</v>
      </c>
      <c r="E1639" s="3">
        <v>415.75</v>
      </c>
      <c r="F1639" s="3">
        <v>417</v>
      </c>
      <c r="G1639" s="3">
        <v>419.45</v>
      </c>
      <c r="H1639" s="3">
        <v>419.1</v>
      </c>
      <c r="I1639" s="3">
        <v>418.56</v>
      </c>
      <c r="J1639" s="3">
        <v>471.5</v>
      </c>
      <c r="K1639" s="3">
        <v>390.15</v>
      </c>
      <c r="L1639" s="2">
        <v>13212523</v>
      </c>
      <c r="M1639" s="2">
        <v>5530248629.8000002</v>
      </c>
      <c r="N1639" s="2">
        <v>125958</v>
      </c>
      <c r="O1639" t="s">
        <v>22</v>
      </c>
    </row>
    <row r="1640" spans="1:15" x14ac:dyDescent="0.3">
      <c r="A1640" s="1">
        <v>45812</v>
      </c>
      <c r="B1640" t="s">
        <v>15</v>
      </c>
      <c r="C1640" s="3">
        <v>417.15</v>
      </c>
      <c r="D1640" s="3">
        <v>419</v>
      </c>
      <c r="E1640" s="3">
        <v>415.95</v>
      </c>
      <c r="F1640" s="3">
        <v>416.95</v>
      </c>
      <c r="G1640" s="3">
        <v>416.8</v>
      </c>
      <c r="H1640" s="3">
        <v>417</v>
      </c>
      <c r="I1640" s="3">
        <v>417.14</v>
      </c>
      <c r="J1640" s="3">
        <v>471.5</v>
      </c>
      <c r="K1640" s="3">
        <v>390.15</v>
      </c>
      <c r="L1640" s="2">
        <v>12598933</v>
      </c>
      <c r="M1640" s="2">
        <v>5255534433.3999996</v>
      </c>
      <c r="N1640" s="2">
        <v>116476</v>
      </c>
      <c r="O1640" t="s">
        <v>22</v>
      </c>
    </row>
    <row r="1641" spans="1:15" x14ac:dyDescent="0.3">
      <c r="A1641" s="1">
        <v>45811</v>
      </c>
      <c r="B1641" t="s">
        <v>15</v>
      </c>
      <c r="C1641" s="3">
        <v>419</v>
      </c>
      <c r="D1641" s="3">
        <v>421.7</v>
      </c>
      <c r="E1641" s="3">
        <v>415.65</v>
      </c>
      <c r="F1641" s="3">
        <v>419.3</v>
      </c>
      <c r="G1641" s="3">
        <v>417</v>
      </c>
      <c r="H1641" s="3">
        <v>416.95</v>
      </c>
      <c r="I1641" s="3">
        <v>418.03</v>
      </c>
      <c r="J1641" s="3">
        <v>471.5</v>
      </c>
      <c r="K1641" s="3">
        <v>390.15</v>
      </c>
      <c r="L1641" s="2">
        <v>13216486</v>
      </c>
      <c r="M1641" s="2">
        <v>5524919470.1999998</v>
      </c>
      <c r="N1641" s="2">
        <v>140901</v>
      </c>
      <c r="O1641" t="s">
        <v>22</v>
      </c>
    </row>
    <row r="1642" spans="1:15" x14ac:dyDescent="0.3">
      <c r="A1642" s="1">
        <v>45810</v>
      </c>
      <c r="B1642" t="s">
        <v>15</v>
      </c>
      <c r="C1642" s="3">
        <v>418.3</v>
      </c>
      <c r="D1642" s="3">
        <v>420.45</v>
      </c>
      <c r="E1642" s="3">
        <v>414.55</v>
      </c>
      <c r="F1642" s="3">
        <v>418.05</v>
      </c>
      <c r="G1642" s="3">
        <v>418.5</v>
      </c>
      <c r="H1642" s="3">
        <v>419.3</v>
      </c>
      <c r="I1642" s="3">
        <v>418.16</v>
      </c>
      <c r="J1642" s="3">
        <v>471.5</v>
      </c>
      <c r="K1642" s="3">
        <v>390.15</v>
      </c>
      <c r="L1642" s="2">
        <v>14973380</v>
      </c>
      <c r="M1642" s="2">
        <v>6261214003.6000004</v>
      </c>
      <c r="N1642" s="2">
        <v>165410</v>
      </c>
      <c r="O1642" t="s">
        <v>22</v>
      </c>
    </row>
    <row r="1643" spans="1:15" x14ac:dyDescent="0.3">
      <c r="A1643" s="1">
        <v>45807</v>
      </c>
      <c r="B1643" t="s">
        <v>15</v>
      </c>
      <c r="C1643" s="3">
        <v>419.1</v>
      </c>
      <c r="D1643" s="3">
        <v>420.05</v>
      </c>
      <c r="E1643" s="3">
        <v>416.4</v>
      </c>
      <c r="F1643" s="3">
        <v>418.75</v>
      </c>
      <c r="G1643" s="3">
        <v>418.75</v>
      </c>
      <c r="H1643" s="3">
        <v>418.05</v>
      </c>
      <c r="I1643" s="3">
        <v>417.87</v>
      </c>
      <c r="J1643" s="3">
        <v>471.5</v>
      </c>
      <c r="K1643" s="3">
        <v>390.15</v>
      </c>
      <c r="L1643" s="2">
        <v>30656239</v>
      </c>
      <c r="M1643" s="2">
        <v>12810187425.4</v>
      </c>
      <c r="N1643" s="2">
        <v>159932</v>
      </c>
      <c r="O1643" t="s">
        <v>22</v>
      </c>
    </row>
    <row r="1644" spans="1:15" x14ac:dyDescent="0.3">
      <c r="A1644" s="1">
        <v>45806</v>
      </c>
      <c r="B1644" t="s">
        <v>15</v>
      </c>
      <c r="C1644" s="3">
        <v>422</v>
      </c>
      <c r="D1644" s="3">
        <v>422.8</v>
      </c>
      <c r="E1644" s="3">
        <v>416.6</v>
      </c>
      <c r="F1644" s="3">
        <v>420.2</v>
      </c>
      <c r="G1644" s="3">
        <v>419.35</v>
      </c>
      <c r="H1644" s="3">
        <v>418.75</v>
      </c>
      <c r="I1644" s="3">
        <v>418.44</v>
      </c>
      <c r="J1644" s="3">
        <v>471.5</v>
      </c>
      <c r="K1644" s="3">
        <v>390.15</v>
      </c>
      <c r="L1644" s="2">
        <v>21478547</v>
      </c>
      <c r="M1644" s="2">
        <v>8987465219.8999996</v>
      </c>
      <c r="N1644" s="2">
        <v>201763</v>
      </c>
      <c r="O1644" t="s">
        <v>22</v>
      </c>
    </row>
    <row r="1645" spans="1:15" x14ac:dyDescent="0.3">
      <c r="A1645" s="1">
        <v>45805</v>
      </c>
      <c r="B1645" t="s">
        <v>15</v>
      </c>
      <c r="C1645" s="3">
        <v>417.7</v>
      </c>
      <c r="D1645" s="3">
        <v>422.6</v>
      </c>
      <c r="E1645" s="3">
        <v>413</v>
      </c>
      <c r="F1645" s="3">
        <v>433.9</v>
      </c>
      <c r="G1645" s="3">
        <v>421</v>
      </c>
      <c r="H1645" s="3">
        <v>420.2</v>
      </c>
      <c r="I1645" s="3">
        <v>415.08</v>
      </c>
      <c r="J1645" s="3">
        <v>471.5</v>
      </c>
      <c r="K1645" s="3">
        <v>390.15</v>
      </c>
      <c r="L1645" s="2">
        <v>431851622</v>
      </c>
      <c r="M1645" s="2">
        <v>179255083660.79999</v>
      </c>
      <c r="N1645" s="2">
        <v>413487</v>
      </c>
      <c r="O1645" t="s">
        <v>22</v>
      </c>
    </row>
    <row r="1646" spans="1:15" x14ac:dyDescent="0.3">
      <c r="A1646" s="1">
        <v>45804</v>
      </c>
      <c r="B1646" t="s">
        <v>15</v>
      </c>
      <c r="C1646" s="3">
        <v>442.9</v>
      </c>
      <c r="D1646" s="3">
        <v>444.2</v>
      </c>
      <c r="E1646" s="3">
        <v>430.85</v>
      </c>
      <c r="F1646" s="3">
        <v>442.9</v>
      </c>
      <c r="G1646" s="3">
        <v>434.7</v>
      </c>
      <c r="H1646" s="3">
        <v>433.9</v>
      </c>
      <c r="I1646" s="3">
        <v>436.39</v>
      </c>
      <c r="J1646" s="3">
        <v>471.5</v>
      </c>
      <c r="K1646" s="3">
        <v>390.15</v>
      </c>
      <c r="L1646" s="2">
        <v>26986022</v>
      </c>
      <c r="M1646" s="2">
        <v>11776331084.9</v>
      </c>
      <c r="N1646" s="2">
        <v>224458</v>
      </c>
      <c r="O1646" t="s">
        <v>22</v>
      </c>
    </row>
    <row r="1647" spans="1:15" x14ac:dyDescent="0.3">
      <c r="A1647" s="1">
        <v>45803</v>
      </c>
      <c r="B1647" t="s">
        <v>15</v>
      </c>
      <c r="C1647" s="3">
        <v>438.25</v>
      </c>
      <c r="D1647" s="3">
        <v>443.55</v>
      </c>
      <c r="E1647" s="3">
        <v>436.75</v>
      </c>
      <c r="F1647" s="3">
        <v>436.3</v>
      </c>
      <c r="G1647" s="3">
        <v>442.9</v>
      </c>
      <c r="H1647" s="3">
        <v>442.9</v>
      </c>
      <c r="I1647" s="3">
        <v>440.19</v>
      </c>
      <c r="J1647" s="3">
        <v>471.5</v>
      </c>
      <c r="K1647" s="3">
        <v>390.15</v>
      </c>
      <c r="L1647" s="2">
        <v>13107662</v>
      </c>
      <c r="M1647" s="2">
        <v>5769828393.5500002</v>
      </c>
      <c r="N1647" s="2">
        <v>107919</v>
      </c>
      <c r="O1647" t="s">
        <v>22</v>
      </c>
    </row>
    <row r="1648" spans="1:15" x14ac:dyDescent="0.3">
      <c r="A1648" s="1">
        <v>45800</v>
      </c>
      <c r="B1648" t="s">
        <v>15</v>
      </c>
      <c r="C1648" s="3">
        <v>434</v>
      </c>
      <c r="D1648" s="3">
        <v>439</v>
      </c>
      <c r="E1648" s="3">
        <v>429</v>
      </c>
      <c r="F1648" s="3">
        <v>426.1</v>
      </c>
      <c r="G1648" s="3">
        <v>436</v>
      </c>
      <c r="H1648" s="3">
        <v>436.3</v>
      </c>
      <c r="I1648" s="3">
        <v>435.32</v>
      </c>
      <c r="J1648" s="3">
        <v>471.5</v>
      </c>
      <c r="K1648" s="3">
        <v>390.15</v>
      </c>
      <c r="L1648" s="2">
        <v>18536884</v>
      </c>
      <c r="M1648" s="2">
        <v>8069422032.25</v>
      </c>
      <c r="N1648" s="2">
        <v>180589</v>
      </c>
      <c r="O1648" t="s">
        <v>22</v>
      </c>
    </row>
    <row r="1649" spans="1:15" x14ac:dyDescent="0.3">
      <c r="A1649" s="1">
        <v>45799</v>
      </c>
      <c r="B1649" t="s">
        <v>15</v>
      </c>
      <c r="C1649" s="3">
        <v>433</v>
      </c>
      <c r="D1649" s="3">
        <v>433</v>
      </c>
      <c r="E1649" s="3">
        <v>422.9</v>
      </c>
      <c r="F1649" s="3">
        <v>433</v>
      </c>
      <c r="G1649" s="3">
        <v>425.5</v>
      </c>
      <c r="H1649" s="3">
        <v>426.1</v>
      </c>
      <c r="I1649" s="3">
        <v>425.53</v>
      </c>
      <c r="J1649" s="3">
        <v>471.5</v>
      </c>
      <c r="K1649" s="3">
        <v>390.15</v>
      </c>
      <c r="L1649" s="2">
        <v>19451749</v>
      </c>
      <c r="M1649" s="2">
        <v>8277312766.3999996</v>
      </c>
      <c r="N1649" s="2">
        <v>172555</v>
      </c>
      <c r="O1649" t="s">
        <v>22</v>
      </c>
    </row>
    <row r="1650" spans="1:15" x14ac:dyDescent="0.3">
      <c r="A1650" s="1">
        <v>45798</v>
      </c>
      <c r="B1650" t="s">
        <v>15</v>
      </c>
      <c r="C1650" s="3">
        <v>436.6</v>
      </c>
      <c r="D1650" s="3">
        <v>438.2</v>
      </c>
      <c r="E1650" s="3">
        <v>432</v>
      </c>
      <c r="F1650" s="3">
        <v>434.9</v>
      </c>
      <c r="G1650" s="3">
        <v>432.4</v>
      </c>
      <c r="H1650" s="3">
        <v>433</v>
      </c>
      <c r="I1650" s="3">
        <v>435.04</v>
      </c>
      <c r="J1650" s="3">
        <v>471.5</v>
      </c>
      <c r="K1650" s="3">
        <v>390.15</v>
      </c>
      <c r="L1650" s="2">
        <v>5776672</v>
      </c>
      <c r="M1650" s="2">
        <v>2513103067.75</v>
      </c>
      <c r="N1650" s="2">
        <v>64175</v>
      </c>
      <c r="O1650" t="s">
        <v>22</v>
      </c>
    </row>
    <row r="1651" spans="1:15" x14ac:dyDescent="0.3">
      <c r="A1651" s="1">
        <v>45797</v>
      </c>
      <c r="B1651" t="s">
        <v>15</v>
      </c>
      <c r="C1651" s="3">
        <v>437</v>
      </c>
      <c r="D1651" s="3">
        <v>440.8</v>
      </c>
      <c r="E1651" s="3">
        <v>432.9</v>
      </c>
      <c r="F1651" s="3">
        <v>435.35</v>
      </c>
      <c r="G1651" s="3">
        <v>435.4</v>
      </c>
      <c r="H1651" s="3">
        <v>434.9</v>
      </c>
      <c r="I1651" s="3">
        <v>436.58</v>
      </c>
      <c r="J1651" s="3">
        <v>471.5</v>
      </c>
      <c r="K1651" s="3">
        <v>390.15</v>
      </c>
      <c r="L1651" s="2">
        <v>9868414</v>
      </c>
      <c r="M1651" s="2">
        <v>4308392163.3999996</v>
      </c>
      <c r="N1651" s="2">
        <v>103234</v>
      </c>
      <c r="O1651" t="s">
        <v>22</v>
      </c>
    </row>
    <row r="1652" spans="1:15" x14ac:dyDescent="0.3">
      <c r="A1652" s="1">
        <v>45796</v>
      </c>
      <c r="B1652" t="s">
        <v>15</v>
      </c>
      <c r="C1652" s="3">
        <v>435</v>
      </c>
      <c r="D1652" s="3">
        <v>438.5</v>
      </c>
      <c r="E1652" s="3">
        <v>432.65</v>
      </c>
      <c r="F1652" s="3">
        <v>435.7</v>
      </c>
      <c r="G1652" s="3">
        <v>436.1</v>
      </c>
      <c r="H1652" s="3">
        <v>435.35</v>
      </c>
      <c r="I1652" s="3">
        <v>435</v>
      </c>
      <c r="J1652" s="3">
        <v>471.5</v>
      </c>
      <c r="K1652" s="3">
        <v>390.15</v>
      </c>
      <c r="L1652" s="2">
        <v>7543854</v>
      </c>
      <c r="M1652" s="2">
        <v>3281549026.5999999</v>
      </c>
      <c r="N1652" s="2">
        <v>104429</v>
      </c>
      <c r="O1652" t="s">
        <v>22</v>
      </c>
    </row>
    <row r="1653" spans="1:15" x14ac:dyDescent="0.3">
      <c r="A1653" s="1">
        <v>45793</v>
      </c>
      <c r="B1653" t="s">
        <v>15</v>
      </c>
      <c r="C1653" s="3">
        <v>434.9</v>
      </c>
      <c r="D1653" s="3">
        <v>436.2</v>
      </c>
      <c r="E1653" s="3">
        <v>432.1</v>
      </c>
      <c r="F1653" s="3">
        <v>432.65</v>
      </c>
      <c r="G1653" s="3">
        <v>435.6</v>
      </c>
      <c r="H1653" s="3">
        <v>435.7</v>
      </c>
      <c r="I1653" s="3">
        <v>434.74</v>
      </c>
      <c r="J1653" s="3">
        <v>471.5</v>
      </c>
      <c r="K1653" s="3">
        <v>390.15</v>
      </c>
      <c r="L1653" s="2">
        <v>16402035</v>
      </c>
      <c r="M1653" s="2">
        <v>7130684218.5500002</v>
      </c>
      <c r="N1653" s="2">
        <v>105849</v>
      </c>
      <c r="O1653" t="s">
        <v>22</v>
      </c>
    </row>
    <row r="1654" spans="1:15" x14ac:dyDescent="0.3">
      <c r="A1654" s="1">
        <v>45792</v>
      </c>
      <c r="B1654" t="s">
        <v>15</v>
      </c>
      <c r="C1654" s="3">
        <v>429.1</v>
      </c>
      <c r="D1654" s="3">
        <v>435.4</v>
      </c>
      <c r="E1654" s="3">
        <v>426</v>
      </c>
      <c r="F1654" s="3">
        <v>429.1</v>
      </c>
      <c r="G1654" s="3">
        <v>432</v>
      </c>
      <c r="H1654" s="3">
        <v>432.65</v>
      </c>
      <c r="I1654" s="3">
        <v>431.14</v>
      </c>
      <c r="J1654" s="3">
        <v>471.5</v>
      </c>
      <c r="K1654" s="3">
        <v>390.15</v>
      </c>
      <c r="L1654" s="2">
        <v>24263510</v>
      </c>
      <c r="M1654" s="2">
        <v>10460938250.1</v>
      </c>
      <c r="N1654" s="2">
        <v>173965</v>
      </c>
      <c r="O1654" t="s">
        <v>22</v>
      </c>
    </row>
    <row r="1655" spans="1:15" x14ac:dyDescent="0.3">
      <c r="A1655" s="1">
        <v>45791</v>
      </c>
      <c r="B1655" t="s">
        <v>15</v>
      </c>
      <c r="C1655" s="3">
        <v>427.1</v>
      </c>
      <c r="D1655" s="3">
        <v>431.85</v>
      </c>
      <c r="E1655" s="3">
        <v>425.9</v>
      </c>
      <c r="F1655" s="3">
        <v>427.9</v>
      </c>
      <c r="G1655" s="3">
        <v>429.05</v>
      </c>
      <c r="H1655" s="3">
        <v>429.1</v>
      </c>
      <c r="I1655" s="3">
        <v>428.65</v>
      </c>
      <c r="J1655" s="3">
        <v>471.5</v>
      </c>
      <c r="K1655" s="3">
        <v>390.15</v>
      </c>
      <c r="L1655" s="2">
        <v>9557309</v>
      </c>
      <c r="M1655" s="2">
        <v>4096782375.4499998</v>
      </c>
      <c r="N1655" s="2">
        <v>96326</v>
      </c>
      <c r="O1655" t="s">
        <v>22</v>
      </c>
    </row>
    <row r="1656" spans="1:15" x14ac:dyDescent="0.3">
      <c r="A1656" s="1">
        <v>45790</v>
      </c>
      <c r="B1656" t="s">
        <v>15</v>
      </c>
      <c r="C1656" s="3">
        <v>434.9</v>
      </c>
      <c r="D1656" s="3">
        <v>437.95</v>
      </c>
      <c r="E1656" s="3">
        <v>425.35</v>
      </c>
      <c r="F1656" s="3">
        <v>435.5</v>
      </c>
      <c r="G1656" s="3">
        <v>427.9</v>
      </c>
      <c r="H1656" s="3">
        <v>427.9</v>
      </c>
      <c r="I1656" s="3">
        <v>429.47</v>
      </c>
      <c r="J1656" s="3">
        <v>471.5</v>
      </c>
      <c r="K1656" s="3">
        <v>390.15</v>
      </c>
      <c r="L1656" s="2">
        <v>14976369</v>
      </c>
      <c r="M1656" s="2">
        <v>6431940112.4499998</v>
      </c>
      <c r="N1656" s="2">
        <v>153294</v>
      </c>
      <c r="O1656" t="s">
        <v>22</v>
      </c>
    </row>
    <row r="1657" spans="1:15" x14ac:dyDescent="0.3">
      <c r="A1657" s="1">
        <v>45789</v>
      </c>
      <c r="B1657" t="s">
        <v>15</v>
      </c>
      <c r="C1657" s="3">
        <v>429.5</v>
      </c>
      <c r="D1657" s="3">
        <v>436.2</v>
      </c>
      <c r="E1657" s="3">
        <v>428.15</v>
      </c>
      <c r="F1657" s="3">
        <v>423.55</v>
      </c>
      <c r="G1657" s="3">
        <v>435.1</v>
      </c>
      <c r="H1657" s="3">
        <v>435.5</v>
      </c>
      <c r="I1657" s="3">
        <v>433.63</v>
      </c>
      <c r="J1657" s="3">
        <v>471.5</v>
      </c>
      <c r="K1657" s="3">
        <v>390.15</v>
      </c>
      <c r="L1657" s="2">
        <v>8031891</v>
      </c>
      <c r="M1657" s="2">
        <v>3482863921.6500001</v>
      </c>
      <c r="N1657" s="2">
        <v>78145</v>
      </c>
      <c r="O1657" t="s">
        <v>22</v>
      </c>
    </row>
    <row r="1658" spans="1:15" x14ac:dyDescent="0.3">
      <c r="A1658" s="1">
        <v>45786</v>
      </c>
      <c r="B1658" t="s">
        <v>15</v>
      </c>
      <c r="C1658" s="3">
        <v>425.95</v>
      </c>
      <c r="D1658" s="3">
        <v>429.15</v>
      </c>
      <c r="E1658" s="3">
        <v>423</v>
      </c>
      <c r="F1658" s="3">
        <v>430.6</v>
      </c>
      <c r="G1658" s="3">
        <v>424</v>
      </c>
      <c r="H1658" s="3">
        <v>423.55</v>
      </c>
      <c r="I1658" s="3">
        <v>425.58</v>
      </c>
      <c r="J1658" s="3">
        <v>471.5</v>
      </c>
      <c r="K1658" s="3">
        <v>390.15</v>
      </c>
      <c r="L1658" s="2">
        <v>8226512</v>
      </c>
      <c r="M1658" s="2">
        <v>3501026096.6500001</v>
      </c>
      <c r="N1658" s="2">
        <v>134382</v>
      </c>
      <c r="O1658" t="s">
        <v>22</v>
      </c>
    </row>
    <row r="1659" spans="1:15" x14ac:dyDescent="0.3">
      <c r="A1659" s="1">
        <v>45785</v>
      </c>
      <c r="B1659" t="s">
        <v>15</v>
      </c>
      <c r="C1659" s="3">
        <v>429</v>
      </c>
      <c r="D1659" s="3">
        <v>431.5</v>
      </c>
      <c r="E1659" s="3">
        <v>423.55</v>
      </c>
      <c r="F1659" s="3">
        <v>431.15</v>
      </c>
      <c r="G1659" s="3">
        <v>429.4</v>
      </c>
      <c r="H1659" s="3">
        <v>430.6</v>
      </c>
      <c r="I1659" s="3">
        <v>428.99</v>
      </c>
      <c r="J1659" s="3">
        <v>471.5</v>
      </c>
      <c r="K1659" s="3">
        <v>390.15</v>
      </c>
      <c r="L1659" s="2">
        <v>19937960</v>
      </c>
      <c r="M1659" s="2">
        <v>8553117657.75</v>
      </c>
      <c r="N1659" s="2">
        <v>173524</v>
      </c>
      <c r="O1659" t="s">
        <v>22</v>
      </c>
    </row>
    <row r="1660" spans="1:15" x14ac:dyDescent="0.3">
      <c r="A1660" s="1">
        <v>45784</v>
      </c>
      <c r="B1660" t="s">
        <v>15</v>
      </c>
      <c r="C1660" s="3">
        <v>433.4</v>
      </c>
      <c r="D1660" s="3">
        <v>435</v>
      </c>
      <c r="E1660" s="3">
        <v>429.7</v>
      </c>
      <c r="F1660" s="3">
        <v>435.55</v>
      </c>
      <c r="G1660" s="3">
        <v>430.15</v>
      </c>
      <c r="H1660" s="3">
        <v>431.15</v>
      </c>
      <c r="I1660" s="3">
        <v>431.77</v>
      </c>
      <c r="J1660" s="3">
        <v>471.5</v>
      </c>
      <c r="K1660" s="3">
        <v>390.15</v>
      </c>
      <c r="L1660" s="2">
        <v>9710361</v>
      </c>
      <c r="M1660" s="2">
        <v>4192656819.5999999</v>
      </c>
      <c r="N1660" s="2">
        <v>148037</v>
      </c>
      <c r="O1660" t="s">
        <v>22</v>
      </c>
    </row>
    <row r="1661" spans="1:15" x14ac:dyDescent="0.3">
      <c r="A1661" s="1">
        <v>45783</v>
      </c>
      <c r="B1661" t="s">
        <v>15</v>
      </c>
      <c r="C1661" s="3">
        <v>437.5</v>
      </c>
      <c r="D1661" s="3">
        <v>439.65</v>
      </c>
      <c r="E1661" s="3">
        <v>433</v>
      </c>
      <c r="F1661" s="3">
        <v>436.95</v>
      </c>
      <c r="G1661" s="3">
        <v>433.2</v>
      </c>
      <c r="H1661" s="3">
        <v>435.55</v>
      </c>
      <c r="I1661" s="3">
        <v>436.24</v>
      </c>
      <c r="J1661" s="3">
        <v>471.5</v>
      </c>
      <c r="K1661" s="3">
        <v>390.15</v>
      </c>
      <c r="L1661" s="2">
        <v>15026568</v>
      </c>
      <c r="M1661" s="2">
        <v>6555176631.8999996</v>
      </c>
      <c r="N1661" s="2">
        <v>133609</v>
      </c>
      <c r="O1661" t="s">
        <v>22</v>
      </c>
    </row>
    <row r="1662" spans="1:15" x14ac:dyDescent="0.3">
      <c r="A1662" s="1">
        <v>45782</v>
      </c>
      <c r="B1662" t="s">
        <v>15</v>
      </c>
      <c r="C1662" s="3">
        <v>430.25</v>
      </c>
      <c r="D1662" s="3">
        <v>438.5</v>
      </c>
      <c r="E1662" s="3">
        <v>429.35</v>
      </c>
      <c r="F1662" s="3">
        <v>430.25</v>
      </c>
      <c r="G1662" s="3">
        <v>437.5</v>
      </c>
      <c r="H1662" s="3">
        <v>436.95</v>
      </c>
      <c r="I1662" s="3">
        <v>436.11</v>
      </c>
      <c r="J1662" s="3">
        <v>471.5</v>
      </c>
      <c r="K1662" s="3">
        <v>390.15</v>
      </c>
      <c r="L1662" s="2">
        <v>11525305</v>
      </c>
      <c r="M1662" s="2">
        <v>5026339793.8000002</v>
      </c>
      <c r="N1662" s="2">
        <v>117066</v>
      </c>
      <c r="O1662" t="s">
        <v>22</v>
      </c>
    </row>
    <row r="1663" spans="1:15" x14ac:dyDescent="0.3">
      <c r="A1663" s="1">
        <v>45779</v>
      </c>
      <c r="B1663" t="s">
        <v>15</v>
      </c>
      <c r="C1663" s="3">
        <v>424.1</v>
      </c>
      <c r="D1663" s="3">
        <v>431.5</v>
      </c>
      <c r="E1663" s="3">
        <v>424.1</v>
      </c>
      <c r="F1663" s="3">
        <v>425.8</v>
      </c>
      <c r="G1663" s="3">
        <v>429.3</v>
      </c>
      <c r="H1663" s="3">
        <v>430.25</v>
      </c>
      <c r="I1663" s="3">
        <v>428.82</v>
      </c>
      <c r="J1663" s="3">
        <v>471.5</v>
      </c>
      <c r="K1663" s="3">
        <v>390.15</v>
      </c>
      <c r="L1663" s="2">
        <v>12769461</v>
      </c>
      <c r="M1663" s="2">
        <v>5475858517.6499996</v>
      </c>
      <c r="N1663" s="2">
        <v>115137</v>
      </c>
      <c r="O1663" t="s">
        <v>22</v>
      </c>
    </row>
    <row r="1664" spans="1:15" x14ac:dyDescent="0.3">
      <c r="A1664" s="1">
        <v>45777</v>
      </c>
      <c r="B1664" t="s">
        <v>15</v>
      </c>
      <c r="C1664" s="3">
        <v>427.4</v>
      </c>
      <c r="D1664" s="3">
        <v>429.3</v>
      </c>
      <c r="E1664" s="3">
        <v>422</v>
      </c>
      <c r="F1664" s="3">
        <v>426</v>
      </c>
      <c r="G1664" s="3">
        <v>425</v>
      </c>
      <c r="H1664" s="3">
        <v>425.8</v>
      </c>
      <c r="I1664" s="3">
        <v>426.72</v>
      </c>
      <c r="J1664" s="3">
        <v>471.5</v>
      </c>
      <c r="K1664" s="3">
        <v>390.15</v>
      </c>
      <c r="L1664" s="2">
        <v>10026546</v>
      </c>
      <c r="M1664" s="2">
        <v>4278552724.8000002</v>
      </c>
      <c r="N1664" s="2">
        <v>197832</v>
      </c>
      <c r="O1664" t="s">
        <v>22</v>
      </c>
    </row>
    <row r="1665" spans="1:15" x14ac:dyDescent="0.3">
      <c r="A1665" s="1">
        <v>45776</v>
      </c>
      <c r="B1665" t="s">
        <v>15</v>
      </c>
      <c r="C1665" s="3">
        <v>428.9</v>
      </c>
      <c r="D1665" s="3">
        <v>429.6</v>
      </c>
      <c r="E1665" s="3">
        <v>425</v>
      </c>
      <c r="F1665" s="3">
        <v>428.8</v>
      </c>
      <c r="G1665" s="3">
        <v>425.35</v>
      </c>
      <c r="H1665" s="3">
        <v>426</v>
      </c>
      <c r="I1665" s="3">
        <v>426.31</v>
      </c>
      <c r="J1665" s="3">
        <v>471.5</v>
      </c>
      <c r="K1665" s="3">
        <v>390.15</v>
      </c>
      <c r="L1665" s="2">
        <v>11189930</v>
      </c>
      <c r="M1665" s="2">
        <v>4770331679.8000002</v>
      </c>
      <c r="N1665" s="2">
        <v>228223</v>
      </c>
      <c r="O1665" t="s">
        <v>22</v>
      </c>
    </row>
    <row r="1666" spans="1:15" x14ac:dyDescent="0.3">
      <c r="A1666" s="1">
        <v>45775</v>
      </c>
      <c r="B1666" t="s">
        <v>15</v>
      </c>
      <c r="C1666" s="3">
        <v>426.65</v>
      </c>
      <c r="D1666" s="3">
        <v>430.5</v>
      </c>
      <c r="E1666" s="3">
        <v>424.75</v>
      </c>
      <c r="F1666" s="3">
        <v>427.8</v>
      </c>
      <c r="G1666" s="3">
        <v>428.75</v>
      </c>
      <c r="H1666" s="3">
        <v>428.8</v>
      </c>
      <c r="I1666" s="3">
        <v>428.56</v>
      </c>
      <c r="J1666" s="3">
        <v>471.5</v>
      </c>
      <c r="K1666" s="3">
        <v>390.15</v>
      </c>
      <c r="L1666" s="2">
        <v>6287095</v>
      </c>
      <c r="M1666" s="2">
        <v>2694427013.8499999</v>
      </c>
      <c r="N1666" s="2">
        <v>73016</v>
      </c>
      <c r="O1666" t="s">
        <v>22</v>
      </c>
    </row>
    <row r="1667" spans="1:15" x14ac:dyDescent="0.3">
      <c r="A1667" s="1">
        <v>45772</v>
      </c>
      <c r="B1667" t="s">
        <v>15</v>
      </c>
      <c r="C1667" s="3">
        <v>430.05</v>
      </c>
      <c r="D1667" s="3">
        <v>432.7</v>
      </c>
      <c r="E1667" s="3">
        <v>423.3</v>
      </c>
      <c r="F1667" s="3">
        <v>430.05</v>
      </c>
      <c r="G1667" s="3">
        <v>427.6</v>
      </c>
      <c r="H1667" s="3">
        <v>427.8</v>
      </c>
      <c r="I1667" s="3">
        <v>425.99</v>
      </c>
      <c r="J1667" s="3">
        <v>471.5</v>
      </c>
      <c r="K1667" s="3">
        <v>390.15</v>
      </c>
      <c r="L1667" s="2">
        <v>22944377</v>
      </c>
      <c r="M1667" s="2">
        <v>9774087061.5</v>
      </c>
      <c r="N1667" s="2">
        <v>120877</v>
      </c>
      <c r="O1667" t="s">
        <v>22</v>
      </c>
    </row>
    <row r="1668" spans="1:15" x14ac:dyDescent="0.3">
      <c r="A1668" s="1">
        <v>45771</v>
      </c>
      <c r="B1668" t="s">
        <v>15</v>
      </c>
      <c r="C1668" s="3">
        <v>431.85</v>
      </c>
      <c r="D1668" s="3">
        <v>436.05</v>
      </c>
      <c r="E1668" s="3">
        <v>429.3</v>
      </c>
      <c r="F1668" s="3">
        <v>430.85</v>
      </c>
      <c r="G1668" s="3">
        <v>429.85</v>
      </c>
      <c r="H1668" s="3">
        <v>430.05</v>
      </c>
      <c r="I1668" s="3">
        <v>431.79</v>
      </c>
      <c r="J1668" s="3">
        <v>471.5</v>
      </c>
      <c r="K1668" s="3">
        <v>390.15</v>
      </c>
      <c r="L1668" s="2">
        <v>26064089</v>
      </c>
      <c r="M1668" s="2">
        <v>11254147788.1</v>
      </c>
      <c r="N1668" s="2">
        <v>134018</v>
      </c>
      <c r="O1668" t="s">
        <v>22</v>
      </c>
    </row>
    <row r="1669" spans="1:15" x14ac:dyDescent="0.3">
      <c r="A1669" s="1">
        <v>45770</v>
      </c>
      <c r="B1669" t="s">
        <v>15</v>
      </c>
      <c r="C1669" s="3">
        <v>436.2</v>
      </c>
      <c r="D1669" s="3">
        <v>437.45</v>
      </c>
      <c r="E1669" s="3">
        <v>428.85</v>
      </c>
      <c r="F1669" s="3">
        <v>433.6</v>
      </c>
      <c r="G1669" s="3">
        <v>430.15</v>
      </c>
      <c r="H1669" s="3">
        <v>430.85</v>
      </c>
      <c r="I1669" s="3">
        <v>431.14</v>
      </c>
      <c r="J1669" s="3">
        <v>471.5</v>
      </c>
      <c r="K1669" s="3">
        <v>390.15</v>
      </c>
      <c r="L1669" s="2">
        <v>19566317</v>
      </c>
      <c r="M1669" s="2">
        <v>8435917733.6499996</v>
      </c>
      <c r="N1669" s="2">
        <v>144472</v>
      </c>
      <c r="O1669" t="s">
        <v>22</v>
      </c>
    </row>
    <row r="1670" spans="1:15" x14ac:dyDescent="0.3">
      <c r="A1670" s="1">
        <v>45769</v>
      </c>
      <c r="B1670" t="s">
        <v>15</v>
      </c>
      <c r="C1670" s="3">
        <v>425.95</v>
      </c>
      <c r="D1670" s="3">
        <v>434.8</v>
      </c>
      <c r="E1670" s="3">
        <v>423.55</v>
      </c>
      <c r="F1670" s="3">
        <v>422.85</v>
      </c>
      <c r="G1670" s="3">
        <v>432.85</v>
      </c>
      <c r="H1670" s="3">
        <v>433.6</v>
      </c>
      <c r="I1670" s="3">
        <v>427.96</v>
      </c>
      <c r="J1670" s="3">
        <v>471.5</v>
      </c>
      <c r="K1670" s="3">
        <v>390.15</v>
      </c>
      <c r="L1670" s="2">
        <v>32031936</v>
      </c>
      <c r="M1670" s="2">
        <v>13708485407.15</v>
      </c>
      <c r="N1670" s="2">
        <v>167601</v>
      </c>
      <c r="O1670" t="s">
        <v>22</v>
      </c>
    </row>
    <row r="1671" spans="1:15" x14ac:dyDescent="0.3">
      <c r="A1671" s="1">
        <v>45768</v>
      </c>
      <c r="B1671" t="s">
        <v>15</v>
      </c>
      <c r="C1671" s="3">
        <v>428.05</v>
      </c>
      <c r="D1671" s="3">
        <v>429.1</v>
      </c>
      <c r="E1671" s="3">
        <v>421.5</v>
      </c>
      <c r="F1671" s="3">
        <v>427.25</v>
      </c>
      <c r="G1671" s="3">
        <v>422.95</v>
      </c>
      <c r="H1671" s="3">
        <v>422.85</v>
      </c>
      <c r="I1671" s="3">
        <v>422.51</v>
      </c>
      <c r="J1671" s="3">
        <v>471.5</v>
      </c>
      <c r="K1671" s="3">
        <v>390.15</v>
      </c>
      <c r="L1671" s="2">
        <v>27388236</v>
      </c>
      <c r="M1671" s="2">
        <v>11571885187.299999</v>
      </c>
      <c r="N1671" s="2">
        <v>218049</v>
      </c>
      <c r="O1671" t="s">
        <v>22</v>
      </c>
    </row>
    <row r="1672" spans="1:15" x14ac:dyDescent="0.3">
      <c r="A1672" s="1">
        <v>45764</v>
      </c>
      <c r="B1672" t="s">
        <v>15</v>
      </c>
      <c r="C1672" s="3">
        <v>425</v>
      </c>
      <c r="D1672" s="3">
        <v>427.85</v>
      </c>
      <c r="E1672" s="3">
        <v>421.55</v>
      </c>
      <c r="F1672" s="3">
        <v>424.45</v>
      </c>
      <c r="G1672" s="3">
        <v>427</v>
      </c>
      <c r="H1672" s="3">
        <v>427.25</v>
      </c>
      <c r="I1672" s="3">
        <v>425.37</v>
      </c>
      <c r="J1672" s="3">
        <v>471.5</v>
      </c>
      <c r="K1672" s="3">
        <v>390.15</v>
      </c>
      <c r="L1672" s="2">
        <v>22410217</v>
      </c>
      <c r="M1672" s="2">
        <v>9532679412.8999996</v>
      </c>
      <c r="N1672" s="2">
        <v>222404</v>
      </c>
      <c r="O1672" t="s">
        <v>22</v>
      </c>
    </row>
    <row r="1673" spans="1:15" x14ac:dyDescent="0.3">
      <c r="A1673" s="1">
        <v>45763</v>
      </c>
      <c r="B1673" t="s">
        <v>15</v>
      </c>
      <c r="C1673" s="3">
        <v>418</v>
      </c>
      <c r="D1673" s="3">
        <v>426.05</v>
      </c>
      <c r="E1673" s="3">
        <v>418</v>
      </c>
      <c r="F1673" s="3">
        <v>420.4</v>
      </c>
      <c r="G1673" s="3">
        <v>424.9</v>
      </c>
      <c r="H1673" s="3">
        <v>424.45</v>
      </c>
      <c r="I1673" s="3">
        <v>423.29</v>
      </c>
      <c r="J1673" s="3">
        <v>471.5</v>
      </c>
      <c r="K1673" s="3">
        <v>390.15</v>
      </c>
      <c r="L1673" s="2">
        <v>13034594</v>
      </c>
      <c r="M1673" s="2">
        <v>5517451893.1499996</v>
      </c>
      <c r="N1673" s="2">
        <v>115189</v>
      </c>
      <c r="O1673" t="s">
        <v>22</v>
      </c>
    </row>
    <row r="1674" spans="1:15" x14ac:dyDescent="0.3">
      <c r="A1674" s="1">
        <v>45762</v>
      </c>
      <c r="B1674" t="s">
        <v>15</v>
      </c>
      <c r="C1674" s="3">
        <v>429.2</v>
      </c>
      <c r="D1674" s="3">
        <v>429.2</v>
      </c>
      <c r="E1674" s="3">
        <v>419</v>
      </c>
      <c r="F1674" s="3">
        <v>421.55</v>
      </c>
      <c r="G1674" s="3">
        <v>420.35</v>
      </c>
      <c r="H1674" s="3">
        <v>420.4</v>
      </c>
      <c r="I1674" s="3">
        <v>421.35</v>
      </c>
      <c r="J1674" s="3">
        <v>471.5</v>
      </c>
      <c r="K1674" s="3">
        <v>390.15</v>
      </c>
      <c r="L1674" s="2">
        <v>11685880</v>
      </c>
      <c r="M1674" s="2">
        <v>4923848655.8000002</v>
      </c>
      <c r="N1674" s="2">
        <v>129742</v>
      </c>
      <c r="O1674" t="s">
        <v>22</v>
      </c>
    </row>
    <row r="1675" spans="1:15" x14ac:dyDescent="0.3">
      <c r="A1675" s="1">
        <v>45758</v>
      </c>
      <c r="B1675" t="s">
        <v>15</v>
      </c>
      <c r="C1675" s="3">
        <v>420</v>
      </c>
      <c r="D1675" s="3">
        <v>422.45</v>
      </c>
      <c r="E1675" s="3">
        <v>417</v>
      </c>
      <c r="F1675" s="3">
        <v>416.3</v>
      </c>
      <c r="G1675" s="3">
        <v>422</v>
      </c>
      <c r="H1675" s="3">
        <v>421.55</v>
      </c>
      <c r="I1675" s="3">
        <v>420.4</v>
      </c>
      <c r="J1675" s="3">
        <v>471.5</v>
      </c>
      <c r="K1675" s="3">
        <v>390.15</v>
      </c>
      <c r="L1675" s="2">
        <v>8939356</v>
      </c>
      <c r="M1675" s="2">
        <v>3758063114.5500002</v>
      </c>
      <c r="N1675" s="2">
        <v>98015</v>
      </c>
      <c r="O1675" t="s">
        <v>22</v>
      </c>
    </row>
    <row r="1676" spans="1:15" x14ac:dyDescent="0.3">
      <c r="A1676" s="1">
        <v>45756</v>
      </c>
      <c r="B1676" t="s">
        <v>15</v>
      </c>
      <c r="C1676" s="3">
        <v>413</v>
      </c>
      <c r="D1676" s="3">
        <v>419.05</v>
      </c>
      <c r="E1676" s="3">
        <v>411.25</v>
      </c>
      <c r="F1676" s="3">
        <v>412.55</v>
      </c>
      <c r="G1676" s="3">
        <v>416.15</v>
      </c>
      <c r="H1676" s="3">
        <v>416.3</v>
      </c>
      <c r="I1676" s="3">
        <v>416.41</v>
      </c>
      <c r="J1676" s="3">
        <v>471.5</v>
      </c>
      <c r="K1676" s="3">
        <v>390.15</v>
      </c>
      <c r="L1676" s="2">
        <v>21785572</v>
      </c>
      <c r="M1676" s="2">
        <v>9071650104.3500004</v>
      </c>
      <c r="N1676" s="2">
        <v>242191</v>
      </c>
      <c r="O1676" t="s">
        <v>22</v>
      </c>
    </row>
    <row r="1677" spans="1:15" x14ac:dyDescent="0.3">
      <c r="A1677" s="1">
        <v>45755</v>
      </c>
      <c r="B1677" t="s">
        <v>15</v>
      </c>
      <c r="C1677" s="3">
        <v>411.9</v>
      </c>
      <c r="D1677" s="3">
        <v>415.8</v>
      </c>
      <c r="E1677" s="3">
        <v>407.25</v>
      </c>
      <c r="F1677" s="3">
        <v>406.05</v>
      </c>
      <c r="G1677" s="3">
        <v>413.5</v>
      </c>
      <c r="H1677" s="3">
        <v>412.55</v>
      </c>
      <c r="I1677" s="3">
        <v>411.57</v>
      </c>
      <c r="J1677" s="3">
        <v>471.5</v>
      </c>
      <c r="K1677" s="3">
        <v>390.15</v>
      </c>
      <c r="L1677" s="2">
        <v>18600796</v>
      </c>
      <c r="M1677" s="2">
        <v>7655492505.5</v>
      </c>
      <c r="N1677" s="2">
        <v>234584</v>
      </c>
      <c r="O1677" t="s">
        <v>22</v>
      </c>
    </row>
    <row r="1678" spans="1:15" x14ac:dyDescent="0.3">
      <c r="A1678" s="1">
        <v>45754</v>
      </c>
      <c r="B1678" t="s">
        <v>15</v>
      </c>
      <c r="C1678" s="3">
        <v>390.15</v>
      </c>
      <c r="D1678" s="3">
        <v>408.1</v>
      </c>
      <c r="E1678" s="3">
        <v>390.15</v>
      </c>
      <c r="F1678" s="3">
        <v>409.7</v>
      </c>
      <c r="G1678" s="3">
        <v>406.75</v>
      </c>
      <c r="H1678" s="3">
        <v>406.05</v>
      </c>
      <c r="I1678" s="3">
        <v>403.02</v>
      </c>
      <c r="J1678" s="3">
        <v>471.5</v>
      </c>
      <c r="K1678" s="3">
        <v>390.15</v>
      </c>
      <c r="L1678" s="2">
        <v>26762866</v>
      </c>
      <c r="M1678" s="2">
        <v>10785870136.450001</v>
      </c>
      <c r="N1678" s="2">
        <v>307280</v>
      </c>
      <c r="O1678" t="s">
        <v>22</v>
      </c>
    </row>
    <row r="1679" spans="1:15" x14ac:dyDescent="0.3">
      <c r="A1679" s="1">
        <v>45751</v>
      </c>
      <c r="B1679" t="s">
        <v>15</v>
      </c>
      <c r="C1679" s="3">
        <v>407.5</v>
      </c>
      <c r="D1679" s="3">
        <v>412.8</v>
      </c>
      <c r="E1679" s="3">
        <v>404.5</v>
      </c>
      <c r="F1679" s="3">
        <v>409.4</v>
      </c>
      <c r="G1679" s="3">
        <v>409.3</v>
      </c>
      <c r="H1679" s="3">
        <v>409.7</v>
      </c>
      <c r="I1679" s="3">
        <v>409.44</v>
      </c>
      <c r="J1679" s="3">
        <v>471.5</v>
      </c>
      <c r="K1679" s="3">
        <v>391.2</v>
      </c>
      <c r="L1679" s="2">
        <v>18627592</v>
      </c>
      <c r="M1679" s="2">
        <v>7626798175.75</v>
      </c>
      <c r="N1679" s="2">
        <v>149408</v>
      </c>
      <c r="O1679" t="s">
        <v>22</v>
      </c>
    </row>
    <row r="1680" spans="1:15" x14ac:dyDescent="0.3">
      <c r="A1680" s="1">
        <v>45750</v>
      </c>
      <c r="B1680" t="s">
        <v>15</v>
      </c>
      <c r="C1680" s="3">
        <v>407.05</v>
      </c>
      <c r="D1680" s="3">
        <v>410.2</v>
      </c>
      <c r="E1680" s="3">
        <v>406.7</v>
      </c>
      <c r="F1680" s="3">
        <v>409.05</v>
      </c>
      <c r="G1680" s="3">
        <v>409</v>
      </c>
      <c r="H1680" s="3">
        <v>409.4</v>
      </c>
      <c r="I1680" s="3">
        <v>408.93</v>
      </c>
      <c r="J1680" s="3">
        <v>471.5</v>
      </c>
      <c r="K1680" s="3">
        <v>391.2</v>
      </c>
      <c r="L1680" s="2">
        <v>7059566</v>
      </c>
      <c r="M1680" s="2">
        <v>2886881314.8499999</v>
      </c>
      <c r="N1680" s="2">
        <v>78934</v>
      </c>
      <c r="O1680" t="s">
        <v>22</v>
      </c>
    </row>
    <row r="1681" spans="1:15" x14ac:dyDescent="0.3">
      <c r="A1681" s="1">
        <v>45749</v>
      </c>
      <c r="B1681" t="s">
        <v>15</v>
      </c>
      <c r="C1681" s="3">
        <v>407.05</v>
      </c>
      <c r="D1681" s="3">
        <v>410</v>
      </c>
      <c r="E1681" s="3">
        <v>406.05</v>
      </c>
      <c r="F1681" s="3">
        <v>406.65</v>
      </c>
      <c r="G1681" s="3">
        <v>408.7</v>
      </c>
      <c r="H1681" s="3">
        <v>409.05</v>
      </c>
      <c r="I1681" s="3">
        <v>408.65</v>
      </c>
      <c r="J1681" s="3">
        <v>471.5</v>
      </c>
      <c r="K1681" s="3">
        <v>391.2</v>
      </c>
      <c r="L1681" s="2">
        <v>8001323</v>
      </c>
      <c r="M1681" s="2">
        <v>3269711918.8000002</v>
      </c>
      <c r="N1681" s="2">
        <v>72562</v>
      </c>
      <c r="O1681" t="s">
        <v>22</v>
      </c>
    </row>
    <row r="1682" spans="1:15" x14ac:dyDescent="0.3">
      <c r="A1682" s="1">
        <v>45748</v>
      </c>
      <c r="B1682" t="s">
        <v>15</v>
      </c>
      <c r="C1682" s="3">
        <v>409.8</v>
      </c>
      <c r="D1682" s="3">
        <v>414.4</v>
      </c>
      <c r="E1682" s="3">
        <v>405.6</v>
      </c>
      <c r="F1682" s="3">
        <v>409.75</v>
      </c>
      <c r="G1682" s="3">
        <v>406.6</v>
      </c>
      <c r="H1682" s="3">
        <v>406.65</v>
      </c>
      <c r="I1682" s="3">
        <v>409.28</v>
      </c>
      <c r="J1682" s="3">
        <v>471.5</v>
      </c>
      <c r="K1682" s="3">
        <v>391.2</v>
      </c>
      <c r="L1682" s="2">
        <v>15206240</v>
      </c>
      <c r="M1682" s="2">
        <v>6223651577.6000004</v>
      </c>
      <c r="N1682" s="2">
        <v>127499</v>
      </c>
      <c r="O1682" t="s">
        <v>22</v>
      </c>
    </row>
    <row r="1683" spans="1:15" x14ac:dyDescent="0.3">
      <c r="A1683" s="1">
        <v>45744</v>
      </c>
      <c r="B1683" t="s">
        <v>15</v>
      </c>
      <c r="C1683" s="3">
        <v>410.9</v>
      </c>
      <c r="D1683" s="3">
        <v>415.6</v>
      </c>
      <c r="E1683" s="3">
        <v>408.15</v>
      </c>
      <c r="F1683" s="3">
        <v>409.45</v>
      </c>
      <c r="G1683" s="3">
        <v>410.25</v>
      </c>
      <c r="H1683" s="3">
        <v>409.75</v>
      </c>
      <c r="I1683" s="3">
        <v>410.91</v>
      </c>
      <c r="J1683" s="3">
        <v>471.5</v>
      </c>
      <c r="K1683" s="3">
        <v>391.2</v>
      </c>
      <c r="L1683" s="2">
        <v>12981873</v>
      </c>
      <c r="M1683" s="2">
        <v>5334443057.8999996</v>
      </c>
      <c r="N1683" s="2">
        <v>114689</v>
      </c>
      <c r="O1683" t="s">
        <v>22</v>
      </c>
    </row>
    <row r="1684" spans="1:15" x14ac:dyDescent="0.3">
      <c r="A1684" s="1">
        <v>45743</v>
      </c>
      <c r="B1684" t="s">
        <v>15</v>
      </c>
      <c r="C1684" s="3">
        <v>408</v>
      </c>
      <c r="D1684" s="3">
        <v>410.7</v>
      </c>
      <c r="E1684" s="3">
        <v>405.65</v>
      </c>
      <c r="F1684" s="3">
        <v>407.35</v>
      </c>
      <c r="G1684" s="3">
        <v>409.35</v>
      </c>
      <c r="H1684" s="3">
        <v>409.45</v>
      </c>
      <c r="I1684" s="3">
        <v>409.35</v>
      </c>
      <c r="J1684" s="3">
        <v>471.5</v>
      </c>
      <c r="K1684" s="3">
        <v>391.2</v>
      </c>
      <c r="L1684" s="2">
        <v>18642328</v>
      </c>
      <c r="M1684" s="2">
        <v>7631235472.1999998</v>
      </c>
      <c r="N1684" s="2">
        <v>153590</v>
      </c>
      <c r="O1684" t="s">
        <v>22</v>
      </c>
    </row>
    <row r="1685" spans="1:15" x14ac:dyDescent="0.3">
      <c r="A1685" s="1">
        <v>45742</v>
      </c>
      <c r="B1685" t="s">
        <v>15</v>
      </c>
      <c r="C1685" s="3">
        <v>410.3</v>
      </c>
      <c r="D1685" s="3">
        <v>411.2</v>
      </c>
      <c r="E1685" s="3">
        <v>406.25</v>
      </c>
      <c r="F1685" s="3">
        <v>409.8</v>
      </c>
      <c r="G1685" s="3">
        <v>407.4</v>
      </c>
      <c r="H1685" s="3">
        <v>407.35</v>
      </c>
      <c r="I1685" s="3">
        <v>409.03</v>
      </c>
      <c r="J1685" s="3">
        <v>471.5</v>
      </c>
      <c r="K1685" s="3">
        <v>391.2</v>
      </c>
      <c r="L1685" s="2">
        <v>13891436</v>
      </c>
      <c r="M1685" s="2">
        <v>5681950426.0500002</v>
      </c>
      <c r="N1685" s="2">
        <v>103317</v>
      </c>
      <c r="O1685" t="s">
        <v>22</v>
      </c>
    </row>
    <row r="1686" spans="1:15" x14ac:dyDescent="0.3">
      <c r="A1686" s="1">
        <v>45741</v>
      </c>
      <c r="B1686" t="s">
        <v>15</v>
      </c>
      <c r="C1686" s="3">
        <v>412</v>
      </c>
      <c r="D1686" s="3">
        <v>415.25</v>
      </c>
      <c r="E1686" s="3">
        <v>408.7</v>
      </c>
      <c r="F1686" s="3">
        <v>410.9</v>
      </c>
      <c r="G1686" s="3">
        <v>409.2</v>
      </c>
      <c r="H1686" s="3">
        <v>409.8</v>
      </c>
      <c r="I1686" s="3">
        <v>411.17</v>
      </c>
      <c r="J1686" s="3">
        <v>471.5</v>
      </c>
      <c r="K1686" s="3">
        <v>391.2</v>
      </c>
      <c r="L1686" s="2">
        <v>20338110</v>
      </c>
      <c r="M1686" s="2">
        <v>8362411027.5</v>
      </c>
      <c r="N1686" s="2">
        <v>138414</v>
      </c>
      <c r="O1686" t="s">
        <v>22</v>
      </c>
    </row>
    <row r="1687" spans="1:15" x14ac:dyDescent="0.3">
      <c r="A1687" s="1">
        <v>45740</v>
      </c>
      <c r="B1687" t="s">
        <v>15</v>
      </c>
      <c r="C1687" s="3">
        <v>407</v>
      </c>
      <c r="D1687" s="3">
        <v>412.85</v>
      </c>
      <c r="E1687" s="3">
        <v>405.6</v>
      </c>
      <c r="F1687" s="3">
        <v>405.55</v>
      </c>
      <c r="G1687" s="3">
        <v>411</v>
      </c>
      <c r="H1687" s="3">
        <v>410.9</v>
      </c>
      <c r="I1687" s="3">
        <v>409.64</v>
      </c>
      <c r="J1687" s="3">
        <v>471.5</v>
      </c>
      <c r="K1687" s="3">
        <v>391.2</v>
      </c>
      <c r="L1687" s="2">
        <v>14362572</v>
      </c>
      <c r="M1687" s="2">
        <v>5883505695.5</v>
      </c>
      <c r="N1687" s="2">
        <v>138703</v>
      </c>
      <c r="O1687" t="s">
        <v>22</v>
      </c>
    </row>
    <row r="1688" spans="1:15" x14ac:dyDescent="0.3">
      <c r="A1688" s="1">
        <v>45737</v>
      </c>
      <c r="B1688" t="s">
        <v>15</v>
      </c>
      <c r="C1688" s="3">
        <v>405.95</v>
      </c>
      <c r="D1688" s="3">
        <v>407.5</v>
      </c>
      <c r="E1688" s="3">
        <v>401.7</v>
      </c>
      <c r="F1688" s="3">
        <v>403.95</v>
      </c>
      <c r="G1688" s="3">
        <v>406.5</v>
      </c>
      <c r="H1688" s="3">
        <v>405.55</v>
      </c>
      <c r="I1688" s="3">
        <v>404.1</v>
      </c>
      <c r="J1688" s="3">
        <v>471.5</v>
      </c>
      <c r="K1688" s="3">
        <v>391.2</v>
      </c>
      <c r="L1688" s="2">
        <v>25302035</v>
      </c>
      <c r="M1688" s="2">
        <v>10224618507.85</v>
      </c>
      <c r="N1688" s="2">
        <v>130427</v>
      </c>
      <c r="O1688" t="s">
        <v>22</v>
      </c>
    </row>
    <row r="1689" spans="1:15" x14ac:dyDescent="0.3">
      <c r="A1689" s="1">
        <v>45736</v>
      </c>
      <c r="B1689" t="s">
        <v>15</v>
      </c>
      <c r="C1689" s="3">
        <v>405</v>
      </c>
      <c r="D1689" s="3">
        <v>406.65</v>
      </c>
      <c r="E1689" s="3">
        <v>401.9</v>
      </c>
      <c r="F1689" s="3">
        <v>403.05</v>
      </c>
      <c r="G1689" s="3">
        <v>403.6</v>
      </c>
      <c r="H1689" s="3">
        <v>403.95</v>
      </c>
      <c r="I1689" s="3">
        <v>403.5</v>
      </c>
      <c r="J1689" s="3">
        <v>471.5</v>
      </c>
      <c r="K1689" s="3">
        <v>391.2</v>
      </c>
      <c r="L1689" s="2">
        <v>16994037</v>
      </c>
      <c r="M1689" s="2">
        <v>6857153651.6499996</v>
      </c>
      <c r="N1689" s="2">
        <v>125979</v>
      </c>
      <c r="O1689" t="s">
        <v>22</v>
      </c>
    </row>
    <row r="1690" spans="1:15" x14ac:dyDescent="0.3">
      <c r="A1690" s="1">
        <v>45735</v>
      </c>
      <c r="B1690" t="s">
        <v>15</v>
      </c>
      <c r="C1690" s="3">
        <v>410</v>
      </c>
      <c r="D1690" s="3">
        <v>410.75</v>
      </c>
      <c r="E1690" s="3">
        <v>402.6</v>
      </c>
      <c r="F1690" s="3">
        <v>409.1</v>
      </c>
      <c r="G1690" s="3">
        <v>403.4</v>
      </c>
      <c r="H1690" s="3">
        <v>403.05</v>
      </c>
      <c r="I1690" s="3">
        <v>404.51</v>
      </c>
      <c r="J1690" s="3">
        <v>471.5</v>
      </c>
      <c r="K1690" s="3">
        <v>391.2</v>
      </c>
      <c r="L1690" s="2">
        <v>12830387</v>
      </c>
      <c r="M1690" s="2">
        <v>5189984214.6000004</v>
      </c>
      <c r="N1690" s="2">
        <v>135494</v>
      </c>
      <c r="O1690" t="s">
        <v>22</v>
      </c>
    </row>
    <row r="1691" spans="1:15" x14ac:dyDescent="0.3">
      <c r="A1691" s="1">
        <v>45734</v>
      </c>
      <c r="B1691" t="s">
        <v>15</v>
      </c>
      <c r="C1691" s="3">
        <v>410</v>
      </c>
      <c r="D1691" s="3">
        <v>411.95</v>
      </c>
      <c r="E1691" s="3">
        <v>407.75</v>
      </c>
      <c r="F1691" s="3">
        <v>407.95</v>
      </c>
      <c r="G1691" s="3">
        <v>409.5</v>
      </c>
      <c r="H1691" s="3">
        <v>409.1</v>
      </c>
      <c r="I1691" s="3">
        <v>409.5</v>
      </c>
      <c r="J1691" s="3">
        <v>471.5</v>
      </c>
      <c r="K1691" s="3">
        <v>391.2</v>
      </c>
      <c r="L1691" s="2">
        <v>13861897</v>
      </c>
      <c r="M1691" s="2">
        <v>5676500784.8500004</v>
      </c>
      <c r="N1691" s="2">
        <v>106364</v>
      </c>
      <c r="O1691" t="s">
        <v>22</v>
      </c>
    </row>
    <row r="1692" spans="1:15" x14ac:dyDescent="0.3">
      <c r="A1692" s="1">
        <v>45733</v>
      </c>
      <c r="B1692" t="s">
        <v>15</v>
      </c>
      <c r="C1692" s="3">
        <v>413</v>
      </c>
      <c r="D1692" s="3">
        <v>416.25</v>
      </c>
      <c r="E1692" s="3">
        <v>407</v>
      </c>
      <c r="F1692" s="3">
        <v>412.05</v>
      </c>
      <c r="G1692" s="3">
        <v>407.8</v>
      </c>
      <c r="H1692" s="3">
        <v>407.95</v>
      </c>
      <c r="I1692" s="3">
        <v>409.81</v>
      </c>
      <c r="J1692" s="3">
        <v>471.5</v>
      </c>
      <c r="K1692" s="3">
        <v>391.2</v>
      </c>
      <c r="L1692" s="2">
        <v>5257859</v>
      </c>
      <c r="M1692" s="2">
        <v>2154706809.4000001</v>
      </c>
      <c r="N1692" s="2">
        <v>87899</v>
      </c>
      <c r="O1692" t="s">
        <v>22</v>
      </c>
    </row>
    <row r="1693" spans="1:15" x14ac:dyDescent="0.3">
      <c r="A1693" s="1">
        <v>45729</v>
      </c>
      <c r="B1693" t="s">
        <v>15</v>
      </c>
      <c r="C1693" s="3">
        <v>413</v>
      </c>
      <c r="D1693" s="3">
        <v>414.4</v>
      </c>
      <c r="E1693" s="3">
        <v>408.2</v>
      </c>
      <c r="F1693" s="3">
        <v>412.4</v>
      </c>
      <c r="G1693" s="3">
        <v>411.45</v>
      </c>
      <c r="H1693" s="3">
        <v>412.05</v>
      </c>
      <c r="I1693" s="3">
        <v>412.4</v>
      </c>
      <c r="J1693" s="3">
        <v>471.5</v>
      </c>
      <c r="K1693" s="3">
        <v>391.2</v>
      </c>
      <c r="L1693" s="2">
        <v>8196569</v>
      </c>
      <c r="M1693" s="2">
        <v>3380286305.6999998</v>
      </c>
      <c r="N1693" s="2">
        <v>122083</v>
      </c>
      <c r="O1693" t="s">
        <v>22</v>
      </c>
    </row>
    <row r="1694" spans="1:15" x14ac:dyDescent="0.3">
      <c r="A1694" s="1">
        <v>45728</v>
      </c>
      <c r="B1694" t="s">
        <v>15</v>
      </c>
      <c r="C1694" s="3">
        <v>406.4</v>
      </c>
      <c r="D1694" s="3">
        <v>413.3</v>
      </c>
      <c r="E1694" s="3">
        <v>404</v>
      </c>
      <c r="F1694" s="3">
        <v>406.2</v>
      </c>
      <c r="G1694" s="3">
        <v>412.55</v>
      </c>
      <c r="H1694" s="3">
        <v>412.4</v>
      </c>
      <c r="I1694" s="3">
        <v>409.75</v>
      </c>
      <c r="J1694" s="3">
        <v>471.5</v>
      </c>
      <c r="K1694" s="3">
        <v>391.2</v>
      </c>
      <c r="L1694" s="2">
        <v>13844306</v>
      </c>
      <c r="M1694" s="2">
        <v>5672766834.6000004</v>
      </c>
      <c r="N1694" s="2">
        <v>99237</v>
      </c>
      <c r="O1694" t="s">
        <v>22</v>
      </c>
    </row>
    <row r="1695" spans="1:15" x14ac:dyDescent="0.3">
      <c r="A1695" s="1">
        <v>45727</v>
      </c>
      <c r="B1695" t="s">
        <v>15</v>
      </c>
      <c r="C1695" s="3">
        <v>401.5</v>
      </c>
      <c r="D1695" s="3">
        <v>408.4</v>
      </c>
      <c r="E1695" s="3">
        <v>401.2</v>
      </c>
      <c r="F1695" s="3">
        <v>405</v>
      </c>
      <c r="G1695" s="3">
        <v>406.2</v>
      </c>
      <c r="H1695" s="3">
        <v>406.2</v>
      </c>
      <c r="I1695" s="3">
        <v>406.58</v>
      </c>
      <c r="J1695" s="3">
        <v>471.5</v>
      </c>
      <c r="K1695" s="3">
        <v>391.2</v>
      </c>
      <c r="L1695" s="2">
        <v>11099475</v>
      </c>
      <c r="M1695" s="2">
        <v>4512793431.6999998</v>
      </c>
      <c r="N1695" s="2">
        <v>116862</v>
      </c>
      <c r="O1695" t="s">
        <v>22</v>
      </c>
    </row>
    <row r="1696" spans="1:15" x14ac:dyDescent="0.3">
      <c r="A1696" s="1">
        <v>45726</v>
      </c>
      <c r="B1696" t="s">
        <v>15</v>
      </c>
      <c r="C1696" s="3">
        <v>401.05</v>
      </c>
      <c r="D1696" s="3">
        <v>406.85</v>
      </c>
      <c r="E1696" s="3">
        <v>400.4</v>
      </c>
      <c r="F1696" s="3">
        <v>403.9</v>
      </c>
      <c r="G1696" s="3">
        <v>404.8</v>
      </c>
      <c r="H1696" s="3">
        <v>405</v>
      </c>
      <c r="I1696" s="3">
        <v>404.7</v>
      </c>
      <c r="J1696" s="3">
        <v>471.5</v>
      </c>
      <c r="K1696" s="3">
        <v>391.2</v>
      </c>
      <c r="L1696" s="2">
        <v>9785018</v>
      </c>
      <c r="M1696" s="2">
        <v>3960032837.25</v>
      </c>
      <c r="N1696" s="2">
        <v>114078</v>
      </c>
      <c r="O1696" t="s">
        <v>22</v>
      </c>
    </row>
    <row r="1697" spans="1:15" x14ac:dyDescent="0.3">
      <c r="A1697" s="1">
        <v>45723</v>
      </c>
      <c r="B1697" t="s">
        <v>15</v>
      </c>
      <c r="C1697" s="3">
        <v>403.55</v>
      </c>
      <c r="D1697" s="3">
        <v>405.85</v>
      </c>
      <c r="E1697" s="3">
        <v>401.7</v>
      </c>
      <c r="F1697" s="3">
        <v>405.7</v>
      </c>
      <c r="G1697" s="3">
        <v>403.75</v>
      </c>
      <c r="H1697" s="3">
        <v>403.9</v>
      </c>
      <c r="I1697" s="3">
        <v>403.66</v>
      </c>
      <c r="J1697" s="3">
        <v>471.5</v>
      </c>
      <c r="K1697" s="3">
        <v>391.2</v>
      </c>
      <c r="L1697" s="2">
        <v>11180761</v>
      </c>
      <c r="M1697" s="2">
        <v>4513190673.1499996</v>
      </c>
      <c r="N1697" s="2">
        <v>129975</v>
      </c>
      <c r="O1697" t="s">
        <v>22</v>
      </c>
    </row>
    <row r="1698" spans="1:15" x14ac:dyDescent="0.3">
      <c r="A1698" s="1">
        <v>45722</v>
      </c>
      <c r="B1698" t="s">
        <v>15</v>
      </c>
      <c r="C1698" s="3">
        <v>409.15</v>
      </c>
      <c r="D1698" s="3">
        <v>409.7</v>
      </c>
      <c r="E1698" s="3">
        <v>400.55</v>
      </c>
      <c r="F1698" s="3">
        <v>405.05</v>
      </c>
      <c r="G1698" s="3">
        <v>406.2</v>
      </c>
      <c r="H1698" s="3">
        <v>405.7</v>
      </c>
      <c r="I1698" s="3">
        <v>403.66</v>
      </c>
      <c r="J1698" s="3">
        <v>471.5</v>
      </c>
      <c r="K1698" s="3">
        <v>391.2</v>
      </c>
      <c r="L1698" s="2">
        <v>17869996</v>
      </c>
      <c r="M1698" s="2">
        <v>7213483492.1999998</v>
      </c>
      <c r="N1698" s="2">
        <v>170718</v>
      </c>
      <c r="O1698" t="s">
        <v>22</v>
      </c>
    </row>
    <row r="1699" spans="1:15" x14ac:dyDescent="0.3">
      <c r="A1699" s="1">
        <v>45721</v>
      </c>
      <c r="B1699" t="s">
        <v>15</v>
      </c>
      <c r="C1699" s="3">
        <v>394.5</v>
      </c>
      <c r="D1699" s="3">
        <v>412.75</v>
      </c>
      <c r="E1699" s="3">
        <v>394.5</v>
      </c>
      <c r="F1699" s="3">
        <v>394.85</v>
      </c>
      <c r="G1699" s="3">
        <v>409.2</v>
      </c>
      <c r="H1699" s="3">
        <v>405.05</v>
      </c>
      <c r="I1699" s="3">
        <v>399.82</v>
      </c>
      <c r="J1699" s="3">
        <v>471.5</v>
      </c>
      <c r="K1699" s="3">
        <v>391.2</v>
      </c>
      <c r="L1699" s="2">
        <v>15665018</v>
      </c>
      <c r="M1699" s="2">
        <v>6263165318.0500002</v>
      </c>
      <c r="N1699" s="2">
        <v>169098</v>
      </c>
      <c r="O1699" t="s">
        <v>22</v>
      </c>
    </row>
    <row r="1700" spans="1:15" x14ac:dyDescent="0.3">
      <c r="A1700" s="1">
        <v>45720</v>
      </c>
      <c r="B1700" t="s">
        <v>15</v>
      </c>
      <c r="C1700" s="3">
        <v>395.4</v>
      </c>
      <c r="D1700" s="3">
        <v>397.2</v>
      </c>
      <c r="E1700" s="3">
        <v>392.85</v>
      </c>
      <c r="F1700" s="3">
        <v>397.45</v>
      </c>
      <c r="G1700" s="3">
        <v>394.45</v>
      </c>
      <c r="H1700" s="3">
        <v>394.85</v>
      </c>
      <c r="I1700" s="3">
        <v>394.38</v>
      </c>
      <c r="J1700" s="3">
        <v>471.5</v>
      </c>
      <c r="K1700" s="3">
        <v>391.2</v>
      </c>
      <c r="L1700" s="2">
        <v>13404774</v>
      </c>
      <c r="M1700" s="2">
        <v>5286594132.8000002</v>
      </c>
      <c r="N1700" s="2">
        <v>154199</v>
      </c>
      <c r="O1700" t="s">
        <v>22</v>
      </c>
    </row>
    <row r="1701" spans="1:15" x14ac:dyDescent="0.3">
      <c r="A1701" s="1">
        <v>45719</v>
      </c>
      <c r="B1701" t="s">
        <v>15</v>
      </c>
      <c r="C1701" s="3">
        <v>395.95</v>
      </c>
      <c r="D1701" s="3">
        <v>399</v>
      </c>
      <c r="E1701" s="3">
        <v>391.2</v>
      </c>
      <c r="F1701" s="3">
        <v>395</v>
      </c>
      <c r="G1701" s="3">
        <v>397</v>
      </c>
      <c r="H1701" s="3">
        <v>397.45</v>
      </c>
      <c r="I1701" s="3">
        <v>396.98</v>
      </c>
      <c r="J1701" s="3">
        <v>471.5</v>
      </c>
      <c r="K1701" s="3">
        <v>391.2</v>
      </c>
      <c r="L1701" s="2">
        <v>10702826</v>
      </c>
      <c r="M1701" s="2">
        <v>4248773535.6500001</v>
      </c>
      <c r="N1701" s="2">
        <v>169634</v>
      </c>
      <c r="O1701" t="s">
        <v>22</v>
      </c>
    </row>
    <row r="1702" spans="1:15" x14ac:dyDescent="0.3">
      <c r="A1702" s="1">
        <v>45716</v>
      </c>
      <c r="B1702" t="s">
        <v>15</v>
      </c>
      <c r="C1702" s="3">
        <v>399</v>
      </c>
      <c r="D1702" s="3">
        <v>402.5</v>
      </c>
      <c r="E1702" s="3">
        <v>392.2</v>
      </c>
      <c r="F1702" s="3">
        <v>401.6</v>
      </c>
      <c r="G1702" s="3">
        <v>395.9</v>
      </c>
      <c r="H1702" s="3">
        <v>395</v>
      </c>
      <c r="I1702" s="3">
        <v>394.79</v>
      </c>
      <c r="J1702" s="3">
        <v>471.5</v>
      </c>
      <c r="K1702" s="3">
        <v>392.2</v>
      </c>
      <c r="L1702" s="2">
        <v>31954776</v>
      </c>
      <c r="M1702" s="2">
        <v>12615432840.9</v>
      </c>
      <c r="N1702" s="2">
        <v>244503</v>
      </c>
      <c r="O1702" t="s">
        <v>22</v>
      </c>
    </row>
    <row r="1703" spans="1:15" x14ac:dyDescent="0.3">
      <c r="A1703" s="1">
        <v>45715</v>
      </c>
      <c r="B1703" t="s">
        <v>15</v>
      </c>
      <c r="C1703" s="3">
        <v>404.85</v>
      </c>
      <c r="D1703" s="3">
        <v>406.5</v>
      </c>
      <c r="E1703" s="3">
        <v>399.5</v>
      </c>
      <c r="F1703" s="3">
        <v>404.85</v>
      </c>
      <c r="G1703" s="3">
        <v>401.5</v>
      </c>
      <c r="H1703" s="3">
        <v>401.6</v>
      </c>
      <c r="I1703" s="3">
        <v>401.75</v>
      </c>
      <c r="J1703" s="3">
        <v>471.5</v>
      </c>
      <c r="K1703" s="3">
        <v>396.2</v>
      </c>
      <c r="L1703" s="2">
        <v>19051003</v>
      </c>
      <c r="M1703" s="2">
        <v>7653697871.25</v>
      </c>
      <c r="N1703" s="2">
        <v>163369</v>
      </c>
      <c r="O1703" t="s">
        <v>22</v>
      </c>
    </row>
    <row r="1704" spans="1:15" x14ac:dyDescent="0.3">
      <c r="A1704" s="1">
        <v>45713</v>
      </c>
      <c r="B1704" t="s">
        <v>15</v>
      </c>
      <c r="C1704" s="3">
        <v>402</v>
      </c>
      <c r="D1704" s="3">
        <v>407</v>
      </c>
      <c r="E1704" s="3">
        <v>400.5</v>
      </c>
      <c r="F1704" s="3">
        <v>401.9</v>
      </c>
      <c r="G1704" s="3">
        <v>404</v>
      </c>
      <c r="H1704" s="3">
        <v>404.85</v>
      </c>
      <c r="I1704" s="3">
        <v>404.11</v>
      </c>
      <c r="J1704" s="3">
        <v>471.5</v>
      </c>
      <c r="K1704" s="3">
        <v>396.2</v>
      </c>
      <c r="L1704" s="2">
        <v>15760891</v>
      </c>
      <c r="M1704" s="2">
        <v>6369071142.9499998</v>
      </c>
      <c r="N1704" s="2">
        <v>138641</v>
      </c>
      <c r="O1704" t="s">
        <v>22</v>
      </c>
    </row>
    <row r="1705" spans="1:15" x14ac:dyDescent="0.3">
      <c r="A1705" s="1">
        <v>45712</v>
      </c>
      <c r="B1705" t="s">
        <v>15</v>
      </c>
      <c r="C1705" s="3">
        <v>400</v>
      </c>
      <c r="D1705" s="3">
        <v>403.4</v>
      </c>
      <c r="E1705" s="3">
        <v>398.75</v>
      </c>
      <c r="F1705" s="3">
        <v>400.9</v>
      </c>
      <c r="G1705" s="3">
        <v>402</v>
      </c>
      <c r="H1705" s="3">
        <v>401.9</v>
      </c>
      <c r="I1705" s="3">
        <v>401.96</v>
      </c>
      <c r="J1705" s="3">
        <v>471.5</v>
      </c>
      <c r="K1705" s="3">
        <v>396.2</v>
      </c>
      <c r="L1705" s="2">
        <v>7037625</v>
      </c>
      <c r="M1705" s="2">
        <v>2828832996.75</v>
      </c>
      <c r="N1705" s="2">
        <v>121155</v>
      </c>
      <c r="O1705" t="s">
        <v>22</v>
      </c>
    </row>
    <row r="1706" spans="1:15" x14ac:dyDescent="0.3">
      <c r="A1706" s="1">
        <v>45709</v>
      </c>
      <c r="B1706" t="s">
        <v>15</v>
      </c>
      <c r="C1706" s="3">
        <v>402.05</v>
      </c>
      <c r="D1706" s="3">
        <v>403.25</v>
      </c>
      <c r="E1706" s="3">
        <v>399.2</v>
      </c>
      <c r="F1706" s="3">
        <v>402.05</v>
      </c>
      <c r="G1706" s="3">
        <v>400.7</v>
      </c>
      <c r="H1706" s="3">
        <v>400.9</v>
      </c>
      <c r="I1706" s="3">
        <v>400.75</v>
      </c>
      <c r="J1706" s="3">
        <v>471.5</v>
      </c>
      <c r="K1706" s="3">
        <v>396.2</v>
      </c>
      <c r="L1706" s="2">
        <v>8240986</v>
      </c>
      <c r="M1706" s="2">
        <v>3302544309.75</v>
      </c>
      <c r="N1706" s="2">
        <v>175217</v>
      </c>
      <c r="O1706" t="s">
        <v>22</v>
      </c>
    </row>
    <row r="1707" spans="1:15" x14ac:dyDescent="0.3">
      <c r="A1707" s="1">
        <v>45708</v>
      </c>
      <c r="B1707" t="s">
        <v>15</v>
      </c>
      <c r="C1707" s="3">
        <v>399.95</v>
      </c>
      <c r="D1707" s="3">
        <v>403.9</v>
      </c>
      <c r="E1707" s="3">
        <v>396.2</v>
      </c>
      <c r="F1707" s="3">
        <v>406.4</v>
      </c>
      <c r="G1707" s="3">
        <v>402</v>
      </c>
      <c r="H1707" s="3">
        <v>402.05</v>
      </c>
      <c r="I1707" s="3">
        <v>401.31</v>
      </c>
      <c r="J1707" s="3">
        <v>471.5</v>
      </c>
      <c r="K1707" s="3">
        <v>396.2</v>
      </c>
      <c r="L1707" s="2">
        <v>15355585</v>
      </c>
      <c r="M1707" s="2">
        <v>6162379397.3500004</v>
      </c>
      <c r="N1707" s="2">
        <v>226856</v>
      </c>
      <c r="O1707" t="s">
        <v>22</v>
      </c>
    </row>
    <row r="1708" spans="1:15" x14ac:dyDescent="0.3">
      <c r="A1708" s="1">
        <v>45707</v>
      </c>
      <c r="B1708" t="s">
        <v>15</v>
      </c>
      <c r="C1708" s="3">
        <v>404.8</v>
      </c>
      <c r="D1708" s="3">
        <v>408.8</v>
      </c>
      <c r="E1708" s="3">
        <v>404.5</v>
      </c>
      <c r="F1708" s="3">
        <v>405.25</v>
      </c>
      <c r="G1708" s="3">
        <v>406.2</v>
      </c>
      <c r="H1708" s="3">
        <v>406.4</v>
      </c>
      <c r="I1708" s="3">
        <v>406.89</v>
      </c>
      <c r="J1708" s="3">
        <v>471.5</v>
      </c>
      <c r="K1708" s="3">
        <v>404</v>
      </c>
      <c r="L1708" s="2">
        <v>7079032</v>
      </c>
      <c r="M1708" s="2">
        <v>2880411815.9000001</v>
      </c>
      <c r="N1708" s="2">
        <v>88693</v>
      </c>
      <c r="O1708" t="s">
        <v>22</v>
      </c>
    </row>
    <row r="1709" spans="1:15" x14ac:dyDescent="0.3">
      <c r="A1709" s="1">
        <v>45706</v>
      </c>
      <c r="B1709" t="s">
        <v>15</v>
      </c>
      <c r="C1709" s="3">
        <v>408</v>
      </c>
      <c r="D1709" s="3">
        <v>410.85</v>
      </c>
      <c r="E1709" s="3">
        <v>404</v>
      </c>
      <c r="F1709" s="3">
        <v>408.6</v>
      </c>
      <c r="G1709" s="3">
        <v>404.9</v>
      </c>
      <c r="H1709" s="3">
        <v>405.25</v>
      </c>
      <c r="I1709" s="3">
        <v>406.53</v>
      </c>
      <c r="J1709" s="3">
        <v>471.5</v>
      </c>
      <c r="K1709" s="3">
        <v>404</v>
      </c>
      <c r="L1709" s="2">
        <v>12998403</v>
      </c>
      <c r="M1709" s="2">
        <v>5284237636.8000002</v>
      </c>
      <c r="N1709" s="2">
        <v>208753</v>
      </c>
      <c r="O1709" t="s">
        <v>22</v>
      </c>
    </row>
    <row r="1710" spans="1:15" x14ac:dyDescent="0.3">
      <c r="A1710" s="1">
        <v>45705</v>
      </c>
      <c r="B1710" t="s">
        <v>15</v>
      </c>
      <c r="C1710" s="3">
        <v>409.8</v>
      </c>
      <c r="D1710" s="3">
        <v>411.4</v>
      </c>
      <c r="E1710" s="3">
        <v>406.75</v>
      </c>
      <c r="F1710" s="3">
        <v>410.25</v>
      </c>
      <c r="G1710" s="3">
        <v>408.6</v>
      </c>
      <c r="H1710" s="3">
        <v>408.6</v>
      </c>
      <c r="I1710" s="3">
        <v>408.96</v>
      </c>
      <c r="J1710" s="3">
        <v>471.5</v>
      </c>
      <c r="K1710" s="3">
        <v>406.75</v>
      </c>
      <c r="L1710" s="2">
        <v>11975265</v>
      </c>
      <c r="M1710" s="2">
        <v>4897417889.1000004</v>
      </c>
      <c r="N1710" s="2">
        <v>285419</v>
      </c>
      <c r="O1710" t="s">
        <v>22</v>
      </c>
    </row>
    <row r="1711" spans="1:15" x14ac:dyDescent="0.3">
      <c r="A1711" s="1">
        <v>45702</v>
      </c>
      <c r="B1711" t="s">
        <v>15</v>
      </c>
      <c r="C1711" s="3">
        <v>411.75</v>
      </c>
      <c r="D1711" s="3">
        <v>416.2</v>
      </c>
      <c r="E1711" s="3">
        <v>408.4</v>
      </c>
      <c r="F1711" s="3">
        <v>409.7</v>
      </c>
      <c r="G1711" s="3">
        <v>410</v>
      </c>
      <c r="H1711" s="3">
        <v>410.25</v>
      </c>
      <c r="I1711" s="3">
        <v>411.41</v>
      </c>
      <c r="J1711" s="3">
        <v>471.5</v>
      </c>
      <c r="K1711" s="3">
        <v>407.6</v>
      </c>
      <c r="L1711" s="2">
        <v>14124236</v>
      </c>
      <c r="M1711" s="2">
        <v>5810870731</v>
      </c>
      <c r="N1711" s="2">
        <v>199616</v>
      </c>
      <c r="O1711" t="s">
        <v>22</v>
      </c>
    </row>
    <row r="1712" spans="1:15" x14ac:dyDescent="0.3">
      <c r="A1712" s="1">
        <v>45701</v>
      </c>
      <c r="B1712" t="s">
        <v>15</v>
      </c>
      <c r="C1712" s="3">
        <v>409.95</v>
      </c>
      <c r="D1712" s="3">
        <v>413.95</v>
      </c>
      <c r="E1712" s="3">
        <v>409</v>
      </c>
      <c r="F1712" s="3">
        <v>409.9</v>
      </c>
      <c r="G1712" s="3">
        <v>410</v>
      </c>
      <c r="H1712" s="3">
        <v>409.7</v>
      </c>
      <c r="I1712" s="3">
        <v>411.14</v>
      </c>
      <c r="J1712" s="3">
        <v>471.5</v>
      </c>
      <c r="K1712" s="3">
        <v>407.6</v>
      </c>
      <c r="L1712" s="2">
        <v>12989029</v>
      </c>
      <c r="M1712" s="2">
        <v>5340310573.8999996</v>
      </c>
      <c r="N1712" s="2">
        <v>185598</v>
      </c>
      <c r="O1712" t="s">
        <v>22</v>
      </c>
    </row>
    <row r="1713" spans="1:15" x14ac:dyDescent="0.3">
      <c r="A1713" s="1">
        <v>45700</v>
      </c>
      <c r="B1713" t="s">
        <v>15</v>
      </c>
      <c r="C1713" s="3">
        <v>413.15</v>
      </c>
      <c r="D1713" s="3">
        <v>413.8</v>
      </c>
      <c r="E1713" s="3">
        <v>407.6</v>
      </c>
      <c r="F1713" s="3">
        <v>418.3</v>
      </c>
      <c r="G1713" s="3">
        <v>411.2</v>
      </c>
      <c r="H1713" s="3">
        <v>409.9</v>
      </c>
      <c r="I1713" s="3">
        <v>410.36</v>
      </c>
      <c r="J1713" s="3">
        <v>471.5</v>
      </c>
      <c r="K1713" s="3">
        <v>407.6</v>
      </c>
      <c r="L1713" s="2">
        <v>13884574</v>
      </c>
      <c r="M1713" s="2">
        <v>5697674234.6499996</v>
      </c>
      <c r="N1713" s="2">
        <v>207478</v>
      </c>
      <c r="O1713" t="s">
        <v>22</v>
      </c>
    </row>
    <row r="1714" spans="1:15" x14ac:dyDescent="0.3">
      <c r="A1714" s="1">
        <v>45699</v>
      </c>
      <c r="B1714" t="s">
        <v>15</v>
      </c>
      <c r="C1714" s="3">
        <v>428.8</v>
      </c>
      <c r="D1714" s="3">
        <v>430.55</v>
      </c>
      <c r="E1714" s="3">
        <v>417.5</v>
      </c>
      <c r="F1714" s="3">
        <v>427.2</v>
      </c>
      <c r="G1714" s="3">
        <v>418.05</v>
      </c>
      <c r="H1714" s="3">
        <v>418.3</v>
      </c>
      <c r="I1714" s="3">
        <v>421.57</v>
      </c>
      <c r="J1714" s="3">
        <v>471.5</v>
      </c>
      <c r="K1714" s="3">
        <v>417.5</v>
      </c>
      <c r="L1714" s="2">
        <v>14288751</v>
      </c>
      <c r="M1714" s="2">
        <v>6023750310.8000002</v>
      </c>
      <c r="N1714" s="2">
        <v>187384</v>
      </c>
      <c r="O1714" t="s">
        <v>22</v>
      </c>
    </row>
    <row r="1715" spans="1:15" x14ac:dyDescent="0.3">
      <c r="A1715" s="1">
        <v>45698</v>
      </c>
      <c r="B1715" t="s">
        <v>15</v>
      </c>
      <c r="C1715" s="3">
        <v>427</v>
      </c>
      <c r="D1715" s="3">
        <v>433.3</v>
      </c>
      <c r="E1715" s="3">
        <v>426.5</v>
      </c>
      <c r="F1715" s="3">
        <v>430.85</v>
      </c>
      <c r="G1715" s="3">
        <v>427.7</v>
      </c>
      <c r="H1715" s="3">
        <v>427.2</v>
      </c>
      <c r="I1715" s="3">
        <v>428.76</v>
      </c>
      <c r="J1715" s="3">
        <v>471.5</v>
      </c>
      <c r="K1715" s="3">
        <v>426.5</v>
      </c>
      <c r="L1715" s="2">
        <v>12227140</v>
      </c>
      <c r="M1715" s="2">
        <v>5242493795.8000002</v>
      </c>
      <c r="N1715" s="2">
        <v>156939</v>
      </c>
      <c r="O1715" t="s">
        <v>22</v>
      </c>
    </row>
    <row r="1716" spans="1:15" x14ac:dyDescent="0.3">
      <c r="A1716" s="1">
        <v>45695</v>
      </c>
      <c r="B1716" t="s">
        <v>15</v>
      </c>
      <c r="C1716" s="3">
        <v>440</v>
      </c>
      <c r="D1716" s="3">
        <v>445.5</v>
      </c>
      <c r="E1716" s="3">
        <v>428.4</v>
      </c>
      <c r="F1716" s="3">
        <v>441.1</v>
      </c>
      <c r="G1716" s="3">
        <v>430.1</v>
      </c>
      <c r="H1716" s="3">
        <v>430.85</v>
      </c>
      <c r="I1716" s="3">
        <v>432.24</v>
      </c>
      <c r="J1716" s="3">
        <v>471.5</v>
      </c>
      <c r="K1716" s="3">
        <v>428.4</v>
      </c>
      <c r="L1716" s="2">
        <v>18875982</v>
      </c>
      <c r="M1716" s="2">
        <v>8158860785.3000002</v>
      </c>
      <c r="N1716" s="2">
        <v>212183</v>
      </c>
      <c r="O1716" t="s">
        <v>22</v>
      </c>
    </row>
    <row r="1717" spans="1:15" x14ac:dyDescent="0.3">
      <c r="A1717" s="1">
        <v>45694</v>
      </c>
      <c r="B1717" t="s">
        <v>15</v>
      </c>
      <c r="C1717" s="3">
        <v>450</v>
      </c>
      <c r="D1717" s="3">
        <v>450</v>
      </c>
      <c r="E1717" s="3">
        <v>438.2</v>
      </c>
      <c r="F1717" s="3">
        <v>448.15</v>
      </c>
      <c r="G1717" s="3">
        <v>442.75</v>
      </c>
      <c r="H1717" s="3">
        <v>441.1</v>
      </c>
      <c r="I1717" s="3">
        <v>441.65</v>
      </c>
      <c r="J1717" s="3">
        <v>471.5</v>
      </c>
      <c r="K1717" s="3">
        <v>430.1</v>
      </c>
      <c r="L1717" s="2">
        <v>17469129</v>
      </c>
      <c r="M1717" s="2">
        <v>7715280524.9499998</v>
      </c>
      <c r="N1717" s="2">
        <v>164798</v>
      </c>
      <c r="O1717" t="s">
        <v>22</v>
      </c>
    </row>
    <row r="1718" spans="1:15" x14ac:dyDescent="0.3">
      <c r="A1718" s="1">
        <v>45693</v>
      </c>
      <c r="B1718" t="s">
        <v>15</v>
      </c>
      <c r="C1718" s="3">
        <v>455.15</v>
      </c>
      <c r="D1718" s="3">
        <v>455.85</v>
      </c>
      <c r="E1718" s="3">
        <v>446.5</v>
      </c>
      <c r="F1718" s="3">
        <v>455.15</v>
      </c>
      <c r="G1718" s="3">
        <v>448.5</v>
      </c>
      <c r="H1718" s="3">
        <v>448.15</v>
      </c>
      <c r="I1718" s="3">
        <v>450.02</v>
      </c>
      <c r="J1718" s="3">
        <v>471.5</v>
      </c>
      <c r="K1718" s="3">
        <v>430.1</v>
      </c>
      <c r="L1718" s="2">
        <v>12836283</v>
      </c>
      <c r="M1718" s="2">
        <v>5776523794.1999998</v>
      </c>
      <c r="N1718" s="2">
        <v>155466</v>
      </c>
      <c r="O1718" t="s">
        <v>22</v>
      </c>
    </row>
    <row r="1719" spans="1:15" x14ac:dyDescent="0.3">
      <c r="A1719" s="1">
        <v>45692</v>
      </c>
      <c r="B1719" t="s">
        <v>15</v>
      </c>
      <c r="C1719" s="3">
        <v>458</v>
      </c>
      <c r="D1719" s="3">
        <v>460.35</v>
      </c>
      <c r="E1719" s="3">
        <v>448.75</v>
      </c>
      <c r="F1719" s="3">
        <v>454.35</v>
      </c>
      <c r="G1719" s="3">
        <v>454.3</v>
      </c>
      <c r="H1719" s="3">
        <v>455.15</v>
      </c>
      <c r="I1719" s="3">
        <v>454.39</v>
      </c>
      <c r="J1719" s="3">
        <v>471.5</v>
      </c>
      <c r="K1719" s="3">
        <v>430.1</v>
      </c>
      <c r="L1719" s="2">
        <v>18923681</v>
      </c>
      <c r="M1719" s="2">
        <v>8598691176.8999996</v>
      </c>
      <c r="N1719" s="2">
        <v>219082</v>
      </c>
      <c r="O1719" t="s">
        <v>22</v>
      </c>
    </row>
    <row r="1720" spans="1:15" x14ac:dyDescent="0.3">
      <c r="A1720" s="1">
        <v>45691</v>
      </c>
      <c r="B1720" t="s">
        <v>15</v>
      </c>
      <c r="C1720" s="3">
        <v>462</v>
      </c>
      <c r="D1720" s="3">
        <v>465.2</v>
      </c>
      <c r="E1720" s="3">
        <v>452.3</v>
      </c>
      <c r="F1720" s="3">
        <v>462.55</v>
      </c>
      <c r="G1720" s="3">
        <v>453.5</v>
      </c>
      <c r="H1720" s="3">
        <v>454.35</v>
      </c>
      <c r="I1720" s="3">
        <v>457.77</v>
      </c>
      <c r="J1720" s="3">
        <v>471.5</v>
      </c>
      <c r="K1720" s="3">
        <v>430.1</v>
      </c>
      <c r="L1720" s="2">
        <v>16991730</v>
      </c>
      <c r="M1720" s="2">
        <v>7778230238.5</v>
      </c>
      <c r="N1720" s="2">
        <v>278444</v>
      </c>
      <c r="O1720" t="s">
        <v>22</v>
      </c>
    </row>
    <row r="1721" spans="1:15" x14ac:dyDescent="0.3">
      <c r="A1721" s="1">
        <v>45689</v>
      </c>
      <c r="B1721" t="s">
        <v>15</v>
      </c>
      <c r="C1721" s="3">
        <v>448</v>
      </c>
      <c r="D1721" s="3">
        <v>471.5</v>
      </c>
      <c r="E1721" s="3">
        <v>439.55</v>
      </c>
      <c r="F1721" s="3">
        <v>447.5</v>
      </c>
      <c r="G1721" s="3">
        <v>461.55</v>
      </c>
      <c r="H1721" s="3">
        <v>462.55</v>
      </c>
      <c r="I1721" s="3">
        <v>459.22</v>
      </c>
      <c r="J1721" s="3">
        <v>471.5</v>
      </c>
      <c r="K1721" s="3">
        <v>430.1</v>
      </c>
      <c r="L1721" s="2">
        <v>30393007</v>
      </c>
      <c r="M1721" s="2">
        <v>13957038228.1</v>
      </c>
      <c r="N1721" s="2">
        <v>308264</v>
      </c>
      <c r="O1721" t="s">
        <v>22</v>
      </c>
    </row>
    <row r="1722" spans="1:15" x14ac:dyDescent="0.3">
      <c r="A1722" s="1">
        <v>45688</v>
      </c>
      <c r="B1722" t="s">
        <v>15</v>
      </c>
      <c r="C1722" s="3">
        <v>436.5</v>
      </c>
      <c r="D1722" s="3">
        <v>448.2</v>
      </c>
      <c r="E1722" s="3">
        <v>435.1</v>
      </c>
      <c r="F1722" s="3">
        <v>436.2</v>
      </c>
      <c r="G1722" s="3">
        <v>447.7</v>
      </c>
      <c r="H1722" s="3">
        <v>447.5</v>
      </c>
      <c r="I1722" s="3">
        <v>443.74</v>
      </c>
      <c r="J1722" s="3">
        <v>461.75</v>
      </c>
      <c r="K1722" s="3">
        <v>430.1</v>
      </c>
      <c r="L1722" s="2">
        <v>13546181</v>
      </c>
      <c r="M1722" s="2">
        <v>6011029618.0500002</v>
      </c>
      <c r="N1722" s="2">
        <v>292498</v>
      </c>
      <c r="O1722" t="s">
        <v>22</v>
      </c>
    </row>
    <row r="1723" spans="1:15" x14ac:dyDescent="0.3">
      <c r="A1723" s="1">
        <v>45687</v>
      </c>
      <c r="B1723" t="s">
        <v>15</v>
      </c>
      <c r="C1723" s="3">
        <v>433</v>
      </c>
      <c r="D1723" s="3">
        <v>438</v>
      </c>
      <c r="E1723" s="3">
        <v>431.45</v>
      </c>
      <c r="F1723" s="3">
        <v>433.35</v>
      </c>
      <c r="G1723" s="3">
        <v>436</v>
      </c>
      <c r="H1723" s="3">
        <v>436.2</v>
      </c>
      <c r="I1723" s="3">
        <v>434.97</v>
      </c>
      <c r="J1723" s="3">
        <v>461.75</v>
      </c>
      <c r="K1723" s="3">
        <v>430.1</v>
      </c>
      <c r="L1723" s="2">
        <v>22496695</v>
      </c>
      <c r="M1723" s="2">
        <v>9785477722.3999996</v>
      </c>
      <c r="N1723" s="2">
        <v>206602</v>
      </c>
      <c r="O1723" t="s">
        <v>22</v>
      </c>
    </row>
    <row r="1724" spans="1:15" x14ac:dyDescent="0.3">
      <c r="A1724" s="1">
        <v>45686</v>
      </c>
      <c r="B1724" t="s">
        <v>15</v>
      </c>
      <c r="C1724" s="3">
        <v>435.95</v>
      </c>
      <c r="D1724" s="3">
        <v>437.5</v>
      </c>
      <c r="E1724" s="3">
        <v>430.1</v>
      </c>
      <c r="F1724" s="3">
        <v>435.45</v>
      </c>
      <c r="G1724" s="3">
        <v>433.25</v>
      </c>
      <c r="H1724" s="3">
        <v>433.35</v>
      </c>
      <c r="I1724" s="3">
        <v>433.19</v>
      </c>
      <c r="J1724" s="3">
        <v>461.75</v>
      </c>
      <c r="K1724" s="3">
        <v>430.1</v>
      </c>
      <c r="L1724" s="2">
        <v>15158510</v>
      </c>
      <c r="M1724" s="2">
        <v>6566456115</v>
      </c>
      <c r="N1724" s="2">
        <v>270156</v>
      </c>
      <c r="O1724" t="s">
        <v>22</v>
      </c>
    </row>
    <row r="1725" spans="1:15" x14ac:dyDescent="0.3">
      <c r="A1725" s="1">
        <v>45685</v>
      </c>
      <c r="B1725" t="s">
        <v>15</v>
      </c>
      <c r="C1725" s="3">
        <v>440</v>
      </c>
      <c r="D1725" s="3">
        <v>441.8</v>
      </c>
      <c r="E1725" s="3">
        <v>434.5</v>
      </c>
      <c r="F1725" s="3">
        <v>440.1</v>
      </c>
      <c r="G1725" s="3">
        <v>434.65</v>
      </c>
      <c r="H1725" s="3">
        <v>435.45</v>
      </c>
      <c r="I1725" s="3">
        <v>437.14</v>
      </c>
      <c r="J1725" s="3">
        <v>461.75</v>
      </c>
      <c r="K1725" s="3">
        <v>431.1</v>
      </c>
      <c r="L1725" s="2">
        <v>20813072</v>
      </c>
      <c r="M1725" s="2">
        <v>9098282699.2000008</v>
      </c>
      <c r="N1725" s="2">
        <v>174411</v>
      </c>
      <c r="O1725" t="s">
        <v>22</v>
      </c>
    </row>
    <row r="1726" spans="1:15" x14ac:dyDescent="0.3">
      <c r="A1726" s="1">
        <v>45684</v>
      </c>
      <c r="B1726" t="s">
        <v>15</v>
      </c>
      <c r="C1726" s="3">
        <v>440.8</v>
      </c>
      <c r="D1726" s="3">
        <v>445</v>
      </c>
      <c r="E1726" s="3">
        <v>436.55</v>
      </c>
      <c r="F1726" s="3">
        <v>441.6</v>
      </c>
      <c r="G1726" s="3">
        <v>439.9</v>
      </c>
      <c r="H1726" s="3">
        <v>440.1</v>
      </c>
      <c r="I1726" s="3">
        <v>440.42</v>
      </c>
      <c r="J1726" s="3">
        <v>461.75</v>
      </c>
      <c r="K1726" s="3">
        <v>431.1</v>
      </c>
      <c r="L1726" s="2">
        <v>10480203</v>
      </c>
      <c r="M1726" s="2">
        <v>4615646516.4499998</v>
      </c>
      <c r="N1726" s="2">
        <v>155397</v>
      </c>
      <c r="O1726" t="s">
        <v>22</v>
      </c>
    </row>
    <row r="1727" spans="1:15" x14ac:dyDescent="0.3">
      <c r="A1727" s="1">
        <v>45681</v>
      </c>
      <c r="B1727" t="s">
        <v>15</v>
      </c>
      <c r="C1727" s="3">
        <v>439.4</v>
      </c>
      <c r="D1727" s="3">
        <v>445</v>
      </c>
      <c r="E1727" s="3">
        <v>439.05</v>
      </c>
      <c r="F1727" s="3">
        <v>440.2</v>
      </c>
      <c r="G1727" s="3">
        <v>441.4</v>
      </c>
      <c r="H1727" s="3">
        <v>441.6</v>
      </c>
      <c r="I1727" s="3">
        <v>442.53</v>
      </c>
      <c r="J1727" s="3">
        <v>461.75</v>
      </c>
      <c r="K1727" s="3">
        <v>431.1</v>
      </c>
      <c r="L1727" s="2">
        <v>9665384</v>
      </c>
      <c r="M1727" s="2">
        <v>4277228029.6999998</v>
      </c>
      <c r="N1727" s="2">
        <v>141694</v>
      </c>
      <c r="O1727" t="s">
        <v>22</v>
      </c>
    </row>
    <row r="1728" spans="1:15" x14ac:dyDescent="0.3">
      <c r="A1728" s="1">
        <v>45680</v>
      </c>
      <c r="B1728" t="s">
        <v>15</v>
      </c>
      <c r="C1728" s="3">
        <v>435</v>
      </c>
      <c r="D1728" s="3">
        <v>441.85</v>
      </c>
      <c r="E1728" s="3">
        <v>434.1</v>
      </c>
      <c r="F1728" s="3">
        <v>437</v>
      </c>
      <c r="G1728" s="3">
        <v>440.45</v>
      </c>
      <c r="H1728" s="3">
        <v>440.2</v>
      </c>
      <c r="I1728" s="3">
        <v>439.59</v>
      </c>
      <c r="J1728" s="3">
        <v>461.75</v>
      </c>
      <c r="K1728" s="3">
        <v>431.1</v>
      </c>
      <c r="L1728" s="2">
        <v>8888248</v>
      </c>
      <c r="M1728" s="2">
        <v>3907165756.8499999</v>
      </c>
      <c r="N1728" s="2">
        <v>131321</v>
      </c>
      <c r="O1728" t="s">
        <v>22</v>
      </c>
    </row>
    <row r="1729" spans="1:15" x14ac:dyDescent="0.3">
      <c r="A1729" s="1">
        <v>45679</v>
      </c>
      <c r="B1729" t="s">
        <v>15</v>
      </c>
      <c r="C1729" s="3">
        <v>439.9</v>
      </c>
      <c r="D1729" s="3">
        <v>441.95</v>
      </c>
      <c r="E1729" s="3">
        <v>436.55</v>
      </c>
      <c r="F1729" s="3">
        <v>437.55</v>
      </c>
      <c r="G1729" s="3">
        <v>436.75</v>
      </c>
      <c r="H1729" s="3">
        <v>437</v>
      </c>
      <c r="I1729" s="3">
        <v>438.79</v>
      </c>
      <c r="J1729" s="3">
        <v>461.75</v>
      </c>
      <c r="K1729" s="3">
        <v>431.1</v>
      </c>
      <c r="L1729" s="2">
        <v>9619648</v>
      </c>
      <c r="M1729" s="2">
        <v>4220997156.0999999</v>
      </c>
      <c r="N1729" s="2">
        <v>133708</v>
      </c>
      <c r="O1729" t="s">
        <v>22</v>
      </c>
    </row>
    <row r="1730" spans="1:15" x14ac:dyDescent="0.3">
      <c r="A1730" s="1">
        <v>45678</v>
      </c>
      <c r="B1730" t="s">
        <v>15</v>
      </c>
      <c r="C1730" s="3">
        <v>438</v>
      </c>
      <c r="D1730" s="3">
        <v>447</v>
      </c>
      <c r="E1730" s="3">
        <v>435.25</v>
      </c>
      <c r="F1730" s="3">
        <v>437.7</v>
      </c>
      <c r="G1730" s="3">
        <v>437.95</v>
      </c>
      <c r="H1730" s="3">
        <v>437.55</v>
      </c>
      <c r="I1730" s="3">
        <v>440.22</v>
      </c>
      <c r="J1730" s="3">
        <v>461.75</v>
      </c>
      <c r="K1730" s="3">
        <v>431.1</v>
      </c>
      <c r="L1730" s="2">
        <v>15686500</v>
      </c>
      <c r="M1730" s="2">
        <v>6905471880.0500002</v>
      </c>
      <c r="N1730" s="2">
        <v>216692</v>
      </c>
      <c r="O1730" t="s">
        <v>22</v>
      </c>
    </row>
    <row r="1731" spans="1:15" x14ac:dyDescent="0.3">
      <c r="A1731" s="1">
        <v>45677</v>
      </c>
      <c r="B1731" t="s">
        <v>15</v>
      </c>
      <c r="C1731" s="3">
        <v>439</v>
      </c>
      <c r="D1731" s="3">
        <v>441.2</v>
      </c>
      <c r="E1731" s="3">
        <v>436</v>
      </c>
      <c r="F1731" s="3">
        <v>440.2</v>
      </c>
      <c r="G1731" s="3">
        <v>437.45</v>
      </c>
      <c r="H1731" s="3">
        <v>437.7</v>
      </c>
      <c r="I1731" s="3">
        <v>437.61</v>
      </c>
      <c r="J1731" s="3">
        <v>461.75</v>
      </c>
      <c r="K1731" s="3">
        <v>431.1</v>
      </c>
      <c r="L1731" s="2">
        <v>8742771</v>
      </c>
      <c r="M1731" s="2">
        <v>3825927431.8499999</v>
      </c>
      <c r="N1731" s="2">
        <v>152896</v>
      </c>
      <c r="O1731" t="s">
        <v>22</v>
      </c>
    </row>
    <row r="1732" spans="1:15" x14ac:dyDescent="0.3">
      <c r="A1732" s="1">
        <v>45674</v>
      </c>
      <c r="B1732" t="s">
        <v>15</v>
      </c>
      <c r="C1732" s="3">
        <v>433</v>
      </c>
      <c r="D1732" s="3">
        <v>441.8</v>
      </c>
      <c r="E1732" s="3">
        <v>432.5</v>
      </c>
      <c r="F1732" s="3">
        <v>432.85</v>
      </c>
      <c r="G1732" s="3">
        <v>439.65</v>
      </c>
      <c r="H1732" s="3">
        <v>440.2</v>
      </c>
      <c r="I1732" s="3">
        <v>438.78</v>
      </c>
      <c r="J1732" s="3">
        <v>461.75</v>
      </c>
      <c r="K1732" s="3">
        <v>431.1</v>
      </c>
      <c r="L1732" s="2">
        <v>11270061</v>
      </c>
      <c r="M1732" s="2">
        <v>4945104351.0500002</v>
      </c>
      <c r="N1732" s="2">
        <v>119845</v>
      </c>
      <c r="O1732" t="s">
        <v>22</v>
      </c>
    </row>
    <row r="1733" spans="1:15" x14ac:dyDescent="0.3">
      <c r="A1733" s="1">
        <v>45673</v>
      </c>
      <c r="B1733" t="s">
        <v>15</v>
      </c>
      <c r="C1733" s="3">
        <v>438.05</v>
      </c>
      <c r="D1733" s="3">
        <v>439.45</v>
      </c>
      <c r="E1733" s="3">
        <v>431.1</v>
      </c>
      <c r="F1733" s="3">
        <v>437.35</v>
      </c>
      <c r="G1733" s="3">
        <v>432.9</v>
      </c>
      <c r="H1733" s="3">
        <v>432.85</v>
      </c>
      <c r="I1733" s="3">
        <v>432.62</v>
      </c>
      <c r="J1733" s="3">
        <v>461.75</v>
      </c>
      <c r="K1733" s="3">
        <v>431.1</v>
      </c>
      <c r="L1733" s="2">
        <v>15774070</v>
      </c>
      <c r="M1733" s="2">
        <v>6824178083.3999996</v>
      </c>
      <c r="N1733" s="2">
        <v>197000</v>
      </c>
      <c r="O1733" t="s">
        <v>22</v>
      </c>
    </row>
    <row r="1734" spans="1:15" x14ac:dyDescent="0.3">
      <c r="A1734" s="1">
        <v>45672</v>
      </c>
      <c r="B1734" t="s">
        <v>15</v>
      </c>
      <c r="C1734" s="3">
        <v>436.6</v>
      </c>
      <c r="D1734" s="3">
        <v>441.8</v>
      </c>
      <c r="E1734" s="3">
        <v>435.35</v>
      </c>
      <c r="F1734" s="3">
        <v>436.6</v>
      </c>
      <c r="G1734" s="3">
        <v>437</v>
      </c>
      <c r="H1734" s="3">
        <v>437.35</v>
      </c>
      <c r="I1734" s="3">
        <v>437.99</v>
      </c>
      <c r="J1734" s="3">
        <v>461.75</v>
      </c>
      <c r="K1734" s="3">
        <v>435</v>
      </c>
      <c r="L1734" s="2">
        <v>9786805</v>
      </c>
      <c r="M1734" s="2">
        <v>4286512512.75</v>
      </c>
      <c r="N1734" s="2">
        <v>123376</v>
      </c>
      <c r="O1734" t="s">
        <v>22</v>
      </c>
    </row>
    <row r="1735" spans="1:15" x14ac:dyDescent="0.3">
      <c r="A1735" s="1">
        <v>45671</v>
      </c>
      <c r="B1735" t="s">
        <v>15</v>
      </c>
      <c r="C1735" s="3">
        <v>441</v>
      </c>
      <c r="D1735" s="3">
        <v>441.5</v>
      </c>
      <c r="E1735" s="3">
        <v>435.85</v>
      </c>
      <c r="F1735" s="3">
        <v>439.05</v>
      </c>
      <c r="G1735" s="3">
        <v>436.95</v>
      </c>
      <c r="H1735" s="3">
        <v>436.6</v>
      </c>
      <c r="I1735" s="3">
        <v>438.04</v>
      </c>
      <c r="J1735" s="3">
        <v>461.75</v>
      </c>
      <c r="K1735" s="3">
        <v>435</v>
      </c>
      <c r="L1735" s="2">
        <v>18048459</v>
      </c>
      <c r="M1735" s="2">
        <v>7905915833.3500004</v>
      </c>
      <c r="N1735" s="2">
        <v>233131</v>
      </c>
      <c r="O1735" t="s">
        <v>22</v>
      </c>
    </row>
    <row r="1736" spans="1:15" x14ac:dyDescent="0.3">
      <c r="A1736" s="1">
        <v>45670</v>
      </c>
      <c r="B1736" t="s">
        <v>15</v>
      </c>
      <c r="C1736" s="3">
        <v>435</v>
      </c>
      <c r="D1736" s="3">
        <v>444</v>
      </c>
      <c r="E1736" s="3">
        <v>435</v>
      </c>
      <c r="F1736" s="3">
        <v>444.9</v>
      </c>
      <c r="G1736" s="3">
        <v>439</v>
      </c>
      <c r="H1736" s="3">
        <v>439.05</v>
      </c>
      <c r="I1736" s="3">
        <v>440.27</v>
      </c>
      <c r="J1736" s="3">
        <v>461.75</v>
      </c>
      <c r="K1736" s="3">
        <v>435</v>
      </c>
      <c r="L1736" s="2">
        <v>17799607</v>
      </c>
      <c r="M1736" s="2">
        <v>7836665097.9499998</v>
      </c>
      <c r="N1736" s="2">
        <v>172276</v>
      </c>
      <c r="O1736" t="s">
        <v>22</v>
      </c>
    </row>
    <row r="1737" spans="1:15" x14ac:dyDescent="0.3">
      <c r="A1737" s="1">
        <v>45667</v>
      </c>
      <c r="B1737" t="s">
        <v>15</v>
      </c>
      <c r="C1737" s="3">
        <v>449.95</v>
      </c>
      <c r="D1737" s="3">
        <v>452</v>
      </c>
      <c r="E1737" s="3">
        <v>442.5</v>
      </c>
      <c r="F1737" s="3">
        <v>450.1</v>
      </c>
      <c r="G1737" s="3">
        <v>443.85</v>
      </c>
      <c r="H1737" s="3">
        <v>444.9</v>
      </c>
      <c r="I1737" s="3">
        <v>445.59</v>
      </c>
      <c r="J1737" s="3">
        <v>461.75</v>
      </c>
      <c r="K1737" s="3">
        <v>437.1</v>
      </c>
      <c r="L1737" s="2">
        <v>9145729</v>
      </c>
      <c r="M1737" s="2">
        <v>4075202264.9000001</v>
      </c>
      <c r="N1737" s="2">
        <v>169176</v>
      </c>
      <c r="O1737" t="s">
        <v>22</v>
      </c>
    </row>
    <row r="1738" spans="1:15" x14ac:dyDescent="0.3">
      <c r="A1738" s="1">
        <v>45666</v>
      </c>
      <c r="B1738" t="s">
        <v>15</v>
      </c>
      <c r="C1738" s="3">
        <v>449.4</v>
      </c>
      <c r="D1738" s="3">
        <v>460.65</v>
      </c>
      <c r="E1738" s="3">
        <v>446.05</v>
      </c>
      <c r="F1738" s="3">
        <v>449.55</v>
      </c>
      <c r="G1738" s="3">
        <v>450.45</v>
      </c>
      <c r="H1738" s="3">
        <v>450.1</v>
      </c>
      <c r="I1738" s="3">
        <v>452.64</v>
      </c>
      <c r="J1738" s="3">
        <v>461.75</v>
      </c>
      <c r="K1738" s="3">
        <v>437.1</v>
      </c>
      <c r="L1738" s="2">
        <v>19732649</v>
      </c>
      <c r="M1738" s="2">
        <v>8931846709.4500008</v>
      </c>
      <c r="N1738" s="2">
        <v>214398</v>
      </c>
      <c r="O1738" t="s">
        <v>22</v>
      </c>
    </row>
    <row r="1739" spans="1:15" x14ac:dyDescent="0.3">
      <c r="A1739" s="1">
        <v>45665</v>
      </c>
      <c r="B1739" t="s">
        <v>15</v>
      </c>
      <c r="C1739" s="3">
        <v>443</v>
      </c>
      <c r="D1739" s="3">
        <v>452.05</v>
      </c>
      <c r="E1739" s="3">
        <v>437.1</v>
      </c>
      <c r="F1739" s="3">
        <v>441.1</v>
      </c>
      <c r="G1739" s="3">
        <v>449.65</v>
      </c>
      <c r="H1739" s="3">
        <v>449.55</v>
      </c>
      <c r="I1739" s="3">
        <v>444.83</v>
      </c>
      <c r="J1739" s="3">
        <v>461.75</v>
      </c>
      <c r="K1739" s="3">
        <v>437.1</v>
      </c>
      <c r="L1739" s="2">
        <v>13482926</v>
      </c>
      <c r="M1739" s="2">
        <v>5997660207.25</v>
      </c>
      <c r="N1739" s="2">
        <v>163390</v>
      </c>
      <c r="O1739" t="s">
        <v>22</v>
      </c>
    </row>
    <row r="1740" spans="1:15" x14ac:dyDescent="0.3">
      <c r="A1740" s="1">
        <v>45664</v>
      </c>
      <c r="B1740" t="s">
        <v>15</v>
      </c>
      <c r="C1740" s="3">
        <v>445.5</v>
      </c>
      <c r="D1740" s="3">
        <v>447.6</v>
      </c>
      <c r="E1740" s="3">
        <v>440.15</v>
      </c>
      <c r="F1740" s="3">
        <v>442.65</v>
      </c>
      <c r="G1740" s="3">
        <v>441.1</v>
      </c>
      <c r="H1740" s="3">
        <v>441.1</v>
      </c>
      <c r="I1740" s="3">
        <v>442.97</v>
      </c>
      <c r="J1740" s="3">
        <v>461.75</v>
      </c>
      <c r="K1740" s="3">
        <v>440.15</v>
      </c>
      <c r="L1740" s="2">
        <v>14294780</v>
      </c>
      <c r="M1740" s="2">
        <v>6332098307.3000002</v>
      </c>
      <c r="N1740" s="2">
        <v>180441</v>
      </c>
      <c r="O1740" t="s">
        <v>22</v>
      </c>
    </row>
    <row r="1741" spans="1:15" x14ac:dyDescent="0.3">
      <c r="A1741" s="1">
        <v>45663</v>
      </c>
      <c r="B1741" t="s">
        <v>15</v>
      </c>
      <c r="C1741" s="3">
        <v>455.6</v>
      </c>
      <c r="D1741" s="3">
        <v>461.75</v>
      </c>
      <c r="E1741" s="3">
        <v>441.25</v>
      </c>
      <c r="F1741" s="3">
        <v>481.6</v>
      </c>
      <c r="G1741" s="3">
        <v>445.35</v>
      </c>
      <c r="H1741" s="3">
        <v>442.65</v>
      </c>
      <c r="I1741" s="3">
        <v>450.15</v>
      </c>
      <c r="J1741" s="3">
        <v>461.75</v>
      </c>
      <c r="K1741" s="3">
        <v>441.25</v>
      </c>
      <c r="L1741" s="2">
        <v>22009958</v>
      </c>
      <c r="M1741" s="2">
        <v>9907771203.0499992</v>
      </c>
      <c r="N1741" s="2">
        <v>286532</v>
      </c>
      <c r="O1741" t="s">
        <v>22</v>
      </c>
    </row>
    <row r="1742" spans="1:15" x14ac:dyDescent="0.3">
      <c r="A1742" s="1">
        <v>45660</v>
      </c>
      <c r="B1742" t="s">
        <v>15</v>
      </c>
      <c r="C1742" s="3">
        <v>490.25</v>
      </c>
      <c r="D1742" s="3">
        <v>491</v>
      </c>
      <c r="E1742" s="3">
        <v>479.85</v>
      </c>
      <c r="F1742" s="3">
        <v>489.05</v>
      </c>
      <c r="G1742" s="3">
        <v>483.95</v>
      </c>
      <c r="H1742" s="3">
        <v>481.6</v>
      </c>
      <c r="I1742" s="3">
        <v>482.67</v>
      </c>
      <c r="J1742" s="3">
        <v>528.5</v>
      </c>
      <c r="K1742" s="3">
        <v>399.35</v>
      </c>
      <c r="L1742" s="2">
        <v>37072992</v>
      </c>
      <c r="M1742" s="2">
        <v>17893961935.849998</v>
      </c>
      <c r="N1742" s="2">
        <v>227193</v>
      </c>
      <c r="O1742" t="s">
        <v>22</v>
      </c>
    </row>
    <row r="1743" spans="1:15" x14ac:dyDescent="0.3">
      <c r="A1743" s="1">
        <v>45659</v>
      </c>
      <c r="B1743" t="s">
        <v>15</v>
      </c>
      <c r="C1743" s="3">
        <v>485.35</v>
      </c>
      <c r="D1743" s="3">
        <v>490</v>
      </c>
      <c r="E1743" s="3">
        <v>482.3</v>
      </c>
      <c r="F1743" s="3">
        <v>483.95</v>
      </c>
      <c r="G1743" s="3">
        <v>489.5</v>
      </c>
      <c r="H1743" s="3">
        <v>489.05</v>
      </c>
      <c r="I1743" s="3">
        <v>486.22</v>
      </c>
      <c r="J1743" s="3">
        <v>528.5</v>
      </c>
      <c r="K1743" s="3">
        <v>399.35</v>
      </c>
      <c r="L1743" s="2">
        <v>26124980</v>
      </c>
      <c r="M1743" s="2">
        <v>12702491020.450001</v>
      </c>
      <c r="N1743" s="2">
        <v>224779</v>
      </c>
      <c r="O1743" t="s">
        <v>22</v>
      </c>
    </row>
    <row r="1744" spans="1:15" x14ac:dyDescent="0.3">
      <c r="A1744" s="1">
        <v>45658</v>
      </c>
      <c r="B1744" t="s">
        <v>15</v>
      </c>
      <c r="C1744" s="3">
        <v>486</v>
      </c>
      <c r="D1744" s="3">
        <v>486.85</v>
      </c>
      <c r="E1744" s="3">
        <v>482.15</v>
      </c>
      <c r="F1744" s="3">
        <v>483.65</v>
      </c>
      <c r="G1744" s="3">
        <v>484.7</v>
      </c>
      <c r="H1744" s="3">
        <v>483.95</v>
      </c>
      <c r="I1744" s="3">
        <v>484.93</v>
      </c>
      <c r="J1744" s="3">
        <v>528.5</v>
      </c>
      <c r="K1744" s="3">
        <v>399.35</v>
      </c>
      <c r="L1744" s="2">
        <v>18229128</v>
      </c>
      <c r="M1744" s="2">
        <v>8839930024.3999996</v>
      </c>
      <c r="N1744" s="2">
        <v>164587</v>
      </c>
      <c r="O1744" t="s">
        <v>22</v>
      </c>
    </row>
    <row r="1745" spans="1:15" x14ac:dyDescent="0.3">
      <c r="A1745" s="1">
        <v>46022</v>
      </c>
      <c r="B1745" t="s">
        <v>15</v>
      </c>
      <c r="C1745" s="3">
        <v>1541</v>
      </c>
      <c r="D1745" s="3">
        <v>1577</v>
      </c>
      <c r="E1745" s="3">
        <v>1541</v>
      </c>
      <c r="F1745" s="3">
        <v>1539.8</v>
      </c>
      <c r="G1745" s="3">
        <v>1569</v>
      </c>
      <c r="H1745" s="3">
        <v>1570.4</v>
      </c>
      <c r="I1745" s="3">
        <v>1566.86</v>
      </c>
      <c r="J1745" s="3">
        <v>1581.3</v>
      </c>
      <c r="K1745" s="3">
        <v>1114.8499999999999</v>
      </c>
      <c r="L1745" s="2">
        <v>5771830</v>
      </c>
      <c r="M1745" s="2">
        <v>9043650348.5</v>
      </c>
      <c r="N1745" s="2">
        <v>141792</v>
      </c>
      <c r="O1745" t="s">
        <v>23</v>
      </c>
    </row>
    <row r="1746" spans="1:15" x14ac:dyDescent="0.3">
      <c r="A1746" s="1">
        <v>46021</v>
      </c>
      <c r="B1746" t="s">
        <v>15</v>
      </c>
      <c r="C1746" s="3">
        <v>1547</v>
      </c>
      <c r="D1746" s="3">
        <v>1553.6</v>
      </c>
      <c r="E1746" s="3">
        <v>1537.8</v>
      </c>
      <c r="F1746" s="3">
        <v>1545.6</v>
      </c>
      <c r="G1746" s="3">
        <v>1541</v>
      </c>
      <c r="H1746" s="3">
        <v>1539.8</v>
      </c>
      <c r="I1746" s="3">
        <v>1543.21</v>
      </c>
      <c r="J1746" s="3">
        <v>1581.3</v>
      </c>
      <c r="K1746" s="3">
        <v>1114.8499999999999</v>
      </c>
      <c r="L1746" s="2">
        <v>8815884</v>
      </c>
      <c r="M1746" s="2">
        <v>13604745435</v>
      </c>
      <c r="N1746" s="2">
        <v>199428</v>
      </c>
      <c r="O1746" t="s">
        <v>23</v>
      </c>
    </row>
    <row r="1747" spans="1:15" x14ac:dyDescent="0.3">
      <c r="A1747" s="1">
        <v>46020</v>
      </c>
      <c r="B1747" t="s">
        <v>15</v>
      </c>
      <c r="C1747" s="3">
        <v>1554.9</v>
      </c>
      <c r="D1747" s="3">
        <v>1558.1</v>
      </c>
      <c r="E1747" s="3">
        <v>1543.6</v>
      </c>
      <c r="F1747" s="3">
        <v>1559.2</v>
      </c>
      <c r="G1747" s="3">
        <v>1546.7</v>
      </c>
      <c r="H1747" s="3">
        <v>1545.6</v>
      </c>
      <c r="I1747" s="3">
        <v>1547.8</v>
      </c>
      <c r="J1747" s="3">
        <v>1581.3</v>
      </c>
      <c r="K1747" s="3">
        <v>1114.8499999999999</v>
      </c>
      <c r="L1747" s="2">
        <v>5972105</v>
      </c>
      <c r="M1747" s="2">
        <v>9243616142.2999992</v>
      </c>
      <c r="N1747" s="2">
        <v>158162</v>
      </c>
      <c r="O1747" t="s">
        <v>23</v>
      </c>
    </row>
    <row r="1748" spans="1:15" x14ac:dyDescent="0.3">
      <c r="A1748" s="1">
        <v>46017</v>
      </c>
      <c r="B1748" t="s">
        <v>15</v>
      </c>
      <c r="C1748" s="3">
        <v>1554.7</v>
      </c>
      <c r="D1748" s="3">
        <v>1561</v>
      </c>
      <c r="E1748" s="3">
        <v>1554.3</v>
      </c>
      <c r="F1748" s="3">
        <v>1558.2</v>
      </c>
      <c r="G1748" s="3">
        <v>1560</v>
      </c>
      <c r="H1748" s="3">
        <v>1559.2</v>
      </c>
      <c r="I1748" s="3">
        <v>1558.05</v>
      </c>
      <c r="J1748" s="3">
        <v>1581.3</v>
      </c>
      <c r="K1748" s="3">
        <v>1114.8499999999999</v>
      </c>
      <c r="L1748" s="2">
        <v>2311495</v>
      </c>
      <c r="M1748" s="2">
        <v>3601435338.6999998</v>
      </c>
      <c r="N1748" s="2">
        <v>81976</v>
      </c>
      <c r="O1748" t="s">
        <v>23</v>
      </c>
    </row>
    <row r="1749" spans="1:15" x14ac:dyDescent="0.3">
      <c r="A1749" s="1">
        <v>46015</v>
      </c>
      <c r="B1749" t="s">
        <v>15</v>
      </c>
      <c r="C1749" s="3">
        <v>1572.7</v>
      </c>
      <c r="D1749" s="3">
        <v>1575.7</v>
      </c>
      <c r="E1749" s="3">
        <v>1553.6</v>
      </c>
      <c r="F1749" s="3">
        <v>1570.7</v>
      </c>
      <c r="G1749" s="3">
        <v>1560.6</v>
      </c>
      <c r="H1749" s="3">
        <v>1558.2</v>
      </c>
      <c r="I1749" s="3">
        <v>1559.55</v>
      </c>
      <c r="J1749" s="3">
        <v>1581.3</v>
      </c>
      <c r="K1749" s="3">
        <v>1114.8499999999999</v>
      </c>
      <c r="L1749" s="2">
        <v>8815745</v>
      </c>
      <c r="M1749" s="2">
        <v>13748600530.9</v>
      </c>
      <c r="N1749" s="2">
        <v>243970</v>
      </c>
      <c r="O1749" t="s">
        <v>23</v>
      </c>
    </row>
    <row r="1750" spans="1:15" x14ac:dyDescent="0.3">
      <c r="A1750" s="1">
        <v>46014</v>
      </c>
      <c r="B1750" t="s">
        <v>15</v>
      </c>
      <c r="C1750" s="3">
        <v>1580.9</v>
      </c>
      <c r="D1750" s="3">
        <v>1580.9</v>
      </c>
      <c r="E1750" s="3">
        <v>1568.1</v>
      </c>
      <c r="F1750" s="3">
        <v>1575.4</v>
      </c>
      <c r="G1750" s="3">
        <v>1569</v>
      </c>
      <c r="H1750" s="3">
        <v>1570.7</v>
      </c>
      <c r="I1750" s="3">
        <v>1573.01</v>
      </c>
      <c r="J1750" s="3">
        <v>1581.3</v>
      </c>
      <c r="K1750" s="3">
        <v>1114.8499999999999</v>
      </c>
      <c r="L1750" s="2">
        <v>7506564</v>
      </c>
      <c r="M1750" s="2">
        <v>11807916323.5</v>
      </c>
      <c r="N1750" s="2">
        <v>179265</v>
      </c>
      <c r="O1750" t="s">
        <v>23</v>
      </c>
    </row>
    <row r="1751" spans="1:15" x14ac:dyDescent="0.3">
      <c r="A1751" s="1">
        <v>46013</v>
      </c>
      <c r="B1751" t="s">
        <v>15</v>
      </c>
      <c r="C1751" s="3">
        <v>1573.5</v>
      </c>
      <c r="D1751" s="3">
        <v>1577.5</v>
      </c>
      <c r="E1751" s="3">
        <v>1565.3</v>
      </c>
      <c r="F1751" s="3">
        <v>1565.1</v>
      </c>
      <c r="G1751" s="3">
        <v>1577</v>
      </c>
      <c r="H1751" s="3">
        <v>1575.4</v>
      </c>
      <c r="I1751" s="3">
        <v>1571.96</v>
      </c>
      <c r="J1751" s="3">
        <v>1581.3</v>
      </c>
      <c r="K1751" s="3">
        <v>1114.8499999999999</v>
      </c>
      <c r="L1751" s="2">
        <v>10184852</v>
      </c>
      <c r="M1751" s="2">
        <v>16010206159.5</v>
      </c>
      <c r="N1751" s="2">
        <v>371017</v>
      </c>
      <c r="O1751" t="s">
        <v>23</v>
      </c>
    </row>
    <row r="1752" spans="1:15" x14ac:dyDescent="0.3">
      <c r="A1752" s="1">
        <v>46010</v>
      </c>
      <c r="B1752" t="s">
        <v>15</v>
      </c>
      <c r="C1752" s="3">
        <v>1554.4</v>
      </c>
      <c r="D1752" s="3">
        <v>1574.2</v>
      </c>
      <c r="E1752" s="3">
        <v>1551</v>
      </c>
      <c r="F1752" s="3">
        <v>1544.4</v>
      </c>
      <c r="G1752" s="3">
        <v>1564.9</v>
      </c>
      <c r="H1752" s="3">
        <v>1565.1</v>
      </c>
      <c r="I1752" s="3">
        <v>1566.6</v>
      </c>
      <c r="J1752" s="3">
        <v>1581.3</v>
      </c>
      <c r="K1752" s="3">
        <v>1114.8499999999999</v>
      </c>
      <c r="L1752" s="2">
        <v>13937275</v>
      </c>
      <c r="M1752" s="2">
        <v>21834130206.799999</v>
      </c>
      <c r="N1752" s="2">
        <v>279233</v>
      </c>
      <c r="O1752" t="s">
        <v>23</v>
      </c>
    </row>
    <row r="1753" spans="1:15" x14ac:dyDescent="0.3">
      <c r="A1753" s="1">
        <v>46009</v>
      </c>
      <c r="B1753" t="s">
        <v>15</v>
      </c>
      <c r="C1753" s="3">
        <v>1535.2</v>
      </c>
      <c r="D1753" s="3">
        <v>1551.5</v>
      </c>
      <c r="E1753" s="3">
        <v>1535.2</v>
      </c>
      <c r="F1753" s="3">
        <v>1544.4</v>
      </c>
      <c r="G1753" s="3">
        <v>1543.5</v>
      </c>
      <c r="H1753" s="3">
        <v>1544.4</v>
      </c>
      <c r="I1753" s="3">
        <v>1545.3</v>
      </c>
      <c r="J1753" s="3">
        <v>1581.3</v>
      </c>
      <c r="K1753" s="3">
        <v>1114.8499999999999</v>
      </c>
      <c r="L1753" s="2">
        <v>6580829</v>
      </c>
      <c r="M1753" s="2">
        <v>10169353778</v>
      </c>
      <c r="N1753" s="2">
        <v>175814</v>
      </c>
      <c r="O1753" t="s">
        <v>23</v>
      </c>
    </row>
    <row r="1754" spans="1:15" x14ac:dyDescent="0.3">
      <c r="A1754" s="1">
        <v>46008</v>
      </c>
      <c r="B1754" t="s">
        <v>15</v>
      </c>
      <c r="C1754" s="3">
        <v>1550</v>
      </c>
      <c r="D1754" s="3">
        <v>1550</v>
      </c>
      <c r="E1754" s="3">
        <v>1539.3</v>
      </c>
      <c r="F1754" s="3">
        <v>1542.3</v>
      </c>
      <c r="G1754" s="3">
        <v>1545.1</v>
      </c>
      <c r="H1754" s="3">
        <v>1544.4</v>
      </c>
      <c r="I1754" s="3">
        <v>1544.14</v>
      </c>
      <c r="J1754" s="3">
        <v>1581.3</v>
      </c>
      <c r="K1754" s="3">
        <v>1114.8499999999999</v>
      </c>
      <c r="L1754" s="2">
        <v>7116649</v>
      </c>
      <c r="M1754" s="2">
        <v>10989103491.9</v>
      </c>
      <c r="N1754" s="2">
        <v>176852</v>
      </c>
      <c r="O1754" t="s">
        <v>23</v>
      </c>
    </row>
    <row r="1755" spans="1:15" x14ac:dyDescent="0.3">
      <c r="A1755" s="1">
        <v>46007</v>
      </c>
      <c r="B1755" t="s">
        <v>15</v>
      </c>
      <c r="C1755" s="3">
        <v>1545</v>
      </c>
      <c r="D1755" s="3">
        <v>1551.7</v>
      </c>
      <c r="E1755" s="3">
        <v>1538.8</v>
      </c>
      <c r="F1755" s="3">
        <v>1556.2</v>
      </c>
      <c r="G1755" s="3">
        <v>1540.7</v>
      </c>
      <c r="H1755" s="3">
        <v>1542.3</v>
      </c>
      <c r="I1755" s="3">
        <v>1544.3</v>
      </c>
      <c r="J1755" s="3">
        <v>1581.3</v>
      </c>
      <c r="K1755" s="3">
        <v>1114.8499999999999</v>
      </c>
      <c r="L1755" s="2">
        <v>11731856</v>
      </c>
      <c r="M1755" s="2">
        <v>18117538818.099998</v>
      </c>
      <c r="N1755" s="2">
        <v>246980</v>
      </c>
      <c r="O1755" t="s">
        <v>23</v>
      </c>
    </row>
    <row r="1756" spans="1:15" x14ac:dyDescent="0.3">
      <c r="A1756" s="1">
        <v>46006</v>
      </c>
      <c r="B1756" t="s">
        <v>15</v>
      </c>
      <c r="C1756" s="3">
        <v>1551.2</v>
      </c>
      <c r="D1756" s="3">
        <v>1558.6</v>
      </c>
      <c r="E1756" s="3">
        <v>1546.5</v>
      </c>
      <c r="F1756" s="3">
        <v>1556.5</v>
      </c>
      <c r="G1756" s="3">
        <v>1557</v>
      </c>
      <c r="H1756" s="3">
        <v>1556.2</v>
      </c>
      <c r="I1756" s="3">
        <v>1553.69</v>
      </c>
      <c r="J1756" s="3">
        <v>1581.3</v>
      </c>
      <c r="K1756" s="3">
        <v>1114.8499999999999</v>
      </c>
      <c r="L1756" s="2">
        <v>5774543</v>
      </c>
      <c r="M1756" s="2">
        <v>8971836560.7000008</v>
      </c>
      <c r="N1756" s="2">
        <v>185872</v>
      </c>
      <c r="O1756" t="s">
        <v>23</v>
      </c>
    </row>
    <row r="1757" spans="1:15" x14ac:dyDescent="0.3">
      <c r="A1757" s="1">
        <v>46003</v>
      </c>
      <c r="B1757" t="s">
        <v>15</v>
      </c>
      <c r="C1757" s="3">
        <v>1550.8</v>
      </c>
      <c r="D1757" s="3">
        <v>1559.8</v>
      </c>
      <c r="E1757" s="3">
        <v>1546.1</v>
      </c>
      <c r="F1757" s="3">
        <v>1545</v>
      </c>
      <c r="G1757" s="3">
        <v>1554.3</v>
      </c>
      <c r="H1757" s="3">
        <v>1556.5</v>
      </c>
      <c r="I1757" s="3">
        <v>1555.21</v>
      </c>
      <c r="J1757" s="3">
        <v>1581.3</v>
      </c>
      <c r="K1757" s="3">
        <v>1114.8499999999999</v>
      </c>
      <c r="L1757" s="2">
        <v>5106655</v>
      </c>
      <c r="M1757" s="2">
        <v>7941940758.5</v>
      </c>
      <c r="N1757" s="2">
        <v>139702</v>
      </c>
      <c r="O1757" t="s">
        <v>23</v>
      </c>
    </row>
    <row r="1758" spans="1:15" x14ac:dyDescent="0.3">
      <c r="A1758" s="1">
        <v>46002</v>
      </c>
      <c r="B1758" t="s">
        <v>15</v>
      </c>
      <c r="C1758" s="3">
        <v>1536.9</v>
      </c>
      <c r="D1758" s="3">
        <v>1550</v>
      </c>
      <c r="E1758" s="3">
        <v>1524</v>
      </c>
      <c r="F1758" s="3">
        <v>1536.9</v>
      </c>
      <c r="G1758" s="3">
        <v>1543</v>
      </c>
      <c r="H1758" s="3">
        <v>1545</v>
      </c>
      <c r="I1758" s="3">
        <v>1540.61</v>
      </c>
      <c r="J1758" s="3">
        <v>1581.3</v>
      </c>
      <c r="K1758" s="3">
        <v>1114.8499999999999</v>
      </c>
      <c r="L1758" s="2">
        <v>4706197</v>
      </c>
      <c r="M1758" s="2">
        <v>7250428118.3999996</v>
      </c>
      <c r="N1758" s="2">
        <v>168155</v>
      </c>
      <c r="O1758" t="s">
        <v>23</v>
      </c>
    </row>
    <row r="1759" spans="1:15" x14ac:dyDescent="0.3">
      <c r="A1759" s="1">
        <v>46001</v>
      </c>
      <c r="B1759" t="s">
        <v>15</v>
      </c>
      <c r="C1759" s="3">
        <v>1534</v>
      </c>
      <c r="D1759" s="3">
        <v>1547.5</v>
      </c>
      <c r="E1759" s="3">
        <v>1531.4</v>
      </c>
      <c r="F1759" s="3">
        <v>1529.4</v>
      </c>
      <c r="G1759" s="3">
        <v>1533.5</v>
      </c>
      <c r="H1759" s="3">
        <v>1536.9</v>
      </c>
      <c r="I1759" s="3">
        <v>1539.72</v>
      </c>
      <c r="J1759" s="3">
        <v>1581.3</v>
      </c>
      <c r="K1759" s="3">
        <v>1114.8499999999999</v>
      </c>
      <c r="L1759" s="2">
        <v>7991629</v>
      </c>
      <c r="M1759" s="2">
        <v>12304893787.5</v>
      </c>
      <c r="N1759" s="2">
        <v>202989</v>
      </c>
      <c r="O1759" t="s">
        <v>23</v>
      </c>
    </row>
    <row r="1760" spans="1:15" x14ac:dyDescent="0.3">
      <c r="A1760" s="1">
        <v>46000</v>
      </c>
      <c r="B1760" t="s">
        <v>15</v>
      </c>
      <c r="C1760" s="3">
        <v>1540.3</v>
      </c>
      <c r="D1760" s="3">
        <v>1542.5</v>
      </c>
      <c r="E1760" s="3">
        <v>1520.1</v>
      </c>
      <c r="F1760" s="3">
        <v>1543</v>
      </c>
      <c r="G1760" s="3">
        <v>1532.4</v>
      </c>
      <c r="H1760" s="3">
        <v>1529.4</v>
      </c>
      <c r="I1760" s="3">
        <v>1530</v>
      </c>
      <c r="J1760" s="3">
        <v>1581.3</v>
      </c>
      <c r="K1760" s="3">
        <v>1114.8499999999999</v>
      </c>
      <c r="L1760" s="2">
        <v>11503971</v>
      </c>
      <c r="M1760" s="2">
        <v>17601083501.200001</v>
      </c>
      <c r="N1760" s="2">
        <v>205129</v>
      </c>
      <c r="O1760" t="s">
        <v>23</v>
      </c>
    </row>
    <row r="1761" spans="1:15" x14ac:dyDescent="0.3">
      <c r="A1761" s="1">
        <v>45999</v>
      </c>
      <c r="B1761" t="s">
        <v>15</v>
      </c>
      <c r="C1761" s="3">
        <v>1539.2</v>
      </c>
      <c r="D1761" s="3">
        <v>1551</v>
      </c>
      <c r="E1761" s="3">
        <v>1535</v>
      </c>
      <c r="F1761" s="3">
        <v>1540.6</v>
      </c>
      <c r="G1761" s="3">
        <v>1539.9</v>
      </c>
      <c r="H1761" s="3">
        <v>1543</v>
      </c>
      <c r="I1761" s="3">
        <v>1540.71</v>
      </c>
      <c r="J1761" s="3">
        <v>1581.3</v>
      </c>
      <c r="K1761" s="3">
        <v>1114.8499999999999</v>
      </c>
      <c r="L1761" s="2">
        <v>11301491</v>
      </c>
      <c r="M1761" s="2">
        <v>17412309977.700001</v>
      </c>
      <c r="N1761" s="2">
        <v>182756</v>
      </c>
      <c r="O1761" t="s">
        <v>23</v>
      </c>
    </row>
    <row r="1762" spans="1:15" x14ac:dyDescent="0.3">
      <c r="A1762" s="1">
        <v>45996</v>
      </c>
      <c r="B1762" t="s">
        <v>15</v>
      </c>
      <c r="C1762" s="3">
        <v>1530.4</v>
      </c>
      <c r="D1762" s="3">
        <v>1545.8</v>
      </c>
      <c r="E1762" s="3">
        <v>1520.6</v>
      </c>
      <c r="F1762" s="3">
        <v>1535.6</v>
      </c>
      <c r="G1762" s="3">
        <v>1544.6</v>
      </c>
      <c r="H1762" s="3">
        <v>1540.6</v>
      </c>
      <c r="I1762" s="3">
        <v>1534.8</v>
      </c>
      <c r="J1762" s="3">
        <v>1581.3</v>
      </c>
      <c r="K1762" s="3">
        <v>1114.8499999999999</v>
      </c>
      <c r="L1762" s="2">
        <v>10183266</v>
      </c>
      <c r="M1762" s="2">
        <v>15629290582.5</v>
      </c>
      <c r="N1762" s="2">
        <v>181528</v>
      </c>
      <c r="O1762" t="s">
        <v>23</v>
      </c>
    </row>
    <row r="1763" spans="1:15" x14ac:dyDescent="0.3">
      <c r="A1763" s="1">
        <v>45995</v>
      </c>
      <c r="B1763" t="s">
        <v>15</v>
      </c>
      <c r="C1763" s="3">
        <v>1536</v>
      </c>
      <c r="D1763" s="3">
        <v>1560.5</v>
      </c>
      <c r="E1763" s="3">
        <v>1517.6</v>
      </c>
      <c r="F1763" s="3">
        <v>1538.8</v>
      </c>
      <c r="G1763" s="3">
        <v>1525.3</v>
      </c>
      <c r="H1763" s="3">
        <v>1535.6</v>
      </c>
      <c r="I1763" s="3">
        <v>1543.73</v>
      </c>
      <c r="J1763" s="3">
        <v>1581.3</v>
      </c>
      <c r="K1763" s="3">
        <v>1114.8499999999999</v>
      </c>
      <c r="L1763" s="2">
        <v>11867930</v>
      </c>
      <c r="M1763" s="2">
        <v>18320833054.599998</v>
      </c>
      <c r="N1763" s="2">
        <v>203260</v>
      </c>
      <c r="O1763" t="s">
        <v>23</v>
      </c>
    </row>
    <row r="1764" spans="1:15" x14ac:dyDescent="0.3">
      <c r="A1764" s="1">
        <v>45994</v>
      </c>
      <c r="B1764" t="s">
        <v>15</v>
      </c>
      <c r="C1764" s="3">
        <v>1545.2</v>
      </c>
      <c r="D1764" s="3">
        <v>1552.4</v>
      </c>
      <c r="E1764" s="3">
        <v>1533</v>
      </c>
      <c r="F1764" s="3">
        <v>1546.3</v>
      </c>
      <c r="G1764" s="3">
        <v>1539.1</v>
      </c>
      <c r="H1764" s="3">
        <v>1538.8</v>
      </c>
      <c r="I1764" s="3">
        <v>1539.45</v>
      </c>
      <c r="J1764" s="3">
        <v>1581.3</v>
      </c>
      <c r="K1764" s="3">
        <v>1114.8499999999999</v>
      </c>
      <c r="L1764" s="2">
        <v>6090883</v>
      </c>
      <c r="M1764" s="2">
        <v>9376593978.8999996</v>
      </c>
      <c r="N1764" s="2">
        <v>156721</v>
      </c>
      <c r="O1764" t="s">
        <v>23</v>
      </c>
    </row>
    <row r="1765" spans="1:15" x14ac:dyDescent="0.3">
      <c r="A1765" s="1">
        <v>45993</v>
      </c>
      <c r="B1765" t="s">
        <v>15</v>
      </c>
      <c r="C1765" s="3">
        <v>1561.1</v>
      </c>
      <c r="D1765" s="3">
        <v>1567.5</v>
      </c>
      <c r="E1765" s="3">
        <v>1542</v>
      </c>
      <c r="F1765" s="3">
        <v>1566.1</v>
      </c>
      <c r="G1765" s="3">
        <v>1548.3</v>
      </c>
      <c r="H1765" s="3">
        <v>1546.3</v>
      </c>
      <c r="I1765" s="3">
        <v>1550.62</v>
      </c>
      <c r="J1765" s="3">
        <v>1581.3</v>
      </c>
      <c r="K1765" s="3">
        <v>1114.8499999999999</v>
      </c>
      <c r="L1765" s="2">
        <v>11389150</v>
      </c>
      <c r="M1765" s="2">
        <v>17660297036.299999</v>
      </c>
      <c r="N1765" s="2">
        <v>323713</v>
      </c>
      <c r="O1765" t="s">
        <v>23</v>
      </c>
    </row>
    <row r="1766" spans="1:15" x14ac:dyDescent="0.3">
      <c r="A1766" s="1">
        <v>45992</v>
      </c>
      <c r="B1766" t="s">
        <v>15</v>
      </c>
      <c r="C1766" s="3">
        <v>1575</v>
      </c>
      <c r="D1766" s="3">
        <v>1577.5</v>
      </c>
      <c r="E1766" s="3">
        <v>1563.6</v>
      </c>
      <c r="F1766" s="3">
        <v>1567.5</v>
      </c>
      <c r="G1766" s="3">
        <v>1566.5</v>
      </c>
      <c r="H1766" s="3">
        <v>1566.1</v>
      </c>
      <c r="I1766" s="3">
        <v>1571.31</v>
      </c>
      <c r="J1766" s="3">
        <v>1581.3</v>
      </c>
      <c r="K1766" s="3">
        <v>1114.8499999999999</v>
      </c>
      <c r="L1766" s="2">
        <v>8920233</v>
      </c>
      <c r="M1766" s="2">
        <v>14016486649.5</v>
      </c>
      <c r="N1766" s="2">
        <v>292601</v>
      </c>
      <c r="O1766" t="s">
        <v>23</v>
      </c>
    </row>
    <row r="1767" spans="1:15" x14ac:dyDescent="0.3">
      <c r="A1767" s="1">
        <v>45989</v>
      </c>
      <c r="B1767" t="s">
        <v>15</v>
      </c>
      <c r="C1767" s="3">
        <v>1568</v>
      </c>
      <c r="D1767" s="3">
        <v>1581.3</v>
      </c>
      <c r="E1767" s="3">
        <v>1563</v>
      </c>
      <c r="F1767" s="3">
        <v>1563.4</v>
      </c>
      <c r="G1767" s="3">
        <v>1569</v>
      </c>
      <c r="H1767" s="3">
        <v>1567.5</v>
      </c>
      <c r="I1767" s="3">
        <v>1571.94</v>
      </c>
      <c r="J1767" s="3">
        <v>1581.3</v>
      </c>
      <c r="K1767" s="3">
        <v>1114.8499999999999</v>
      </c>
      <c r="L1767" s="2">
        <v>8959508</v>
      </c>
      <c r="M1767" s="2">
        <v>14083838960.4</v>
      </c>
      <c r="N1767" s="2">
        <v>229373</v>
      </c>
      <c r="O1767" t="s">
        <v>23</v>
      </c>
    </row>
    <row r="1768" spans="1:15" x14ac:dyDescent="0.3">
      <c r="A1768" s="1">
        <v>45988</v>
      </c>
      <c r="B1768" t="s">
        <v>15</v>
      </c>
      <c r="C1768" s="3">
        <v>1575</v>
      </c>
      <c r="D1768" s="3">
        <v>1575.5</v>
      </c>
      <c r="E1768" s="3">
        <v>1556</v>
      </c>
      <c r="F1768" s="3">
        <v>1569.9</v>
      </c>
      <c r="G1768" s="3">
        <v>1564.8</v>
      </c>
      <c r="H1768" s="3">
        <v>1563.4</v>
      </c>
      <c r="I1768" s="3">
        <v>1563.68</v>
      </c>
      <c r="J1768" s="3">
        <v>1575.5</v>
      </c>
      <c r="K1768" s="3">
        <v>1114.8499999999999</v>
      </c>
      <c r="L1768" s="2">
        <v>9794643</v>
      </c>
      <c r="M1768" s="2">
        <v>15315704900.9</v>
      </c>
      <c r="N1768" s="2">
        <v>278929</v>
      </c>
      <c r="O1768" t="s">
        <v>23</v>
      </c>
    </row>
    <row r="1769" spans="1:15" x14ac:dyDescent="0.3">
      <c r="A1769" s="1">
        <v>45987</v>
      </c>
      <c r="B1769" t="s">
        <v>15</v>
      </c>
      <c r="C1769" s="3">
        <v>1542.3</v>
      </c>
      <c r="D1769" s="3">
        <v>1571.6</v>
      </c>
      <c r="E1769" s="3">
        <v>1540.5</v>
      </c>
      <c r="F1769" s="3">
        <v>1539.7</v>
      </c>
      <c r="G1769" s="3">
        <v>1569.6</v>
      </c>
      <c r="H1769" s="3">
        <v>1569.9</v>
      </c>
      <c r="I1769" s="3">
        <v>1562.98</v>
      </c>
      <c r="J1769" s="3">
        <v>1571.6</v>
      </c>
      <c r="K1769" s="3">
        <v>1114.8499999999999</v>
      </c>
      <c r="L1769" s="2">
        <v>14054299</v>
      </c>
      <c r="M1769" s="2">
        <v>21966588733.900002</v>
      </c>
      <c r="N1769" s="2">
        <v>285274</v>
      </c>
      <c r="O1769" t="s">
        <v>23</v>
      </c>
    </row>
    <row r="1770" spans="1:15" x14ac:dyDescent="0.3">
      <c r="A1770" s="1">
        <v>45986</v>
      </c>
      <c r="B1770" t="s">
        <v>15</v>
      </c>
      <c r="C1770" s="3">
        <v>1535.9</v>
      </c>
      <c r="D1770" s="3">
        <v>1559.6</v>
      </c>
      <c r="E1770" s="3">
        <v>1525.1</v>
      </c>
      <c r="F1770" s="3">
        <v>1535.9</v>
      </c>
      <c r="G1770" s="3">
        <v>1540</v>
      </c>
      <c r="H1770" s="3">
        <v>1539.7</v>
      </c>
      <c r="I1770" s="3">
        <v>1546.34</v>
      </c>
      <c r="J1770" s="3">
        <v>1559.6</v>
      </c>
      <c r="K1770" s="3">
        <v>1114.8499999999999</v>
      </c>
      <c r="L1770" s="2">
        <v>15033482</v>
      </c>
      <c r="M1770" s="2">
        <v>23246909829.700001</v>
      </c>
      <c r="N1770" s="2">
        <v>299805</v>
      </c>
      <c r="O1770" t="s">
        <v>23</v>
      </c>
    </row>
    <row r="1771" spans="1:15" x14ac:dyDescent="0.3">
      <c r="A1771" s="1">
        <v>45985</v>
      </c>
      <c r="B1771" t="s">
        <v>15</v>
      </c>
      <c r="C1771" s="3">
        <v>1550</v>
      </c>
      <c r="D1771" s="3">
        <v>1550</v>
      </c>
      <c r="E1771" s="3">
        <v>1531.8</v>
      </c>
      <c r="F1771" s="3">
        <v>1546.6</v>
      </c>
      <c r="G1771" s="3">
        <v>1534.9</v>
      </c>
      <c r="H1771" s="3">
        <v>1535.9</v>
      </c>
      <c r="I1771" s="3">
        <v>1537.26</v>
      </c>
      <c r="J1771" s="3">
        <v>1557.8</v>
      </c>
      <c r="K1771" s="3">
        <v>1114.8499999999999</v>
      </c>
      <c r="L1771" s="2">
        <v>18433951</v>
      </c>
      <c r="M1771" s="2">
        <v>28337841303.400002</v>
      </c>
      <c r="N1771" s="2">
        <v>198313</v>
      </c>
      <c r="O1771" t="s">
        <v>23</v>
      </c>
    </row>
    <row r="1772" spans="1:15" x14ac:dyDescent="0.3">
      <c r="A1772" s="1">
        <v>45982</v>
      </c>
      <c r="B1772" t="s">
        <v>15</v>
      </c>
      <c r="C1772" s="3">
        <v>1541</v>
      </c>
      <c r="D1772" s="3">
        <v>1557.8</v>
      </c>
      <c r="E1772" s="3">
        <v>1540.1</v>
      </c>
      <c r="F1772" s="3">
        <v>1549.1</v>
      </c>
      <c r="G1772" s="3">
        <v>1543.7</v>
      </c>
      <c r="H1772" s="3">
        <v>1546.6</v>
      </c>
      <c r="I1772" s="3">
        <v>1549.35</v>
      </c>
      <c r="J1772" s="3">
        <v>1557.8</v>
      </c>
      <c r="K1772" s="3">
        <v>1114.8499999999999</v>
      </c>
      <c r="L1772" s="2">
        <v>9615271</v>
      </c>
      <c r="M1772" s="2">
        <v>14897385970.299999</v>
      </c>
      <c r="N1772" s="2">
        <v>240250</v>
      </c>
      <c r="O1772" t="s">
        <v>23</v>
      </c>
    </row>
    <row r="1773" spans="1:15" x14ac:dyDescent="0.3">
      <c r="A1773" s="1">
        <v>45981</v>
      </c>
      <c r="B1773" t="s">
        <v>15</v>
      </c>
      <c r="C1773" s="3">
        <v>1530</v>
      </c>
      <c r="D1773" s="3">
        <v>1550.9</v>
      </c>
      <c r="E1773" s="3">
        <v>1526.7</v>
      </c>
      <c r="F1773" s="3">
        <v>1518.9</v>
      </c>
      <c r="G1773" s="3">
        <v>1549.5</v>
      </c>
      <c r="H1773" s="3">
        <v>1549.1</v>
      </c>
      <c r="I1773" s="3">
        <v>1543.57</v>
      </c>
      <c r="J1773" s="3">
        <v>1551</v>
      </c>
      <c r="K1773" s="3">
        <v>1114.8499999999999</v>
      </c>
      <c r="L1773" s="2">
        <v>18171724</v>
      </c>
      <c r="M1773" s="2">
        <v>28049306041.5</v>
      </c>
      <c r="N1773" s="2">
        <v>246552</v>
      </c>
      <c r="O1773" t="s">
        <v>23</v>
      </c>
    </row>
    <row r="1774" spans="1:15" x14ac:dyDescent="0.3">
      <c r="A1774" s="1">
        <v>45980</v>
      </c>
      <c r="B1774" t="s">
        <v>15</v>
      </c>
      <c r="C1774" s="3">
        <v>1517.4</v>
      </c>
      <c r="D1774" s="3">
        <v>1522.3</v>
      </c>
      <c r="E1774" s="3">
        <v>1512</v>
      </c>
      <c r="F1774" s="3">
        <v>1519.4</v>
      </c>
      <c r="G1774" s="3">
        <v>1519</v>
      </c>
      <c r="H1774" s="3">
        <v>1518.9</v>
      </c>
      <c r="I1774" s="3">
        <v>1518.64</v>
      </c>
      <c r="J1774" s="3">
        <v>1551</v>
      </c>
      <c r="K1774" s="3">
        <v>1114.8499999999999</v>
      </c>
      <c r="L1774" s="2">
        <v>5692366</v>
      </c>
      <c r="M1774" s="2">
        <v>8644640452.7000008</v>
      </c>
      <c r="N1774" s="2">
        <v>131481</v>
      </c>
      <c r="O1774" t="s">
        <v>23</v>
      </c>
    </row>
    <row r="1775" spans="1:15" x14ac:dyDescent="0.3">
      <c r="A1775" s="1">
        <v>45979</v>
      </c>
      <c r="B1775" t="s">
        <v>15</v>
      </c>
      <c r="C1775" s="3">
        <v>1521.7</v>
      </c>
      <c r="D1775" s="3">
        <v>1527.8</v>
      </c>
      <c r="E1775" s="3">
        <v>1510.5</v>
      </c>
      <c r="F1775" s="3">
        <v>1518.3</v>
      </c>
      <c r="G1775" s="3">
        <v>1520</v>
      </c>
      <c r="H1775" s="3">
        <v>1519.4</v>
      </c>
      <c r="I1775" s="3">
        <v>1520.18</v>
      </c>
      <c r="J1775" s="3">
        <v>1551</v>
      </c>
      <c r="K1775" s="3">
        <v>1114.8499999999999</v>
      </c>
      <c r="L1775" s="2">
        <v>11045042</v>
      </c>
      <c r="M1775" s="2">
        <v>16790505249.5</v>
      </c>
      <c r="N1775" s="2">
        <v>165850</v>
      </c>
      <c r="O1775" t="s">
        <v>23</v>
      </c>
    </row>
    <row r="1776" spans="1:15" x14ac:dyDescent="0.3">
      <c r="A1776" s="1">
        <v>45978</v>
      </c>
      <c r="B1776" t="s">
        <v>15</v>
      </c>
      <c r="C1776" s="3">
        <v>1520.9</v>
      </c>
      <c r="D1776" s="3">
        <v>1523.7</v>
      </c>
      <c r="E1776" s="3">
        <v>1511.5</v>
      </c>
      <c r="F1776" s="3">
        <v>1518.9</v>
      </c>
      <c r="G1776" s="3">
        <v>1518</v>
      </c>
      <c r="H1776" s="3">
        <v>1518.3</v>
      </c>
      <c r="I1776" s="3">
        <v>1516.89</v>
      </c>
      <c r="J1776" s="3">
        <v>1551</v>
      </c>
      <c r="K1776" s="3">
        <v>1114.8499999999999</v>
      </c>
      <c r="L1776" s="2">
        <v>5871416</v>
      </c>
      <c r="M1776" s="2">
        <v>8906294222.2999992</v>
      </c>
      <c r="N1776" s="2">
        <v>123473</v>
      </c>
      <c r="O1776" t="s">
        <v>23</v>
      </c>
    </row>
    <row r="1777" spans="1:15" x14ac:dyDescent="0.3">
      <c r="A1777" s="1">
        <v>45975</v>
      </c>
      <c r="B1777" t="s">
        <v>15</v>
      </c>
      <c r="C1777" s="3">
        <v>1505.5</v>
      </c>
      <c r="D1777" s="3">
        <v>1520.9</v>
      </c>
      <c r="E1777" s="3">
        <v>1505.5</v>
      </c>
      <c r="F1777" s="3">
        <v>1510.9</v>
      </c>
      <c r="G1777" s="3">
        <v>1518.2</v>
      </c>
      <c r="H1777" s="3">
        <v>1518.9</v>
      </c>
      <c r="I1777" s="3">
        <v>1516.51</v>
      </c>
      <c r="J1777" s="3">
        <v>1551</v>
      </c>
      <c r="K1777" s="3">
        <v>1114.8499999999999</v>
      </c>
      <c r="L1777" s="2">
        <v>7682823</v>
      </c>
      <c r="M1777" s="2">
        <v>11651084505.299999</v>
      </c>
      <c r="N1777" s="2">
        <v>194941</v>
      </c>
      <c r="O1777" t="s">
        <v>23</v>
      </c>
    </row>
    <row r="1778" spans="1:15" x14ac:dyDescent="0.3">
      <c r="A1778" s="1">
        <v>45974</v>
      </c>
      <c r="B1778" t="s">
        <v>15</v>
      </c>
      <c r="C1778" s="3">
        <v>1515</v>
      </c>
      <c r="D1778" s="3">
        <v>1522.1</v>
      </c>
      <c r="E1778" s="3">
        <v>1506.8</v>
      </c>
      <c r="F1778" s="3">
        <v>1511.5</v>
      </c>
      <c r="G1778" s="3">
        <v>1512.1</v>
      </c>
      <c r="H1778" s="3">
        <v>1510.9</v>
      </c>
      <c r="I1778" s="3">
        <v>1514.35</v>
      </c>
      <c r="J1778" s="3">
        <v>1551</v>
      </c>
      <c r="K1778" s="3">
        <v>1114.8499999999999</v>
      </c>
      <c r="L1778" s="2">
        <v>7196443</v>
      </c>
      <c r="M1778" s="2">
        <v>10897956389.700001</v>
      </c>
      <c r="N1778" s="2">
        <v>209774</v>
      </c>
      <c r="O1778" t="s">
        <v>23</v>
      </c>
    </row>
    <row r="1779" spans="1:15" x14ac:dyDescent="0.3">
      <c r="A1779" s="1">
        <v>45973</v>
      </c>
      <c r="B1779" t="s">
        <v>15</v>
      </c>
      <c r="C1779" s="3">
        <v>1505</v>
      </c>
      <c r="D1779" s="3">
        <v>1524.7</v>
      </c>
      <c r="E1779" s="3">
        <v>1500</v>
      </c>
      <c r="F1779" s="3">
        <v>1493.4</v>
      </c>
      <c r="G1779" s="3">
        <v>1511.8</v>
      </c>
      <c r="H1779" s="3">
        <v>1511.5</v>
      </c>
      <c r="I1779" s="3">
        <v>1515</v>
      </c>
      <c r="J1779" s="3">
        <v>1551</v>
      </c>
      <c r="K1779" s="3">
        <v>1114.8499999999999</v>
      </c>
      <c r="L1779" s="2">
        <v>12384459</v>
      </c>
      <c r="M1779" s="2">
        <v>18762517172.200001</v>
      </c>
      <c r="N1779" s="2">
        <v>252417</v>
      </c>
      <c r="O1779" t="s">
        <v>23</v>
      </c>
    </row>
    <row r="1780" spans="1:15" x14ac:dyDescent="0.3">
      <c r="A1780" s="1">
        <v>45972</v>
      </c>
      <c r="B1780" t="s">
        <v>15</v>
      </c>
      <c r="C1780" s="3">
        <v>1497</v>
      </c>
      <c r="D1780" s="3">
        <v>1498.8</v>
      </c>
      <c r="E1780" s="3">
        <v>1480.2</v>
      </c>
      <c r="F1780" s="3">
        <v>1489.3</v>
      </c>
      <c r="G1780" s="3">
        <v>1493.8</v>
      </c>
      <c r="H1780" s="3">
        <v>1493.4</v>
      </c>
      <c r="I1780" s="3">
        <v>1489.58</v>
      </c>
      <c r="J1780" s="3">
        <v>1551</v>
      </c>
      <c r="K1780" s="3">
        <v>1114.8499999999999</v>
      </c>
      <c r="L1780" s="2">
        <v>7127506</v>
      </c>
      <c r="M1780" s="2">
        <v>10616976771.799999</v>
      </c>
      <c r="N1780" s="2">
        <v>149607</v>
      </c>
      <c r="O1780" t="s">
        <v>23</v>
      </c>
    </row>
    <row r="1781" spans="1:15" x14ac:dyDescent="0.3">
      <c r="A1781" s="1">
        <v>45971</v>
      </c>
      <c r="B1781" t="s">
        <v>15</v>
      </c>
      <c r="C1781" s="3">
        <v>1477.9</v>
      </c>
      <c r="D1781" s="3">
        <v>1501</v>
      </c>
      <c r="E1781" s="3">
        <v>1475.5</v>
      </c>
      <c r="F1781" s="3">
        <v>1478</v>
      </c>
      <c r="G1781" s="3">
        <v>1490.1</v>
      </c>
      <c r="H1781" s="3">
        <v>1489.3</v>
      </c>
      <c r="I1781" s="3">
        <v>1492.69</v>
      </c>
      <c r="J1781" s="3">
        <v>1551</v>
      </c>
      <c r="K1781" s="3">
        <v>1114.8499999999999</v>
      </c>
      <c r="L1781" s="2">
        <v>7068438</v>
      </c>
      <c r="M1781" s="2">
        <v>10550978254.299999</v>
      </c>
      <c r="N1781" s="2">
        <v>154602</v>
      </c>
      <c r="O1781" t="s">
        <v>23</v>
      </c>
    </row>
    <row r="1782" spans="1:15" x14ac:dyDescent="0.3">
      <c r="A1782" s="1">
        <v>45968</v>
      </c>
      <c r="B1782" t="s">
        <v>15</v>
      </c>
      <c r="C1782" s="3">
        <v>1494.6</v>
      </c>
      <c r="D1782" s="3">
        <v>1498.4</v>
      </c>
      <c r="E1782" s="3">
        <v>1475.9</v>
      </c>
      <c r="F1782" s="3">
        <v>1496.1</v>
      </c>
      <c r="G1782" s="3">
        <v>1480</v>
      </c>
      <c r="H1782" s="3">
        <v>1478</v>
      </c>
      <c r="I1782" s="3">
        <v>1486.71</v>
      </c>
      <c r="J1782" s="3">
        <v>1551</v>
      </c>
      <c r="K1782" s="3">
        <v>1114.8499999999999</v>
      </c>
      <c r="L1782" s="2">
        <v>7821765</v>
      </c>
      <c r="M1782" s="2">
        <v>11628733264.1</v>
      </c>
      <c r="N1782" s="2">
        <v>139608</v>
      </c>
      <c r="O1782" t="s">
        <v>23</v>
      </c>
    </row>
    <row r="1783" spans="1:15" x14ac:dyDescent="0.3">
      <c r="A1783" s="1">
        <v>45967</v>
      </c>
      <c r="B1783" t="s">
        <v>15</v>
      </c>
      <c r="C1783" s="3">
        <v>1484</v>
      </c>
      <c r="D1783" s="3">
        <v>1501.6</v>
      </c>
      <c r="E1783" s="3">
        <v>1476.2</v>
      </c>
      <c r="F1783" s="3">
        <v>1473.1</v>
      </c>
      <c r="G1783" s="3">
        <v>1494.8</v>
      </c>
      <c r="H1783" s="3">
        <v>1496.1</v>
      </c>
      <c r="I1783" s="3">
        <v>1494.08</v>
      </c>
      <c r="J1783" s="3">
        <v>1551</v>
      </c>
      <c r="K1783" s="3">
        <v>1114.8499999999999</v>
      </c>
      <c r="L1783" s="2">
        <v>16772678</v>
      </c>
      <c r="M1783" s="2">
        <v>25059656533.299999</v>
      </c>
      <c r="N1783" s="2">
        <v>269902</v>
      </c>
      <c r="O1783" t="s">
        <v>23</v>
      </c>
    </row>
    <row r="1784" spans="1:15" x14ac:dyDescent="0.3">
      <c r="A1784" s="1">
        <v>45965</v>
      </c>
      <c r="B1784" t="s">
        <v>15</v>
      </c>
      <c r="C1784" s="3">
        <v>1483.9</v>
      </c>
      <c r="D1784" s="3">
        <v>1492.8</v>
      </c>
      <c r="E1784" s="3">
        <v>1470.1</v>
      </c>
      <c r="F1784" s="3">
        <v>1484.7</v>
      </c>
      <c r="G1784" s="3">
        <v>1471.1</v>
      </c>
      <c r="H1784" s="3">
        <v>1473.1</v>
      </c>
      <c r="I1784" s="3">
        <v>1480.96</v>
      </c>
      <c r="J1784" s="3">
        <v>1551</v>
      </c>
      <c r="K1784" s="3">
        <v>1114.8499999999999</v>
      </c>
      <c r="L1784" s="2">
        <v>10007806</v>
      </c>
      <c r="M1784" s="2">
        <v>14821144472.700001</v>
      </c>
      <c r="N1784" s="2">
        <v>218103</v>
      </c>
      <c r="O1784" t="s">
        <v>23</v>
      </c>
    </row>
    <row r="1785" spans="1:15" x14ac:dyDescent="0.3">
      <c r="A1785" s="1">
        <v>45964</v>
      </c>
      <c r="B1785" t="s">
        <v>15</v>
      </c>
      <c r="C1785" s="3">
        <v>1486</v>
      </c>
      <c r="D1785" s="3">
        <v>1495</v>
      </c>
      <c r="E1785" s="3">
        <v>1479.3</v>
      </c>
      <c r="F1785" s="3">
        <v>1486.4</v>
      </c>
      <c r="G1785" s="3">
        <v>1487.3</v>
      </c>
      <c r="H1785" s="3">
        <v>1484.7</v>
      </c>
      <c r="I1785" s="3">
        <v>1488.29</v>
      </c>
      <c r="J1785" s="3">
        <v>1551</v>
      </c>
      <c r="K1785" s="3">
        <v>1114.8499999999999</v>
      </c>
      <c r="L1785" s="2">
        <v>8452085</v>
      </c>
      <c r="M1785" s="2">
        <v>12579161982.9</v>
      </c>
      <c r="N1785" s="2">
        <v>245664</v>
      </c>
      <c r="O1785" t="s">
        <v>23</v>
      </c>
    </row>
    <row r="1786" spans="1:15" x14ac:dyDescent="0.3">
      <c r="A1786" s="1">
        <v>45961</v>
      </c>
      <c r="B1786" t="s">
        <v>15</v>
      </c>
      <c r="C1786" s="3">
        <v>1490.4</v>
      </c>
      <c r="D1786" s="3">
        <v>1497.5</v>
      </c>
      <c r="E1786" s="3">
        <v>1482.3</v>
      </c>
      <c r="F1786" s="3">
        <v>1488.5</v>
      </c>
      <c r="G1786" s="3">
        <v>1487</v>
      </c>
      <c r="H1786" s="3">
        <v>1486.4</v>
      </c>
      <c r="I1786" s="3">
        <v>1487.8</v>
      </c>
      <c r="J1786" s="3">
        <v>1551</v>
      </c>
      <c r="K1786" s="3">
        <v>1114.8499999999999</v>
      </c>
      <c r="L1786" s="2">
        <v>8758053</v>
      </c>
      <c r="M1786" s="2">
        <v>13030257785.299999</v>
      </c>
      <c r="N1786" s="2">
        <v>206898</v>
      </c>
      <c r="O1786" t="s">
        <v>23</v>
      </c>
    </row>
    <row r="1787" spans="1:15" x14ac:dyDescent="0.3">
      <c r="A1787" s="1">
        <v>45960</v>
      </c>
      <c r="B1787" t="s">
        <v>15</v>
      </c>
      <c r="C1787" s="3">
        <v>1500</v>
      </c>
      <c r="D1787" s="3">
        <v>1503.1</v>
      </c>
      <c r="E1787" s="3">
        <v>1484</v>
      </c>
      <c r="F1787" s="3">
        <v>1504.2</v>
      </c>
      <c r="G1787" s="3">
        <v>1489.5</v>
      </c>
      <c r="H1787" s="3">
        <v>1488.5</v>
      </c>
      <c r="I1787" s="3">
        <v>1492.27</v>
      </c>
      <c r="J1787" s="3">
        <v>1551</v>
      </c>
      <c r="K1787" s="3">
        <v>1114.8499999999999</v>
      </c>
      <c r="L1787" s="2">
        <v>9318663</v>
      </c>
      <c r="M1787" s="2">
        <v>13905920959.9</v>
      </c>
      <c r="N1787" s="2">
        <v>276397</v>
      </c>
      <c r="O1787" t="s">
        <v>23</v>
      </c>
    </row>
    <row r="1788" spans="1:15" x14ac:dyDescent="0.3">
      <c r="A1788" s="1">
        <v>45959</v>
      </c>
      <c r="B1788" t="s">
        <v>15</v>
      </c>
      <c r="C1788" s="3">
        <v>1490</v>
      </c>
      <c r="D1788" s="3">
        <v>1508.3</v>
      </c>
      <c r="E1788" s="3">
        <v>1488.1</v>
      </c>
      <c r="F1788" s="3">
        <v>1486.9</v>
      </c>
      <c r="G1788" s="3">
        <v>1504</v>
      </c>
      <c r="H1788" s="3">
        <v>1504.2</v>
      </c>
      <c r="I1788" s="3">
        <v>1502.67</v>
      </c>
      <c r="J1788" s="3">
        <v>1551</v>
      </c>
      <c r="K1788" s="3">
        <v>1114.8499999999999</v>
      </c>
      <c r="L1788" s="2">
        <v>11884745</v>
      </c>
      <c r="M1788" s="2">
        <v>17858800582.599998</v>
      </c>
      <c r="N1788" s="2">
        <v>219504</v>
      </c>
      <c r="O1788" t="s">
        <v>23</v>
      </c>
    </row>
    <row r="1789" spans="1:15" x14ac:dyDescent="0.3">
      <c r="A1789" s="1">
        <v>45958</v>
      </c>
      <c r="B1789" t="s">
        <v>15</v>
      </c>
      <c r="C1789" s="3">
        <v>1484.1</v>
      </c>
      <c r="D1789" s="3">
        <v>1492</v>
      </c>
      <c r="E1789" s="3">
        <v>1477.6</v>
      </c>
      <c r="F1789" s="3">
        <v>1484.1</v>
      </c>
      <c r="G1789" s="3">
        <v>1489.7</v>
      </c>
      <c r="H1789" s="3">
        <v>1486.9</v>
      </c>
      <c r="I1789" s="3">
        <v>1484.96</v>
      </c>
      <c r="J1789" s="3">
        <v>1551</v>
      </c>
      <c r="K1789" s="3">
        <v>1114.8499999999999</v>
      </c>
      <c r="L1789" s="2">
        <v>17631577</v>
      </c>
      <c r="M1789" s="2">
        <v>26182248923.900002</v>
      </c>
      <c r="N1789" s="2">
        <v>314894</v>
      </c>
      <c r="O1789" t="s">
        <v>23</v>
      </c>
    </row>
    <row r="1790" spans="1:15" x14ac:dyDescent="0.3">
      <c r="A1790" s="1">
        <v>45957</v>
      </c>
      <c r="B1790" t="s">
        <v>15</v>
      </c>
      <c r="C1790" s="3">
        <v>1463</v>
      </c>
      <c r="D1790" s="3">
        <v>1485</v>
      </c>
      <c r="E1790" s="3">
        <v>1458</v>
      </c>
      <c r="F1790" s="3">
        <v>1451.6</v>
      </c>
      <c r="G1790" s="3">
        <v>1483.2</v>
      </c>
      <c r="H1790" s="3">
        <v>1484.1</v>
      </c>
      <c r="I1790" s="3">
        <v>1480.24</v>
      </c>
      <c r="J1790" s="3">
        <v>1551</v>
      </c>
      <c r="K1790" s="3">
        <v>1114.8499999999999</v>
      </c>
      <c r="L1790" s="2">
        <v>14113867</v>
      </c>
      <c r="M1790" s="2">
        <v>20891882342.5</v>
      </c>
      <c r="N1790" s="2">
        <v>274839</v>
      </c>
      <c r="O1790" t="s">
        <v>23</v>
      </c>
    </row>
    <row r="1791" spans="1:15" x14ac:dyDescent="0.3">
      <c r="A1791" s="1">
        <v>45954</v>
      </c>
      <c r="B1791" t="s">
        <v>15</v>
      </c>
      <c r="C1791" s="3">
        <v>1450</v>
      </c>
      <c r="D1791" s="3">
        <v>1459.8</v>
      </c>
      <c r="E1791" s="3">
        <v>1441</v>
      </c>
      <c r="F1791" s="3">
        <v>1448.4</v>
      </c>
      <c r="G1791" s="3">
        <v>1451.1</v>
      </c>
      <c r="H1791" s="3">
        <v>1451.6</v>
      </c>
      <c r="I1791" s="3">
        <v>1450.25</v>
      </c>
      <c r="J1791" s="3">
        <v>2752</v>
      </c>
      <c r="K1791" s="3">
        <v>1114.8499999999999</v>
      </c>
      <c r="L1791" s="2">
        <v>9700837</v>
      </c>
      <c r="M1791" s="2">
        <v>14068622023.200001</v>
      </c>
      <c r="N1791" s="2">
        <v>221258</v>
      </c>
      <c r="O1791" t="s">
        <v>23</v>
      </c>
    </row>
    <row r="1792" spans="1:15" x14ac:dyDescent="0.3">
      <c r="A1792" s="1">
        <v>45953</v>
      </c>
      <c r="B1792" t="s">
        <v>15</v>
      </c>
      <c r="C1792" s="3">
        <v>1475</v>
      </c>
      <c r="D1792" s="3">
        <v>1482.9</v>
      </c>
      <c r="E1792" s="3">
        <v>1444.6</v>
      </c>
      <c r="F1792" s="3">
        <v>1465.2</v>
      </c>
      <c r="G1792" s="3">
        <v>1448</v>
      </c>
      <c r="H1792" s="3">
        <v>1448.4</v>
      </c>
      <c r="I1792" s="3">
        <v>1464.71</v>
      </c>
      <c r="J1792" s="3">
        <v>2752</v>
      </c>
      <c r="K1792" s="3">
        <v>1114.8499999999999</v>
      </c>
      <c r="L1792" s="2">
        <v>18707090</v>
      </c>
      <c r="M1792" s="2">
        <v>27400374842.5</v>
      </c>
      <c r="N1792" s="2">
        <v>376220</v>
      </c>
      <c r="O1792" t="s">
        <v>23</v>
      </c>
    </row>
    <row r="1793" spans="1:15" x14ac:dyDescent="0.3">
      <c r="A1793" s="1">
        <v>45951</v>
      </c>
      <c r="B1793" t="s">
        <v>15</v>
      </c>
      <c r="C1793" s="3">
        <v>1468</v>
      </c>
      <c r="D1793" s="3">
        <v>1474</v>
      </c>
      <c r="E1793" s="3">
        <v>1460</v>
      </c>
      <c r="F1793" s="3">
        <v>1466.8</v>
      </c>
      <c r="G1793" s="3">
        <v>1461</v>
      </c>
      <c r="H1793" s="3">
        <v>1465.2</v>
      </c>
      <c r="I1793" s="3">
        <v>1467.87</v>
      </c>
      <c r="J1793" s="3">
        <v>2752</v>
      </c>
      <c r="K1793" s="3">
        <v>1114.8499999999999</v>
      </c>
      <c r="L1793" s="2">
        <v>2066169</v>
      </c>
      <c r="M1793" s="2">
        <v>3032861642.8000002</v>
      </c>
      <c r="N1793" s="2">
        <v>86819</v>
      </c>
      <c r="O1793" t="s">
        <v>23</v>
      </c>
    </row>
    <row r="1794" spans="1:15" x14ac:dyDescent="0.3">
      <c r="A1794" s="1">
        <v>45950</v>
      </c>
      <c r="B1794" t="s">
        <v>15</v>
      </c>
      <c r="C1794" s="3">
        <v>1440</v>
      </c>
      <c r="D1794" s="3">
        <v>1473.8</v>
      </c>
      <c r="E1794" s="3">
        <v>1433.3</v>
      </c>
      <c r="F1794" s="3">
        <v>1416.8</v>
      </c>
      <c r="G1794" s="3">
        <v>1467.9</v>
      </c>
      <c r="H1794" s="3">
        <v>1466.8</v>
      </c>
      <c r="I1794" s="3">
        <v>1461.76</v>
      </c>
      <c r="J1794" s="3">
        <v>2752</v>
      </c>
      <c r="K1794" s="3">
        <v>1114.8499999999999</v>
      </c>
      <c r="L1794" s="2">
        <v>24721978</v>
      </c>
      <c r="M1794" s="2">
        <v>36137673257.5</v>
      </c>
      <c r="N1794" s="2">
        <v>512798</v>
      </c>
      <c r="O1794" t="s">
        <v>23</v>
      </c>
    </row>
    <row r="1795" spans="1:15" x14ac:dyDescent="0.3">
      <c r="A1795" s="1">
        <v>45947</v>
      </c>
      <c r="B1795" t="s">
        <v>15</v>
      </c>
      <c r="C1795" s="3">
        <v>1401</v>
      </c>
      <c r="D1795" s="3">
        <v>1423.3</v>
      </c>
      <c r="E1795" s="3">
        <v>1399.1</v>
      </c>
      <c r="F1795" s="3">
        <v>1398.3</v>
      </c>
      <c r="G1795" s="3">
        <v>1419.1</v>
      </c>
      <c r="H1795" s="3">
        <v>1416.8</v>
      </c>
      <c r="I1795" s="3">
        <v>1413.78</v>
      </c>
      <c r="J1795" s="3">
        <v>2760.15</v>
      </c>
      <c r="K1795" s="3">
        <v>1114.8499999999999</v>
      </c>
      <c r="L1795" s="2">
        <v>19335561</v>
      </c>
      <c r="M1795" s="2">
        <v>27336205033</v>
      </c>
      <c r="N1795" s="2">
        <v>350761</v>
      </c>
      <c r="O1795" t="s">
        <v>23</v>
      </c>
    </row>
    <row r="1796" spans="1:15" x14ac:dyDescent="0.3">
      <c r="A1796" s="1">
        <v>45946</v>
      </c>
      <c r="B1796" t="s">
        <v>15</v>
      </c>
      <c r="C1796" s="3">
        <v>1375.1</v>
      </c>
      <c r="D1796" s="3">
        <v>1400.5</v>
      </c>
      <c r="E1796" s="3">
        <v>1375</v>
      </c>
      <c r="F1796" s="3">
        <v>1374.3</v>
      </c>
      <c r="G1796" s="3">
        <v>1398.5</v>
      </c>
      <c r="H1796" s="3">
        <v>1398.3</v>
      </c>
      <c r="I1796" s="3">
        <v>1387.2</v>
      </c>
      <c r="J1796" s="3">
        <v>2760.15</v>
      </c>
      <c r="K1796" s="3">
        <v>1114.8499999999999</v>
      </c>
      <c r="L1796" s="2">
        <v>12315932</v>
      </c>
      <c r="M1796" s="2">
        <v>17084636046.799999</v>
      </c>
      <c r="N1796" s="2">
        <v>287913</v>
      </c>
      <c r="O1796" t="s">
        <v>23</v>
      </c>
    </row>
    <row r="1797" spans="1:15" x14ac:dyDescent="0.3">
      <c r="A1797" s="1">
        <v>45945</v>
      </c>
      <c r="B1797" t="s">
        <v>15</v>
      </c>
      <c r="C1797" s="3">
        <v>1383</v>
      </c>
      <c r="D1797" s="3">
        <v>1384</v>
      </c>
      <c r="E1797" s="3">
        <v>1372.7</v>
      </c>
      <c r="F1797" s="3">
        <v>1375.9</v>
      </c>
      <c r="G1797" s="3">
        <v>1374.7</v>
      </c>
      <c r="H1797" s="3">
        <v>1374.3</v>
      </c>
      <c r="I1797" s="3">
        <v>1377.15</v>
      </c>
      <c r="J1797" s="3">
        <v>2760.15</v>
      </c>
      <c r="K1797" s="3">
        <v>1114.8499999999999</v>
      </c>
      <c r="L1797" s="2">
        <v>10882743</v>
      </c>
      <c r="M1797" s="2">
        <v>14987155897.299999</v>
      </c>
      <c r="N1797" s="2">
        <v>239811</v>
      </c>
      <c r="O1797" t="s">
        <v>23</v>
      </c>
    </row>
    <row r="1798" spans="1:15" x14ac:dyDescent="0.3">
      <c r="A1798" s="1">
        <v>45944</v>
      </c>
      <c r="B1798" t="s">
        <v>15</v>
      </c>
      <c r="C1798" s="3">
        <v>1380</v>
      </c>
      <c r="D1798" s="3">
        <v>1388</v>
      </c>
      <c r="E1798" s="3">
        <v>1370.1</v>
      </c>
      <c r="F1798" s="3">
        <v>1375</v>
      </c>
      <c r="G1798" s="3">
        <v>1374.9</v>
      </c>
      <c r="H1798" s="3">
        <v>1375.9</v>
      </c>
      <c r="I1798" s="3">
        <v>1377.47</v>
      </c>
      <c r="J1798" s="3">
        <v>2760.15</v>
      </c>
      <c r="K1798" s="3">
        <v>1114.8499999999999</v>
      </c>
      <c r="L1798" s="2">
        <v>9768174</v>
      </c>
      <c r="M1798" s="2">
        <v>13455395764.799999</v>
      </c>
      <c r="N1798" s="2">
        <v>164937</v>
      </c>
      <c r="O1798" t="s">
        <v>23</v>
      </c>
    </row>
    <row r="1799" spans="1:15" x14ac:dyDescent="0.3">
      <c r="A1799" s="1">
        <v>45943</v>
      </c>
      <c r="B1799" t="s">
        <v>15</v>
      </c>
      <c r="C1799" s="3">
        <v>1376.9</v>
      </c>
      <c r="D1799" s="3">
        <v>1377.7</v>
      </c>
      <c r="E1799" s="3">
        <v>1367.8</v>
      </c>
      <c r="F1799" s="3">
        <v>1381.7</v>
      </c>
      <c r="G1799" s="3">
        <v>1376</v>
      </c>
      <c r="H1799" s="3">
        <v>1375</v>
      </c>
      <c r="I1799" s="3">
        <v>1372.7</v>
      </c>
      <c r="J1799" s="3">
        <v>2760.15</v>
      </c>
      <c r="K1799" s="3">
        <v>1114.8499999999999</v>
      </c>
      <c r="L1799" s="2">
        <v>7600682</v>
      </c>
      <c r="M1799" s="2">
        <v>10433492493.5</v>
      </c>
      <c r="N1799" s="2">
        <v>175585</v>
      </c>
      <c r="O1799" t="s">
        <v>23</v>
      </c>
    </row>
    <row r="1800" spans="1:15" x14ac:dyDescent="0.3">
      <c r="A1800" s="1">
        <v>45940</v>
      </c>
      <c r="B1800" t="s">
        <v>15</v>
      </c>
      <c r="C1800" s="3">
        <v>1377.8</v>
      </c>
      <c r="D1800" s="3">
        <v>1388</v>
      </c>
      <c r="E1800" s="3">
        <v>1375.1</v>
      </c>
      <c r="F1800" s="3">
        <v>1377.8</v>
      </c>
      <c r="G1800" s="3">
        <v>1380.9</v>
      </c>
      <c r="H1800" s="3">
        <v>1381.7</v>
      </c>
      <c r="I1800" s="3">
        <v>1383.21</v>
      </c>
      <c r="J1800" s="3">
        <v>2802</v>
      </c>
      <c r="K1800" s="3">
        <v>1114.8499999999999</v>
      </c>
      <c r="L1800" s="2">
        <v>6373084</v>
      </c>
      <c r="M1800" s="2">
        <v>8815317323.1000004</v>
      </c>
      <c r="N1800" s="2">
        <v>193985</v>
      </c>
      <c r="O1800" t="s">
        <v>23</v>
      </c>
    </row>
    <row r="1801" spans="1:15" x14ac:dyDescent="0.3">
      <c r="A1801" s="1">
        <v>45939</v>
      </c>
      <c r="B1801" t="s">
        <v>15</v>
      </c>
      <c r="C1801" s="3">
        <v>1374</v>
      </c>
      <c r="D1801" s="3">
        <v>1380</v>
      </c>
      <c r="E1801" s="3">
        <v>1369.1</v>
      </c>
      <c r="F1801" s="3">
        <v>1367.4</v>
      </c>
      <c r="G1801" s="3">
        <v>1376.5</v>
      </c>
      <c r="H1801" s="3">
        <v>1377.8</v>
      </c>
      <c r="I1801" s="3">
        <v>1376.25</v>
      </c>
      <c r="J1801" s="3">
        <v>2802</v>
      </c>
      <c r="K1801" s="3">
        <v>1114.8499999999999</v>
      </c>
      <c r="L1801" s="2">
        <v>8826633</v>
      </c>
      <c r="M1801" s="2">
        <v>12147669213.5</v>
      </c>
      <c r="N1801" s="2">
        <v>217890</v>
      </c>
      <c r="O1801" t="s">
        <v>23</v>
      </c>
    </row>
    <row r="1802" spans="1:15" x14ac:dyDescent="0.3">
      <c r="A1802" s="1">
        <v>45938</v>
      </c>
      <c r="B1802" t="s">
        <v>15</v>
      </c>
      <c r="C1802" s="3">
        <v>1384.8</v>
      </c>
      <c r="D1802" s="3">
        <v>1389</v>
      </c>
      <c r="E1802" s="3">
        <v>1364.5</v>
      </c>
      <c r="F1802" s="3">
        <v>1384.8</v>
      </c>
      <c r="G1802" s="3">
        <v>1367.3</v>
      </c>
      <c r="H1802" s="3">
        <v>1367.4</v>
      </c>
      <c r="I1802" s="3">
        <v>1371.62</v>
      </c>
      <c r="J1802" s="3">
        <v>2802</v>
      </c>
      <c r="K1802" s="3">
        <v>1114.8499999999999</v>
      </c>
      <c r="L1802" s="2">
        <v>8525081</v>
      </c>
      <c r="M1802" s="2">
        <v>11693212975.1</v>
      </c>
      <c r="N1802" s="2">
        <v>214245</v>
      </c>
      <c r="O1802" t="s">
        <v>23</v>
      </c>
    </row>
    <row r="1803" spans="1:15" x14ac:dyDescent="0.3">
      <c r="A1803" s="1">
        <v>45937</v>
      </c>
      <c r="B1803" t="s">
        <v>15</v>
      </c>
      <c r="C1803" s="3">
        <v>1376</v>
      </c>
      <c r="D1803" s="3">
        <v>1395.9</v>
      </c>
      <c r="E1803" s="3">
        <v>1375.9</v>
      </c>
      <c r="F1803" s="3">
        <v>1375</v>
      </c>
      <c r="G1803" s="3">
        <v>1384.5</v>
      </c>
      <c r="H1803" s="3">
        <v>1384.8</v>
      </c>
      <c r="I1803" s="3">
        <v>1386.79</v>
      </c>
      <c r="J1803" s="3">
        <v>2802</v>
      </c>
      <c r="K1803" s="3">
        <v>1114.8499999999999</v>
      </c>
      <c r="L1803" s="2">
        <v>11244040</v>
      </c>
      <c r="M1803" s="2">
        <v>15593176402.200001</v>
      </c>
      <c r="N1803" s="2">
        <v>196055</v>
      </c>
      <c r="O1803" t="s">
        <v>23</v>
      </c>
    </row>
    <row r="1804" spans="1:15" x14ac:dyDescent="0.3">
      <c r="A1804" s="1">
        <v>45936</v>
      </c>
      <c r="B1804" t="s">
        <v>15</v>
      </c>
      <c r="C1804" s="3">
        <v>1360</v>
      </c>
      <c r="D1804" s="3">
        <v>1377.4</v>
      </c>
      <c r="E1804" s="3">
        <v>1359</v>
      </c>
      <c r="F1804" s="3">
        <v>1363.4</v>
      </c>
      <c r="G1804" s="3">
        <v>1374.9</v>
      </c>
      <c r="H1804" s="3">
        <v>1375</v>
      </c>
      <c r="I1804" s="3">
        <v>1367.85</v>
      </c>
      <c r="J1804" s="3">
        <v>2802</v>
      </c>
      <c r="K1804" s="3">
        <v>1114.8499999999999</v>
      </c>
      <c r="L1804" s="2">
        <v>12396580</v>
      </c>
      <c r="M1804" s="2">
        <v>16956655218.299999</v>
      </c>
      <c r="N1804" s="2">
        <v>184550</v>
      </c>
      <c r="O1804" t="s">
        <v>23</v>
      </c>
    </row>
    <row r="1805" spans="1:15" x14ac:dyDescent="0.3">
      <c r="A1805" s="1">
        <v>45933</v>
      </c>
      <c r="B1805" t="s">
        <v>15</v>
      </c>
      <c r="C1805" s="3">
        <v>1363.2</v>
      </c>
      <c r="D1805" s="3">
        <v>1371.6</v>
      </c>
      <c r="E1805" s="3">
        <v>1356.9</v>
      </c>
      <c r="F1805" s="3">
        <v>1368.7</v>
      </c>
      <c r="G1805" s="3">
        <v>1363.3</v>
      </c>
      <c r="H1805" s="3">
        <v>1363.4</v>
      </c>
      <c r="I1805" s="3">
        <v>1362.13</v>
      </c>
      <c r="J1805" s="3">
        <v>3049.95</v>
      </c>
      <c r="K1805" s="3">
        <v>1114.8499999999999</v>
      </c>
      <c r="L1805" s="2">
        <v>12842347</v>
      </c>
      <c r="M1805" s="2">
        <v>17492914973.799999</v>
      </c>
      <c r="N1805" s="2">
        <v>216161</v>
      </c>
      <c r="O1805" t="s">
        <v>23</v>
      </c>
    </row>
    <row r="1806" spans="1:15" x14ac:dyDescent="0.3">
      <c r="A1806" s="1">
        <v>45931</v>
      </c>
      <c r="B1806" t="s">
        <v>15</v>
      </c>
      <c r="C1806" s="3">
        <v>1367</v>
      </c>
      <c r="D1806" s="3">
        <v>1378.6</v>
      </c>
      <c r="E1806" s="3">
        <v>1362.7</v>
      </c>
      <c r="F1806" s="3">
        <v>1364</v>
      </c>
      <c r="G1806" s="3">
        <v>1370</v>
      </c>
      <c r="H1806" s="3">
        <v>1368.7</v>
      </c>
      <c r="I1806" s="3">
        <v>1369.56</v>
      </c>
      <c r="J1806" s="3">
        <v>3049.95</v>
      </c>
      <c r="K1806" s="3">
        <v>1114.8499999999999</v>
      </c>
      <c r="L1806" s="2">
        <v>12045916</v>
      </c>
      <c r="M1806" s="2">
        <v>16497635567.1</v>
      </c>
      <c r="N1806" s="2">
        <v>258017</v>
      </c>
      <c r="O1806" t="s">
        <v>23</v>
      </c>
    </row>
    <row r="1807" spans="1:15" x14ac:dyDescent="0.3">
      <c r="A1807" s="1">
        <v>45930</v>
      </c>
      <c r="B1807" t="s">
        <v>15</v>
      </c>
      <c r="C1807" s="3">
        <v>1377.1</v>
      </c>
      <c r="D1807" s="3">
        <v>1377.1</v>
      </c>
      <c r="E1807" s="3">
        <v>1362.8</v>
      </c>
      <c r="F1807" s="3">
        <v>1372.8</v>
      </c>
      <c r="G1807" s="3">
        <v>1364</v>
      </c>
      <c r="H1807" s="3">
        <v>1364</v>
      </c>
      <c r="I1807" s="3">
        <v>1366.52</v>
      </c>
      <c r="J1807" s="3">
        <v>3049.95</v>
      </c>
      <c r="K1807" s="3">
        <v>1114.8499999999999</v>
      </c>
      <c r="L1807" s="2">
        <v>14604684</v>
      </c>
      <c r="M1807" s="2">
        <v>19957582304.900002</v>
      </c>
      <c r="N1807" s="2">
        <v>223375</v>
      </c>
      <c r="O1807" t="s">
        <v>23</v>
      </c>
    </row>
    <row r="1808" spans="1:15" x14ac:dyDescent="0.3">
      <c r="A1808" s="1">
        <v>45929</v>
      </c>
      <c r="B1808" t="s">
        <v>15</v>
      </c>
      <c r="C1808" s="3">
        <v>1381.6</v>
      </c>
      <c r="D1808" s="3">
        <v>1389</v>
      </c>
      <c r="E1808" s="3">
        <v>1368</v>
      </c>
      <c r="F1808" s="3">
        <v>1377.6</v>
      </c>
      <c r="G1808" s="3">
        <v>1376</v>
      </c>
      <c r="H1808" s="3">
        <v>1372.8</v>
      </c>
      <c r="I1808" s="3">
        <v>1375.78</v>
      </c>
      <c r="J1808" s="3">
        <v>3049.95</v>
      </c>
      <c r="K1808" s="3">
        <v>1114.8499999999999</v>
      </c>
      <c r="L1808" s="2">
        <v>14231999</v>
      </c>
      <c r="M1808" s="2">
        <v>19580110793.700001</v>
      </c>
      <c r="N1808" s="2">
        <v>213268</v>
      </c>
      <c r="O1808" t="s">
        <v>23</v>
      </c>
    </row>
    <row r="1809" spans="1:15" x14ac:dyDescent="0.3">
      <c r="A1809" s="1">
        <v>45926</v>
      </c>
      <c r="B1809" t="s">
        <v>15</v>
      </c>
      <c r="C1809" s="3">
        <v>1372</v>
      </c>
      <c r="D1809" s="3">
        <v>1382.7</v>
      </c>
      <c r="E1809" s="3">
        <v>1366</v>
      </c>
      <c r="F1809" s="3">
        <v>1372.4</v>
      </c>
      <c r="G1809" s="3">
        <v>1379</v>
      </c>
      <c r="H1809" s="3">
        <v>1377.6</v>
      </c>
      <c r="I1809" s="3">
        <v>1376.37</v>
      </c>
      <c r="J1809" s="3">
        <v>3066.95</v>
      </c>
      <c r="K1809" s="3">
        <v>1114.8499999999999</v>
      </c>
      <c r="L1809" s="2">
        <v>9879109</v>
      </c>
      <c r="M1809" s="2">
        <v>13597342647</v>
      </c>
      <c r="N1809" s="2">
        <v>148644</v>
      </c>
      <c r="O1809" t="s">
        <v>23</v>
      </c>
    </row>
    <row r="1810" spans="1:15" x14ac:dyDescent="0.3">
      <c r="A1810" s="1">
        <v>45925</v>
      </c>
      <c r="B1810" t="s">
        <v>15</v>
      </c>
      <c r="C1810" s="3">
        <v>1381.3</v>
      </c>
      <c r="D1810" s="3">
        <v>1384.5</v>
      </c>
      <c r="E1810" s="3">
        <v>1369</v>
      </c>
      <c r="F1810" s="3">
        <v>1383</v>
      </c>
      <c r="G1810" s="3">
        <v>1374.8</v>
      </c>
      <c r="H1810" s="3">
        <v>1372.4</v>
      </c>
      <c r="I1810" s="3">
        <v>1375.53</v>
      </c>
      <c r="J1810" s="3">
        <v>3066.95</v>
      </c>
      <c r="K1810" s="3">
        <v>1114.8499999999999</v>
      </c>
      <c r="L1810" s="2">
        <v>11411143</v>
      </c>
      <c r="M1810" s="2">
        <v>15696373894</v>
      </c>
      <c r="N1810" s="2">
        <v>155102</v>
      </c>
      <c r="O1810" t="s">
        <v>23</v>
      </c>
    </row>
    <row r="1811" spans="1:15" x14ac:dyDescent="0.3">
      <c r="A1811" s="1">
        <v>45924</v>
      </c>
      <c r="B1811" t="s">
        <v>15</v>
      </c>
      <c r="C1811" s="3">
        <v>1385.3</v>
      </c>
      <c r="D1811" s="3">
        <v>1396</v>
      </c>
      <c r="E1811" s="3">
        <v>1380.4</v>
      </c>
      <c r="F1811" s="3">
        <v>1389.8</v>
      </c>
      <c r="G1811" s="3">
        <v>1381.1</v>
      </c>
      <c r="H1811" s="3">
        <v>1383</v>
      </c>
      <c r="I1811" s="3">
        <v>1387.32</v>
      </c>
      <c r="J1811" s="3">
        <v>3066.95</v>
      </c>
      <c r="K1811" s="3">
        <v>1114.8499999999999</v>
      </c>
      <c r="L1811" s="2">
        <v>5922759</v>
      </c>
      <c r="M1811" s="2">
        <v>8216778017.5</v>
      </c>
      <c r="N1811" s="2">
        <v>120399</v>
      </c>
      <c r="O1811" t="s">
        <v>23</v>
      </c>
    </row>
    <row r="1812" spans="1:15" x14ac:dyDescent="0.3">
      <c r="A1812" s="1">
        <v>45923</v>
      </c>
      <c r="B1812" t="s">
        <v>15</v>
      </c>
      <c r="C1812" s="3">
        <v>1391</v>
      </c>
      <c r="D1812" s="3">
        <v>1395</v>
      </c>
      <c r="E1812" s="3">
        <v>1376.8</v>
      </c>
      <c r="F1812" s="3">
        <v>1390.6</v>
      </c>
      <c r="G1812" s="3">
        <v>1390.5</v>
      </c>
      <c r="H1812" s="3">
        <v>1389.8</v>
      </c>
      <c r="I1812" s="3">
        <v>1387.57</v>
      </c>
      <c r="J1812" s="3">
        <v>3066.95</v>
      </c>
      <c r="K1812" s="3">
        <v>1114.8499999999999</v>
      </c>
      <c r="L1812" s="2">
        <v>14014702</v>
      </c>
      <c r="M1812" s="2">
        <v>19446355038.700001</v>
      </c>
      <c r="N1812" s="2">
        <v>210931</v>
      </c>
      <c r="O1812" t="s">
        <v>23</v>
      </c>
    </row>
    <row r="1813" spans="1:15" x14ac:dyDescent="0.3">
      <c r="A1813" s="1">
        <v>45922</v>
      </c>
      <c r="B1813" t="s">
        <v>15</v>
      </c>
      <c r="C1813" s="3">
        <v>1403.9</v>
      </c>
      <c r="D1813" s="3">
        <v>1410.7</v>
      </c>
      <c r="E1813" s="3">
        <v>1388</v>
      </c>
      <c r="F1813" s="3">
        <v>1407.4</v>
      </c>
      <c r="G1813" s="3">
        <v>1390.9</v>
      </c>
      <c r="H1813" s="3">
        <v>1390.6</v>
      </c>
      <c r="I1813" s="3">
        <v>1400.91</v>
      </c>
      <c r="J1813" s="3">
        <v>3066.95</v>
      </c>
      <c r="K1813" s="3">
        <v>1114.8499999999999</v>
      </c>
      <c r="L1813" s="2">
        <v>7757970</v>
      </c>
      <c r="M1813" s="2">
        <v>10868228760.6</v>
      </c>
      <c r="N1813" s="2">
        <v>136991</v>
      </c>
      <c r="O1813" t="s">
        <v>23</v>
      </c>
    </row>
    <row r="1814" spans="1:15" x14ac:dyDescent="0.3">
      <c r="A1814" s="1">
        <v>45919</v>
      </c>
      <c r="B1814" t="s">
        <v>15</v>
      </c>
      <c r="C1814" s="3">
        <v>1414.9</v>
      </c>
      <c r="D1814" s="3">
        <v>1417</v>
      </c>
      <c r="E1814" s="3">
        <v>1403.6</v>
      </c>
      <c r="F1814" s="3">
        <v>1415</v>
      </c>
      <c r="G1814" s="3">
        <v>1407.6</v>
      </c>
      <c r="H1814" s="3">
        <v>1407.4</v>
      </c>
      <c r="I1814" s="3">
        <v>1408.43</v>
      </c>
      <c r="J1814" s="3">
        <v>3066.95</v>
      </c>
      <c r="K1814" s="3">
        <v>1114.8499999999999</v>
      </c>
      <c r="L1814" s="2">
        <v>13461373</v>
      </c>
      <c r="M1814" s="2">
        <v>18959342246.099998</v>
      </c>
      <c r="N1814" s="2">
        <v>143644</v>
      </c>
      <c r="O1814" t="s">
        <v>23</v>
      </c>
    </row>
    <row r="1815" spans="1:15" x14ac:dyDescent="0.3">
      <c r="A1815" s="1">
        <v>45918</v>
      </c>
      <c r="B1815" t="s">
        <v>15</v>
      </c>
      <c r="C1815" s="3">
        <v>1420.4</v>
      </c>
      <c r="D1815" s="3">
        <v>1422</v>
      </c>
      <c r="E1815" s="3">
        <v>1410.7</v>
      </c>
      <c r="F1815" s="3">
        <v>1413.8</v>
      </c>
      <c r="G1815" s="3">
        <v>1415</v>
      </c>
      <c r="H1815" s="3">
        <v>1415</v>
      </c>
      <c r="I1815" s="3">
        <v>1415.31</v>
      </c>
      <c r="J1815" s="3">
        <v>3066.95</v>
      </c>
      <c r="K1815" s="3">
        <v>1114.8499999999999</v>
      </c>
      <c r="L1815" s="2">
        <v>9332642</v>
      </c>
      <c r="M1815" s="2">
        <v>13208589778.1</v>
      </c>
      <c r="N1815" s="2">
        <v>182559</v>
      </c>
      <c r="O1815" t="s">
        <v>23</v>
      </c>
    </row>
    <row r="1816" spans="1:15" x14ac:dyDescent="0.3">
      <c r="A1816" s="1">
        <v>45917</v>
      </c>
      <c r="B1816" t="s">
        <v>15</v>
      </c>
      <c r="C1816" s="3">
        <v>1407</v>
      </c>
      <c r="D1816" s="3">
        <v>1416.2</v>
      </c>
      <c r="E1816" s="3">
        <v>1406.9</v>
      </c>
      <c r="F1816" s="3">
        <v>1405.3</v>
      </c>
      <c r="G1816" s="3">
        <v>1413</v>
      </c>
      <c r="H1816" s="3">
        <v>1413.8</v>
      </c>
      <c r="I1816" s="3">
        <v>1412.05</v>
      </c>
      <c r="J1816" s="3">
        <v>3066.95</v>
      </c>
      <c r="K1816" s="3">
        <v>1114.8499999999999</v>
      </c>
      <c r="L1816" s="2">
        <v>7519417</v>
      </c>
      <c r="M1816" s="2">
        <v>10617806261</v>
      </c>
      <c r="N1816" s="2">
        <v>189638</v>
      </c>
      <c r="O1816" t="s">
        <v>23</v>
      </c>
    </row>
    <row r="1817" spans="1:15" x14ac:dyDescent="0.3">
      <c r="A1817" s="1">
        <v>45916</v>
      </c>
      <c r="B1817" t="s">
        <v>15</v>
      </c>
      <c r="C1817" s="3">
        <v>1404.7</v>
      </c>
      <c r="D1817" s="3">
        <v>1408</v>
      </c>
      <c r="E1817" s="3">
        <v>1398.2</v>
      </c>
      <c r="F1817" s="3">
        <v>1399.3</v>
      </c>
      <c r="G1817" s="3">
        <v>1405.9</v>
      </c>
      <c r="H1817" s="3">
        <v>1405.3</v>
      </c>
      <c r="I1817" s="3">
        <v>1404</v>
      </c>
      <c r="J1817" s="3">
        <v>3066.95</v>
      </c>
      <c r="K1817" s="3">
        <v>1114.8499999999999</v>
      </c>
      <c r="L1817" s="2">
        <v>8686961</v>
      </c>
      <c r="M1817" s="2">
        <v>12196451860.1</v>
      </c>
      <c r="N1817" s="2">
        <v>170452</v>
      </c>
      <c r="O1817" t="s">
        <v>23</v>
      </c>
    </row>
    <row r="1818" spans="1:15" x14ac:dyDescent="0.3">
      <c r="A1818" s="1">
        <v>45915</v>
      </c>
      <c r="B1818" t="s">
        <v>15</v>
      </c>
      <c r="C1818" s="3">
        <v>1393</v>
      </c>
      <c r="D1818" s="3">
        <v>1400.8</v>
      </c>
      <c r="E1818" s="3">
        <v>1388.6</v>
      </c>
      <c r="F1818" s="3">
        <v>1395</v>
      </c>
      <c r="G1818" s="3">
        <v>1399.3</v>
      </c>
      <c r="H1818" s="3">
        <v>1399.3</v>
      </c>
      <c r="I1818" s="3">
        <v>1395.97</v>
      </c>
      <c r="J1818" s="3">
        <v>3066.95</v>
      </c>
      <c r="K1818" s="3">
        <v>1114.8499999999999</v>
      </c>
      <c r="L1818" s="2">
        <v>5396697</v>
      </c>
      <c r="M1818" s="2">
        <v>7533635758.1999998</v>
      </c>
      <c r="N1818" s="2">
        <v>130728</v>
      </c>
      <c r="O1818" t="s">
        <v>23</v>
      </c>
    </row>
    <row r="1819" spans="1:15" x14ac:dyDescent="0.3">
      <c r="A1819" s="1">
        <v>45912</v>
      </c>
      <c r="B1819" t="s">
        <v>15</v>
      </c>
      <c r="C1819" s="3">
        <v>1383.3</v>
      </c>
      <c r="D1819" s="3">
        <v>1396.3</v>
      </c>
      <c r="E1819" s="3">
        <v>1380.5</v>
      </c>
      <c r="F1819" s="3">
        <v>1383.3</v>
      </c>
      <c r="G1819" s="3">
        <v>1395</v>
      </c>
      <c r="H1819" s="3">
        <v>1395</v>
      </c>
      <c r="I1819" s="3">
        <v>1392.69</v>
      </c>
      <c r="J1819" s="3">
        <v>3066.95</v>
      </c>
      <c r="K1819" s="3">
        <v>1114.8499999999999</v>
      </c>
      <c r="L1819" s="2">
        <v>7403368</v>
      </c>
      <c r="M1819" s="2">
        <v>10310608459.5</v>
      </c>
      <c r="N1819" s="2">
        <v>156369</v>
      </c>
      <c r="O1819" t="s">
        <v>23</v>
      </c>
    </row>
    <row r="1820" spans="1:15" x14ac:dyDescent="0.3">
      <c r="A1820" s="1">
        <v>45911</v>
      </c>
      <c r="B1820" t="s">
        <v>15</v>
      </c>
      <c r="C1820" s="3">
        <v>1376</v>
      </c>
      <c r="D1820" s="3">
        <v>1385.5</v>
      </c>
      <c r="E1820" s="3">
        <v>1375</v>
      </c>
      <c r="F1820" s="3">
        <v>1377</v>
      </c>
      <c r="G1820" s="3">
        <v>1382.1</v>
      </c>
      <c r="H1820" s="3">
        <v>1383.3</v>
      </c>
      <c r="I1820" s="3">
        <v>1382.49</v>
      </c>
      <c r="J1820" s="3">
        <v>3066.95</v>
      </c>
      <c r="K1820" s="3">
        <v>1114.8499999999999</v>
      </c>
      <c r="L1820" s="2">
        <v>9766072</v>
      </c>
      <c r="M1820" s="2">
        <v>13501479258.5</v>
      </c>
      <c r="N1820" s="2">
        <v>173431</v>
      </c>
      <c r="O1820" t="s">
        <v>23</v>
      </c>
    </row>
    <row r="1821" spans="1:15" x14ac:dyDescent="0.3">
      <c r="A1821" s="1">
        <v>45910</v>
      </c>
      <c r="B1821" t="s">
        <v>15</v>
      </c>
      <c r="C1821" s="3">
        <v>1383.9</v>
      </c>
      <c r="D1821" s="3">
        <v>1388.5</v>
      </c>
      <c r="E1821" s="3">
        <v>1374.1</v>
      </c>
      <c r="F1821" s="3">
        <v>1376.2</v>
      </c>
      <c r="G1821" s="3">
        <v>1377.5</v>
      </c>
      <c r="H1821" s="3">
        <v>1377</v>
      </c>
      <c r="I1821" s="3">
        <v>1380.12</v>
      </c>
      <c r="J1821" s="3">
        <v>3066.95</v>
      </c>
      <c r="K1821" s="3">
        <v>1114.8499999999999</v>
      </c>
      <c r="L1821" s="2">
        <v>7790815</v>
      </c>
      <c r="M1821" s="2">
        <v>10752266849.200001</v>
      </c>
      <c r="N1821" s="2">
        <v>222655</v>
      </c>
      <c r="O1821" t="s">
        <v>23</v>
      </c>
    </row>
    <row r="1822" spans="1:15" x14ac:dyDescent="0.3">
      <c r="A1822" s="1">
        <v>45909</v>
      </c>
      <c r="B1822" t="s">
        <v>15</v>
      </c>
      <c r="C1822" s="3">
        <v>1376.6</v>
      </c>
      <c r="D1822" s="3">
        <v>1381.2</v>
      </c>
      <c r="E1822" s="3">
        <v>1368.7</v>
      </c>
      <c r="F1822" s="3">
        <v>1378.5</v>
      </c>
      <c r="G1822" s="3">
        <v>1376.1</v>
      </c>
      <c r="H1822" s="3">
        <v>1376.2</v>
      </c>
      <c r="I1822" s="3">
        <v>1375.44</v>
      </c>
      <c r="J1822" s="3">
        <v>3066.95</v>
      </c>
      <c r="K1822" s="3">
        <v>1114.8499999999999</v>
      </c>
      <c r="L1822" s="2">
        <v>9754452</v>
      </c>
      <c r="M1822" s="2">
        <v>13416675656.700001</v>
      </c>
      <c r="N1822" s="2">
        <v>209637</v>
      </c>
      <c r="O1822" t="s">
        <v>23</v>
      </c>
    </row>
    <row r="1823" spans="1:15" x14ac:dyDescent="0.3">
      <c r="A1823" s="1">
        <v>45908</v>
      </c>
      <c r="B1823" t="s">
        <v>15</v>
      </c>
      <c r="C1823" s="3">
        <v>1380</v>
      </c>
      <c r="D1823" s="3">
        <v>1386</v>
      </c>
      <c r="E1823" s="3">
        <v>1372.4</v>
      </c>
      <c r="F1823" s="3">
        <v>1375</v>
      </c>
      <c r="G1823" s="3">
        <v>1378.9</v>
      </c>
      <c r="H1823" s="3">
        <v>1378.5</v>
      </c>
      <c r="I1823" s="3">
        <v>1379.43</v>
      </c>
      <c r="J1823" s="3">
        <v>3066.95</v>
      </c>
      <c r="K1823" s="3">
        <v>1114.8499999999999</v>
      </c>
      <c r="L1823" s="2">
        <v>6986720</v>
      </c>
      <c r="M1823" s="2">
        <v>9637680456.6000004</v>
      </c>
      <c r="N1823" s="2">
        <v>131052</v>
      </c>
      <c r="O1823" t="s">
        <v>23</v>
      </c>
    </row>
    <row r="1824" spans="1:15" x14ac:dyDescent="0.3">
      <c r="A1824" s="1">
        <v>45905</v>
      </c>
      <c r="B1824" t="s">
        <v>15</v>
      </c>
      <c r="C1824" s="3">
        <v>1363</v>
      </c>
      <c r="D1824" s="3">
        <v>1381</v>
      </c>
      <c r="E1824" s="3">
        <v>1359.3</v>
      </c>
      <c r="F1824" s="3">
        <v>1359.3</v>
      </c>
      <c r="G1824" s="3">
        <v>1375.7</v>
      </c>
      <c r="H1824" s="3">
        <v>1375</v>
      </c>
      <c r="I1824" s="3">
        <v>1370.36</v>
      </c>
      <c r="J1824" s="3">
        <v>3066.95</v>
      </c>
      <c r="K1824" s="3">
        <v>1114.8499999999999</v>
      </c>
      <c r="L1824" s="2">
        <v>5777575</v>
      </c>
      <c r="M1824" s="2">
        <v>7917373815.6000004</v>
      </c>
      <c r="N1824" s="2">
        <v>142951</v>
      </c>
      <c r="O1824" t="s">
        <v>23</v>
      </c>
    </row>
    <row r="1825" spans="1:15" x14ac:dyDescent="0.3">
      <c r="A1825" s="1">
        <v>45904</v>
      </c>
      <c r="B1825" t="s">
        <v>15</v>
      </c>
      <c r="C1825" s="3">
        <v>1371.8</v>
      </c>
      <c r="D1825" s="3">
        <v>1374</v>
      </c>
      <c r="E1825" s="3">
        <v>1357.1</v>
      </c>
      <c r="F1825" s="3">
        <v>1372.6</v>
      </c>
      <c r="G1825" s="3">
        <v>1359.1</v>
      </c>
      <c r="H1825" s="3">
        <v>1359.3</v>
      </c>
      <c r="I1825" s="3">
        <v>1363.97</v>
      </c>
      <c r="J1825" s="3">
        <v>3066.95</v>
      </c>
      <c r="K1825" s="3">
        <v>1114.8499999999999</v>
      </c>
      <c r="L1825" s="2">
        <v>13223177</v>
      </c>
      <c r="M1825" s="2">
        <v>18035988833.700001</v>
      </c>
      <c r="N1825" s="2">
        <v>200473</v>
      </c>
      <c r="O1825" t="s">
        <v>23</v>
      </c>
    </row>
    <row r="1826" spans="1:15" x14ac:dyDescent="0.3">
      <c r="A1826" s="1">
        <v>45903</v>
      </c>
      <c r="B1826" t="s">
        <v>15</v>
      </c>
      <c r="C1826" s="3">
        <v>1369.7</v>
      </c>
      <c r="D1826" s="3">
        <v>1376.5</v>
      </c>
      <c r="E1826" s="3">
        <v>1360.5</v>
      </c>
      <c r="F1826" s="3">
        <v>1366.5</v>
      </c>
      <c r="G1826" s="3">
        <v>1372</v>
      </c>
      <c r="H1826" s="3">
        <v>1372.6</v>
      </c>
      <c r="I1826" s="3">
        <v>1368.85</v>
      </c>
      <c r="J1826" s="3">
        <v>3066.95</v>
      </c>
      <c r="K1826" s="3">
        <v>1114.8499999999999</v>
      </c>
      <c r="L1826" s="2">
        <v>7847563</v>
      </c>
      <c r="M1826" s="2">
        <v>10742161678.4</v>
      </c>
      <c r="N1826" s="2">
        <v>209277</v>
      </c>
      <c r="O1826" t="s">
        <v>23</v>
      </c>
    </row>
    <row r="1827" spans="1:15" x14ac:dyDescent="0.3">
      <c r="A1827" s="1">
        <v>45902</v>
      </c>
      <c r="B1827" t="s">
        <v>15</v>
      </c>
      <c r="C1827" s="3">
        <v>1354.8</v>
      </c>
      <c r="D1827" s="3">
        <v>1384.5</v>
      </c>
      <c r="E1827" s="3">
        <v>1354.5</v>
      </c>
      <c r="F1827" s="3">
        <v>1353.9</v>
      </c>
      <c r="G1827" s="3">
        <v>1367.5</v>
      </c>
      <c r="H1827" s="3">
        <v>1366.5</v>
      </c>
      <c r="I1827" s="3">
        <v>1374.28</v>
      </c>
      <c r="J1827" s="3">
        <v>3066.95</v>
      </c>
      <c r="K1827" s="3">
        <v>1114.8499999999999</v>
      </c>
      <c r="L1827" s="2">
        <v>11517006</v>
      </c>
      <c r="M1827" s="2">
        <v>15827620364.299999</v>
      </c>
      <c r="N1827" s="2">
        <v>235433</v>
      </c>
      <c r="O1827" t="s">
        <v>23</v>
      </c>
    </row>
    <row r="1828" spans="1:15" x14ac:dyDescent="0.3">
      <c r="A1828" s="1">
        <v>45901</v>
      </c>
      <c r="B1828" t="s">
        <v>15</v>
      </c>
      <c r="C1828" s="3">
        <v>1356</v>
      </c>
      <c r="D1828" s="3">
        <v>1363.2</v>
      </c>
      <c r="E1828" s="3">
        <v>1340.6</v>
      </c>
      <c r="F1828" s="3">
        <v>1357.2</v>
      </c>
      <c r="G1828" s="3">
        <v>1355</v>
      </c>
      <c r="H1828" s="3">
        <v>1353.9</v>
      </c>
      <c r="I1828" s="3">
        <v>1353.99</v>
      </c>
      <c r="J1828" s="3">
        <v>3066.95</v>
      </c>
      <c r="K1828" s="3">
        <v>1114.8499999999999</v>
      </c>
      <c r="L1828" s="2">
        <v>11232238</v>
      </c>
      <c r="M1828" s="2">
        <v>15208377268.5</v>
      </c>
      <c r="N1828" s="2">
        <v>249574</v>
      </c>
      <c r="O1828" t="s">
        <v>23</v>
      </c>
    </row>
    <row r="1829" spans="1:15" x14ac:dyDescent="0.3">
      <c r="A1829" s="1">
        <v>45898</v>
      </c>
      <c r="B1829" t="s">
        <v>15</v>
      </c>
      <c r="C1829" s="3">
        <v>1381.1</v>
      </c>
      <c r="D1829" s="3">
        <v>1403.5</v>
      </c>
      <c r="E1829" s="3">
        <v>1350</v>
      </c>
      <c r="F1829" s="3">
        <v>1385.9</v>
      </c>
      <c r="G1829" s="3">
        <v>1356</v>
      </c>
      <c r="H1829" s="3">
        <v>1357.2</v>
      </c>
      <c r="I1829" s="3">
        <v>1375.14</v>
      </c>
      <c r="J1829" s="3">
        <v>3079.45</v>
      </c>
      <c r="K1829" s="3">
        <v>1114.8499999999999</v>
      </c>
      <c r="L1829" s="2">
        <v>18758842</v>
      </c>
      <c r="M1829" s="2">
        <v>25796085387.599998</v>
      </c>
      <c r="N1829" s="2">
        <v>348532</v>
      </c>
      <c r="O1829" t="s">
        <v>23</v>
      </c>
    </row>
    <row r="1830" spans="1:15" x14ac:dyDescent="0.3">
      <c r="A1830" s="1">
        <v>45897</v>
      </c>
      <c r="B1830" t="s">
        <v>15</v>
      </c>
      <c r="C1830" s="3">
        <v>1389.9</v>
      </c>
      <c r="D1830" s="3">
        <v>1392.2</v>
      </c>
      <c r="E1830" s="3">
        <v>1366.5</v>
      </c>
      <c r="F1830" s="3">
        <v>1384.9</v>
      </c>
      <c r="G1830" s="3">
        <v>1390.9</v>
      </c>
      <c r="H1830" s="3">
        <v>1385.9</v>
      </c>
      <c r="I1830" s="3">
        <v>1380.78</v>
      </c>
      <c r="J1830" s="3">
        <v>3079.45</v>
      </c>
      <c r="K1830" s="3">
        <v>1114.8499999999999</v>
      </c>
      <c r="L1830" s="2">
        <v>13161813</v>
      </c>
      <c r="M1830" s="2">
        <v>18173599832</v>
      </c>
      <c r="N1830" s="2">
        <v>252423</v>
      </c>
      <c r="O1830" t="s">
        <v>23</v>
      </c>
    </row>
    <row r="1831" spans="1:15" x14ac:dyDescent="0.3">
      <c r="A1831" s="1">
        <v>45895</v>
      </c>
      <c r="B1831" t="s">
        <v>15</v>
      </c>
      <c r="C1831" s="3">
        <v>1408</v>
      </c>
      <c r="D1831" s="3">
        <v>1410</v>
      </c>
      <c r="E1831" s="3">
        <v>1381.6</v>
      </c>
      <c r="F1831" s="3">
        <v>1412.6</v>
      </c>
      <c r="G1831" s="3">
        <v>1383.8</v>
      </c>
      <c r="H1831" s="3">
        <v>1384.9</v>
      </c>
      <c r="I1831" s="3">
        <v>1390.78</v>
      </c>
      <c r="J1831" s="3">
        <v>3079.45</v>
      </c>
      <c r="K1831" s="3">
        <v>1114.8499999999999</v>
      </c>
      <c r="L1831" s="2">
        <v>12145259</v>
      </c>
      <c r="M1831" s="2">
        <v>16891359345.299999</v>
      </c>
      <c r="N1831" s="2">
        <v>201578</v>
      </c>
      <c r="O1831" t="s">
        <v>23</v>
      </c>
    </row>
    <row r="1832" spans="1:15" x14ac:dyDescent="0.3">
      <c r="A1832" s="1">
        <v>45894</v>
      </c>
      <c r="B1832" t="s">
        <v>15</v>
      </c>
      <c r="C1832" s="3">
        <v>1414.7</v>
      </c>
      <c r="D1832" s="3">
        <v>1419.5</v>
      </c>
      <c r="E1832" s="3">
        <v>1405.7</v>
      </c>
      <c r="F1832" s="3">
        <v>1409.2</v>
      </c>
      <c r="G1832" s="3">
        <v>1413.7</v>
      </c>
      <c r="H1832" s="3">
        <v>1412.6</v>
      </c>
      <c r="I1832" s="3">
        <v>1412.48</v>
      </c>
      <c r="J1832" s="3">
        <v>3079.45</v>
      </c>
      <c r="K1832" s="3">
        <v>1114.8499999999999</v>
      </c>
      <c r="L1832" s="2">
        <v>5979407</v>
      </c>
      <c r="M1832" s="2">
        <v>8445789682.3000002</v>
      </c>
      <c r="N1832" s="2">
        <v>184067</v>
      </c>
      <c r="O1832" t="s">
        <v>23</v>
      </c>
    </row>
    <row r="1833" spans="1:15" x14ac:dyDescent="0.3">
      <c r="A1833" s="1">
        <v>45891</v>
      </c>
      <c r="B1833" t="s">
        <v>15</v>
      </c>
      <c r="C1833" s="3">
        <v>1420</v>
      </c>
      <c r="D1833" s="3">
        <v>1423.4</v>
      </c>
      <c r="E1833" s="3">
        <v>1407.9</v>
      </c>
      <c r="F1833" s="3">
        <v>1424.8</v>
      </c>
      <c r="G1833" s="3">
        <v>1409.9</v>
      </c>
      <c r="H1833" s="3">
        <v>1409.2</v>
      </c>
      <c r="I1833" s="3">
        <v>1414</v>
      </c>
      <c r="J1833" s="3">
        <v>3079.45</v>
      </c>
      <c r="K1833" s="3">
        <v>1114.8499999999999</v>
      </c>
      <c r="L1833" s="2">
        <v>5818868</v>
      </c>
      <c r="M1833" s="2">
        <v>8227876997.3000002</v>
      </c>
      <c r="N1833" s="2">
        <v>137165</v>
      </c>
      <c r="O1833" t="s">
        <v>23</v>
      </c>
    </row>
    <row r="1834" spans="1:15" x14ac:dyDescent="0.3">
      <c r="A1834" s="1">
        <v>45890</v>
      </c>
      <c r="B1834" t="s">
        <v>15</v>
      </c>
      <c r="C1834" s="3">
        <v>1425</v>
      </c>
      <c r="D1834" s="3">
        <v>1431.9</v>
      </c>
      <c r="E1834" s="3">
        <v>1420.3</v>
      </c>
      <c r="F1834" s="3">
        <v>1413</v>
      </c>
      <c r="G1834" s="3">
        <v>1424.3</v>
      </c>
      <c r="H1834" s="3">
        <v>1424.8</v>
      </c>
      <c r="I1834" s="3">
        <v>1427.55</v>
      </c>
      <c r="J1834" s="3">
        <v>3079.45</v>
      </c>
      <c r="K1834" s="3">
        <v>1114.8499999999999</v>
      </c>
      <c r="L1834" s="2">
        <v>11021323</v>
      </c>
      <c r="M1834" s="2">
        <v>15733474504.4</v>
      </c>
      <c r="N1834" s="2">
        <v>231863</v>
      </c>
      <c r="O1834" t="s">
        <v>23</v>
      </c>
    </row>
    <row r="1835" spans="1:15" x14ac:dyDescent="0.3">
      <c r="A1835" s="1">
        <v>45889</v>
      </c>
      <c r="B1835" t="s">
        <v>15</v>
      </c>
      <c r="C1835" s="3">
        <v>1413</v>
      </c>
      <c r="D1835" s="3">
        <v>1424.9</v>
      </c>
      <c r="E1835" s="3">
        <v>1410</v>
      </c>
      <c r="F1835" s="3">
        <v>1420.1</v>
      </c>
      <c r="G1835" s="3">
        <v>1412</v>
      </c>
      <c r="H1835" s="3">
        <v>1413</v>
      </c>
      <c r="I1835" s="3">
        <v>1418.58</v>
      </c>
      <c r="J1835" s="3">
        <v>3079.45</v>
      </c>
      <c r="K1835" s="3">
        <v>1114.8499999999999</v>
      </c>
      <c r="L1835" s="2">
        <v>8725641</v>
      </c>
      <c r="M1835" s="2">
        <v>12377983949.700001</v>
      </c>
      <c r="N1835" s="2">
        <v>196554</v>
      </c>
      <c r="O1835" t="s">
        <v>23</v>
      </c>
    </row>
    <row r="1836" spans="1:15" x14ac:dyDescent="0.3">
      <c r="A1836" s="1">
        <v>45888</v>
      </c>
      <c r="B1836" t="s">
        <v>15</v>
      </c>
      <c r="C1836" s="3">
        <v>1390</v>
      </c>
      <c r="D1836" s="3">
        <v>1421</v>
      </c>
      <c r="E1836" s="3">
        <v>1389.1</v>
      </c>
      <c r="F1836" s="3">
        <v>1381.7</v>
      </c>
      <c r="G1836" s="3">
        <v>1421</v>
      </c>
      <c r="H1836" s="3">
        <v>1420.1</v>
      </c>
      <c r="I1836" s="3">
        <v>1413.6</v>
      </c>
      <c r="J1836" s="3">
        <v>3079.45</v>
      </c>
      <c r="K1836" s="3">
        <v>1114.8499999999999</v>
      </c>
      <c r="L1836" s="2">
        <v>14384719</v>
      </c>
      <c r="M1836" s="2">
        <v>20334296972.400002</v>
      </c>
      <c r="N1836" s="2">
        <v>288664</v>
      </c>
      <c r="O1836" t="s">
        <v>23</v>
      </c>
    </row>
    <row r="1837" spans="1:15" x14ac:dyDescent="0.3">
      <c r="A1837" s="1">
        <v>45887</v>
      </c>
      <c r="B1837" t="s">
        <v>15</v>
      </c>
      <c r="C1837" s="3">
        <v>1390</v>
      </c>
      <c r="D1837" s="3">
        <v>1394.9</v>
      </c>
      <c r="E1837" s="3">
        <v>1377</v>
      </c>
      <c r="F1837" s="3">
        <v>1373.8</v>
      </c>
      <c r="G1837" s="3">
        <v>1382.9</v>
      </c>
      <c r="H1837" s="3">
        <v>1381.7</v>
      </c>
      <c r="I1837" s="3">
        <v>1384.21</v>
      </c>
      <c r="J1837" s="3">
        <v>3079.45</v>
      </c>
      <c r="K1837" s="3">
        <v>1114.8499999999999</v>
      </c>
      <c r="L1837" s="2">
        <v>11785109</v>
      </c>
      <c r="M1837" s="2">
        <v>16313018769.799999</v>
      </c>
      <c r="N1837" s="2">
        <v>319844</v>
      </c>
      <c r="O1837" t="s">
        <v>23</v>
      </c>
    </row>
    <row r="1838" spans="1:15" x14ac:dyDescent="0.3">
      <c r="A1838" s="1">
        <v>45883</v>
      </c>
      <c r="B1838" t="s">
        <v>15</v>
      </c>
      <c r="C1838" s="3">
        <v>1377.3</v>
      </c>
      <c r="D1838" s="3">
        <v>1380.7</v>
      </c>
      <c r="E1838" s="3">
        <v>1370.1</v>
      </c>
      <c r="F1838" s="3">
        <v>1382.6</v>
      </c>
      <c r="G1838" s="3">
        <v>1372.9</v>
      </c>
      <c r="H1838" s="3">
        <v>1373.8</v>
      </c>
      <c r="I1838" s="3">
        <v>1375.17</v>
      </c>
      <c r="J1838" s="3">
        <v>3079.45</v>
      </c>
      <c r="K1838" s="3">
        <v>1114.8499999999999</v>
      </c>
      <c r="L1838" s="2">
        <v>7126128</v>
      </c>
      <c r="M1838" s="2">
        <v>9799629519.8999996</v>
      </c>
      <c r="N1838" s="2">
        <v>175588</v>
      </c>
      <c r="O1838" t="s">
        <v>23</v>
      </c>
    </row>
    <row r="1839" spans="1:15" x14ac:dyDescent="0.3">
      <c r="A1839" s="1">
        <v>45882</v>
      </c>
      <c r="B1839" t="s">
        <v>15</v>
      </c>
      <c r="C1839" s="3">
        <v>1388</v>
      </c>
      <c r="D1839" s="3">
        <v>1391.8</v>
      </c>
      <c r="E1839" s="3">
        <v>1377.5</v>
      </c>
      <c r="F1839" s="3">
        <v>1380.4</v>
      </c>
      <c r="G1839" s="3">
        <v>1384</v>
      </c>
      <c r="H1839" s="3">
        <v>1382.6</v>
      </c>
      <c r="I1839" s="3">
        <v>1384.19</v>
      </c>
      <c r="J1839" s="3">
        <v>3079.45</v>
      </c>
      <c r="K1839" s="3">
        <v>1114.8499999999999</v>
      </c>
      <c r="L1839" s="2">
        <v>7457021</v>
      </c>
      <c r="M1839" s="2">
        <v>10321969058.700001</v>
      </c>
      <c r="N1839" s="2">
        <v>208576</v>
      </c>
      <c r="O1839" t="s">
        <v>23</v>
      </c>
    </row>
    <row r="1840" spans="1:15" x14ac:dyDescent="0.3">
      <c r="A1840" s="1">
        <v>45881</v>
      </c>
      <c r="B1840" t="s">
        <v>15</v>
      </c>
      <c r="C1840" s="3">
        <v>1381.9</v>
      </c>
      <c r="D1840" s="3">
        <v>1401.9</v>
      </c>
      <c r="E1840" s="3">
        <v>1375.2</v>
      </c>
      <c r="F1840" s="3">
        <v>1386.2</v>
      </c>
      <c r="G1840" s="3">
        <v>1381</v>
      </c>
      <c r="H1840" s="3">
        <v>1380.4</v>
      </c>
      <c r="I1840" s="3">
        <v>1386.76</v>
      </c>
      <c r="J1840" s="3">
        <v>3079.45</v>
      </c>
      <c r="K1840" s="3">
        <v>1114.8499999999999</v>
      </c>
      <c r="L1840" s="2">
        <v>12244664</v>
      </c>
      <c r="M1840" s="2">
        <v>16980368560.1</v>
      </c>
      <c r="N1840" s="2">
        <v>179433</v>
      </c>
      <c r="O1840" t="s">
        <v>23</v>
      </c>
    </row>
    <row r="1841" spans="1:15" x14ac:dyDescent="0.3">
      <c r="A1841" s="1">
        <v>45880</v>
      </c>
      <c r="B1841" t="s">
        <v>15</v>
      </c>
      <c r="C1841" s="3">
        <v>1370</v>
      </c>
      <c r="D1841" s="3">
        <v>1388</v>
      </c>
      <c r="E1841" s="3">
        <v>1361.2</v>
      </c>
      <c r="F1841" s="3">
        <v>1367.8</v>
      </c>
      <c r="G1841" s="3">
        <v>1384.6</v>
      </c>
      <c r="H1841" s="3">
        <v>1386.2</v>
      </c>
      <c r="I1841" s="3">
        <v>1375.78</v>
      </c>
      <c r="J1841" s="3">
        <v>3079.45</v>
      </c>
      <c r="K1841" s="3">
        <v>1114.8499999999999</v>
      </c>
      <c r="L1841" s="2">
        <v>9997486</v>
      </c>
      <c r="M1841" s="2">
        <v>13754351256.5</v>
      </c>
      <c r="N1841" s="2">
        <v>226304</v>
      </c>
      <c r="O1841" t="s">
        <v>23</v>
      </c>
    </row>
    <row r="1842" spans="1:15" x14ac:dyDescent="0.3">
      <c r="A1842" s="1">
        <v>45877</v>
      </c>
      <c r="B1842" t="s">
        <v>15</v>
      </c>
      <c r="C1842" s="3">
        <v>1385</v>
      </c>
      <c r="D1842" s="3">
        <v>1397.2</v>
      </c>
      <c r="E1842" s="3">
        <v>1365</v>
      </c>
      <c r="F1842" s="3">
        <v>1389.4</v>
      </c>
      <c r="G1842" s="3">
        <v>1366.2</v>
      </c>
      <c r="H1842" s="3">
        <v>1367.8</v>
      </c>
      <c r="I1842" s="3">
        <v>1374.93</v>
      </c>
      <c r="J1842" s="3">
        <v>3079.45</v>
      </c>
      <c r="K1842" s="3">
        <v>1114.8499999999999</v>
      </c>
      <c r="L1842" s="2">
        <v>8793606</v>
      </c>
      <c r="M1842" s="2">
        <v>12090591567.6</v>
      </c>
      <c r="N1842" s="2">
        <v>208137</v>
      </c>
      <c r="O1842" t="s">
        <v>23</v>
      </c>
    </row>
    <row r="1843" spans="1:15" x14ac:dyDescent="0.3">
      <c r="A1843" s="1">
        <v>45876</v>
      </c>
      <c r="B1843" t="s">
        <v>15</v>
      </c>
      <c r="C1843" s="3">
        <v>1387.7</v>
      </c>
      <c r="D1843" s="3">
        <v>1393.7</v>
      </c>
      <c r="E1843" s="3">
        <v>1366</v>
      </c>
      <c r="F1843" s="3">
        <v>1392.8</v>
      </c>
      <c r="G1843" s="3">
        <v>1391</v>
      </c>
      <c r="H1843" s="3">
        <v>1389.4</v>
      </c>
      <c r="I1843" s="3">
        <v>1381.52</v>
      </c>
      <c r="J1843" s="3">
        <v>3079.45</v>
      </c>
      <c r="K1843" s="3">
        <v>1114.8499999999999</v>
      </c>
      <c r="L1843" s="2">
        <v>9976705</v>
      </c>
      <c r="M1843" s="2">
        <v>13783047743.5</v>
      </c>
      <c r="N1843" s="2">
        <v>293767</v>
      </c>
      <c r="O1843" t="s">
        <v>23</v>
      </c>
    </row>
    <row r="1844" spans="1:15" x14ac:dyDescent="0.3">
      <c r="A1844" s="1">
        <v>45875</v>
      </c>
      <c r="B1844" t="s">
        <v>15</v>
      </c>
      <c r="C1844" s="3">
        <v>1391.9</v>
      </c>
      <c r="D1844" s="3">
        <v>1395.9</v>
      </c>
      <c r="E1844" s="3">
        <v>1383.3</v>
      </c>
      <c r="F1844" s="3">
        <v>1391.7</v>
      </c>
      <c r="G1844" s="3">
        <v>1393</v>
      </c>
      <c r="H1844" s="3">
        <v>1392.8</v>
      </c>
      <c r="I1844" s="3">
        <v>1390.57</v>
      </c>
      <c r="J1844" s="3">
        <v>3079.45</v>
      </c>
      <c r="K1844" s="3">
        <v>1114.8499999999999</v>
      </c>
      <c r="L1844" s="2">
        <v>5834312</v>
      </c>
      <c r="M1844" s="2">
        <v>8113006686</v>
      </c>
      <c r="N1844" s="2">
        <v>156725</v>
      </c>
      <c r="O1844" t="s">
        <v>23</v>
      </c>
    </row>
    <row r="1845" spans="1:15" x14ac:dyDescent="0.3">
      <c r="A1845" s="1">
        <v>45874</v>
      </c>
      <c r="B1845" t="s">
        <v>15</v>
      </c>
      <c r="C1845" s="3">
        <v>1411</v>
      </c>
      <c r="D1845" s="3">
        <v>1411</v>
      </c>
      <c r="E1845" s="3">
        <v>1388.1</v>
      </c>
      <c r="F1845" s="3">
        <v>1411.5</v>
      </c>
      <c r="G1845" s="3">
        <v>1390</v>
      </c>
      <c r="H1845" s="3">
        <v>1391.7</v>
      </c>
      <c r="I1845" s="3">
        <v>1394.5</v>
      </c>
      <c r="J1845" s="3">
        <v>3079.45</v>
      </c>
      <c r="K1845" s="3">
        <v>1114.8499999999999</v>
      </c>
      <c r="L1845" s="2">
        <v>9315972</v>
      </c>
      <c r="M1845" s="2">
        <v>12991163046.799999</v>
      </c>
      <c r="N1845" s="2">
        <v>238858</v>
      </c>
      <c r="O1845" t="s">
        <v>23</v>
      </c>
    </row>
    <row r="1846" spans="1:15" x14ac:dyDescent="0.3">
      <c r="A1846" s="1">
        <v>45873</v>
      </c>
      <c r="B1846" t="s">
        <v>15</v>
      </c>
      <c r="C1846" s="3">
        <v>1395.1</v>
      </c>
      <c r="D1846" s="3">
        <v>1416.1</v>
      </c>
      <c r="E1846" s="3">
        <v>1391.7</v>
      </c>
      <c r="F1846" s="3">
        <v>1393.7</v>
      </c>
      <c r="G1846" s="3">
        <v>1410.2</v>
      </c>
      <c r="H1846" s="3">
        <v>1411.5</v>
      </c>
      <c r="I1846" s="3">
        <v>1410.61</v>
      </c>
      <c r="J1846" s="3">
        <v>3079.45</v>
      </c>
      <c r="K1846" s="3">
        <v>1114.8499999999999</v>
      </c>
      <c r="L1846" s="2">
        <v>6312820</v>
      </c>
      <c r="M1846" s="2">
        <v>8904907900.6000004</v>
      </c>
      <c r="N1846" s="2">
        <v>188246</v>
      </c>
      <c r="O1846" t="s">
        <v>23</v>
      </c>
    </row>
    <row r="1847" spans="1:15" x14ac:dyDescent="0.3">
      <c r="A1847" s="1">
        <v>45870</v>
      </c>
      <c r="B1847" t="s">
        <v>15</v>
      </c>
      <c r="C1847" s="3">
        <v>1386.9</v>
      </c>
      <c r="D1847" s="3">
        <v>1405.9</v>
      </c>
      <c r="E1847" s="3">
        <v>1384.3</v>
      </c>
      <c r="F1847" s="3">
        <v>1390.2</v>
      </c>
      <c r="G1847" s="3">
        <v>1394.1</v>
      </c>
      <c r="H1847" s="3">
        <v>1393.7</v>
      </c>
      <c r="I1847" s="3">
        <v>1397.47</v>
      </c>
      <c r="J1847" s="3">
        <v>3079.45</v>
      </c>
      <c r="K1847" s="3">
        <v>1114.8499999999999</v>
      </c>
      <c r="L1847" s="2">
        <v>10321171</v>
      </c>
      <c r="M1847" s="2">
        <v>14423488951.799999</v>
      </c>
      <c r="N1847" s="2">
        <v>208431</v>
      </c>
      <c r="O1847" t="s">
        <v>23</v>
      </c>
    </row>
    <row r="1848" spans="1:15" x14ac:dyDescent="0.3">
      <c r="A1848" s="1">
        <v>45869</v>
      </c>
      <c r="B1848" t="s">
        <v>15</v>
      </c>
      <c r="C1848" s="3">
        <v>1388.1</v>
      </c>
      <c r="D1848" s="3">
        <v>1402.6</v>
      </c>
      <c r="E1848" s="3">
        <v>1382.2</v>
      </c>
      <c r="F1848" s="3">
        <v>1410.1</v>
      </c>
      <c r="G1848" s="3">
        <v>1390</v>
      </c>
      <c r="H1848" s="3">
        <v>1390.2</v>
      </c>
      <c r="I1848" s="3">
        <v>1392.63</v>
      </c>
      <c r="J1848" s="3">
        <v>3079.45</v>
      </c>
      <c r="K1848" s="3">
        <v>1114.8499999999999</v>
      </c>
      <c r="L1848" s="2">
        <v>17065827</v>
      </c>
      <c r="M1848" s="2">
        <v>23766374015.299999</v>
      </c>
      <c r="N1848" s="2">
        <v>373516</v>
      </c>
      <c r="O1848" t="s">
        <v>23</v>
      </c>
    </row>
    <row r="1849" spans="1:15" x14ac:dyDescent="0.3">
      <c r="A1849" s="1">
        <v>45868</v>
      </c>
      <c r="B1849" t="s">
        <v>15</v>
      </c>
      <c r="C1849" s="3">
        <v>1418.1</v>
      </c>
      <c r="D1849" s="3">
        <v>1423.3</v>
      </c>
      <c r="E1849" s="3">
        <v>1401.3</v>
      </c>
      <c r="F1849" s="3">
        <v>1417.1</v>
      </c>
      <c r="G1849" s="3">
        <v>1409.7</v>
      </c>
      <c r="H1849" s="3">
        <v>1410.1</v>
      </c>
      <c r="I1849" s="3">
        <v>1411.5</v>
      </c>
      <c r="J1849" s="3">
        <v>3079.45</v>
      </c>
      <c r="K1849" s="3">
        <v>1114.8499999999999</v>
      </c>
      <c r="L1849" s="2">
        <v>7209849</v>
      </c>
      <c r="M1849" s="2">
        <v>10176719970.799999</v>
      </c>
      <c r="N1849" s="2">
        <v>167311</v>
      </c>
      <c r="O1849" t="s">
        <v>23</v>
      </c>
    </row>
    <row r="1850" spans="1:15" x14ac:dyDescent="0.3">
      <c r="A1850" s="1">
        <v>45867</v>
      </c>
      <c r="B1850" t="s">
        <v>15</v>
      </c>
      <c r="C1850" s="3">
        <v>1383</v>
      </c>
      <c r="D1850" s="3">
        <v>1420.2</v>
      </c>
      <c r="E1850" s="3">
        <v>1383</v>
      </c>
      <c r="F1850" s="3">
        <v>1387.6</v>
      </c>
      <c r="G1850" s="3">
        <v>1416.6</v>
      </c>
      <c r="H1850" s="3">
        <v>1417.1</v>
      </c>
      <c r="I1850" s="3">
        <v>1402.99</v>
      </c>
      <c r="J1850" s="3">
        <v>3079.45</v>
      </c>
      <c r="K1850" s="3">
        <v>1114.8499999999999</v>
      </c>
      <c r="L1850" s="2">
        <v>10750072</v>
      </c>
      <c r="M1850" s="2">
        <v>15082211933.299999</v>
      </c>
      <c r="N1850" s="2">
        <v>187813</v>
      </c>
      <c r="O1850" t="s">
        <v>23</v>
      </c>
    </row>
    <row r="1851" spans="1:15" x14ac:dyDescent="0.3">
      <c r="A1851" s="1">
        <v>45866</v>
      </c>
      <c r="B1851" t="s">
        <v>15</v>
      </c>
      <c r="C1851" s="3">
        <v>1392.3</v>
      </c>
      <c r="D1851" s="3">
        <v>1407.8</v>
      </c>
      <c r="E1851" s="3">
        <v>1385</v>
      </c>
      <c r="F1851" s="3">
        <v>1391.7</v>
      </c>
      <c r="G1851" s="3">
        <v>1387.1</v>
      </c>
      <c r="H1851" s="3">
        <v>1387.6</v>
      </c>
      <c r="I1851" s="3">
        <v>1394.17</v>
      </c>
      <c r="J1851" s="3">
        <v>3079.45</v>
      </c>
      <c r="K1851" s="3">
        <v>1114.8499999999999</v>
      </c>
      <c r="L1851" s="2">
        <v>7748361</v>
      </c>
      <c r="M1851" s="2">
        <v>10802552328.1</v>
      </c>
      <c r="N1851" s="2">
        <v>198421</v>
      </c>
      <c r="O1851" t="s">
        <v>23</v>
      </c>
    </row>
    <row r="1852" spans="1:15" x14ac:dyDescent="0.3">
      <c r="A1852" s="1">
        <v>45863</v>
      </c>
      <c r="B1852" t="s">
        <v>15</v>
      </c>
      <c r="C1852" s="3">
        <v>1398.9</v>
      </c>
      <c r="D1852" s="3">
        <v>1401</v>
      </c>
      <c r="E1852" s="3">
        <v>1384.1</v>
      </c>
      <c r="F1852" s="3">
        <v>1402.9</v>
      </c>
      <c r="G1852" s="3">
        <v>1392.4</v>
      </c>
      <c r="H1852" s="3">
        <v>1391.7</v>
      </c>
      <c r="I1852" s="3">
        <v>1394.22</v>
      </c>
      <c r="J1852" s="3">
        <v>3079.45</v>
      </c>
      <c r="K1852" s="3">
        <v>1114.8499999999999</v>
      </c>
      <c r="L1852" s="2">
        <v>11854722</v>
      </c>
      <c r="M1852" s="2">
        <v>16528044233.5</v>
      </c>
      <c r="N1852" s="2">
        <v>237018</v>
      </c>
      <c r="O1852" t="s">
        <v>23</v>
      </c>
    </row>
    <row r="1853" spans="1:15" x14ac:dyDescent="0.3">
      <c r="A1853" s="1">
        <v>45862</v>
      </c>
      <c r="B1853" t="s">
        <v>15</v>
      </c>
      <c r="C1853" s="3">
        <v>1419.2</v>
      </c>
      <c r="D1853" s="3">
        <v>1423</v>
      </c>
      <c r="E1853" s="3">
        <v>1396</v>
      </c>
      <c r="F1853" s="3">
        <v>1424.6</v>
      </c>
      <c r="G1853" s="3">
        <v>1402.8</v>
      </c>
      <c r="H1853" s="3">
        <v>1402.9</v>
      </c>
      <c r="I1853" s="3">
        <v>1407.06</v>
      </c>
      <c r="J1853" s="3">
        <v>3079.45</v>
      </c>
      <c r="K1853" s="3">
        <v>1114.8499999999999</v>
      </c>
      <c r="L1853" s="2">
        <v>14740507</v>
      </c>
      <c r="M1853" s="2">
        <v>20740788758.299999</v>
      </c>
      <c r="N1853" s="2">
        <v>314670</v>
      </c>
      <c r="O1853" t="s">
        <v>23</v>
      </c>
    </row>
    <row r="1854" spans="1:15" x14ac:dyDescent="0.3">
      <c r="A1854" s="1">
        <v>45861</v>
      </c>
      <c r="B1854" t="s">
        <v>15</v>
      </c>
      <c r="C1854" s="3">
        <v>1426</v>
      </c>
      <c r="D1854" s="3">
        <v>1426</v>
      </c>
      <c r="E1854" s="3">
        <v>1414.4</v>
      </c>
      <c r="F1854" s="3">
        <v>1412.8</v>
      </c>
      <c r="G1854" s="3">
        <v>1425</v>
      </c>
      <c r="H1854" s="3">
        <v>1424.6</v>
      </c>
      <c r="I1854" s="3">
        <v>1421.41</v>
      </c>
      <c r="J1854" s="3">
        <v>3079.45</v>
      </c>
      <c r="K1854" s="3">
        <v>1114.8499999999999</v>
      </c>
      <c r="L1854" s="2">
        <v>8354596</v>
      </c>
      <c r="M1854" s="2">
        <v>11875315134.700001</v>
      </c>
      <c r="N1854" s="2">
        <v>225103</v>
      </c>
      <c r="O1854" t="s">
        <v>23</v>
      </c>
    </row>
    <row r="1855" spans="1:15" x14ac:dyDescent="0.3">
      <c r="A1855" s="1">
        <v>45860</v>
      </c>
      <c r="B1855" t="s">
        <v>15</v>
      </c>
      <c r="C1855" s="3">
        <v>1427.4</v>
      </c>
      <c r="D1855" s="3">
        <v>1431.9</v>
      </c>
      <c r="E1855" s="3">
        <v>1410.7</v>
      </c>
      <c r="F1855" s="3">
        <v>1428.6</v>
      </c>
      <c r="G1855" s="3">
        <v>1413.8</v>
      </c>
      <c r="H1855" s="3">
        <v>1412.8</v>
      </c>
      <c r="I1855" s="3">
        <v>1417.05</v>
      </c>
      <c r="J1855" s="3">
        <v>3079.45</v>
      </c>
      <c r="K1855" s="3">
        <v>1114.8499999999999</v>
      </c>
      <c r="L1855" s="2">
        <v>20396320</v>
      </c>
      <c r="M1855" s="2">
        <v>28902700383.400002</v>
      </c>
      <c r="N1855" s="2">
        <v>504145</v>
      </c>
      <c r="O1855" t="s">
        <v>23</v>
      </c>
    </row>
    <row r="1856" spans="1:15" x14ac:dyDescent="0.3">
      <c r="A1856" s="1">
        <v>45859</v>
      </c>
      <c r="B1856" t="s">
        <v>15</v>
      </c>
      <c r="C1856" s="3">
        <v>1465</v>
      </c>
      <c r="D1856" s="3">
        <v>1476</v>
      </c>
      <c r="E1856" s="3">
        <v>1423.1</v>
      </c>
      <c r="F1856" s="3">
        <v>1476</v>
      </c>
      <c r="G1856" s="3">
        <v>1428.2</v>
      </c>
      <c r="H1856" s="3">
        <v>1428.6</v>
      </c>
      <c r="I1856" s="3">
        <v>1435.24</v>
      </c>
      <c r="J1856" s="3">
        <v>3079.45</v>
      </c>
      <c r="K1856" s="3">
        <v>1114.8499999999999</v>
      </c>
      <c r="L1856" s="2">
        <v>22442744</v>
      </c>
      <c r="M1856" s="2">
        <v>32210751693.5</v>
      </c>
      <c r="N1856" s="2">
        <v>630358</v>
      </c>
      <c r="O1856" t="s">
        <v>23</v>
      </c>
    </row>
    <row r="1857" spans="1:15" x14ac:dyDescent="0.3">
      <c r="A1857" s="1">
        <v>45856</v>
      </c>
      <c r="B1857" t="s">
        <v>15</v>
      </c>
      <c r="C1857" s="3">
        <v>1484.8</v>
      </c>
      <c r="D1857" s="3">
        <v>1484.8</v>
      </c>
      <c r="E1857" s="3">
        <v>1469.1</v>
      </c>
      <c r="F1857" s="3">
        <v>1476.4</v>
      </c>
      <c r="G1857" s="3">
        <v>1476</v>
      </c>
      <c r="H1857" s="3">
        <v>1476</v>
      </c>
      <c r="I1857" s="3">
        <v>1475.2</v>
      </c>
      <c r="J1857" s="3">
        <v>3211.7</v>
      </c>
      <c r="K1857" s="3">
        <v>1114.8499999999999</v>
      </c>
      <c r="L1857" s="2">
        <v>10296318</v>
      </c>
      <c r="M1857" s="2">
        <v>15189104342</v>
      </c>
      <c r="N1857" s="2">
        <v>222241</v>
      </c>
      <c r="O1857" t="s">
        <v>23</v>
      </c>
    </row>
    <row r="1858" spans="1:15" x14ac:dyDescent="0.3">
      <c r="A1858" s="1">
        <v>45855</v>
      </c>
      <c r="B1858" t="s">
        <v>15</v>
      </c>
      <c r="C1858" s="3">
        <v>1487.4</v>
      </c>
      <c r="D1858" s="3">
        <v>1489.6</v>
      </c>
      <c r="E1858" s="3">
        <v>1473.9</v>
      </c>
      <c r="F1858" s="3">
        <v>1485.6</v>
      </c>
      <c r="G1858" s="3">
        <v>1478.7</v>
      </c>
      <c r="H1858" s="3">
        <v>1476.4</v>
      </c>
      <c r="I1858" s="3">
        <v>1479.78</v>
      </c>
      <c r="J1858" s="3">
        <v>3211.7</v>
      </c>
      <c r="K1858" s="3">
        <v>1114.8499999999999</v>
      </c>
      <c r="L1858" s="2">
        <v>11854613</v>
      </c>
      <c r="M1858" s="2">
        <v>17542205685.799999</v>
      </c>
      <c r="N1858" s="2">
        <v>189733</v>
      </c>
      <c r="O1858" t="s">
        <v>23</v>
      </c>
    </row>
    <row r="1859" spans="1:15" x14ac:dyDescent="0.3">
      <c r="A1859" s="1">
        <v>45854</v>
      </c>
      <c r="B1859" t="s">
        <v>15</v>
      </c>
      <c r="C1859" s="3">
        <v>1473</v>
      </c>
      <c r="D1859" s="3">
        <v>1491</v>
      </c>
      <c r="E1859" s="3">
        <v>1471.5</v>
      </c>
      <c r="F1859" s="3">
        <v>1485.4</v>
      </c>
      <c r="G1859" s="3">
        <v>1486.2</v>
      </c>
      <c r="H1859" s="3">
        <v>1485.6</v>
      </c>
      <c r="I1859" s="3">
        <v>1481.43</v>
      </c>
      <c r="J1859" s="3">
        <v>3211.7</v>
      </c>
      <c r="K1859" s="3">
        <v>1114.8499999999999</v>
      </c>
      <c r="L1859" s="2">
        <v>10409983</v>
      </c>
      <c r="M1859" s="2">
        <v>15421636574.6</v>
      </c>
      <c r="N1859" s="2">
        <v>191598</v>
      </c>
      <c r="O1859" t="s">
        <v>23</v>
      </c>
    </row>
    <row r="1860" spans="1:15" x14ac:dyDescent="0.3">
      <c r="A1860" s="1">
        <v>45853</v>
      </c>
      <c r="B1860" t="s">
        <v>15</v>
      </c>
      <c r="C1860" s="3">
        <v>1486.2</v>
      </c>
      <c r="D1860" s="3">
        <v>1496.5</v>
      </c>
      <c r="E1860" s="3">
        <v>1482.4</v>
      </c>
      <c r="F1860" s="3">
        <v>1483.7</v>
      </c>
      <c r="G1860" s="3">
        <v>1488.5</v>
      </c>
      <c r="H1860" s="3">
        <v>1485.4</v>
      </c>
      <c r="I1860" s="3">
        <v>1487.92</v>
      </c>
      <c r="J1860" s="3">
        <v>3211.7</v>
      </c>
      <c r="K1860" s="3">
        <v>1114.8499999999999</v>
      </c>
      <c r="L1860" s="2">
        <v>8132454</v>
      </c>
      <c r="M1860" s="2">
        <v>12100448372.9</v>
      </c>
      <c r="N1860" s="2">
        <v>173756</v>
      </c>
      <c r="O1860" t="s">
        <v>23</v>
      </c>
    </row>
    <row r="1861" spans="1:15" x14ac:dyDescent="0.3">
      <c r="A1861" s="1">
        <v>45852</v>
      </c>
      <c r="B1861" t="s">
        <v>15</v>
      </c>
      <c r="C1861" s="3">
        <v>1492.2</v>
      </c>
      <c r="D1861" s="3">
        <v>1500</v>
      </c>
      <c r="E1861" s="3">
        <v>1479.1</v>
      </c>
      <c r="F1861" s="3">
        <v>1495.2</v>
      </c>
      <c r="G1861" s="3">
        <v>1486.4</v>
      </c>
      <c r="H1861" s="3">
        <v>1483.7</v>
      </c>
      <c r="I1861" s="3">
        <v>1487.76</v>
      </c>
      <c r="J1861" s="3">
        <v>3211.7</v>
      </c>
      <c r="K1861" s="3">
        <v>1114.8499999999999</v>
      </c>
      <c r="L1861" s="2">
        <v>10311846</v>
      </c>
      <c r="M1861" s="2">
        <v>15341529534.700001</v>
      </c>
      <c r="N1861" s="2">
        <v>186122</v>
      </c>
      <c r="O1861" t="s">
        <v>23</v>
      </c>
    </row>
    <row r="1862" spans="1:15" x14ac:dyDescent="0.3">
      <c r="A1862" s="1">
        <v>45849</v>
      </c>
      <c r="B1862" t="s">
        <v>15</v>
      </c>
      <c r="C1862" s="3">
        <v>1512</v>
      </c>
      <c r="D1862" s="3">
        <v>1515</v>
      </c>
      <c r="E1862" s="3">
        <v>1490.3</v>
      </c>
      <c r="F1862" s="3">
        <v>1517.2</v>
      </c>
      <c r="G1862" s="3">
        <v>1495</v>
      </c>
      <c r="H1862" s="3">
        <v>1495.2</v>
      </c>
      <c r="I1862" s="3">
        <v>1496.06</v>
      </c>
      <c r="J1862" s="3">
        <v>3217.6</v>
      </c>
      <c r="K1862" s="3">
        <v>1114.8499999999999</v>
      </c>
      <c r="L1862" s="2">
        <v>7234991</v>
      </c>
      <c r="M1862" s="2">
        <v>10823982872.200001</v>
      </c>
      <c r="N1862" s="2">
        <v>178490</v>
      </c>
      <c r="O1862" t="s">
        <v>23</v>
      </c>
    </row>
    <row r="1863" spans="1:15" x14ac:dyDescent="0.3">
      <c r="A1863" s="1">
        <v>45848</v>
      </c>
      <c r="B1863" t="s">
        <v>15</v>
      </c>
      <c r="C1863" s="3">
        <v>1519.7</v>
      </c>
      <c r="D1863" s="3">
        <v>1524.7</v>
      </c>
      <c r="E1863" s="3">
        <v>1507.5</v>
      </c>
      <c r="F1863" s="3">
        <v>1519</v>
      </c>
      <c r="G1863" s="3">
        <v>1515.2</v>
      </c>
      <c r="H1863" s="3">
        <v>1517.2</v>
      </c>
      <c r="I1863" s="3">
        <v>1516.2</v>
      </c>
      <c r="J1863" s="3">
        <v>3217.6</v>
      </c>
      <c r="K1863" s="3">
        <v>1114.8499999999999</v>
      </c>
      <c r="L1863" s="2">
        <v>10047129</v>
      </c>
      <c r="M1863" s="2">
        <v>15233458376.4</v>
      </c>
      <c r="N1863" s="2">
        <v>289035</v>
      </c>
      <c r="O1863" t="s">
        <v>23</v>
      </c>
    </row>
    <row r="1864" spans="1:15" x14ac:dyDescent="0.3">
      <c r="A1864" s="1">
        <v>45847</v>
      </c>
      <c r="B1864" t="s">
        <v>15</v>
      </c>
      <c r="C1864" s="3">
        <v>1536.7</v>
      </c>
      <c r="D1864" s="3">
        <v>1551</v>
      </c>
      <c r="E1864" s="3">
        <v>1510.1</v>
      </c>
      <c r="F1864" s="3">
        <v>1537.6</v>
      </c>
      <c r="G1864" s="3">
        <v>1520.5</v>
      </c>
      <c r="H1864" s="3">
        <v>1519</v>
      </c>
      <c r="I1864" s="3">
        <v>1532.97</v>
      </c>
      <c r="J1864" s="3">
        <v>3217.6</v>
      </c>
      <c r="K1864" s="3">
        <v>1114.8499999999999</v>
      </c>
      <c r="L1864" s="2">
        <v>8870660</v>
      </c>
      <c r="M1864" s="2">
        <v>13598441338.6</v>
      </c>
      <c r="N1864" s="2">
        <v>254524</v>
      </c>
      <c r="O1864" t="s">
        <v>23</v>
      </c>
    </row>
    <row r="1865" spans="1:15" x14ac:dyDescent="0.3">
      <c r="A1865" s="1">
        <v>45846</v>
      </c>
      <c r="B1865" t="s">
        <v>15</v>
      </c>
      <c r="C1865" s="3">
        <v>1536</v>
      </c>
      <c r="D1865" s="3">
        <v>1544.9</v>
      </c>
      <c r="E1865" s="3">
        <v>1530.2</v>
      </c>
      <c r="F1865" s="3">
        <v>1541.5</v>
      </c>
      <c r="G1865" s="3">
        <v>1538</v>
      </c>
      <c r="H1865" s="3">
        <v>1537.6</v>
      </c>
      <c r="I1865" s="3">
        <v>1536.23</v>
      </c>
      <c r="J1865" s="3">
        <v>3217.6</v>
      </c>
      <c r="K1865" s="3">
        <v>1114.8499999999999</v>
      </c>
      <c r="L1865" s="2">
        <v>7171261</v>
      </c>
      <c r="M1865" s="2">
        <v>11016684351.6</v>
      </c>
      <c r="N1865" s="2">
        <v>191265</v>
      </c>
      <c r="O1865" t="s">
        <v>23</v>
      </c>
    </row>
    <row r="1866" spans="1:15" x14ac:dyDescent="0.3">
      <c r="A1866" s="1">
        <v>45845</v>
      </c>
      <c r="B1866" t="s">
        <v>15</v>
      </c>
      <c r="C1866" s="3">
        <v>1526.6</v>
      </c>
      <c r="D1866" s="3">
        <v>1544.8</v>
      </c>
      <c r="E1866" s="3">
        <v>1525</v>
      </c>
      <c r="F1866" s="3">
        <v>1527.3</v>
      </c>
      <c r="G1866" s="3">
        <v>1540.5</v>
      </c>
      <c r="H1866" s="3">
        <v>1541.5</v>
      </c>
      <c r="I1866" s="3">
        <v>1539.06</v>
      </c>
      <c r="J1866" s="3">
        <v>3217.6</v>
      </c>
      <c r="K1866" s="3">
        <v>1114.8499999999999</v>
      </c>
      <c r="L1866" s="2">
        <v>7251074</v>
      </c>
      <c r="M1866" s="2">
        <v>11159858745.5</v>
      </c>
      <c r="N1866" s="2">
        <v>205134</v>
      </c>
      <c r="O1866" t="s">
        <v>23</v>
      </c>
    </row>
    <row r="1867" spans="1:15" x14ac:dyDescent="0.3">
      <c r="A1867" s="1">
        <v>45842</v>
      </c>
      <c r="B1867" t="s">
        <v>15</v>
      </c>
      <c r="C1867" s="3">
        <v>1524</v>
      </c>
      <c r="D1867" s="3">
        <v>1530</v>
      </c>
      <c r="E1867" s="3">
        <v>1517.2</v>
      </c>
      <c r="F1867" s="3">
        <v>1517.8</v>
      </c>
      <c r="G1867" s="3">
        <v>1528.1</v>
      </c>
      <c r="H1867" s="3">
        <v>1527.3</v>
      </c>
      <c r="I1867" s="3">
        <v>1523.57</v>
      </c>
      <c r="J1867" s="3">
        <v>3217.6</v>
      </c>
      <c r="K1867" s="3">
        <v>1114.8499999999999</v>
      </c>
      <c r="L1867" s="2">
        <v>6603501</v>
      </c>
      <c r="M1867" s="2">
        <v>10060908691</v>
      </c>
      <c r="N1867" s="2">
        <v>167255</v>
      </c>
      <c r="O1867" t="s">
        <v>23</v>
      </c>
    </row>
    <row r="1868" spans="1:15" x14ac:dyDescent="0.3">
      <c r="A1868" s="1">
        <v>45841</v>
      </c>
      <c r="B1868" t="s">
        <v>15</v>
      </c>
      <c r="C1868" s="3">
        <v>1520.8</v>
      </c>
      <c r="D1868" s="3">
        <v>1531.9</v>
      </c>
      <c r="E1868" s="3">
        <v>1513</v>
      </c>
      <c r="F1868" s="3">
        <v>1518.8</v>
      </c>
      <c r="G1868" s="3">
        <v>1515</v>
      </c>
      <c r="H1868" s="3">
        <v>1517.8</v>
      </c>
      <c r="I1868" s="3">
        <v>1520.57</v>
      </c>
      <c r="J1868" s="3">
        <v>3217.6</v>
      </c>
      <c r="K1868" s="3">
        <v>1114.8499999999999</v>
      </c>
      <c r="L1868" s="2">
        <v>11283291</v>
      </c>
      <c r="M1868" s="2">
        <v>17156979936.799999</v>
      </c>
      <c r="N1868" s="2">
        <v>258008</v>
      </c>
      <c r="O1868" t="s">
        <v>23</v>
      </c>
    </row>
    <row r="1869" spans="1:15" x14ac:dyDescent="0.3">
      <c r="A1869" s="1">
        <v>45840</v>
      </c>
      <c r="B1869" t="s">
        <v>15</v>
      </c>
      <c r="C1869" s="3">
        <v>1528.4</v>
      </c>
      <c r="D1869" s="3">
        <v>1530</v>
      </c>
      <c r="E1869" s="3">
        <v>1508.7</v>
      </c>
      <c r="F1869" s="3">
        <v>1528.4</v>
      </c>
      <c r="G1869" s="3">
        <v>1517.1</v>
      </c>
      <c r="H1869" s="3">
        <v>1518.8</v>
      </c>
      <c r="I1869" s="3">
        <v>1518.29</v>
      </c>
      <c r="J1869" s="3">
        <v>3217.6</v>
      </c>
      <c r="K1869" s="3">
        <v>1114.8499999999999</v>
      </c>
      <c r="L1869" s="2">
        <v>6361002</v>
      </c>
      <c r="M1869" s="2">
        <v>9657844399.3999996</v>
      </c>
      <c r="N1869" s="2">
        <v>183873</v>
      </c>
      <c r="O1869" t="s">
        <v>23</v>
      </c>
    </row>
    <row r="1870" spans="1:15" x14ac:dyDescent="0.3">
      <c r="A1870" s="1">
        <v>45839</v>
      </c>
      <c r="B1870" t="s">
        <v>15</v>
      </c>
      <c r="C1870" s="3">
        <v>1500.6</v>
      </c>
      <c r="D1870" s="3">
        <v>1531.4</v>
      </c>
      <c r="E1870" s="3">
        <v>1500.1</v>
      </c>
      <c r="F1870" s="3">
        <v>1500.6</v>
      </c>
      <c r="G1870" s="3">
        <v>1526.8</v>
      </c>
      <c r="H1870" s="3">
        <v>1528.4</v>
      </c>
      <c r="I1870" s="3">
        <v>1522.95</v>
      </c>
      <c r="J1870" s="3">
        <v>3217.6</v>
      </c>
      <c r="K1870" s="3">
        <v>1114.8499999999999</v>
      </c>
      <c r="L1870" s="2">
        <v>10368523</v>
      </c>
      <c r="M1870" s="2">
        <v>15790750945.4</v>
      </c>
      <c r="N1870" s="2">
        <v>232573</v>
      </c>
      <c r="O1870" t="s">
        <v>23</v>
      </c>
    </row>
    <row r="1871" spans="1:15" x14ac:dyDescent="0.3">
      <c r="A1871" s="1">
        <v>45838</v>
      </c>
      <c r="B1871" t="s">
        <v>15</v>
      </c>
      <c r="C1871" s="3">
        <v>1513.8</v>
      </c>
      <c r="D1871" s="3">
        <v>1524.8</v>
      </c>
      <c r="E1871" s="3">
        <v>1496</v>
      </c>
      <c r="F1871" s="3">
        <v>1515.4</v>
      </c>
      <c r="G1871" s="3">
        <v>1499.9</v>
      </c>
      <c r="H1871" s="3">
        <v>1500.6</v>
      </c>
      <c r="I1871" s="3">
        <v>1509.28</v>
      </c>
      <c r="J1871" s="3">
        <v>3217.6</v>
      </c>
      <c r="K1871" s="3">
        <v>1114.8499999999999</v>
      </c>
      <c r="L1871" s="2">
        <v>8409527</v>
      </c>
      <c r="M1871" s="2">
        <v>12692329820.1</v>
      </c>
      <c r="N1871" s="2">
        <v>242195</v>
      </c>
      <c r="O1871" t="s">
        <v>23</v>
      </c>
    </row>
    <row r="1872" spans="1:15" x14ac:dyDescent="0.3">
      <c r="A1872" s="1">
        <v>45835</v>
      </c>
      <c r="B1872" t="s">
        <v>15</v>
      </c>
      <c r="C1872" s="3">
        <v>1499.4</v>
      </c>
      <c r="D1872" s="3">
        <v>1522</v>
      </c>
      <c r="E1872" s="3">
        <v>1496.9</v>
      </c>
      <c r="F1872" s="3">
        <v>1495.3</v>
      </c>
      <c r="G1872" s="3">
        <v>1514</v>
      </c>
      <c r="H1872" s="3">
        <v>1515.4</v>
      </c>
      <c r="I1872" s="3">
        <v>1511.99</v>
      </c>
      <c r="J1872" s="3">
        <v>3217.6</v>
      </c>
      <c r="K1872" s="3">
        <v>1114.8499999999999</v>
      </c>
      <c r="L1872" s="2">
        <v>11117052</v>
      </c>
      <c r="M1872" s="2">
        <v>16808908375.4</v>
      </c>
      <c r="N1872" s="2">
        <v>269877</v>
      </c>
      <c r="O1872" t="s">
        <v>23</v>
      </c>
    </row>
    <row r="1873" spans="1:15" x14ac:dyDescent="0.3">
      <c r="A1873" s="1">
        <v>45834</v>
      </c>
      <c r="B1873" t="s">
        <v>15</v>
      </c>
      <c r="C1873" s="3">
        <v>1469.1</v>
      </c>
      <c r="D1873" s="3">
        <v>1498.8</v>
      </c>
      <c r="E1873" s="3">
        <v>1465.1</v>
      </c>
      <c r="F1873" s="3">
        <v>1467.3</v>
      </c>
      <c r="G1873" s="3">
        <v>1495.3</v>
      </c>
      <c r="H1873" s="3">
        <v>1495.3</v>
      </c>
      <c r="I1873" s="3">
        <v>1488.16</v>
      </c>
      <c r="J1873" s="3">
        <v>3217.6</v>
      </c>
      <c r="K1873" s="3">
        <v>1114.8499999999999</v>
      </c>
      <c r="L1873" s="2">
        <v>14657893</v>
      </c>
      <c r="M1873" s="2">
        <v>21813325246.099998</v>
      </c>
      <c r="N1873" s="2">
        <v>247215</v>
      </c>
      <c r="O1873" t="s">
        <v>23</v>
      </c>
    </row>
    <row r="1874" spans="1:15" x14ac:dyDescent="0.3">
      <c r="A1874" s="1">
        <v>45833</v>
      </c>
      <c r="B1874" t="s">
        <v>15</v>
      </c>
      <c r="C1874" s="3">
        <v>1464</v>
      </c>
      <c r="D1874" s="3">
        <v>1472.4</v>
      </c>
      <c r="E1874" s="3">
        <v>1460.5</v>
      </c>
      <c r="F1874" s="3">
        <v>1450.8</v>
      </c>
      <c r="G1874" s="3">
        <v>1467.6</v>
      </c>
      <c r="H1874" s="3">
        <v>1467.3</v>
      </c>
      <c r="I1874" s="3">
        <v>1467.46</v>
      </c>
      <c r="J1874" s="3">
        <v>3217.6</v>
      </c>
      <c r="K1874" s="3">
        <v>1114.8499999999999</v>
      </c>
      <c r="L1874" s="2">
        <v>7525851</v>
      </c>
      <c r="M1874" s="2">
        <v>11043861535.4</v>
      </c>
      <c r="N1874" s="2">
        <v>197720</v>
      </c>
      <c r="O1874" t="s">
        <v>23</v>
      </c>
    </row>
    <row r="1875" spans="1:15" x14ac:dyDescent="0.3">
      <c r="A1875" s="1">
        <v>45832</v>
      </c>
      <c r="B1875" t="s">
        <v>15</v>
      </c>
      <c r="C1875" s="3">
        <v>1465</v>
      </c>
      <c r="D1875" s="3">
        <v>1475</v>
      </c>
      <c r="E1875" s="3">
        <v>1443.1</v>
      </c>
      <c r="F1875" s="3">
        <v>1456.8</v>
      </c>
      <c r="G1875" s="3">
        <v>1456.8</v>
      </c>
      <c r="H1875" s="3">
        <v>1450.8</v>
      </c>
      <c r="I1875" s="3">
        <v>1456.68</v>
      </c>
      <c r="J1875" s="3">
        <v>3217.6</v>
      </c>
      <c r="K1875" s="3">
        <v>1114.8499999999999</v>
      </c>
      <c r="L1875" s="2">
        <v>16402744</v>
      </c>
      <c r="M1875" s="2">
        <v>23893522923.200001</v>
      </c>
      <c r="N1875" s="2">
        <v>284313</v>
      </c>
      <c r="O1875" t="s">
        <v>23</v>
      </c>
    </row>
    <row r="1876" spans="1:15" x14ac:dyDescent="0.3">
      <c r="A1876" s="1">
        <v>45831</v>
      </c>
      <c r="B1876" t="s">
        <v>15</v>
      </c>
      <c r="C1876" s="3">
        <v>1453</v>
      </c>
      <c r="D1876" s="3">
        <v>1463.8</v>
      </c>
      <c r="E1876" s="3">
        <v>1442</v>
      </c>
      <c r="F1876" s="3">
        <v>1466.2</v>
      </c>
      <c r="G1876" s="3">
        <v>1456</v>
      </c>
      <c r="H1876" s="3">
        <v>1456.8</v>
      </c>
      <c r="I1876" s="3">
        <v>1453.48</v>
      </c>
      <c r="J1876" s="3">
        <v>3217.6</v>
      </c>
      <c r="K1876" s="3">
        <v>1114.8499999999999</v>
      </c>
      <c r="L1876" s="2">
        <v>5989078</v>
      </c>
      <c r="M1876" s="2">
        <v>8705005211.5</v>
      </c>
      <c r="N1876" s="2">
        <v>226309</v>
      </c>
      <c r="O1876" t="s">
        <v>23</v>
      </c>
    </row>
    <row r="1877" spans="1:15" x14ac:dyDescent="0.3">
      <c r="A1877" s="1">
        <v>45828</v>
      </c>
      <c r="B1877" t="s">
        <v>15</v>
      </c>
      <c r="C1877" s="3">
        <v>1431</v>
      </c>
      <c r="D1877" s="3">
        <v>1471</v>
      </c>
      <c r="E1877" s="3">
        <v>1428.1</v>
      </c>
      <c r="F1877" s="3">
        <v>1433.3</v>
      </c>
      <c r="G1877" s="3">
        <v>1464.1</v>
      </c>
      <c r="H1877" s="3">
        <v>1466.2</v>
      </c>
      <c r="I1877" s="3">
        <v>1462.68</v>
      </c>
      <c r="J1877" s="3">
        <v>3217.6</v>
      </c>
      <c r="K1877" s="3">
        <v>1114.8499999999999</v>
      </c>
      <c r="L1877" s="2">
        <v>29010635</v>
      </c>
      <c r="M1877" s="2">
        <v>42433300495.599998</v>
      </c>
      <c r="N1877" s="2">
        <v>276278</v>
      </c>
      <c r="O1877" t="s">
        <v>23</v>
      </c>
    </row>
    <row r="1878" spans="1:15" x14ac:dyDescent="0.3">
      <c r="A1878" s="1">
        <v>45827</v>
      </c>
      <c r="B1878" t="s">
        <v>15</v>
      </c>
      <c r="C1878" s="3">
        <v>1430.1</v>
      </c>
      <c r="D1878" s="3">
        <v>1439.9</v>
      </c>
      <c r="E1878" s="3">
        <v>1425.7</v>
      </c>
      <c r="F1878" s="3">
        <v>1430.1</v>
      </c>
      <c r="G1878" s="3">
        <v>1428</v>
      </c>
      <c r="H1878" s="3">
        <v>1433.3</v>
      </c>
      <c r="I1878" s="3">
        <v>1433.8</v>
      </c>
      <c r="J1878" s="3">
        <v>3217.6</v>
      </c>
      <c r="K1878" s="3">
        <v>1114.8499999999999</v>
      </c>
      <c r="L1878" s="2">
        <v>10007230</v>
      </c>
      <c r="M1878" s="2">
        <v>14348370217.6</v>
      </c>
      <c r="N1878" s="2">
        <v>179473</v>
      </c>
      <c r="O1878" t="s">
        <v>23</v>
      </c>
    </row>
    <row r="1879" spans="1:15" x14ac:dyDescent="0.3">
      <c r="A1879" s="1">
        <v>45826</v>
      </c>
      <c r="B1879" t="s">
        <v>15</v>
      </c>
      <c r="C1879" s="3">
        <v>1430</v>
      </c>
      <c r="D1879" s="3">
        <v>1442.8</v>
      </c>
      <c r="E1879" s="3">
        <v>1425.7</v>
      </c>
      <c r="F1879" s="3">
        <v>1431.2</v>
      </c>
      <c r="G1879" s="3">
        <v>1429.7</v>
      </c>
      <c r="H1879" s="3">
        <v>1430.1</v>
      </c>
      <c r="I1879" s="3">
        <v>1431.31</v>
      </c>
      <c r="J1879" s="3">
        <v>3217.6</v>
      </c>
      <c r="K1879" s="3">
        <v>1114.8499999999999</v>
      </c>
      <c r="L1879" s="2">
        <v>6681735</v>
      </c>
      <c r="M1879" s="2">
        <v>9563629434</v>
      </c>
      <c r="N1879" s="2">
        <v>138211</v>
      </c>
      <c r="O1879" t="s">
        <v>23</v>
      </c>
    </row>
    <row r="1880" spans="1:15" x14ac:dyDescent="0.3">
      <c r="A1880" s="1">
        <v>45825</v>
      </c>
      <c r="B1880" t="s">
        <v>15</v>
      </c>
      <c r="C1880" s="3">
        <v>1448</v>
      </c>
      <c r="D1880" s="3">
        <v>1448</v>
      </c>
      <c r="E1880" s="3">
        <v>1425.8</v>
      </c>
      <c r="F1880" s="3">
        <v>1437.8</v>
      </c>
      <c r="G1880" s="3">
        <v>1430</v>
      </c>
      <c r="H1880" s="3">
        <v>1431.2</v>
      </c>
      <c r="I1880" s="3">
        <v>1432.15</v>
      </c>
      <c r="J1880" s="3">
        <v>3217.6</v>
      </c>
      <c r="K1880" s="3">
        <v>1114.8499999999999</v>
      </c>
      <c r="L1880" s="2">
        <v>10366599</v>
      </c>
      <c r="M1880" s="2">
        <v>14846517402.4</v>
      </c>
      <c r="N1880" s="2">
        <v>191173</v>
      </c>
      <c r="O1880" t="s">
        <v>23</v>
      </c>
    </row>
    <row r="1881" spans="1:15" x14ac:dyDescent="0.3">
      <c r="A1881" s="1">
        <v>45824</v>
      </c>
      <c r="B1881" t="s">
        <v>15</v>
      </c>
      <c r="C1881" s="3">
        <v>1426.9</v>
      </c>
      <c r="D1881" s="3">
        <v>1442.4</v>
      </c>
      <c r="E1881" s="3">
        <v>1424.4</v>
      </c>
      <c r="F1881" s="3">
        <v>1427.9</v>
      </c>
      <c r="G1881" s="3">
        <v>1436.9</v>
      </c>
      <c r="H1881" s="3">
        <v>1437.8</v>
      </c>
      <c r="I1881" s="3">
        <v>1436.42</v>
      </c>
      <c r="J1881" s="3">
        <v>3217.6</v>
      </c>
      <c r="K1881" s="3">
        <v>1114.8499999999999</v>
      </c>
      <c r="L1881" s="2">
        <v>8458093</v>
      </c>
      <c r="M1881" s="2">
        <v>12149412490.700001</v>
      </c>
      <c r="N1881" s="2">
        <v>213623</v>
      </c>
      <c r="O1881" t="s">
        <v>23</v>
      </c>
    </row>
    <row r="1882" spans="1:15" x14ac:dyDescent="0.3">
      <c r="A1882" s="1">
        <v>45821</v>
      </c>
      <c r="B1882" t="s">
        <v>15</v>
      </c>
      <c r="C1882" s="3">
        <v>1424</v>
      </c>
      <c r="D1882" s="3">
        <v>1435.5</v>
      </c>
      <c r="E1882" s="3">
        <v>1414.3</v>
      </c>
      <c r="F1882" s="3">
        <v>1441.6</v>
      </c>
      <c r="G1882" s="3">
        <v>1427.5</v>
      </c>
      <c r="H1882" s="3">
        <v>1427.9</v>
      </c>
      <c r="I1882" s="3">
        <v>1423.95</v>
      </c>
      <c r="J1882" s="3">
        <v>3217.6</v>
      </c>
      <c r="K1882" s="3">
        <v>1114.8499999999999</v>
      </c>
      <c r="L1882" s="2">
        <v>9757276</v>
      </c>
      <c r="M1882" s="2">
        <v>13893905321.299999</v>
      </c>
      <c r="N1882" s="2">
        <v>202256</v>
      </c>
      <c r="O1882" t="s">
        <v>23</v>
      </c>
    </row>
    <row r="1883" spans="1:15" x14ac:dyDescent="0.3">
      <c r="A1883" s="1">
        <v>45820</v>
      </c>
      <c r="B1883" t="s">
        <v>15</v>
      </c>
      <c r="C1883" s="3">
        <v>1453.5</v>
      </c>
      <c r="D1883" s="3">
        <v>1457</v>
      </c>
      <c r="E1883" s="3">
        <v>1434.4</v>
      </c>
      <c r="F1883" s="3">
        <v>1448.9</v>
      </c>
      <c r="G1883" s="3">
        <v>1439.5</v>
      </c>
      <c r="H1883" s="3">
        <v>1441.6</v>
      </c>
      <c r="I1883" s="3">
        <v>1444.32</v>
      </c>
      <c r="J1883" s="3">
        <v>3217.6</v>
      </c>
      <c r="K1883" s="3">
        <v>1114.8499999999999</v>
      </c>
      <c r="L1883" s="2">
        <v>8828114</v>
      </c>
      <c r="M1883" s="2">
        <v>12750612321.299999</v>
      </c>
      <c r="N1883" s="2">
        <v>190194</v>
      </c>
      <c r="O1883" t="s">
        <v>23</v>
      </c>
    </row>
    <row r="1884" spans="1:15" x14ac:dyDescent="0.3">
      <c r="A1884" s="1">
        <v>45819</v>
      </c>
      <c r="B1884" t="s">
        <v>15</v>
      </c>
      <c r="C1884" s="3">
        <v>1445.8</v>
      </c>
      <c r="D1884" s="3">
        <v>1468.6</v>
      </c>
      <c r="E1884" s="3">
        <v>1443.1</v>
      </c>
      <c r="F1884" s="3">
        <v>1438.5</v>
      </c>
      <c r="G1884" s="3">
        <v>1448</v>
      </c>
      <c r="H1884" s="3">
        <v>1448.9</v>
      </c>
      <c r="I1884" s="3">
        <v>1456.11</v>
      </c>
      <c r="J1884" s="3">
        <v>3217.6</v>
      </c>
      <c r="K1884" s="3">
        <v>1114.8499999999999</v>
      </c>
      <c r="L1884" s="2">
        <v>8195700</v>
      </c>
      <c r="M1884" s="2">
        <v>11933850942.700001</v>
      </c>
      <c r="N1884" s="2">
        <v>184593</v>
      </c>
      <c r="O1884" t="s">
        <v>23</v>
      </c>
    </row>
    <row r="1885" spans="1:15" x14ac:dyDescent="0.3">
      <c r="A1885" s="1">
        <v>45818</v>
      </c>
      <c r="B1885" t="s">
        <v>15</v>
      </c>
      <c r="C1885" s="3">
        <v>1450</v>
      </c>
      <c r="D1885" s="3">
        <v>1453.9</v>
      </c>
      <c r="E1885" s="3">
        <v>1436</v>
      </c>
      <c r="F1885" s="3">
        <v>1448.8</v>
      </c>
      <c r="G1885" s="3">
        <v>1437.3</v>
      </c>
      <c r="H1885" s="3">
        <v>1438.5</v>
      </c>
      <c r="I1885" s="3">
        <v>1442.59</v>
      </c>
      <c r="J1885" s="3">
        <v>3217.6</v>
      </c>
      <c r="K1885" s="3">
        <v>1114.8499999999999</v>
      </c>
      <c r="L1885" s="2">
        <v>7913181</v>
      </c>
      <c r="M1885" s="2">
        <v>11415476580.5</v>
      </c>
      <c r="N1885" s="2">
        <v>167203</v>
      </c>
      <c r="O1885" t="s">
        <v>23</v>
      </c>
    </row>
    <row r="1886" spans="1:15" x14ac:dyDescent="0.3">
      <c r="A1886" s="1">
        <v>45817</v>
      </c>
      <c r="B1886" t="s">
        <v>15</v>
      </c>
      <c r="C1886" s="3">
        <v>1457</v>
      </c>
      <c r="D1886" s="3">
        <v>1457.5</v>
      </c>
      <c r="E1886" s="3">
        <v>1445.3</v>
      </c>
      <c r="F1886" s="3">
        <v>1443.5</v>
      </c>
      <c r="G1886" s="3">
        <v>1447.2</v>
      </c>
      <c r="H1886" s="3">
        <v>1448.8</v>
      </c>
      <c r="I1886" s="3">
        <v>1449.95</v>
      </c>
      <c r="J1886" s="3">
        <v>3217.6</v>
      </c>
      <c r="K1886" s="3">
        <v>1114.8499999999999</v>
      </c>
      <c r="L1886" s="2">
        <v>7885125</v>
      </c>
      <c r="M1886" s="2">
        <v>11433033631.799999</v>
      </c>
      <c r="N1886" s="2">
        <v>159916</v>
      </c>
      <c r="O1886" t="s">
        <v>23</v>
      </c>
    </row>
    <row r="1887" spans="1:15" x14ac:dyDescent="0.3">
      <c r="A1887" s="1">
        <v>45814</v>
      </c>
      <c r="B1887" t="s">
        <v>15</v>
      </c>
      <c r="C1887" s="3">
        <v>1441</v>
      </c>
      <c r="D1887" s="3">
        <v>1451.5</v>
      </c>
      <c r="E1887" s="3">
        <v>1437</v>
      </c>
      <c r="F1887" s="3">
        <v>1442.4</v>
      </c>
      <c r="G1887" s="3">
        <v>1443</v>
      </c>
      <c r="H1887" s="3">
        <v>1443.5</v>
      </c>
      <c r="I1887" s="3">
        <v>1444.22</v>
      </c>
      <c r="J1887" s="3">
        <v>3217.6</v>
      </c>
      <c r="K1887" s="3">
        <v>1114.8499999999999</v>
      </c>
      <c r="L1887" s="2">
        <v>8182161</v>
      </c>
      <c r="M1887" s="2">
        <v>11816875426.1</v>
      </c>
      <c r="N1887" s="2">
        <v>179734</v>
      </c>
      <c r="O1887" t="s">
        <v>23</v>
      </c>
    </row>
    <row r="1888" spans="1:15" x14ac:dyDescent="0.3">
      <c r="A1888" s="1">
        <v>45813</v>
      </c>
      <c r="B1888" t="s">
        <v>15</v>
      </c>
      <c r="C1888" s="3">
        <v>1428</v>
      </c>
      <c r="D1888" s="3">
        <v>1454.7</v>
      </c>
      <c r="E1888" s="3">
        <v>1423.6</v>
      </c>
      <c r="F1888" s="3">
        <v>1423.5</v>
      </c>
      <c r="G1888" s="3">
        <v>1442.7</v>
      </c>
      <c r="H1888" s="3">
        <v>1442.4</v>
      </c>
      <c r="I1888" s="3">
        <v>1442.72</v>
      </c>
      <c r="J1888" s="3">
        <v>3217.6</v>
      </c>
      <c r="K1888" s="3">
        <v>1114.8499999999999</v>
      </c>
      <c r="L1888" s="2">
        <v>13716817</v>
      </c>
      <c r="M1888" s="2">
        <v>19789468217</v>
      </c>
      <c r="N1888" s="2">
        <v>304069</v>
      </c>
      <c r="O1888" t="s">
        <v>23</v>
      </c>
    </row>
    <row r="1889" spans="1:15" x14ac:dyDescent="0.3">
      <c r="A1889" s="1">
        <v>45812</v>
      </c>
      <c r="B1889" t="s">
        <v>15</v>
      </c>
      <c r="C1889" s="3">
        <v>1414.7</v>
      </c>
      <c r="D1889" s="3">
        <v>1425.7</v>
      </c>
      <c r="E1889" s="3">
        <v>1406.1</v>
      </c>
      <c r="F1889" s="3">
        <v>1405.5</v>
      </c>
      <c r="G1889" s="3">
        <v>1421</v>
      </c>
      <c r="H1889" s="3">
        <v>1423.5</v>
      </c>
      <c r="I1889" s="3">
        <v>1415.78</v>
      </c>
      <c r="J1889" s="3">
        <v>3217.6</v>
      </c>
      <c r="K1889" s="3">
        <v>1114.8499999999999</v>
      </c>
      <c r="L1889" s="2">
        <v>8126827</v>
      </c>
      <c r="M1889" s="2">
        <v>11505806730.5</v>
      </c>
      <c r="N1889" s="2">
        <v>152064</v>
      </c>
      <c r="O1889" t="s">
        <v>23</v>
      </c>
    </row>
    <row r="1890" spans="1:15" x14ac:dyDescent="0.3">
      <c r="A1890" s="1">
        <v>45811</v>
      </c>
      <c r="B1890" t="s">
        <v>15</v>
      </c>
      <c r="C1890" s="3">
        <v>1422.3</v>
      </c>
      <c r="D1890" s="3">
        <v>1426.5</v>
      </c>
      <c r="E1890" s="3">
        <v>1403.4</v>
      </c>
      <c r="F1890" s="3">
        <v>1413.7</v>
      </c>
      <c r="G1890" s="3">
        <v>1405.4</v>
      </c>
      <c r="H1890" s="3">
        <v>1405.5</v>
      </c>
      <c r="I1890" s="3">
        <v>1412.34</v>
      </c>
      <c r="J1890" s="3">
        <v>3217.6</v>
      </c>
      <c r="K1890" s="3">
        <v>1114.8499999999999</v>
      </c>
      <c r="L1890" s="2">
        <v>11252626</v>
      </c>
      <c r="M1890" s="2">
        <v>15892572174.1</v>
      </c>
      <c r="N1890" s="2">
        <v>230110</v>
      </c>
      <c r="O1890" t="s">
        <v>23</v>
      </c>
    </row>
    <row r="1891" spans="1:15" x14ac:dyDescent="0.3">
      <c r="A1891" s="1">
        <v>45810</v>
      </c>
      <c r="B1891" t="s">
        <v>15</v>
      </c>
      <c r="C1891" s="3">
        <v>1412.1</v>
      </c>
      <c r="D1891" s="3">
        <v>1417.5</v>
      </c>
      <c r="E1891" s="3">
        <v>1395.6</v>
      </c>
      <c r="F1891" s="3">
        <v>1420.9</v>
      </c>
      <c r="G1891" s="3">
        <v>1412.6</v>
      </c>
      <c r="H1891" s="3">
        <v>1413.7</v>
      </c>
      <c r="I1891" s="3">
        <v>1407.75</v>
      </c>
      <c r="J1891" s="3">
        <v>3217.6</v>
      </c>
      <c r="K1891" s="3">
        <v>1114.8499999999999</v>
      </c>
      <c r="L1891" s="2">
        <v>8098668</v>
      </c>
      <c r="M1891" s="2">
        <v>11400864785</v>
      </c>
      <c r="N1891" s="2">
        <v>189977</v>
      </c>
      <c r="O1891" t="s">
        <v>23</v>
      </c>
    </row>
    <row r="1892" spans="1:15" x14ac:dyDescent="0.3">
      <c r="A1892" s="1">
        <v>45807</v>
      </c>
      <c r="B1892" t="s">
        <v>15</v>
      </c>
      <c r="C1892" s="3">
        <v>1418</v>
      </c>
      <c r="D1892" s="3">
        <v>1430.6</v>
      </c>
      <c r="E1892" s="3">
        <v>1409.7</v>
      </c>
      <c r="F1892" s="3">
        <v>1417.8</v>
      </c>
      <c r="G1892" s="3">
        <v>1417.9</v>
      </c>
      <c r="H1892" s="3">
        <v>1420.9</v>
      </c>
      <c r="I1892" s="3">
        <v>1419.89</v>
      </c>
      <c r="J1892" s="3">
        <v>3217.6</v>
      </c>
      <c r="K1892" s="3">
        <v>1114.8499999999999</v>
      </c>
      <c r="L1892" s="2">
        <v>13788484</v>
      </c>
      <c r="M1892" s="2">
        <v>19578154095</v>
      </c>
      <c r="N1892" s="2">
        <v>155127</v>
      </c>
      <c r="O1892" t="s">
        <v>23</v>
      </c>
    </row>
    <row r="1893" spans="1:15" x14ac:dyDescent="0.3">
      <c r="A1893" s="1">
        <v>45806</v>
      </c>
      <c r="B1893" t="s">
        <v>15</v>
      </c>
      <c r="C1893" s="3">
        <v>1412.1</v>
      </c>
      <c r="D1893" s="3">
        <v>1420</v>
      </c>
      <c r="E1893" s="3">
        <v>1408.6</v>
      </c>
      <c r="F1893" s="3">
        <v>1412.9</v>
      </c>
      <c r="G1893" s="3">
        <v>1419.5</v>
      </c>
      <c r="H1893" s="3">
        <v>1417.8</v>
      </c>
      <c r="I1893" s="3">
        <v>1414.72</v>
      </c>
      <c r="J1893" s="3">
        <v>3217.6</v>
      </c>
      <c r="K1893" s="3">
        <v>1114.8499999999999</v>
      </c>
      <c r="L1893" s="2">
        <v>13771917</v>
      </c>
      <c r="M1893" s="2">
        <v>19483424681.599998</v>
      </c>
      <c r="N1893" s="2">
        <v>265116</v>
      </c>
      <c r="O1893" t="s">
        <v>23</v>
      </c>
    </row>
    <row r="1894" spans="1:15" x14ac:dyDescent="0.3">
      <c r="A1894" s="1">
        <v>45805</v>
      </c>
      <c r="B1894" t="s">
        <v>15</v>
      </c>
      <c r="C1894" s="3">
        <v>1420.1</v>
      </c>
      <c r="D1894" s="3">
        <v>1422.6</v>
      </c>
      <c r="E1894" s="3">
        <v>1410.7</v>
      </c>
      <c r="F1894" s="3">
        <v>1422.1</v>
      </c>
      <c r="G1894" s="3">
        <v>1412.8</v>
      </c>
      <c r="H1894" s="3">
        <v>1412.9</v>
      </c>
      <c r="I1894" s="3">
        <v>1414.99</v>
      </c>
      <c r="J1894" s="3">
        <v>3217.6</v>
      </c>
      <c r="K1894" s="3">
        <v>1114.8499999999999</v>
      </c>
      <c r="L1894" s="2">
        <v>5944611</v>
      </c>
      <c r="M1894" s="2">
        <v>8411575745.5</v>
      </c>
      <c r="N1894" s="2">
        <v>169185</v>
      </c>
      <c r="O1894" t="s">
        <v>23</v>
      </c>
    </row>
    <row r="1895" spans="1:15" x14ac:dyDescent="0.3">
      <c r="A1895" s="1">
        <v>45804</v>
      </c>
      <c r="B1895" t="s">
        <v>15</v>
      </c>
      <c r="C1895" s="3">
        <v>1426.1</v>
      </c>
      <c r="D1895" s="3">
        <v>1437</v>
      </c>
      <c r="E1895" s="3">
        <v>1413.9</v>
      </c>
      <c r="F1895" s="3">
        <v>1434.8</v>
      </c>
      <c r="G1895" s="3">
        <v>1424.2</v>
      </c>
      <c r="H1895" s="3">
        <v>1422.1</v>
      </c>
      <c r="I1895" s="3">
        <v>1421.81</v>
      </c>
      <c r="J1895" s="3">
        <v>3217.6</v>
      </c>
      <c r="K1895" s="3">
        <v>1114.8499999999999</v>
      </c>
      <c r="L1895" s="2">
        <v>12640414</v>
      </c>
      <c r="M1895" s="2">
        <v>17972211281.700001</v>
      </c>
      <c r="N1895" s="2">
        <v>211047</v>
      </c>
      <c r="O1895" t="s">
        <v>23</v>
      </c>
    </row>
    <row r="1896" spans="1:15" x14ac:dyDescent="0.3">
      <c r="A1896" s="1">
        <v>45803</v>
      </c>
      <c r="B1896" t="s">
        <v>15</v>
      </c>
      <c r="C1896" s="3">
        <v>1432</v>
      </c>
      <c r="D1896" s="3">
        <v>1441</v>
      </c>
      <c r="E1896" s="3">
        <v>1425.1</v>
      </c>
      <c r="F1896" s="3">
        <v>1426.8</v>
      </c>
      <c r="G1896" s="3">
        <v>1435.9</v>
      </c>
      <c r="H1896" s="3">
        <v>1434.8</v>
      </c>
      <c r="I1896" s="3">
        <v>1437.16</v>
      </c>
      <c r="J1896" s="3">
        <v>3217.6</v>
      </c>
      <c r="K1896" s="3">
        <v>1114.8499999999999</v>
      </c>
      <c r="L1896" s="2">
        <v>4842944</v>
      </c>
      <c r="M1896" s="2">
        <v>6960105851.3999996</v>
      </c>
      <c r="N1896" s="2">
        <v>171837</v>
      </c>
      <c r="O1896" t="s">
        <v>23</v>
      </c>
    </row>
    <row r="1897" spans="1:15" x14ac:dyDescent="0.3">
      <c r="A1897" s="1">
        <v>45800</v>
      </c>
      <c r="B1897" t="s">
        <v>15</v>
      </c>
      <c r="C1897" s="3">
        <v>1406.6</v>
      </c>
      <c r="D1897" s="3">
        <v>1433.8</v>
      </c>
      <c r="E1897" s="3">
        <v>1406.6</v>
      </c>
      <c r="F1897" s="3">
        <v>1409.4</v>
      </c>
      <c r="G1897" s="3">
        <v>1426</v>
      </c>
      <c r="H1897" s="3">
        <v>1426.8</v>
      </c>
      <c r="I1897" s="3">
        <v>1424.63</v>
      </c>
      <c r="J1897" s="3">
        <v>3217.6</v>
      </c>
      <c r="K1897" s="3">
        <v>1114.8499999999999</v>
      </c>
      <c r="L1897" s="2">
        <v>6474883</v>
      </c>
      <c r="M1897" s="2">
        <v>9224312172.6000004</v>
      </c>
      <c r="N1897" s="2">
        <v>135371</v>
      </c>
      <c r="O1897" t="s">
        <v>23</v>
      </c>
    </row>
    <row r="1898" spans="1:15" x14ac:dyDescent="0.3">
      <c r="A1898" s="1">
        <v>45799</v>
      </c>
      <c r="B1898" t="s">
        <v>15</v>
      </c>
      <c r="C1898" s="3">
        <v>1421.2</v>
      </c>
      <c r="D1898" s="3">
        <v>1423.8</v>
      </c>
      <c r="E1898" s="3">
        <v>1396.9</v>
      </c>
      <c r="F1898" s="3">
        <v>1429.2</v>
      </c>
      <c r="G1898" s="3">
        <v>1411.5</v>
      </c>
      <c r="H1898" s="3">
        <v>1409.4</v>
      </c>
      <c r="I1898" s="3">
        <v>1406.85</v>
      </c>
      <c r="J1898" s="3">
        <v>3217.6</v>
      </c>
      <c r="K1898" s="3">
        <v>1114.8499999999999</v>
      </c>
      <c r="L1898" s="2">
        <v>12134466</v>
      </c>
      <c r="M1898" s="2">
        <v>17071402011.9</v>
      </c>
      <c r="N1898" s="2">
        <v>228031</v>
      </c>
      <c r="O1898" t="s">
        <v>23</v>
      </c>
    </row>
    <row r="1899" spans="1:15" x14ac:dyDescent="0.3">
      <c r="A1899" s="1">
        <v>45798</v>
      </c>
      <c r="B1899" t="s">
        <v>15</v>
      </c>
      <c r="C1899" s="3">
        <v>1423.9</v>
      </c>
      <c r="D1899" s="3">
        <v>1436.2</v>
      </c>
      <c r="E1899" s="3">
        <v>1418.1</v>
      </c>
      <c r="F1899" s="3">
        <v>1424.6</v>
      </c>
      <c r="G1899" s="3">
        <v>1428.2</v>
      </c>
      <c r="H1899" s="3">
        <v>1429.2</v>
      </c>
      <c r="I1899" s="3">
        <v>1427.75</v>
      </c>
      <c r="J1899" s="3">
        <v>3217.6</v>
      </c>
      <c r="K1899" s="3">
        <v>1114.8499999999999</v>
      </c>
      <c r="L1899" s="2">
        <v>6136364</v>
      </c>
      <c r="M1899" s="2">
        <v>8761209045.8999996</v>
      </c>
      <c r="N1899" s="2">
        <v>232529</v>
      </c>
      <c r="O1899" t="s">
        <v>23</v>
      </c>
    </row>
    <row r="1900" spans="1:15" x14ac:dyDescent="0.3">
      <c r="A1900" s="1">
        <v>45797</v>
      </c>
      <c r="B1900" t="s">
        <v>15</v>
      </c>
      <c r="C1900" s="3">
        <v>1438.2</v>
      </c>
      <c r="D1900" s="3">
        <v>1445</v>
      </c>
      <c r="E1900" s="3">
        <v>1421.8</v>
      </c>
      <c r="F1900" s="3">
        <v>1440.8</v>
      </c>
      <c r="G1900" s="3">
        <v>1424.5</v>
      </c>
      <c r="H1900" s="3">
        <v>1424.6</v>
      </c>
      <c r="I1900" s="3">
        <v>1429.91</v>
      </c>
      <c r="J1900" s="3">
        <v>3217.6</v>
      </c>
      <c r="K1900" s="3">
        <v>1114.8499999999999</v>
      </c>
      <c r="L1900" s="2">
        <v>11270560</v>
      </c>
      <c r="M1900" s="2">
        <v>16115906328.299999</v>
      </c>
      <c r="N1900" s="2">
        <v>182531</v>
      </c>
      <c r="O1900" t="s">
        <v>23</v>
      </c>
    </row>
    <row r="1901" spans="1:15" x14ac:dyDescent="0.3">
      <c r="A1901" s="1">
        <v>45796</v>
      </c>
      <c r="B1901" t="s">
        <v>15</v>
      </c>
      <c r="C1901" s="3">
        <v>1452.1</v>
      </c>
      <c r="D1901" s="3">
        <v>1454.6</v>
      </c>
      <c r="E1901" s="3">
        <v>1438.2</v>
      </c>
      <c r="F1901" s="3">
        <v>1456.4</v>
      </c>
      <c r="G1901" s="3">
        <v>1442.9</v>
      </c>
      <c r="H1901" s="3">
        <v>1440.8</v>
      </c>
      <c r="I1901" s="3">
        <v>1443.67</v>
      </c>
      <c r="J1901" s="3">
        <v>3217.6</v>
      </c>
      <c r="K1901" s="3">
        <v>1114.8499999999999</v>
      </c>
      <c r="L1901" s="2">
        <v>6195791</v>
      </c>
      <c r="M1901" s="2">
        <v>8944705922.2999992</v>
      </c>
      <c r="N1901" s="2">
        <v>144606</v>
      </c>
      <c r="O1901" t="s">
        <v>23</v>
      </c>
    </row>
    <row r="1902" spans="1:15" x14ac:dyDescent="0.3">
      <c r="A1902" s="1">
        <v>45793</v>
      </c>
      <c r="B1902" t="s">
        <v>15</v>
      </c>
      <c r="C1902" s="3">
        <v>1453.2</v>
      </c>
      <c r="D1902" s="3">
        <v>1461</v>
      </c>
      <c r="E1902" s="3">
        <v>1447.3</v>
      </c>
      <c r="F1902" s="3">
        <v>1454.2</v>
      </c>
      <c r="G1902" s="3">
        <v>1454.8</v>
      </c>
      <c r="H1902" s="3">
        <v>1456.4</v>
      </c>
      <c r="I1902" s="3">
        <v>1455.16</v>
      </c>
      <c r="J1902" s="3">
        <v>3217.6</v>
      </c>
      <c r="K1902" s="3">
        <v>1114.8499999999999</v>
      </c>
      <c r="L1902" s="2">
        <v>9036695</v>
      </c>
      <c r="M1902" s="2">
        <v>13149797875.4</v>
      </c>
      <c r="N1902" s="2">
        <v>196322</v>
      </c>
      <c r="O1902" t="s">
        <v>23</v>
      </c>
    </row>
    <row r="1903" spans="1:15" x14ac:dyDescent="0.3">
      <c r="A1903" s="1">
        <v>45792</v>
      </c>
      <c r="B1903" t="s">
        <v>15</v>
      </c>
      <c r="C1903" s="3">
        <v>1425</v>
      </c>
      <c r="D1903" s="3">
        <v>1461.4</v>
      </c>
      <c r="E1903" s="3">
        <v>1412.7</v>
      </c>
      <c r="F1903" s="3">
        <v>1424.4</v>
      </c>
      <c r="G1903" s="3">
        <v>1453</v>
      </c>
      <c r="H1903" s="3">
        <v>1454.2</v>
      </c>
      <c r="I1903" s="3">
        <v>1441.41</v>
      </c>
      <c r="J1903" s="3">
        <v>3217.6</v>
      </c>
      <c r="K1903" s="3">
        <v>1114.8499999999999</v>
      </c>
      <c r="L1903" s="2">
        <v>20177211</v>
      </c>
      <c r="M1903" s="2">
        <v>29083683834.799999</v>
      </c>
      <c r="N1903" s="2">
        <v>314261</v>
      </c>
      <c r="O1903" t="s">
        <v>23</v>
      </c>
    </row>
    <row r="1904" spans="1:15" x14ac:dyDescent="0.3">
      <c r="A1904" s="1">
        <v>45791</v>
      </c>
      <c r="B1904" t="s">
        <v>15</v>
      </c>
      <c r="C1904" s="3">
        <v>1420</v>
      </c>
      <c r="D1904" s="3">
        <v>1429.9</v>
      </c>
      <c r="E1904" s="3">
        <v>1415.5</v>
      </c>
      <c r="F1904" s="3">
        <v>1415.7</v>
      </c>
      <c r="G1904" s="3">
        <v>1425.2</v>
      </c>
      <c r="H1904" s="3">
        <v>1424.4</v>
      </c>
      <c r="I1904" s="3">
        <v>1423.31</v>
      </c>
      <c r="J1904" s="3">
        <v>3217.6</v>
      </c>
      <c r="K1904" s="3">
        <v>1114.8499999999999</v>
      </c>
      <c r="L1904" s="2">
        <v>5570160</v>
      </c>
      <c r="M1904" s="2">
        <v>7928045614.6999998</v>
      </c>
      <c r="N1904" s="2">
        <v>145014</v>
      </c>
      <c r="O1904" t="s">
        <v>23</v>
      </c>
    </row>
    <row r="1905" spans="1:15" x14ac:dyDescent="0.3">
      <c r="A1905" s="1">
        <v>45790</v>
      </c>
      <c r="B1905" t="s">
        <v>15</v>
      </c>
      <c r="C1905" s="3">
        <v>1433.5</v>
      </c>
      <c r="D1905" s="3">
        <v>1447.7</v>
      </c>
      <c r="E1905" s="3">
        <v>1412.4</v>
      </c>
      <c r="F1905" s="3">
        <v>1436.5</v>
      </c>
      <c r="G1905" s="3">
        <v>1416.5</v>
      </c>
      <c r="H1905" s="3">
        <v>1415.7</v>
      </c>
      <c r="I1905" s="3">
        <v>1423.23</v>
      </c>
      <c r="J1905" s="3">
        <v>3217.6</v>
      </c>
      <c r="K1905" s="3">
        <v>1114.8499999999999</v>
      </c>
      <c r="L1905" s="2">
        <v>11407896</v>
      </c>
      <c r="M1905" s="2">
        <v>16236102678.9</v>
      </c>
      <c r="N1905" s="2">
        <v>281992</v>
      </c>
      <c r="O1905" t="s">
        <v>23</v>
      </c>
    </row>
    <row r="1906" spans="1:15" x14ac:dyDescent="0.3">
      <c r="A1906" s="1">
        <v>45789</v>
      </c>
      <c r="B1906" t="s">
        <v>15</v>
      </c>
      <c r="C1906" s="3">
        <v>1400</v>
      </c>
      <c r="D1906" s="3">
        <v>1439</v>
      </c>
      <c r="E1906" s="3">
        <v>1400</v>
      </c>
      <c r="F1906" s="3">
        <v>1377.2</v>
      </c>
      <c r="G1906" s="3">
        <v>1436.9</v>
      </c>
      <c r="H1906" s="3">
        <v>1436.5</v>
      </c>
      <c r="I1906" s="3">
        <v>1426.35</v>
      </c>
      <c r="J1906" s="3">
        <v>3217.6</v>
      </c>
      <c r="K1906" s="3">
        <v>1114.8499999999999</v>
      </c>
      <c r="L1906" s="2">
        <v>10674081</v>
      </c>
      <c r="M1906" s="2">
        <v>15224970250.5</v>
      </c>
      <c r="N1906" s="2">
        <v>310602</v>
      </c>
      <c r="O1906" t="s">
        <v>23</v>
      </c>
    </row>
    <row r="1907" spans="1:15" x14ac:dyDescent="0.3">
      <c r="A1907" s="1">
        <v>45786</v>
      </c>
      <c r="B1907" t="s">
        <v>15</v>
      </c>
      <c r="C1907" s="3">
        <v>1385.5</v>
      </c>
      <c r="D1907" s="3">
        <v>1394.8</v>
      </c>
      <c r="E1907" s="3">
        <v>1374.5</v>
      </c>
      <c r="F1907" s="3">
        <v>1407</v>
      </c>
      <c r="G1907" s="3">
        <v>1379.5</v>
      </c>
      <c r="H1907" s="3">
        <v>1377.2</v>
      </c>
      <c r="I1907" s="3">
        <v>1382.39</v>
      </c>
      <c r="J1907" s="3">
        <v>3217.6</v>
      </c>
      <c r="K1907" s="3">
        <v>1114.8499999999999</v>
      </c>
      <c r="L1907" s="2">
        <v>13668904</v>
      </c>
      <c r="M1907" s="2">
        <v>18895751340.099998</v>
      </c>
      <c r="N1907" s="2">
        <v>388013</v>
      </c>
      <c r="O1907" t="s">
        <v>23</v>
      </c>
    </row>
    <row r="1908" spans="1:15" x14ac:dyDescent="0.3">
      <c r="A1908" s="1">
        <v>45785</v>
      </c>
      <c r="B1908" t="s">
        <v>15</v>
      </c>
      <c r="C1908" s="3">
        <v>1404.1</v>
      </c>
      <c r="D1908" s="3">
        <v>1420.8</v>
      </c>
      <c r="E1908" s="3">
        <v>1398</v>
      </c>
      <c r="F1908" s="3">
        <v>1406</v>
      </c>
      <c r="G1908" s="3">
        <v>1398</v>
      </c>
      <c r="H1908" s="3">
        <v>1407</v>
      </c>
      <c r="I1908" s="3">
        <v>1410.51</v>
      </c>
      <c r="J1908" s="3">
        <v>3217.6</v>
      </c>
      <c r="K1908" s="3">
        <v>1114.8499999999999</v>
      </c>
      <c r="L1908" s="2">
        <v>16106175</v>
      </c>
      <c r="M1908" s="2">
        <v>22717878064.299999</v>
      </c>
      <c r="N1908" s="2">
        <v>231342</v>
      </c>
      <c r="O1908" t="s">
        <v>23</v>
      </c>
    </row>
    <row r="1909" spans="1:15" x14ac:dyDescent="0.3">
      <c r="A1909" s="1">
        <v>45784</v>
      </c>
      <c r="B1909" t="s">
        <v>15</v>
      </c>
      <c r="C1909" s="3">
        <v>1420.9</v>
      </c>
      <c r="D1909" s="3">
        <v>1424.4</v>
      </c>
      <c r="E1909" s="3">
        <v>1402.7</v>
      </c>
      <c r="F1909" s="3">
        <v>1420.9</v>
      </c>
      <c r="G1909" s="3">
        <v>1405.9</v>
      </c>
      <c r="H1909" s="3">
        <v>1406</v>
      </c>
      <c r="I1909" s="3">
        <v>1412.79</v>
      </c>
      <c r="J1909" s="3">
        <v>3217.6</v>
      </c>
      <c r="K1909" s="3">
        <v>1114.8499999999999</v>
      </c>
      <c r="L1909" s="2">
        <v>13440169</v>
      </c>
      <c r="M1909" s="2">
        <v>18988126278.299999</v>
      </c>
      <c r="N1909" s="2">
        <v>222903</v>
      </c>
      <c r="O1909" t="s">
        <v>23</v>
      </c>
    </row>
    <row r="1910" spans="1:15" x14ac:dyDescent="0.3">
      <c r="A1910" s="1">
        <v>45783</v>
      </c>
      <c r="B1910" t="s">
        <v>15</v>
      </c>
      <c r="C1910" s="3">
        <v>1431</v>
      </c>
      <c r="D1910" s="3">
        <v>1432</v>
      </c>
      <c r="E1910" s="3">
        <v>1410.6</v>
      </c>
      <c r="F1910" s="3">
        <v>1431.3</v>
      </c>
      <c r="G1910" s="3">
        <v>1418</v>
      </c>
      <c r="H1910" s="3">
        <v>1420.9</v>
      </c>
      <c r="I1910" s="3">
        <v>1419.01</v>
      </c>
      <c r="J1910" s="3">
        <v>3217.6</v>
      </c>
      <c r="K1910" s="3">
        <v>1114.8499999999999</v>
      </c>
      <c r="L1910" s="2">
        <v>14084117</v>
      </c>
      <c r="M1910" s="2">
        <v>19985559677.400002</v>
      </c>
      <c r="N1910" s="2">
        <v>226761</v>
      </c>
      <c r="O1910" t="s">
        <v>23</v>
      </c>
    </row>
    <row r="1911" spans="1:15" x14ac:dyDescent="0.3">
      <c r="A1911" s="1">
        <v>45782</v>
      </c>
      <c r="B1911" t="s">
        <v>15</v>
      </c>
      <c r="C1911" s="3">
        <v>1431</v>
      </c>
      <c r="D1911" s="3">
        <v>1439.5</v>
      </c>
      <c r="E1911" s="3">
        <v>1426.9</v>
      </c>
      <c r="F1911" s="3">
        <v>1422.4</v>
      </c>
      <c r="G1911" s="3">
        <v>1430</v>
      </c>
      <c r="H1911" s="3">
        <v>1431.3</v>
      </c>
      <c r="I1911" s="3">
        <v>1432</v>
      </c>
      <c r="J1911" s="3">
        <v>3217.6</v>
      </c>
      <c r="K1911" s="3">
        <v>1114.8499999999999</v>
      </c>
      <c r="L1911" s="2">
        <v>12685649</v>
      </c>
      <c r="M1911" s="2">
        <v>18165843553</v>
      </c>
      <c r="N1911" s="2">
        <v>204503</v>
      </c>
      <c r="O1911" t="s">
        <v>23</v>
      </c>
    </row>
    <row r="1912" spans="1:15" x14ac:dyDescent="0.3">
      <c r="A1912" s="1">
        <v>45779</v>
      </c>
      <c r="B1912" t="s">
        <v>15</v>
      </c>
      <c r="C1912" s="3">
        <v>1414</v>
      </c>
      <c r="D1912" s="3">
        <v>1426.7</v>
      </c>
      <c r="E1912" s="3">
        <v>1409.1</v>
      </c>
      <c r="F1912" s="3">
        <v>1405</v>
      </c>
      <c r="G1912" s="3">
        <v>1422.5</v>
      </c>
      <c r="H1912" s="3">
        <v>1422.4</v>
      </c>
      <c r="I1912" s="3">
        <v>1419.65</v>
      </c>
      <c r="J1912" s="3">
        <v>3217.6</v>
      </c>
      <c r="K1912" s="3">
        <v>1114.8499999999999</v>
      </c>
      <c r="L1912" s="2">
        <v>17535402</v>
      </c>
      <c r="M1912" s="2">
        <v>24894140200</v>
      </c>
      <c r="N1912" s="2">
        <v>378385</v>
      </c>
      <c r="O1912" t="s">
        <v>23</v>
      </c>
    </row>
    <row r="1913" spans="1:15" x14ac:dyDescent="0.3">
      <c r="A1913" s="1">
        <v>45777</v>
      </c>
      <c r="B1913" t="s">
        <v>15</v>
      </c>
      <c r="C1913" s="3">
        <v>1402</v>
      </c>
      <c r="D1913" s="3">
        <v>1412.4</v>
      </c>
      <c r="E1913" s="3">
        <v>1369</v>
      </c>
      <c r="F1913" s="3">
        <v>1399.7</v>
      </c>
      <c r="G1913" s="3">
        <v>1395</v>
      </c>
      <c r="H1913" s="3">
        <v>1405</v>
      </c>
      <c r="I1913" s="3">
        <v>1404.87</v>
      </c>
      <c r="J1913" s="3">
        <v>3217.6</v>
      </c>
      <c r="K1913" s="3">
        <v>1114.8499999999999</v>
      </c>
      <c r="L1913" s="2">
        <v>25480745</v>
      </c>
      <c r="M1913" s="2">
        <v>35797220282</v>
      </c>
      <c r="N1913" s="2">
        <v>598769</v>
      </c>
      <c r="O1913" t="s">
        <v>23</v>
      </c>
    </row>
    <row r="1914" spans="1:15" x14ac:dyDescent="0.3">
      <c r="A1914" s="1">
        <v>45776</v>
      </c>
      <c r="B1914" t="s">
        <v>15</v>
      </c>
      <c r="C1914" s="3">
        <v>1371</v>
      </c>
      <c r="D1914" s="3">
        <v>1410.9</v>
      </c>
      <c r="E1914" s="3">
        <v>1370</v>
      </c>
      <c r="F1914" s="3">
        <v>1368.8</v>
      </c>
      <c r="G1914" s="3">
        <v>1398.9</v>
      </c>
      <c r="H1914" s="3">
        <v>1399.7</v>
      </c>
      <c r="I1914" s="3">
        <v>1395.77</v>
      </c>
      <c r="J1914" s="3">
        <v>3217.6</v>
      </c>
      <c r="K1914" s="3">
        <v>1114.8499999999999</v>
      </c>
      <c r="L1914" s="2">
        <v>32538970</v>
      </c>
      <c r="M1914" s="2">
        <v>45417061104.5</v>
      </c>
      <c r="N1914" s="2">
        <v>680195</v>
      </c>
      <c r="O1914" t="s">
        <v>23</v>
      </c>
    </row>
    <row r="1915" spans="1:15" x14ac:dyDescent="0.3">
      <c r="A1915" s="1">
        <v>45775</v>
      </c>
      <c r="B1915" t="s">
        <v>15</v>
      </c>
      <c r="C1915" s="3">
        <v>1340</v>
      </c>
      <c r="D1915" s="3">
        <v>1374.6</v>
      </c>
      <c r="E1915" s="3">
        <v>1320.2</v>
      </c>
      <c r="F1915" s="3">
        <v>1300.4000000000001</v>
      </c>
      <c r="G1915" s="3">
        <v>1366.3</v>
      </c>
      <c r="H1915" s="3">
        <v>1368.8</v>
      </c>
      <c r="I1915" s="3">
        <v>1355.02</v>
      </c>
      <c r="J1915" s="3">
        <v>3217.6</v>
      </c>
      <c r="K1915" s="3">
        <v>1114.8499999999999</v>
      </c>
      <c r="L1915" s="2">
        <v>31104496</v>
      </c>
      <c r="M1915" s="2">
        <v>42147123069</v>
      </c>
      <c r="N1915" s="2">
        <v>893347</v>
      </c>
      <c r="O1915" t="s">
        <v>23</v>
      </c>
    </row>
    <row r="1916" spans="1:15" x14ac:dyDescent="0.3">
      <c r="A1916" s="1">
        <v>45772</v>
      </c>
      <c r="B1916" t="s">
        <v>15</v>
      </c>
      <c r="C1916" s="3">
        <v>1303.5</v>
      </c>
      <c r="D1916" s="3">
        <v>1325.2</v>
      </c>
      <c r="E1916" s="3">
        <v>1288.0999999999999</v>
      </c>
      <c r="F1916" s="3">
        <v>1301.5999999999999</v>
      </c>
      <c r="G1916" s="3">
        <v>1301</v>
      </c>
      <c r="H1916" s="3">
        <v>1300.4000000000001</v>
      </c>
      <c r="I1916" s="3">
        <v>1303.3</v>
      </c>
      <c r="J1916" s="3">
        <v>3217.6</v>
      </c>
      <c r="K1916" s="3">
        <v>1114.8499999999999</v>
      </c>
      <c r="L1916" s="2">
        <v>14431012</v>
      </c>
      <c r="M1916" s="2">
        <v>18807907514.700001</v>
      </c>
      <c r="N1916" s="2">
        <v>307093</v>
      </c>
      <c r="O1916" t="s">
        <v>23</v>
      </c>
    </row>
    <row r="1917" spans="1:15" x14ac:dyDescent="0.3">
      <c r="A1917" s="1">
        <v>45771</v>
      </c>
      <c r="B1917" t="s">
        <v>15</v>
      </c>
      <c r="C1917" s="3">
        <v>1292.4000000000001</v>
      </c>
      <c r="D1917" s="3">
        <v>1304.5</v>
      </c>
      <c r="E1917" s="3">
        <v>1290.3</v>
      </c>
      <c r="F1917" s="3">
        <v>1300</v>
      </c>
      <c r="G1917" s="3">
        <v>1303.5</v>
      </c>
      <c r="H1917" s="3">
        <v>1301.5999999999999</v>
      </c>
      <c r="I1917" s="3">
        <v>1298.32</v>
      </c>
      <c r="J1917" s="3">
        <v>3217.6</v>
      </c>
      <c r="K1917" s="3">
        <v>1114.8499999999999</v>
      </c>
      <c r="L1917" s="2">
        <v>10468940</v>
      </c>
      <c r="M1917" s="2">
        <v>13592084385</v>
      </c>
      <c r="N1917" s="2">
        <v>181309</v>
      </c>
      <c r="O1917" t="s">
        <v>23</v>
      </c>
    </row>
    <row r="1918" spans="1:15" x14ac:dyDescent="0.3">
      <c r="A1918" s="1">
        <v>45770</v>
      </c>
      <c r="B1918" t="s">
        <v>15</v>
      </c>
      <c r="C1918" s="3">
        <v>1297</v>
      </c>
      <c r="D1918" s="3">
        <v>1306</v>
      </c>
      <c r="E1918" s="3">
        <v>1285.4000000000001</v>
      </c>
      <c r="F1918" s="3">
        <v>1291.2</v>
      </c>
      <c r="G1918" s="3">
        <v>1297</v>
      </c>
      <c r="H1918" s="3">
        <v>1300</v>
      </c>
      <c r="I1918" s="3">
        <v>1297.08</v>
      </c>
      <c r="J1918" s="3">
        <v>3217.6</v>
      </c>
      <c r="K1918" s="3">
        <v>1114.8499999999999</v>
      </c>
      <c r="L1918" s="2">
        <v>10480888</v>
      </c>
      <c r="M1918" s="2">
        <v>13594597555</v>
      </c>
      <c r="N1918" s="2">
        <v>232149</v>
      </c>
      <c r="O1918" t="s">
        <v>23</v>
      </c>
    </row>
    <row r="1919" spans="1:15" x14ac:dyDescent="0.3">
      <c r="A1919" s="1">
        <v>45769</v>
      </c>
      <c r="B1919" t="s">
        <v>15</v>
      </c>
      <c r="C1919" s="3">
        <v>1300</v>
      </c>
      <c r="D1919" s="3">
        <v>1303.9000000000001</v>
      </c>
      <c r="E1919" s="3">
        <v>1286.3</v>
      </c>
      <c r="F1919" s="3">
        <v>1295.5</v>
      </c>
      <c r="G1919" s="3">
        <v>1289</v>
      </c>
      <c r="H1919" s="3">
        <v>1291.2</v>
      </c>
      <c r="I1919" s="3">
        <v>1295.99</v>
      </c>
      <c r="J1919" s="3">
        <v>3217.6</v>
      </c>
      <c r="K1919" s="3">
        <v>1114.8499999999999</v>
      </c>
      <c r="L1919" s="2">
        <v>13051707</v>
      </c>
      <c r="M1919" s="2">
        <v>16914900850.299999</v>
      </c>
      <c r="N1919" s="2">
        <v>229331</v>
      </c>
      <c r="O1919" t="s">
        <v>23</v>
      </c>
    </row>
    <row r="1920" spans="1:15" x14ac:dyDescent="0.3">
      <c r="A1920" s="1">
        <v>45768</v>
      </c>
      <c r="B1920" t="s">
        <v>15</v>
      </c>
      <c r="C1920" s="3">
        <v>1270</v>
      </c>
      <c r="D1920" s="3">
        <v>1300.9000000000001</v>
      </c>
      <c r="E1920" s="3">
        <v>1267</v>
      </c>
      <c r="F1920" s="3">
        <v>1274.5</v>
      </c>
      <c r="G1920" s="3">
        <v>1295.2</v>
      </c>
      <c r="H1920" s="3">
        <v>1295.5</v>
      </c>
      <c r="I1920" s="3">
        <v>1291.47</v>
      </c>
      <c r="J1920" s="3">
        <v>3217.6</v>
      </c>
      <c r="K1920" s="3">
        <v>1114.8499999999999</v>
      </c>
      <c r="L1920" s="2">
        <v>10429964</v>
      </c>
      <c r="M1920" s="2">
        <v>13469949890</v>
      </c>
      <c r="N1920" s="2">
        <v>257857</v>
      </c>
      <c r="O1920" t="s">
        <v>23</v>
      </c>
    </row>
    <row r="1921" spans="1:15" x14ac:dyDescent="0.3">
      <c r="A1921" s="1">
        <v>45764</v>
      </c>
      <c r="B1921" t="s">
        <v>15</v>
      </c>
      <c r="C1921" s="3">
        <v>1240.2</v>
      </c>
      <c r="D1921" s="3">
        <v>1280.2</v>
      </c>
      <c r="E1921" s="3">
        <v>1227.5999999999999</v>
      </c>
      <c r="F1921" s="3">
        <v>1239.3</v>
      </c>
      <c r="G1921" s="3">
        <v>1273</v>
      </c>
      <c r="H1921" s="3">
        <v>1274.5</v>
      </c>
      <c r="I1921" s="3">
        <v>1260.3800000000001</v>
      </c>
      <c r="J1921" s="3">
        <v>3217.6</v>
      </c>
      <c r="K1921" s="3">
        <v>1114.8499999999999</v>
      </c>
      <c r="L1921" s="2">
        <v>15398401</v>
      </c>
      <c r="M1921" s="2">
        <v>19407871411</v>
      </c>
      <c r="N1921" s="2">
        <v>321235</v>
      </c>
      <c r="O1921" t="s">
        <v>23</v>
      </c>
    </row>
    <row r="1922" spans="1:15" x14ac:dyDescent="0.3">
      <c r="A1922" s="1">
        <v>45763</v>
      </c>
      <c r="B1922" t="s">
        <v>15</v>
      </c>
      <c r="C1922" s="3">
        <v>1234.0999999999999</v>
      </c>
      <c r="D1922" s="3">
        <v>1240.9000000000001</v>
      </c>
      <c r="E1922" s="3">
        <v>1229</v>
      </c>
      <c r="F1922" s="3">
        <v>1240.0999999999999</v>
      </c>
      <c r="G1922" s="3">
        <v>1238</v>
      </c>
      <c r="H1922" s="3">
        <v>1239.3</v>
      </c>
      <c r="I1922" s="3">
        <v>1235.6099999999999</v>
      </c>
      <c r="J1922" s="3">
        <v>3217.6</v>
      </c>
      <c r="K1922" s="3">
        <v>1114.8499999999999</v>
      </c>
      <c r="L1922" s="2">
        <v>8248464</v>
      </c>
      <c r="M1922" s="2">
        <v>10191864641.700001</v>
      </c>
      <c r="N1922" s="2">
        <v>164065</v>
      </c>
      <c r="O1922" t="s">
        <v>23</v>
      </c>
    </row>
    <row r="1923" spans="1:15" x14ac:dyDescent="0.3">
      <c r="A1923" s="1">
        <v>45762</v>
      </c>
      <c r="B1923" t="s">
        <v>15</v>
      </c>
      <c r="C1923" s="3">
        <v>1251</v>
      </c>
      <c r="D1923" s="3">
        <v>1251</v>
      </c>
      <c r="E1923" s="3">
        <v>1237.0999999999999</v>
      </c>
      <c r="F1923" s="3">
        <v>1218.95</v>
      </c>
      <c r="G1923" s="3">
        <v>1239.5999999999999</v>
      </c>
      <c r="H1923" s="3">
        <v>1240.0999999999999</v>
      </c>
      <c r="I1923" s="3">
        <v>1242.83</v>
      </c>
      <c r="J1923" s="3">
        <v>3217.6</v>
      </c>
      <c r="K1923" s="3">
        <v>1114.8499999999999</v>
      </c>
      <c r="L1923" s="2">
        <v>13378535</v>
      </c>
      <c r="M1923" s="2">
        <v>16627177949.1</v>
      </c>
      <c r="N1923" s="2">
        <v>199888</v>
      </c>
      <c r="O1923" t="s">
        <v>23</v>
      </c>
    </row>
    <row r="1924" spans="1:15" x14ac:dyDescent="0.3">
      <c r="A1924" s="1">
        <v>45758</v>
      </c>
      <c r="B1924" t="s">
        <v>15</v>
      </c>
      <c r="C1924" s="3">
        <v>1195.1500000000001</v>
      </c>
      <c r="D1924" s="3">
        <v>1222.6500000000001</v>
      </c>
      <c r="E1924" s="3">
        <v>1195.1500000000001</v>
      </c>
      <c r="F1924" s="3">
        <v>1185.3499999999999</v>
      </c>
      <c r="G1924" s="3">
        <v>1220</v>
      </c>
      <c r="H1924" s="3">
        <v>1218.95</v>
      </c>
      <c r="I1924" s="3">
        <v>1214.05</v>
      </c>
      <c r="J1924" s="3">
        <v>3217.6</v>
      </c>
      <c r="K1924" s="3">
        <v>1114.8499999999999</v>
      </c>
      <c r="L1924" s="2">
        <v>11224242</v>
      </c>
      <c r="M1924" s="2">
        <v>13626831085.65</v>
      </c>
      <c r="N1924" s="2">
        <v>187059</v>
      </c>
      <c r="O1924" t="s">
        <v>23</v>
      </c>
    </row>
    <row r="1925" spans="1:15" x14ac:dyDescent="0.3">
      <c r="A1925" s="1">
        <v>45756</v>
      </c>
      <c r="B1925" t="s">
        <v>15</v>
      </c>
      <c r="C1925" s="3">
        <v>1169.5</v>
      </c>
      <c r="D1925" s="3">
        <v>1189.8</v>
      </c>
      <c r="E1925" s="3">
        <v>1168</v>
      </c>
      <c r="F1925" s="3">
        <v>1182.2</v>
      </c>
      <c r="G1925" s="3">
        <v>1187.5</v>
      </c>
      <c r="H1925" s="3">
        <v>1185.3499999999999</v>
      </c>
      <c r="I1925" s="3">
        <v>1183.08</v>
      </c>
      <c r="J1925" s="3">
        <v>3217.6</v>
      </c>
      <c r="K1925" s="3">
        <v>1114.8499999999999</v>
      </c>
      <c r="L1925" s="2">
        <v>10223104</v>
      </c>
      <c r="M1925" s="2">
        <v>12094749463.200001</v>
      </c>
      <c r="N1925" s="2">
        <v>193325</v>
      </c>
      <c r="O1925" t="s">
        <v>23</v>
      </c>
    </row>
    <row r="1926" spans="1:15" x14ac:dyDescent="0.3">
      <c r="A1926" s="1">
        <v>45755</v>
      </c>
      <c r="B1926" t="s">
        <v>15</v>
      </c>
      <c r="C1926" s="3">
        <v>1172</v>
      </c>
      <c r="D1926" s="3">
        <v>1196.5999999999999</v>
      </c>
      <c r="E1926" s="3">
        <v>1163.3</v>
      </c>
      <c r="F1926" s="3">
        <v>1165.7</v>
      </c>
      <c r="G1926" s="3">
        <v>1181.05</v>
      </c>
      <c r="H1926" s="3">
        <v>1182.2</v>
      </c>
      <c r="I1926" s="3">
        <v>1179.5</v>
      </c>
      <c r="J1926" s="3">
        <v>3217.6</v>
      </c>
      <c r="K1926" s="3">
        <v>1114.8499999999999</v>
      </c>
      <c r="L1926" s="2">
        <v>19555040</v>
      </c>
      <c r="M1926" s="2">
        <v>23065209423</v>
      </c>
      <c r="N1926" s="2">
        <v>314171</v>
      </c>
      <c r="O1926" t="s">
        <v>23</v>
      </c>
    </row>
    <row r="1927" spans="1:15" x14ac:dyDescent="0.3">
      <c r="A1927" s="1">
        <v>45754</v>
      </c>
      <c r="B1927" t="s">
        <v>15</v>
      </c>
      <c r="C1927" s="3">
        <v>1132.2</v>
      </c>
      <c r="D1927" s="3">
        <v>1171.25</v>
      </c>
      <c r="E1927" s="3">
        <v>1114.8499999999999</v>
      </c>
      <c r="F1927" s="3">
        <v>1204.7</v>
      </c>
      <c r="G1927" s="3">
        <v>1171.25</v>
      </c>
      <c r="H1927" s="3">
        <v>1165.7</v>
      </c>
      <c r="I1927" s="3">
        <v>1150.54</v>
      </c>
      <c r="J1927" s="3">
        <v>3217.6</v>
      </c>
      <c r="K1927" s="3">
        <v>1114.8499999999999</v>
      </c>
      <c r="L1927" s="2">
        <v>22156106</v>
      </c>
      <c r="M1927" s="2">
        <v>25491501838.900002</v>
      </c>
      <c r="N1927" s="2">
        <v>677564</v>
      </c>
      <c r="O1927" t="s">
        <v>23</v>
      </c>
    </row>
    <row r="1928" spans="1:15" x14ac:dyDescent="0.3">
      <c r="A1928" s="1">
        <v>45751</v>
      </c>
      <c r="B1928" t="s">
        <v>15</v>
      </c>
      <c r="C1928" s="3">
        <v>1241.0999999999999</v>
      </c>
      <c r="D1928" s="3">
        <v>1245.45</v>
      </c>
      <c r="E1928" s="3">
        <v>1193.1500000000001</v>
      </c>
      <c r="F1928" s="3">
        <v>1248.7</v>
      </c>
      <c r="G1928" s="3">
        <v>1205.9000000000001</v>
      </c>
      <c r="H1928" s="3">
        <v>1204.7</v>
      </c>
      <c r="I1928" s="3">
        <v>1206.6199999999999</v>
      </c>
      <c r="J1928" s="3">
        <v>3217.6</v>
      </c>
      <c r="K1928" s="3">
        <v>1156</v>
      </c>
      <c r="L1928" s="2">
        <v>17908652</v>
      </c>
      <c r="M1928" s="2">
        <v>21608977995.099998</v>
      </c>
      <c r="N1928" s="2">
        <v>542347</v>
      </c>
      <c r="O1928" t="s">
        <v>23</v>
      </c>
    </row>
    <row r="1929" spans="1:15" x14ac:dyDescent="0.3">
      <c r="A1929" s="1">
        <v>45750</v>
      </c>
      <c r="B1929" t="s">
        <v>15</v>
      </c>
      <c r="C1929" s="3">
        <v>1233.05</v>
      </c>
      <c r="D1929" s="3">
        <v>1251.8</v>
      </c>
      <c r="E1929" s="3">
        <v>1233.05</v>
      </c>
      <c r="F1929" s="3">
        <v>1251.1500000000001</v>
      </c>
      <c r="G1929" s="3">
        <v>1248.5</v>
      </c>
      <c r="H1929" s="3">
        <v>1248.7</v>
      </c>
      <c r="I1929" s="3">
        <v>1246.31</v>
      </c>
      <c r="J1929" s="3">
        <v>3217.6</v>
      </c>
      <c r="K1929" s="3">
        <v>1156</v>
      </c>
      <c r="L1929" s="2">
        <v>7434366</v>
      </c>
      <c r="M1929" s="2">
        <v>9265530670.8500004</v>
      </c>
      <c r="N1929" s="2">
        <v>146316</v>
      </c>
      <c r="O1929" t="s">
        <v>23</v>
      </c>
    </row>
    <row r="1930" spans="1:15" x14ac:dyDescent="0.3">
      <c r="A1930" s="1">
        <v>45749</v>
      </c>
      <c r="B1930" t="s">
        <v>15</v>
      </c>
      <c r="C1930" s="3">
        <v>1247.55</v>
      </c>
      <c r="D1930" s="3">
        <v>1255.55</v>
      </c>
      <c r="E1930" s="3">
        <v>1243.9000000000001</v>
      </c>
      <c r="F1930" s="3">
        <v>1252.5999999999999</v>
      </c>
      <c r="G1930" s="3">
        <v>1252</v>
      </c>
      <c r="H1930" s="3">
        <v>1251.1500000000001</v>
      </c>
      <c r="I1930" s="3">
        <v>1251.04</v>
      </c>
      <c r="J1930" s="3">
        <v>3217.6</v>
      </c>
      <c r="K1930" s="3">
        <v>1156</v>
      </c>
      <c r="L1930" s="2">
        <v>10142590</v>
      </c>
      <c r="M1930" s="2">
        <v>12688802512.15</v>
      </c>
      <c r="N1930" s="2">
        <v>177979</v>
      </c>
      <c r="O1930" t="s">
        <v>23</v>
      </c>
    </row>
    <row r="1931" spans="1:15" x14ac:dyDescent="0.3">
      <c r="A1931" s="1">
        <v>45748</v>
      </c>
      <c r="B1931" t="s">
        <v>15</v>
      </c>
      <c r="C1931" s="3">
        <v>1264.5999999999999</v>
      </c>
      <c r="D1931" s="3">
        <v>1277.9000000000001</v>
      </c>
      <c r="E1931" s="3">
        <v>1249.3</v>
      </c>
      <c r="F1931" s="3">
        <v>1275.0999999999999</v>
      </c>
      <c r="G1931" s="3">
        <v>1254</v>
      </c>
      <c r="H1931" s="3">
        <v>1252.5999999999999</v>
      </c>
      <c r="I1931" s="3">
        <v>1260.72</v>
      </c>
      <c r="J1931" s="3">
        <v>3217.6</v>
      </c>
      <c r="K1931" s="3">
        <v>1156</v>
      </c>
      <c r="L1931" s="2">
        <v>12099648</v>
      </c>
      <c r="M1931" s="2">
        <v>15254261046.799999</v>
      </c>
      <c r="N1931" s="2">
        <v>260862</v>
      </c>
      <c r="O1931" t="s">
        <v>23</v>
      </c>
    </row>
    <row r="1932" spans="1:15" x14ac:dyDescent="0.3">
      <c r="A1932" s="1">
        <v>45744</v>
      </c>
      <c r="B1932" t="s">
        <v>15</v>
      </c>
      <c r="C1932" s="3">
        <v>1280</v>
      </c>
      <c r="D1932" s="3">
        <v>1295.75</v>
      </c>
      <c r="E1932" s="3">
        <v>1269</v>
      </c>
      <c r="F1932" s="3">
        <v>1278.2</v>
      </c>
      <c r="G1932" s="3">
        <v>1274</v>
      </c>
      <c r="H1932" s="3">
        <v>1275.0999999999999</v>
      </c>
      <c r="I1932" s="3">
        <v>1278.1500000000001</v>
      </c>
      <c r="J1932" s="3">
        <v>3217.6</v>
      </c>
      <c r="K1932" s="3">
        <v>1156</v>
      </c>
      <c r="L1932" s="2">
        <v>18147129</v>
      </c>
      <c r="M1932" s="2">
        <v>23194774030.900002</v>
      </c>
      <c r="N1932" s="2">
        <v>265113</v>
      </c>
      <c r="O1932" t="s">
        <v>23</v>
      </c>
    </row>
    <row r="1933" spans="1:15" x14ac:dyDescent="0.3">
      <c r="A1933" s="1">
        <v>45743</v>
      </c>
      <c r="B1933" t="s">
        <v>15</v>
      </c>
      <c r="C1933" s="3">
        <v>1278.1500000000001</v>
      </c>
      <c r="D1933" s="3">
        <v>1285</v>
      </c>
      <c r="E1933" s="3">
        <v>1271.3</v>
      </c>
      <c r="F1933" s="3">
        <v>1273.05</v>
      </c>
      <c r="G1933" s="3">
        <v>1280</v>
      </c>
      <c r="H1933" s="3">
        <v>1278.2</v>
      </c>
      <c r="I1933" s="3">
        <v>1278.9000000000001</v>
      </c>
      <c r="J1933" s="3">
        <v>3217.6</v>
      </c>
      <c r="K1933" s="3">
        <v>1156</v>
      </c>
      <c r="L1933" s="2">
        <v>15028056</v>
      </c>
      <c r="M1933" s="2">
        <v>19219399902.900002</v>
      </c>
      <c r="N1933" s="2">
        <v>224828</v>
      </c>
      <c r="O1933" t="s">
        <v>23</v>
      </c>
    </row>
    <row r="1934" spans="1:15" x14ac:dyDescent="0.3">
      <c r="A1934" s="1">
        <v>45742</v>
      </c>
      <c r="B1934" t="s">
        <v>15</v>
      </c>
      <c r="C1934" s="3">
        <v>1291</v>
      </c>
      <c r="D1934" s="3">
        <v>1293.8</v>
      </c>
      <c r="E1934" s="3">
        <v>1268.75</v>
      </c>
      <c r="F1934" s="3">
        <v>1285.45</v>
      </c>
      <c r="G1934" s="3">
        <v>1270.9000000000001</v>
      </c>
      <c r="H1934" s="3">
        <v>1273.05</v>
      </c>
      <c r="I1934" s="3">
        <v>1279.04</v>
      </c>
      <c r="J1934" s="3">
        <v>3217.6</v>
      </c>
      <c r="K1934" s="3">
        <v>1156</v>
      </c>
      <c r="L1934" s="2">
        <v>12074747</v>
      </c>
      <c r="M1934" s="2">
        <v>15444062345.35</v>
      </c>
      <c r="N1934" s="2">
        <v>292138</v>
      </c>
      <c r="O1934" t="s">
        <v>23</v>
      </c>
    </row>
    <row r="1935" spans="1:15" x14ac:dyDescent="0.3">
      <c r="A1935" s="1">
        <v>45741</v>
      </c>
      <c r="B1935" t="s">
        <v>15</v>
      </c>
      <c r="C1935" s="3">
        <v>1307.7</v>
      </c>
      <c r="D1935" s="3">
        <v>1307.7</v>
      </c>
      <c r="E1935" s="3">
        <v>1282.5999999999999</v>
      </c>
      <c r="F1935" s="3">
        <v>1302.0999999999999</v>
      </c>
      <c r="G1935" s="3">
        <v>1285.25</v>
      </c>
      <c r="H1935" s="3">
        <v>1285.45</v>
      </c>
      <c r="I1935" s="3">
        <v>1290.6300000000001</v>
      </c>
      <c r="J1935" s="3">
        <v>3217.6</v>
      </c>
      <c r="K1935" s="3">
        <v>1156</v>
      </c>
      <c r="L1935" s="2">
        <v>13713899</v>
      </c>
      <c r="M1935" s="2">
        <v>17699568389.849998</v>
      </c>
      <c r="N1935" s="2">
        <v>271251</v>
      </c>
      <c r="O1935" t="s">
        <v>23</v>
      </c>
    </row>
    <row r="1936" spans="1:15" x14ac:dyDescent="0.3">
      <c r="A1936" s="1">
        <v>45740</v>
      </c>
      <c r="B1936" t="s">
        <v>15</v>
      </c>
      <c r="C1936" s="3">
        <v>1291</v>
      </c>
      <c r="D1936" s="3">
        <v>1306</v>
      </c>
      <c r="E1936" s="3">
        <v>1284.25</v>
      </c>
      <c r="F1936" s="3">
        <v>1276.3499999999999</v>
      </c>
      <c r="G1936" s="3">
        <v>1302.6500000000001</v>
      </c>
      <c r="H1936" s="3">
        <v>1302.0999999999999</v>
      </c>
      <c r="I1936" s="3">
        <v>1297.3800000000001</v>
      </c>
      <c r="J1936" s="3">
        <v>3217.6</v>
      </c>
      <c r="K1936" s="3">
        <v>1156</v>
      </c>
      <c r="L1936" s="2">
        <v>20299319</v>
      </c>
      <c r="M1936" s="2">
        <v>26335901171.150002</v>
      </c>
      <c r="N1936" s="2">
        <v>347056</v>
      </c>
      <c r="O1936" t="s">
        <v>23</v>
      </c>
    </row>
    <row r="1937" spans="1:15" x14ac:dyDescent="0.3">
      <c r="A1937" s="1">
        <v>45737</v>
      </c>
      <c r="B1937" t="s">
        <v>15</v>
      </c>
      <c r="C1937" s="3">
        <v>1275</v>
      </c>
      <c r="D1937" s="3">
        <v>1281</v>
      </c>
      <c r="E1937" s="3">
        <v>1270.0999999999999</v>
      </c>
      <c r="F1937" s="3">
        <v>1269.1500000000001</v>
      </c>
      <c r="G1937" s="3">
        <v>1277.5</v>
      </c>
      <c r="H1937" s="3">
        <v>1276.3499999999999</v>
      </c>
      <c r="I1937" s="3">
        <v>1276.3399999999999</v>
      </c>
      <c r="J1937" s="3">
        <v>3217.6</v>
      </c>
      <c r="K1937" s="3">
        <v>1156</v>
      </c>
      <c r="L1937" s="2">
        <v>21780769</v>
      </c>
      <c r="M1937" s="2">
        <v>27799653516.400002</v>
      </c>
      <c r="N1937" s="2">
        <v>230001</v>
      </c>
      <c r="O1937" t="s">
        <v>23</v>
      </c>
    </row>
    <row r="1938" spans="1:15" x14ac:dyDescent="0.3">
      <c r="A1938" s="1">
        <v>45736</v>
      </c>
      <c r="B1938" t="s">
        <v>15</v>
      </c>
      <c r="C1938" s="3">
        <v>1251.8499999999999</v>
      </c>
      <c r="D1938" s="3">
        <v>1273</v>
      </c>
      <c r="E1938" s="3">
        <v>1250.05</v>
      </c>
      <c r="F1938" s="3">
        <v>1247.1500000000001</v>
      </c>
      <c r="G1938" s="3">
        <v>1268.2</v>
      </c>
      <c r="H1938" s="3">
        <v>1269.1500000000001</v>
      </c>
      <c r="I1938" s="3">
        <v>1262.54</v>
      </c>
      <c r="J1938" s="3">
        <v>3217.6</v>
      </c>
      <c r="K1938" s="3">
        <v>1156</v>
      </c>
      <c r="L1938" s="2">
        <v>15971477</v>
      </c>
      <c r="M1938" s="2">
        <v>20164561988.349998</v>
      </c>
      <c r="N1938" s="2">
        <v>219527</v>
      </c>
      <c r="O1938" t="s">
        <v>23</v>
      </c>
    </row>
    <row r="1939" spans="1:15" x14ac:dyDescent="0.3">
      <c r="A1939" s="1">
        <v>45735</v>
      </c>
      <c r="B1939" t="s">
        <v>15</v>
      </c>
      <c r="C1939" s="3">
        <v>1241.05</v>
      </c>
      <c r="D1939" s="3">
        <v>1253.25</v>
      </c>
      <c r="E1939" s="3">
        <v>1238.8</v>
      </c>
      <c r="F1939" s="3">
        <v>1238.8</v>
      </c>
      <c r="G1939" s="3">
        <v>1248</v>
      </c>
      <c r="H1939" s="3">
        <v>1247.1500000000001</v>
      </c>
      <c r="I1939" s="3">
        <v>1247.22</v>
      </c>
      <c r="J1939" s="3">
        <v>3217.6</v>
      </c>
      <c r="K1939" s="3">
        <v>1156</v>
      </c>
      <c r="L1939" s="2">
        <v>16162399</v>
      </c>
      <c r="M1939" s="2">
        <v>20158006340.599998</v>
      </c>
      <c r="N1939" s="2">
        <v>217782</v>
      </c>
      <c r="O1939" t="s">
        <v>23</v>
      </c>
    </row>
    <row r="1940" spans="1:15" x14ac:dyDescent="0.3">
      <c r="A1940" s="1">
        <v>45734</v>
      </c>
      <c r="B1940" t="s">
        <v>15</v>
      </c>
      <c r="C1940" s="3">
        <v>1244.7</v>
      </c>
      <c r="D1940" s="3">
        <v>1248.3499999999999</v>
      </c>
      <c r="E1940" s="3">
        <v>1235</v>
      </c>
      <c r="F1940" s="3">
        <v>1238.8499999999999</v>
      </c>
      <c r="G1940" s="3">
        <v>1239.95</v>
      </c>
      <c r="H1940" s="3">
        <v>1238.8</v>
      </c>
      <c r="I1940" s="3">
        <v>1238.98</v>
      </c>
      <c r="J1940" s="3">
        <v>3217.6</v>
      </c>
      <c r="K1940" s="3">
        <v>1156</v>
      </c>
      <c r="L1940" s="2">
        <v>15745877</v>
      </c>
      <c r="M1940" s="2">
        <v>19508893454.650002</v>
      </c>
      <c r="N1940" s="2">
        <v>312315</v>
      </c>
      <c r="O1940" t="s">
        <v>23</v>
      </c>
    </row>
    <row r="1941" spans="1:15" x14ac:dyDescent="0.3">
      <c r="A1941" s="1">
        <v>45733</v>
      </c>
      <c r="B1941" t="s">
        <v>15</v>
      </c>
      <c r="C1941" s="3">
        <v>1242.1500000000001</v>
      </c>
      <c r="D1941" s="3">
        <v>1257.4000000000001</v>
      </c>
      <c r="E1941" s="3">
        <v>1233.0999999999999</v>
      </c>
      <c r="F1941" s="3">
        <v>1247.9000000000001</v>
      </c>
      <c r="G1941" s="3">
        <v>1241.55</v>
      </c>
      <c r="H1941" s="3">
        <v>1238.8499999999999</v>
      </c>
      <c r="I1941" s="3">
        <v>1239.76</v>
      </c>
      <c r="J1941" s="3">
        <v>3217.6</v>
      </c>
      <c r="K1941" s="3">
        <v>1156</v>
      </c>
      <c r="L1941" s="2">
        <v>16640952</v>
      </c>
      <c r="M1941" s="2">
        <v>20630843725.150002</v>
      </c>
      <c r="N1941" s="2">
        <v>269824</v>
      </c>
      <c r="O1941" t="s">
        <v>23</v>
      </c>
    </row>
    <row r="1942" spans="1:15" x14ac:dyDescent="0.3">
      <c r="A1942" s="1">
        <v>45729</v>
      </c>
      <c r="B1942" t="s">
        <v>15</v>
      </c>
      <c r="C1942" s="3">
        <v>1260.05</v>
      </c>
      <c r="D1942" s="3">
        <v>1264.1500000000001</v>
      </c>
      <c r="E1942" s="3">
        <v>1243.8499999999999</v>
      </c>
      <c r="F1942" s="3">
        <v>1257.05</v>
      </c>
      <c r="G1942" s="3">
        <v>1246.6500000000001</v>
      </c>
      <c r="H1942" s="3">
        <v>1247.9000000000001</v>
      </c>
      <c r="I1942" s="3">
        <v>1254.23</v>
      </c>
      <c r="J1942" s="3">
        <v>3217.6</v>
      </c>
      <c r="K1942" s="3">
        <v>1156</v>
      </c>
      <c r="L1942" s="2">
        <v>9505270</v>
      </c>
      <c r="M1942" s="2">
        <v>11921766653.799999</v>
      </c>
      <c r="N1942" s="2">
        <v>194588</v>
      </c>
      <c r="O1942" t="s">
        <v>23</v>
      </c>
    </row>
    <row r="1943" spans="1:15" x14ac:dyDescent="0.3">
      <c r="A1943" s="1">
        <v>45728</v>
      </c>
      <c r="B1943" t="s">
        <v>15</v>
      </c>
      <c r="C1943" s="3">
        <v>1258</v>
      </c>
      <c r="D1943" s="3">
        <v>1263</v>
      </c>
      <c r="E1943" s="3">
        <v>1244</v>
      </c>
      <c r="F1943" s="3">
        <v>1247.3</v>
      </c>
      <c r="G1943" s="3">
        <v>1255.95</v>
      </c>
      <c r="H1943" s="3">
        <v>1257.05</v>
      </c>
      <c r="I1943" s="3">
        <v>1252.97</v>
      </c>
      <c r="J1943" s="3">
        <v>3217.6</v>
      </c>
      <c r="K1943" s="3">
        <v>1156</v>
      </c>
      <c r="L1943" s="2">
        <v>11977555</v>
      </c>
      <c r="M1943" s="2">
        <v>15007514668.9</v>
      </c>
      <c r="N1943" s="2">
        <v>161536</v>
      </c>
      <c r="O1943" t="s">
        <v>23</v>
      </c>
    </row>
    <row r="1944" spans="1:15" x14ac:dyDescent="0.3">
      <c r="A1944" s="1">
        <v>45727</v>
      </c>
      <c r="B1944" t="s">
        <v>15</v>
      </c>
      <c r="C1944" s="3">
        <v>1240</v>
      </c>
      <c r="D1944" s="3">
        <v>1249.5</v>
      </c>
      <c r="E1944" s="3">
        <v>1229.75</v>
      </c>
      <c r="F1944" s="3">
        <v>1238.4000000000001</v>
      </c>
      <c r="G1944" s="3">
        <v>1247.25</v>
      </c>
      <c r="H1944" s="3">
        <v>1247.3</v>
      </c>
      <c r="I1944" s="3">
        <v>1241.71</v>
      </c>
      <c r="J1944" s="3">
        <v>3217.6</v>
      </c>
      <c r="K1944" s="3">
        <v>1156</v>
      </c>
      <c r="L1944" s="2">
        <v>10089838</v>
      </c>
      <c r="M1944" s="2">
        <v>12528623904.200001</v>
      </c>
      <c r="N1944" s="2">
        <v>155065</v>
      </c>
      <c r="O1944" t="s">
        <v>23</v>
      </c>
    </row>
    <row r="1945" spans="1:15" x14ac:dyDescent="0.3">
      <c r="A1945" s="1">
        <v>45726</v>
      </c>
      <c r="B1945" t="s">
        <v>15</v>
      </c>
      <c r="C1945" s="3">
        <v>1245</v>
      </c>
      <c r="D1945" s="3">
        <v>1258</v>
      </c>
      <c r="E1945" s="3">
        <v>1235.4000000000001</v>
      </c>
      <c r="F1945" s="3">
        <v>1249.8</v>
      </c>
      <c r="G1945" s="3">
        <v>1237.7</v>
      </c>
      <c r="H1945" s="3">
        <v>1238.4000000000001</v>
      </c>
      <c r="I1945" s="3">
        <v>1245.8499999999999</v>
      </c>
      <c r="J1945" s="3">
        <v>3217.6</v>
      </c>
      <c r="K1945" s="3">
        <v>1156</v>
      </c>
      <c r="L1945" s="2">
        <v>11931051</v>
      </c>
      <c r="M1945" s="2">
        <v>14864340065.65</v>
      </c>
      <c r="N1945" s="2">
        <v>288299</v>
      </c>
      <c r="O1945" t="s">
        <v>23</v>
      </c>
    </row>
    <row r="1946" spans="1:15" x14ac:dyDescent="0.3">
      <c r="A1946" s="1">
        <v>45723</v>
      </c>
      <c r="B1946" t="s">
        <v>15</v>
      </c>
      <c r="C1946" s="3">
        <v>1216</v>
      </c>
      <c r="D1946" s="3">
        <v>1254.8</v>
      </c>
      <c r="E1946" s="3">
        <v>1212</v>
      </c>
      <c r="F1946" s="3">
        <v>1209.5999999999999</v>
      </c>
      <c r="G1946" s="3">
        <v>1246.4000000000001</v>
      </c>
      <c r="H1946" s="3">
        <v>1249.8</v>
      </c>
      <c r="I1946" s="3">
        <v>1243.95</v>
      </c>
      <c r="J1946" s="3">
        <v>3217.6</v>
      </c>
      <c r="K1946" s="3">
        <v>1156</v>
      </c>
      <c r="L1946" s="2">
        <v>16474965</v>
      </c>
      <c r="M1946" s="2">
        <v>20494065096.799999</v>
      </c>
      <c r="N1946" s="2">
        <v>424924</v>
      </c>
      <c r="O1946" t="s">
        <v>23</v>
      </c>
    </row>
    <row r="1947" spans="1:15" x14ac:dyDescent="0.3">
      <c r="A1947" s="1">
        <v>45722</v>
      </c>
      <c r="B1947" t="s">
        <v>15</v>
      </c>
      <c r="C1947" s="3">
        <v>1197</v>
      </c>
      <c r="D1947" s="3">
        <v>1213.95</v>
      </c>
      <c r="E1947" s="3">
        <v>1185.1500000000001</v>
      </c>
      <c r="F1947" s="3">
        <v>1175.5999999999999</v>
      </c>
      <c r="G1947" s="3">
        <v>1211.5</v>
      </c>
      <c r="H1947" s="3">
        <v>1209.5999999999999</v>
      </c>
      <c r="I1947" s="3">
        <v>1199.05</v>
      </c>
      <c r="J1947" s="3">
        <v>3217.6</v>
      </c>
      <c r="K1947" s="3">
        <v>1156</v>
      </c>
      <c r="L1947" s="2">
        <v>14468014</v>
      </c>
      <c r="M1947" s="2">
        <v>17347917723.200001</v>
      </c>
      <c r="N1947" s="2">
        <v>250467</v>
      </c>
      <c r="O1947" t="s">
        <v>23</v>
      </c>
    </row>
    <row r="1948" spans="1:15" x14ac:dyDescent="0.3">
      <c r="A1948" s="1">
        <v>45721</v>
      </c>
      <c r="B1948" t="s">
        <v>15</v>
      </c>
      <c r="C1948" s="3">
        <v>1161</v>
      </c>
      <c r="D1948" s="3">
        <v>1183</v>
      </c>
      <c r="E1948" s="3">
        <v>1157</v>
      </c>
      <c r="F1948" s="3">
        <v>1161.9000000000001</v>
      </c>
      <c r="G1948" s="3">
        <v>1177.1500000000001</v>
      </c>
      <c r="H1948" s="3">
        <v>1175.5999999999999</v>
      </c>
      <c r="I1948" s="3">
        <v>1173.4000000000001</v>
      </c>
      <c r="J1948" s="3">
        <v>3217.6</v>
      </c>
      <c r="K1948" s="3">
        <v>1156</v>
      </c>
      <c r="L1948" s="2">
        <v>8664095</v>
      </c>
      <c r="M1948" s="2">
        <v>10166451492.549999</v>
      </c>
      <c r="N1948" s="2">
        <v>196774</v>
      </c>
      <c r="O1948" t="s">
        <v>23</v>
      </c>
    </row>
    <row r="1949" spans="1:15" x14ac:dyDescent="0.3">
      <c r="A1949" s="1">
        <v>45720</v>
      </c>
      <c r="B1949" t="s">
        <v>15</v>
      </c>
      <c r="C1949" s="3">
        <v>1162.2</v>
      </c>
      <c r="D1949" s="3">
        <v>1174</v>
      </c>
      <c r="E1949" s="3">
        <v>1159.55</v>
      </c>
      <c r="F1949" s="3">
        <v>1171.25</v>
      </c>
      <c r="G1949" s="3">
        <v>1160.45</v>
      </c>
      <c r="H1949" s="3">
        <v>1161.9000000000001</v>
      </c>
      <c r="I1949" s="3">
        <v>1164.92</v>
      </c>
      <c r="J1949" s="3">
        <v>3217.6</v>
      </c>
      <c r="K1949" s="3">
        <v>1156</v>
      </c>
      <c r="L1949" s="2">
        <v>11377373</v>
      </c>
      <c r="M1949" s="2">
        <v>13253711939.15</v>
      </c>
      <c r="N1949" s="2">
        <v>275459</v>
      </c>
      <c r="O1949" t="s">
        <v>23</v>
      </c>
    </row>
    <row r="1950" spans="1:15" x14ac:dyDescent="0.3">
      <c r="A1950" s="1">
        <v>45719</v>
      </c>
      <c r="B1950" t="s">
        <v>15</v>
      </c>
      <c r="C1950" s="3">
        <v>1204</v>
      </c>
      <c r="D1950" s="3">
        <v>1206.45</v>
      </c>
      <c r="E1950" s="3">
        <v>1156</v>
      </c>
      <c r="F1950" s="3">
        <v>1200.0999999999999</v>
      </c>
      <c r="G1950" s="3">
        <v>1174</v>
      </c>
      <c r="H1950" s="3">
        <v>1171.25</v>
      </c>
      <c r="I1950" s="3">
        <v>1168.57</v>
      </c>
      <c r="J1950" s="3">
        <v>3217.6</v>
      </c>
      <c r="K1950" s="3">
        <v>1156</v>
      </c>
      <c r="L1950" s="2">
        <v>17944938</v>
      </c>
      <c r="M1950" s="2">
        <v>20969945818.549999</v>
      </c>
      <c r="N1950" s="2">
        <v>682013</v>
      </c>
      <c r="O1950" t="s">
        <v>23</v>
      </c>
    </row>
    <row r="1951" spans="1:15" x14ac:dyDescent="0.3">
      <c r="A1951" s="1">
        <v>45716</v>
      </c>
      <c r="B1951" t="s">
        <v>15</v>
      </c>
      <c r="C1951" s="3">
        <v>1202</v>
      </c>
      <c r="D1951" s="3">
        <v>1217.3499999999999</v>
      </c>
      <c r="E1951" s="3">
        <v>1193.3</v>
      </c>
      <c r="F1951" s="3">
        <v>1207.0999999999999</v>
      </c>
      <c r="G1951" s="3">
        <v>1198</v>
      </c>
      <c r="H1951" s="3">
        <v>1200.0999999999999</v>
      </c>
      <c r="I1951" s="3">
        <v>1205.6199999999999</v>
      </c>
      <c r="J1951" s="3">
        <v>3217.6</v>
      </c>
      <c r="K1951" s="3">
        <v>1193.3</v>
      </c>
      <c r="L1951" s="2">
        <v>23007298</v>
      </c>
      <c r="M1951" s="2">
        <v>27738125737.599998</v>
      </c>
      <c r="N1951" s="2">
        <v>355378</v>
      </c>
      <c r="O1951" t="s">
        <v>23</v>
      </c>
    </row>
    <row r="1952" spans="1:15" x14ac:dyDescent="0.3">
      <c r="A1952" s="1">
        <v>45715</v>
      </c>
      <c r="B1952" t="s">
        <v>15</v>
      </c>
      <c r="C1952" s="3">
        <v>1212.8</v>
      </c>
      <c r="D1952" s="3">
        <v>1215</v>
      </c>
      <c r="E1952" s="3">
        <v>1200.6500000000001</v>
      </c>
      <c r="F1952" s="3">
        <v>1204</v>
      </c>
      <c r="G1952" s="3">
        <v>1208</v>
      </c>
      <c r="H1952" s="3">
        <v>1207.0999999999999</v>
      </c>
      <c r="I1952" s="3">
        <v>1206.31</v>
      </c>
      <c r="J1952" s="3">
        <v>3217.6</v>
      </c>
      <c r="K1952" s="3">
        <v>1193.3499999999999</v>
      </c>
      <c r="L1952" s="2">
        <v>11509215</v>
      </c>
      <c r="M1952" s="2">
        <v>13883637029.450001</v>
      </c>
      <c r="N1952" s="2">
        <v>236188</v>
      </c>
      <c r="O1952" t="s">
        <v>23</v>
      </c>
    </row>
    <row r="1953" spans="1:15" x14ac:dyDescent="0.3">
      <c r="A1953" s="1">
        <v>45713</v>
      </c>
      <c r="B1953" t="s">
        <v>15</v>
      </c>
      <c r="C1953" s="3">
        <v>1211</v>
      </c>
      <c r="D1953" s="3">
        <v>1221</v>
      </c>
      <c r="E1953" s="3">
        <v>1201.5</v>
      </c>
      <c r="F1953" s="3">
        <v>1214.55</v>
      </c>
      <c r="G1953" s="3">
        <v>1202</v>
      </c>
      <c r="H1953" s="3">
        <v>1204</v>
      </c>
      <c r="I1953" s="3">
        <v>1209.5999999999999</v>
      </c>
      <c r="J1953" s="3">
        <v>3217.6</v>
      </c>
      <c r="K1953" s="3">
        <v>1193.3499999999999</v>
      </c>
      <c r="L1953" s="2">
        <v>11552182</v>
      </c>
      <c r="M1953" s="2">
        <v>13973492939.799999</v>
      </c>
      <c r="N1953" s="2">
        <v>213192</v>
      </c>
      <c r="O1953" t="s">
        <v>23</v>
      </c>
    </row>
    <row r="1954" spans="1:15" x14ac:dyDescent="0.3">
      <c r="A1954" s="1">
        <v>45712</v>
      </c>
      <c r="B1954" t="s">
        <v>15</v>
      </c>
      <c r="C1954" s="3">
        <v>1216.55</v>
      </c>
      <c r="D1954" s="3">
        <v>1223.25</v>
      </c>
      <c r="E1954" s="3">
        <v>1210.5</v>
      </c>
      <c r="F1954" s="3">
        <v>1228.1500000000001</v>
      </c>
      <c r="G1954" s="3">
        <v>1215</v>
      </c>
      <c r="H1954" s="3">
        <v>1214.55</v>
      </c>
      <c r="I1954" s="3">
        <v>1215.9000000000001</v>
      </c>
      <c r="J1954" s="3">
        <v>3217.6</v>
      </c>
      <c r="K1954" s="3">
        <v>1193.3499999999999</v>
      </c>
      <c r="L1954" s="2">
        <v>7172498</v>
      </c>
      <c r="M1954" s="2">
        <v>8721021715.3500004</v>
      </c>
      <c r="N1954" s="2">
        <v>200264</v>
      </c>
      <c r="O1954" t="s">
        <v>23</v>
      </c>
    </row>
    <row r="1955" spans="1:15" x14ac:dyDescent="0.3">
      <c r="A1955" s="1">
        <v>45709</v>
      </c>
      <c r="B1955" t="s">
        <v>15</v>
      </c>
      <c r="C1955" s="3">
        <v>1228.7</v>
      </c>
      <c r="D1955" s="3">
        <v>1240</v>
      </c>
      <c r="E1955" s="3">
        <v>1222.1500000000001</v>
      </c>
      <c r="F1955" s="3">
        <v>1233</v>
      </c>
      <c r="G1955" s="3">
        <v>1226.9000000000001</v>
      </c>
      <c r="H1955" s="3">
        <v>1228.1500000000001</v>
      </c>
      <c r="I1955" s="3">
        <v>1231.3699999999999</v>
      </c>
      <c r="J1955" s="3">
        <v>3217.6</v>
      </c>
      <c r="K1955" s="3">
        <v>1193.3499999999999</v>
      </c>
      <c r="L1955" s="2">
        <v>6904025</v>
      </c>
      <c r="M1955" s="2">
        <v>8501382497.6999998</v>
      </c>
      <c r="N1955" s="2">
        <v>213824</v>
      </c>
      <c r="O1955" t="s">
        <v>23</v>
      </c>
    </row>
    <row r="1956" spans="1:15" x14ac:dyDescent="0.3">
      <c r="A1956" s="1">
        <v>45708</v>
      </c>
      <c r="B1956" t="s">
        <v>15</v>
      </c>
      <c r="C1956" s="3">
        <v>1223.95</v>
      </c>
      <c r="D1956" s="3">
        <v>1239.3499999999999</v>
      </c>
      <c r="E1956" s="3">
        <v>1222</v>
      </c>
      <c r="F1956" s="3">
        <v>1227.45</v>
      </c>
      <c r="G1956" s="3">
        <v>1232</v>
      </c>
      <c r="H1956" s="3">
        <v>1233</v>
      </c>
      <c r="I1956" s="3">
        <v>1233.94</v>
      </c>
      <c r="J1956" s="3">
        <v>3217.6</v>
      </c>
      <c r="K1956" s="3">
        <v>1193.3499999999999</v>
      </c>
      <c r="L1956" s="2">
        <v>7795582</v>
      </c>
      <c r="M1956" s="2">
        <v>9619277166.5</v>
      </c>
      <c r="N1956" s="2">
        <v>162561</v>
      </c>
      <c r="O1956" t="s">
        <v>23</v>
      </c>
    </row>
    <row r="1957" spans="1:15" x14ac:dyDescent="0.3">
      <c r="A1957" s="1">
        <v>45707</v>
      </c>
      <c r="B1957" t="s">
        <v>15</v>
      </c>
      <c r="C1957" s="3">
        <v>1219.5</v>
      </c>
      <c r="D1957" s="3">
        <v>1232.75</v>
      </c>
      <c r="E1957" s="3">
        <v>1217.55</v>
      </c>
      <c r="F1957" s="3">
        <v>1225.4000000000001</v>
      </c>
      <c r="G1957" s="3">
        <v>1226.3</v>
      </c>
      <c r="H1957" s="3">
        <v>1227.45</v>
      </c>
      <c r="I1957" s="3">
        <v>1226.67</v>
      </c>
      <c r="J1957" s="3">
        <v>3217.6</v>
      </c>
      <c r="K1957" s="3">
        <v>1193.3499999999999</v>
      </c>
      <c r="L1957" s="2">
        <v>6217338</v>
      </c>
      <c r="M1957" s="2">
        <v>7626601753.25</v>
      </c>
      <c r="N1957" s="2">
        <v>178165</v>
      </c>
      <c r="O1957" t="s">
        <v>23</v>
      </c>
    </row>
    <row r="1958" spans="1:15" x14ac:dyDescent="0.3">
      <c r="A1958" s="1">
        <v>45706</v>
      </c>
      <c r="B1958" t="s">
        <v>15</v>
      </c>
      <c r="C1958" s="3">
        <v>1224.8499999999999</v>
      </c>
      <c r="D1958" s="3">
        <v>1229.9000000000001</v>
      </c>
      <c r="E1958" s="3">
        <v>1216.0999999999999</v>
      </c>
      <c r="F1958" s="3">
        <v>1224.9000000000001</v>
      </c>
      <c r="G1958" s="3">
        <v>1223.95</v>
      </c>
      <c r="H1958" s="3">
        <v>1225.4000000000001</v>
      </c>
      <c r="I1958" s="3">
        <v>1223.94</v>
      </c>
      <c r="J1958" s="3">
        <v>3217.6</v>
      </c>
      <c r="K1958" s="3">
        <v>1193.3499999999999</v>
      </c>
      <c r="L1958" s="2">
        <v>6673250</v>
      </c>
      <c r="M1958" s="2">
        <v>8167661853.9499998</v>
      </c>
      <c r="N1958" s="2">
        <v>181273</v>
      </c>
      <c r="O1958" t="s">
        <v>23</v>
      </c>
    </row>
    <row r="1959" spans="1:15" x14ac:dyDescent="0.3">
      <c r="A1959" s="1">
        <v>45705</v>
      </c>
      <c r="B1959" t="s">
        <v>15</v>
      </c>
      <c r="C1959" s="3">
        <v>1211.0999999999999</v>
      </c>
      <c r="D1959" s="3">
        <v>1227.5</v>
      </c>
      <c r="E1959" s="3">
        <v>1204.5</v>
      </c>
      <c r="F1959" s="3">
        <v>1217.25</v>
      </c>
      <c r="G1959" s="3">
        <v>1225.45</v>
      </c>
      <c r="H1959" s="3">
        <v>1224.9000000000001</v>
      </c>
      <c r="I1959" s="3">
        <v>1219.6199999999999</v>
      </c>
      <c r="J1959" s="3">
        <v>3217.6</v>
      </c>
      <c r="K1959" s="3">
        <v>1193.3499999999999</v>
      </c>
      <c r="L1959" s="2">
        <v>8166683</v>
      </c>
      <c r="M1959" s="2">
        <v>9960241446.8500004</v>
      </c>
      <c r="N1959" s="2">
        <v>220670</v>
      </c>
      <c r="O1959" t="s">
        <v>23</v>
      </c>
    </row>
    <row r="1960" spans="1:15" x14ac:dyDescent="0.3">
      <c r="A1960" s="1">
        <v>45702</v>
      </c>
      <c r="B1960" t="s">
        <v>15</v>
      </c>
      <c r="C1960" s="3">
        <v>1219</v>
      </c>
      <c r="D1960" s="3">
        <v>1224</v>
      </c>
      <c r="E1960" s="3">
        <v>1205.45</v>
      </c>
      <c r="F1960" s="3">
        <v>1216.0999999999999</v>
      </c>
      <c r="G1960" s="3">
        <v>1214.75</v>
      </c>
      <c r="H1960" s="3">
        <v>1217.25</v>
      </c>
      <c r="I1960" s="3">
        <v>1215.0999999999999</v>
      </c>
      <c r="J1960" s="3">
        <v>3217.6</v>
      </c>
      <c r="K1960" s="3">
        <v>1193.3499999999999</v>
      </c>
      <c r="L1960" s="2">
        <v>10298145</v>
      </c>
      <c r="M1960" s="2">
        <v>12513277266.75</v>
      </c>
      <c r="N1960" s="2">
        <v>202314</v>
      </c>
      <c r="O1960" t="s">
        <v>23</v>
      </c>
    </row>
    <row r="1961" spans="1:15" x14ac:dyDescent="0.3">
      <c r="A1961" s="1">
        <v>45701</v>
      </c>
      <c r="B1961" t="s">
        <v>15</v>
      </c>
      <c r="C1961" s="3">
        <v>1217.05</v>
      </c>
      <c r="D1961" s="3">
        <v>1228</v>
      </c>
      <c r="E1961" s="3">
        <v>1212</v>
      </c>
      <c r="F1961" s="3">
        <v>1216.55</v>
      </c>
      <c r="G1961" s="3">
        <v>1216.2</v>
      </c>
      <c r="H1961" s="3">
        <v>1216.0999999999999</v>
      </c>
      <c r="I1961" s="3">
        <v>1219.5999999999999</v>
      </c>
      <c r="J1961" s="3">
        <v>3217.6</v>
      </c>
      <c r="K1961" s="3">
        <v>1193.3499999999999</v>
      </c>
      <c r="L1961" s="2">
        <v>8511216</v>
      </c>
      <c r="M1961" s="2">
        <v>10380276762.25</v>
      </c>
      <c r="N1961" s="2">
        <v>266249</v>
      </c>
      <c r="O1961" t="s">
        <v>23</v>
      </c>
    </row>
    <row r="1962" spans="1:15" x14ac:dyDescent="0.3">
      <c r="A1962" s="1">
        <v>45700</v>
      </c>
      <c r="B1962" t="s">
        <v>15</v>
      </c>
      <c r="C1962" s="3">
        <v>1219.45</v>
      </c>
      <c r="D1962" s="3">
        <v>1226.9000000000001</v>
      </c>
      <c r="E1962" s="3">
        <v>1193.3499999999999</v>
      </c>
      <c r="F1962" s="3">
        <v>1234.8499999999999</v>
      </c>
      <c r="G1962" s="3">
        <v>1217.05</v>
      </c>
      <c r="H1962" s="3">
        <v>1216.55</v>
      </c>
      <c r="I1962" s="3">
        <v>1211.3900000000001</v>
      </c>
      <c r="J1962" s="3">
        <v>3217.6</v>
      </c>
      <c r="K1962" s="3">
        <v>1193.3499999999999</v>
      </c>
      <c r="L1962" s="2">
        <v>21131654</v>
      </c>
      <c r="M1962" s="2">
        <v>25598619531.25</v>
      </c>
      <c r="N1962" s="2">
        <v>404276</v>
      </c>
      <c r="O1962" t="s">
        <v>23</v>
      </c>
    </row>
    <row r="1963" spans="1:15" x14ac:dyDescent="0.3">
      <c r="A1963" s="1">
        <v>45699</v>
      </c>
      <c r="B1963" t="s">
        <v>15</v>
      </c>
      <c r="C1963" s="3">
        <v>1264.55</v>
      </c>
      <c r="D1963" s="3">
        <v>1264.55</v>
      </c>
      <c r="E1963" s="3">
        <v>1230.0999999999999</v>
      </c>
      <c r="F1963" s="3">
        <v>1253.6500000000001</v>
      </c>
      <c r="G1963" s="3">
        <v>1237.55</v>
      </c>
      <c r="H1963" s="3">
        <v>1234.8499999999999</v>
      </c>
      <c r="I1963" s="3">
        <v>1244.26</v>
      </c>
      <c r="J1963" s="3">
        <v>3217.6</v>
      </c>
      <c r="K1963" s="3">
        <v>1201.5</v>
      </c>
      <c r="L1963" s="2">
        <v>8859714</v>
      </c>
      <c r="M1963" s="2">
        <v>11023757522.950001</v>
      </c>
      <c r="N1963" s="2">
        <v>240683</v>
      </c>
      <c r="O1963" t="s">
        <v>23</v>
      </c>
    </row>
    <row r="1964" spans="1:15" x14ac:dyDescent="0.3">
      <c r="A1964" s="1">
        <v>45698</v>
      </c>
      <c r="B1964" t="s">
        <v>15</v>
      </c>
      <c r="C1964" s="3">
        <v>1264.5</v>
      </c>
      <c r="D1964" s="3">
        <v>1266.5</v>
      </c>
      <c r="E1964" s="3">
        <v>1245.55</v>
      </c>
      <c r="F1964" s="3">
        <v>1266.7</v>
      </c>
      <c r="G1964" s="3">
        <v>1254.6500000000001</v>
      </c>
      <c r="H1964" s="3">
        <v>1253.6500000000001</v>
      </c>
      <c r="I1964" s="3">
        <v>1251.52</v>
      </c>
      <c r="J1964" s="3">
        <v>3217.6</v>
      </c>
      <c r="K1964" s="3">
        <v>1201.5</v>
      </c>
      <c r="L1964" s="2">
        <v>6970972</v>
      </c>
      <c r="M1964" s="2">
        <v>8724286360.5499992</v>
      </c>
      <c r="N1964" s="2">
        <v>173316</v>
      </c>
      <c r="O1964" t="s">
        <v>23</v>
      </c>
    </row>
    <row r="1965" spans="1:15" x14ac:dyDescent="0.3">
      <c r="A1965" s="1">
        <v>45695</v>
      </c>
      <c r="B1965" t="s">
        <v>15</v>
      </c>
      <c r="C1965" s="3">
        <v>1276.1500000000001</v>
      </c>
      <c r="D1965" s="3">
        <v>1283.7</v>
      </c>
      <c r="E1965" s="3">
        <v>1262</v>
      </c>
      <c r="F1965" s="3">
        <v>1281.55</v>
      </c>
      <c r="G1965" s="3">
        <v>1266.5</v>
      </c>
      <c r="H1965" s="3">
        <v>1266.7</v>
      </c>
      <c r="I1965" s="3">
        <v>1270.98</v>
      </c>
      <c r="J1965" s="3">
        <v>3217.6</v>
      </c>
      <c r="K1965" s="3">
        <v>1201.5</v>
      </c>
      <c r="L1965" s="2">
        <v>8764283</v>
      </c>
      <c r="M1965" s="2">
        <v>11139240963.049999</v>
      </c>
      <c r="N1965" s="2">
        <v>174531</v>
      </c>
      <c r="O1965" t="s">
        <v>23</v>
      </c>
    </row>
    <row r="1966" spans="1:15" x14ac:dyDescent="0.3">
      <c r="A1966" s="1">
        <v>45694</v>
      </c>
      <c r="B1966" t="s">
        <v>15</v>
      </c>
      <c r="C1966" s="3">
        <v>1273.7</v>
      </c>
      <c r="D1966" s="3">
        <v>1288</v>
      </c>
      <c r="E1966" s="3">
        <v>1270.3499999999999</v>
      </c>
      <c r="F1966" s="3">
        <v>1278.2</v>
      </c>
      <c r="G1966" s="3">
        <v>1283</v>
      </c>
      <c r="H1966" s="3">
        <v>1281.55</v>
      </c>
      <c r="I1966" s="3">
        <v>1279.27</v>
      </c>
      <c r="J1966" s="3">
        <v>3217.6</v>
      </c>
      <c r="K1966" s="3">
        <v>1201.5</v>
      </c>
      <c r="L1966" s="2">
        <v>9956001</v>
      </c>
      <c r="M1966" s="2">
        <v>12736385821.450001</v>
      </c>
      <c r="N1966" s="2">
        <v>217888</v>
      </c>
      <c r="O1966" t="s">
        <v>23</v>
      </c>
    </row>
    <row r="1967" spans="1:15" x14ac:dyDescent="0.3">
      <c r="A1967" s="1">
        <v>45693</v>
      </c>
      <c r="B1967" t="s">
        <v>15</v>
      </c>
      <c r="C1967" s="3">
        <v>1282.6500000000001</v>
      </c>
      <c r="D1967" s="3">
        <v>1290.5</v>
      </c>
      <c r="E1967" s="3">
        <v>1276.7</v>
      </c>
      <c r="F1967" s="3">
        <v>1285.2</v>
      </c>
      <c r="G1967" s="3">
        <v>1278.5</v>
      </c>
      <c r="H1967" s="3">
        <v>1278.2</v>
      </c>
      <c r="I1967" s="3">
        <v>1281.97</v>
      </c>
      <c r="J1967" s="3">
        <v>3217.6</v>
      </c>
      <c r="K1967" s="3">
        <v>1201.5</v>
      </c>
      <c r="L1967" s="2">
        <v>10112028</v>
      </c>
      <c r="M1967" s="2">
        <v>12963336513.049999</v>
      </c>
      <c r="N1967" s="2">
        <v>219550</v>
      </c>
      <c r="O1967" t="s">
        <v>23</v>
      </c>
    </row>
    <row r="1968" spans="1:15" x14ac:dyDescent="0.3">
      <c r="A1968" s="1">
        <v>45692</v>
      </c>
      <c r="B1968" t="s">
        <v>15</v>
      </c>
      <c r="C1968" s="3">
        <v>1248.05</v>
      </c>
      <c r="D1968" s="3">
        <v>1288.8</v>
      </c>
      <c r="E1968" s="3">
        <v>1246.5999999999999</v>
      </c>
      <c r="F1968" s="3">
        <v>1245.9000000000001</v>
      </c>
      <c r="G1968" s="3">
        <v>1282.9000000000001</v>
      </c>
      <c r="H1968" s="3">
        <v>1285.2</v>
      </c>
      <c r="I1968" s="3">
        <v>1273.6500000000001</v>
      </c>
      <c r="J1968" s="3">
        <v>3217.6</v>
      </c>
      <c r="K1968" s="3">
        <v>1201.5</v>
      </c>
      <c r="L1968" s="2">
        <v>16691069</v>
      </c>
      <c r="M1968" s="2">
        <v>21258496964.75</v>
      </c>
      <c r="N1968" s="2">
        <v>323415</v>
      </c>
      <c r="O1968" t="s">
        <v>23</v>
      </c>
    </row>
    <row r="1969" spans="1:15" x14ac:dyDescent="0.3">
      <c r="A1969" s="1">
        <v>45691</v>
      </c>
      <c r="B1969" t="s">
        <v>15</v>
      </c>
      <c r="C1969" s="3">
        <v>1251</v>
      </c>
      <c r="D1969" s="3">
        <v>1256</v>
      </c>
      <c r="E1969" s="3">
        <v>1237.55</v>
      </c>
      <c r="F1969" s="3">
        <v>1264.5999999999999</v>
      </c>
      <c r="G1969" s="3">
        <v>1247</v>
      </c>
      <c r="H1969" s="3">
        <v>1245.9000000000001</v>
      </c>
      <c r="I1969" s="3">
        <v>1247.1400000000001</v>
      </c>
      <c r="J1969" s="3">
        <v>3217.6</v>
      </c>
      <c r="K1969" s="3">
        <v>1201.5</v>
      </c>
      <c r="L1969" s="2">
        <v>9252345</v>
      </c>
      <c r="M1969" s="2">
        <v>11538963041</v>
      </c>
      <c r="N1969" s="2">
        <v>268425</v>
      </c>
      <c r="O1969" t="s">
        <v>23</v>
      </c>
    </row>
    <row r="1970" spans="1:15" x14ac:dyDescent="0.3">
      <c r="A1970" s="1">
        <v>45689</v>
      </c>
      <c r="B1970" t="s">
        <v>15</v>
      </c>
      <c r="C1970" s="3">
        <v>1265.0999999999999</v>
      </c>
      <c r="D1970" s="3">
        <v>1270.55</v>
      </c>
      <c r="E1970" s="3">
        <v>1241</v>
      </c>
      <c r="F1970" s="3">
        <v>1265.0999999999999</v>
      </c>
      <c r="G1970" s="3">
        <v>1264</v>
      </c>
      <c r="H1970" s="3">
        <v>1264.5999999999999</v>
      </c>
      <c r="I1970" s="3">
        <v>1260.42</v>
      </c>
      <c r="J1970" s="3">
        <v>3217.6</v>
      </c>
      <c r="K1970" s="3">
        <v>1201.5</v>
      </c>
      <c r="L1970" s="2">
        <v>7118453</v>
      </c>
      <c r="M1970" s="2">
        <v>8972248877.3500004</v>
      </c>
      <c r="N1970" s="2">
        <v>143258</v>
      </c>
      <c r="O1970" t="s">
        <v>23</v>
      </c>
    </row>
    <row r="1971" spans="1:15" x14ac:dyDescent="0.3">
      <c r="A1971" s="1">
        <v>45688</v>
      </c>
      <c r="B1971" t="s">
        <v>15</v>
      </c>
      <c r="C1971" s="3">
        <v>1255.8499999999999</v>
      </c>
      <c r="D1971" s="3">
        <v>1267</v>
      </c>
      <c r="E1971" s="3">
        <v>1249</v>
      </c>
      <c r="F1971" s="3">
        <v>1253.05</v>
      </c>
      <c r="G1971" s="3">
        <v>1266</v>
      </c>
      <c r="H1971" s="3">
        <v>1265.0999999999999</v>
      </c>
      <c r="I1971" s="3">
        <v>1261.32</v>
      </c>
      <c r="J1971" s="3">
        <v>3217.6</v>
      </c>
      <c r="K1971" s="3">
        <v>1201.5</v>
      </c>
      <c r="L1971" s="2">
        <v>6584612</v>
      </c>
      <c r="M1971" s="2">
        <v>8305291978.4499998</v>
      </c>
      <c r="N1971" s="2">
        <v>169481</v>
      </c>
      <c r="O1971" t="s">
        <v>23</v>
      </c>
    </row>
    <row r="1972" spans="1:15" x14ac:dyDescent="0.3">
      <c r="A1972" s="1">
        <v>45687</v>
      </c>
      <c r="B1972" t="s">
        <v>15</v>
      </c>
      <c r="C1972" s="3">
        <v>1235.55</v>
      </c>
      <c r="D1972" s="3">
        <v>1257</v>
      </c>
      <c r="E1972" s="3">
        <v>1232.4000000000001</v>
      </c>
      <c r="F1972" s="3">
        <v>1235.5</v>
      </c>
      <c r="G1972" s="3">
        <v>1253.1500000000001</v>
      </c>
      <c r="H1972" s="3">
        <v>1253.05</v>
      </c>
      <c r="I1972" s="3">
        <v>1249.1500000000001</v>
      </c>
      <c r="J1972" s="3">
        <v>3217.6</v>
      </c>
      <c r="K1972" s="3">
        <v>1201.5</v>
      </c>
      <c r="L1972" s="2">
        <v>9269259</v>
      </c>
      <c r="M1972" s="2">
        <v>11578693152.950001</v>
      </c>
      <c r="N1972" s="2">
        <v>227871</v>
      </c>
      <c r="O1972" t="s">
        <v>23</v>
      </c>
    </row>
    <row r="1973" spans="1:15" x14ac:dyDescent="0.3">
      <c r="A1973" s="1">
        <v>45686</v>
      </c>
      <c r="B1973" t="s">
        <v>15</v>
      </c>
      <c r="C1973" s="3">
        <v>1236</v>
      </c>
      <c r="D1973" s="3">
        <v>1242.75</v>
      </c>
      <c r="E1973" s="3">
        <v>1228.05</v>
      </c>
      <c r="F1973" s="3">
        <v>1234.4000000000001</v>
      </c>
      <c r="G1973" s="3">
        <v>1237.25</v>
      </c>
      <c r="H1973" s="3">
        <v>1235.5</v>
      </c>
      <c r="I1973" s="3">
        <v>1236.6600000000001</v>
      </c>
      <c r="J1973" s="3">
        <v>3217.6</v>
      </c>
      <c r="K1973" s="3">
        <v>1201.5</v>
      </c>
      <c r="L1973" s="2">
        <v>5928156</v>
      </c>
      <c r="M1973" s="2">
        <v>7331119895.8000002</v>
      </c>
      <c r="N1973" s="2">
        <v>167073</v>
      </c>
      <c r="O1973" t="s">
        <v>23</v>
      </c>
    </row>
    <row r="1974" spans="1:15" x14ac:dyDescent="0.3">
      <c r="A1974" s="1">
        <v>45685</v>
      </c>
      <c r="B1974" t="s">
        <v>15</v>
      </c>
      <c r="C1974" s="3">
        <v>1238</v>
      </c>
      <c r="D1974" s="3">
        <v>1244.75</v>
      </c>
      <c r="E1974" s="3">
        <v>1218.5</v>
      </c>
      <c r="F1974" s="3">
        <v>1229.3499999999999</v>
      </c>
      <c r="G1974" s="3">
        <v>1235</v>
      </c>
      <c r="H1974" s="3">
        <v>1234.4000000000001</v>
      </c>
      <c r="I1974" s="3">
        <v>1232.6500000000001</v>
      </c>
      <c r="J1974" s="3">
        <v>3217.6</v>
      </c>
      <c r="K1974" s="3">
        <v>1201.5</v>
      </c>
      <c r="L1974" s="2">
        <v>10568025</v>
      </c>
      <c r="M1974" s="2">
        <v>13026673067.35</v>
      </c>
      <c r="N1974" s="2">
        <v>286863</v>
      </c>
      <c r="O1974" t="s">
        <v>23</v>
      </c>
    </row>
    <row r="1975" spans="1:15" x14ac:dyDescent="0.3">
      <c r="A1975" s="1">
        <v>45684</v>
      </c>
      <c r="B1975" t="s">
        <v>15</v>
      </c>
      <c r="C1975" s="3">
        <v>1239.0999999999999</v>
      </c>
      <c r="D1975" s="3">
        <v>1240.45</v>
      </c>
      <c r="E1975" s="3">
        <v>1220</v>
      </c>
      <c r="F1975" s="3">
        <v>1246.3</v>
      </c>
      <c r="G1975" s="3">
        <v>1229</v>
      </c>
      <c r="H1975" s="3">
        <v>1229.3499999999999</v>
      </c>
      <c r="I1975" s="3">
        <v>1229.3499999999999</v>
      </c>
      <c r="J1975" s="3">
        <v>3217.6</v>
      </c>
      <c r="K1975" s="3">
        <v>1201.5</v>
      </c>
      <c r="L1975" s="2">
        <v>9536019</v>
      </c>
      <c r="M1975" s="2">
        <v>11723127883.65</v>
      </c>
      <c r="N1975" s="2">
        <v>368025</v>
      </c>
      <c r="O1975" t="s">
        <v>23</v>
      </c>
    </row>
    <row r="1976" spans="1:15" x14ac:dyDescent="0.3">
      <c r="A1976" s="1">
        <v>45681</v>
      </c>
      <c r="B1976" t="s">
        <v>15</v>
      </c>
      <c r="C1976" s="3">
        <v>1266</v>
      </c>
      <c r="D1976" s="3">
        <v>1273</v>
      </c>
      <c r="E1976" s="3">
        <v>1243.5</v>
      </c>
      <c r="F1976" s="3">
        <v>1263.6500000000001</v>
      </c>
      <c r="G1976" s="3">
        <v>1244.45</v>
      </c>
      <c r="H1976" s="3">
        <v>1246.3</v>
      </c>
      <c r="I1976" s="3">
        <v>1252.27</v>
      </c>
      <c r="J1976" s="3">
        <v>3217.6</v>
      </c>
      <c r="K1976" s="3">
        <v>1201.5</v>
      </c>
      <c r="L1976" s="2">
        <v>14235970</v>
      </c>
      <c r="M1976" s="2">
        <v>17827272395</v>
      </c>
      <c r="N1976" s="2">
        <v>263461</v>
      </c>
      <c r="O1976" t="s">
        <v>23</v>
      </c>
    </row>
    <row r="1977" spans="1:15" x14ac:dyDescent="0.3">
      <c r="A1977" s="1">
        <v>45680</v>
      </c>
      <c r="B1977" t="s">
        <v>15</v>
      </c>
      <c r="C1977" s="3">
        <v>1270</v>
      </c>
      <c r="D1977" s="3">
        <v>1277.3499999999999</v>
      </c>
      <c r="E1977" s="3">
        <v>1261.5999999999999</v>
      </c>
      <c r="F1977" s="3">
        <v>1277.0999999999999</v>
      </c>
      <c r="G1977" s="3">
        <v>1264.9000000000001</v>
      </c>
      <c r="H1977" s="3">
        <v>1263.6500000000001</v>
      </c>
      <c r="I1977" s="3">
        <v>1267.52</v>
      </c>
      <c r="J1977" s="3">
        <v>3217.6</v>
      </c>
      <c r="K1977" s="3">
        <v>1201.5</v>
      </c>
      <c r="L1977" s="2">
        <v>8720682</v>
      </c>
      <c r="M1977" s="2">
        <v>11053624692.799999</v>
      </c>
      <c r="N1977" s="2">
        <v>188421</v>
      </c>
      <c r="O1977" t="s">
        <v>23</v>
      </c>
    </row>
    <row r="1978" spans="1:15" x14ac:dyDescent="0.3">
      <c r="A1978" s="1">
        <v>45679</v>
      </c>
      <c r="B1978" t="s">
        <v>15</v>
      </c>
      <c r="C1978" s="3">
        <v>1278.3</v>
      </c>
      <c r="D1978" s="3">
        <v>1282.9000000000001</v>
      </c>
      <c r="E1978" s="3">
        <v>1268.7</v>
      </c>
      <c r="F1978" s="3">
        <v>1273.7</v>
      </c>
      <c r="G1978" s="3">
        <v>1278</v>
      </c>
      <c r="H1978" s="3">
        <v>1277.0999999999999</v>
      </c>
      <c r="I1978" s="3">
        <v>1276.0899999999999</v>
      </c>
      <c r="J1978" s="3">
        <v>3217.6</v>
      </c>
      <c r="K1978" s="3">
        <v>1201.5</v>
      </c>
      <c r="L1978" s="2">
        <v>10273590</v>
      </c>
      <c r="M1978" s="2">
        <v>13110004094.65</v>
      </c>
      <c r="N1978" s="2">
        <v>239816</v>
      </c>
      <c r="O1978" t="s">
        <v>23</v>
      </c>
    </row>
    <row r="1979" spans="1:15" x14ac:dyDescent="0.3">
      <c r="A1979" s="1">
        <v>45678</v>
      </c>
      <c r="B1979" t="s">
        <v>15</v>
      </c>
      <c r="C1979" s="3">
        <v>1310.5</v>
      </c>
      <c r="D1979" s="3">
        <v>1313</v>
      </c>
      <c r="E1979" s="3">
        <v>1270.2</v>
      </c>
      <c r="F1979" s="3">
        <v>1305.45</v>
      </c>
      <c r="G1979" s="3">
        <v>1277.5999999999999</v>
      </c>
      <c r="H1979" s="3">
        <v>1273.7</v>
      </c>
      <c r="I1979" s="3">
        <v>1284.79</v>
      </c>
      <c r="J1979" s="3">
        <v>3217.6</v>
      </c>
      <c r="K1979" s="3">
        <v>1201.5</v>
      </c>
      <c r="L1979" s="2">
        <v>14562976</v>
      </c>
      <c r="M1979" s="2">
        <v>18710366859.099998</v>
      </c>
      <c r="N1979" s="2">
        <v>325783</v>
      </c>
      <c r="O1979" t="s">
        <v>23</v>
      </c>
    </row>
    <row r="1980" spans="1:15" x14ac:dyDescent="0.3">
      <c r="A1980" s="1">
        <v>45677</v>
      </c>
      <c r="B1980" t="s">
        <v>15</v>
      </c>
      <c r="C1980" s="3">
        <v>1316</v>
      </c>
      <c r="D1980" s="3">
        <v>1316</v>
      </c>
      <c r="E1980" s="3">
        <v>1300.25</v>
      </c>
      <c r="F1980" s="3">
        <v>1302.3499999999999</v>
      </c>
      <c r="G1980" s="3">
        <v>1304</v>
      </c>
      <c r="H1980" s="3">
        <v>1305.45</v>
      </c>
      <c r="I1980" s="3">
        <v>1307.82</v>
      </c>
      <c r="J1980" s="3">
        <v>3217.6</v>
      </c>
      <c r="K1980" s="3">
        <v>1201.5</v>
      </c>
      <c r="L1980" s="2">
        <v>14040244</v>
      </c>
      <c r="M1980" s="2">
        <v>18362047246.700001</v>
      </c>
      <c r="N1980" s="2">
        <v>280553</v>
      </c>
      <c r="O1980" t="s">
        <v>23</v>
      </c>
    </row>
    <row r="1981" spans="1:15" x14ac:dyDescent="0.3">
      <c r="A1981" s="1">
        <v>45674</v>
      </c>
      <c r="B1981" t="s">
        <v>15</v>
      </c>
      <c r="C1981" s="3">
        <v>1322.25</v>
      </c>
      <c r="D1981" s="3">
        <v>1326</v>
      </c>
      <c r="E1981" s="3">
        <v>1285</v>
      </c>
      <c r="F1981" s="3">
        <v>1266.45</v>
      </c>
      <c r="G1981" s="3">
        <v>1300</v>
      </c>
      <c r="H1981" s="3">
        <v>1302.3499999999999</v>
      </c>
      <c r="I1981" s="3">
        <v>1300.8</v>
      </c>
      <c r="J1981" s="3">
        <v>3217.6</v>
      </c>
      <c r="K1981" s="3">
        <v>1201.5</v>
      </c>
      <c r="L1981" s="2">
        <v>29366277</v>
      </c>
      <c r="M1981" s="2">
        <v>38199728794.400002</v>
      </c>
      <c r="N1981" s="2">
        <v>594018</v>
      </c>
      <c r="O1981" t="s">
        <v>23</v>
      </c>
    </row>
    <row r="1982" spans="1:15" x14ac:dyDescent="0.3">
      <c r="A1982" s="1">
        <v>45673</v>
      </c>
      <c r="B1982" t="s">
        <v>15</v>
      </c>
      <c r="C1982" s="3">
        <v>1258.9000000000001</v>
      </c>
      <c r="D1982" s="3">
        <v>1275</v>
      </c>
      <c r="E1982" s="3">
        <v>1251.3</v>
      </c>
      <c r="F1982" s="3">
        <v>1252.2</v>
      </c>
      <c r="G1982" s="3">
        <v>1275</v>
      </c>
      <c r="H1982" s="3">
        <v>1266.45</v>
      </c>
      <c r="I1982" s="3">
        <v>1262.8599999999999</v>
      </c>
      <c r="J1982" s="3">
        <v>3217.6</v>
      </c>
      <c r="K1982" s="3">
        <v>1201.5</v>
      </c>
      <c r="L1982" s="2">
        <v>14117603</v>
      </c>
      <c r="M1982" s="2">
        <v>17828486685.900002</v>
      </c>
      <c r="N1982" s="2">
        <v>207451</v>
      </c>
      <c r="O1982" t="s">
        <v>23</v>
      </c>
    </row>
    <row r="1983" spans="1:15" x14ac:dyDescent="0.3">
      <c r="A1983" s="1">
        <v>45672</v>
      </c>
      <c r="B1983" t="s">
        <v>15</v>
      </c>
      <c r="C1983" s="3">
        <v>1244.95</v>
      </c>
      <c r="D1983" s="3">
        <v>1257</v>
      </c>
      <c r="E1983" s="3">
        <v>1241.8499999999999</v>
      </c>
      <c r="F1983" s="3">
        <v>1238.75</v>
      </c>
      <c r="G1983" s="3">
        <v>1252</v>
      </c>
      <c r="H1983" s="3">
        <v>1252.2</v>
      </c>
      <c r="I1983" s="3">
        <v>1250.1099999999999</v>
      </c>
      <c r="J1983" s="3">
        <v>3217.6</v>
      </c>
      <c r="K1983" s="3">
        <v>1201.5</v>
      </c>
      <c r="L1983" s="2">
        <v>9578856</v>
      </c>
      <c r="M1983" s="2">
        <v>11974600753.049999</v>
      </c>
      <c r="N1983" s="2">
        <v>220174</v>
      </c>
      <c r="O1983" t="s">
        <v>23</v>
      </c>
    </row>
    <row r="1984" spans="1:15" x14ac:dyDescent="0.3">
      <c r="A1984" s="1">
        <v>45671</v>
      </c>
      <c r="B1984" t="s">
        <v>15</v>
      </c>
      <c r="C1984" s="3">
        <v>1244.0999999999999</v>
      </c>
      <c r="D1984" s="3">
        <v>1253.3499999999999</v>
      </c>
      <c r="E1984" s="3">
        <v>1227.25</v>
      </c>
      <c r="F1984" s="3">
        <v>1239.8499999999999</v>
      </c>
      <c r="G1984" s="3">
        <v>1239</v>
      </c>
      <c r="H1984" s="3">
        <v>1238.75</v>
      </c>
      <c r="I1984" s="3">
        <v>1236.46</v>
      </c>
      <c r="J1984" s="3">
        <v>3217.6</v>
      </c>
      <c r="K1984" s="3">
        <v>1201.5</v>
      </c>
      <c r="L1984" s="2">
        <v>13095266</v>
      </c>
      <c r="M1984" s="2">
        <v>16191765836.200001</v>
      </c>
      <c r="N1984" s="2">
        <v>278977</v>
      </c>
      <c r="O1984" t="s">
        <v>23</v>
      </c>
    </row>
    <row r="1985" spans="1:15" x14ac:dyDescent="0.3">
      <c r="A1985" s="1">
        <v>45670</v>
      </c>
      <c r="B1985" t="s">
        <v>15</v>
      </c>
      <c r="C1985" s="3">
        <v>1230</v>
      </c>
      <c r="D1985" s="3">
        <v>1245.25</v>
      </c>
      <c r="E1985" s="3">
        <v>1226.4000000000001</v>
      </c>
      <c r="F1985" s="3">
        <v>1241.9000000000001</v>
      </c>
      <c r="G1985" s="3">
        <v>1240.75</v>
      </c>
      <c r="H1985" s="3">
        <v>1239.8499999999999</v>
      </c>
      <c r="I1985" s="3">
        <v>1238.0999999999999</v>
      </c>
      <c r="J1985" s="3">
        <v>3217.6</v>
      </c>
      <c r="K1985" s="3">
        <v>1201.5</v>
      </c>
      <c r="L1985" s="2">
        <v>13764861</v>
      </c>
      <c r="M1985" s="2">
        <v>17042274859.85</v>
      </c>
      <c r="N1985" s="2">
        <v>398257</v>
      </c>
      <c r="O1985" t="s">
        <v>23</v>
      </c>
    </row>
    <row r="1986" spans="1:15" x14ac:dyDescent="0.3">
      <c r="A1986" s="1">
        <v>45667</v>
      </c>
      <c r="B1986" t="s">
        <v>15</v>
      </c>
      <c r="C1986" s="3">
        <v>1253.8499999999999</v>
      </c>
      <c r="D1986" s="3">
        <v>1256.75</v>
      </c>
      <c r="E1986" s="3">
        <v>1236</v>
      </c>
      <c r="F1986" s="3">
        <v>1254.75</v>
      </c>
      <c r="G1986" s="3">
        <v>1245.55</v>
      </c>
      <c r="H1986" s="3">
        <v>1241.9000000000001</v>
      </c>
      <c r="I1986" s="3">
        <v>1245.97</v>
      </c>
      <c r="J1986" s="3">
        <v>3217.6</v>
      </c>
      <c r="K1986" s="3">
        <v>1201.5</v>
      </c>
      <c r="L1986" s="2">
        <v>8120332</v>
      </c>
      <c r="M1986" s="2">
        <v>10117685547.700001</v>
      </c>
      <c r="N1986" s="2">
        <v>340024</v>
      </c>
      <c r="O1986" t="s">
        <v>23</v>
      </c>
    </row>
    <row r="1987" spans="1:15" x14ac:dyDescent="0.3">
      <c r="A1987" s="1">
        <v>45666</v>
      </c>
      <c r="B1987" t="s">
        <v>15</v>
      </c>
      <c r="C1987" s="3">
        <v>1267</v>
      </c>
      <c r="D1987" s="3">
        <v>1269.75</v>
      </c>
      <c r="E1987" s="3">
        <v>1248.05</v>
      </c>
      <c r="F1987" s="3">
        <v>1265.5</v>
      </c>
      <c r="G1987" s="3">
        <v>1256.8</v>
      </c>
      <c r="H1987" s="3">
        <v>1254.75</v>
      </c>
      <c r="I1987" s="3">
        <v>1257.46</v>
      </c>
      <c r="J1987" s="3">
        <v>3217.6</v>
      </c>
      <c r="K1987" s="3">
        <v>1201.5</v>
      </c>
      <c r="L1987" s="2">
        <v>12794704</v>
      </c>
      <c r="M1987" s="2">
        <v>16088882554.200001</v>
      </c>
      <c r="N1987" s="2">
        <v>390501</v>
      </c>
      <c r="O1987" t="s">
        <v>23</v>
      </c>
    </row>
    <row r="1988" spans="1:15" x14ac:dyDescent="0.3">
      <c r="A1988" s="1">
        <v>45665</v>
      </c>
      <c r="B1988" t="s">
        <v>15</v>
      </c>
      <c r="C1988" s="3">
        <v>1249</v>
      </c>
      <c r="D1988" s="3">
        <v>1271.05</v>
      </c>
      <c r="E1988" s="3">
        <v>1245.3499999999999</v>
      </c>
      <c r="F1988" s="3">
        <v>1240.8499999999999</v>
      </c>
      <c r="G1988" s="3">
        <v>1261.3499999999999</v>
      </c>
      <c r="H1988" s="3">
        <v>1265.5</v>
      </c>
      <c r="I1988" s="3">
        <v>1263.24</v>
      </c>
      <c r="J1988" s="3">
        <v>3217.6</v>
      </c>
      <c r="K1988" s="3">
        <v>1201.5</v>
      </c>
      <c r="L1988" s="2">
        <v>19346579</v>
      </c>
      <c r="M1988" s="2">
        <v>24439345120.549999</v>
      </c>
      <c r="N1988" s="2">
        <v>531488</v>
      </c>
      <c r="O1988" t="s">
        <v>23</v>
      </c>
    </row>
    <row r="1989" spans="1:15" x14ac:dyDescent="0.3">
      <c r="A1989" s="1">
        <v>45664</v>
      </c>
      <c r="B1989" t="s">
        <v>15</v>
      </c>
      <c r="C1989" s="3">
        <v>1222</v>
      </c>
      <c r="D1989" s="3">
        <v>1244.5</v>
      </c>
      <c r="E1989" s="3">
        <v>1221.25</v>
      </c>
      <c r="F1989" s="3">
        <v>1218</v>
      </c>
      <c r="G1989" s="3">
        <v>1239.95</v>
      </c>
      <c r="H1989" s="3">
        <v>1240.8499999999999</v>
      </c>
      <c r="I1989" s="3">
        <v>1237.6300000000001</v>
      </c>
      <c r="J1989" s="3">
        <v>3217.6</v>
      </c>
      <c r="K1989" s="3">
        <v>1201.5</v>
      </c>
      <c r="L1989" s="2">
        <v>10070505</v>
      </c>
      <c r="M1989" s="2">
        <v>12463597633.450001</v>
      </c>
      <c r="N1989" s="2">
        <v>216620</v>
      </c>
      <c r="O1989" t="s">
        <v>23</v>
      </c>
    </row>
    <row r="1990" spans="1:15" x14ac:dyDescent="0.3">
      <c r="A1990" s="1">
        <v>45663</v>
      </c>
      <c r="B1990" t="s">
        <v>15</v>
      </c>
      <c r="C1990" s="3">
        <v>1253.95</v>
      </c>
      <c r="D1990" s="3">
        <v>1262</v>
      </c>
      <c r="E1990" s="3">
        <v>1215</v>
      </c>
      <c r="F1990" s="3">
        <v>1251.1500000000001</v>
      </c>
      <c r="G1990" s="3">
        <v>1216.25</v>
      </c>
      <c r="H1990" s="3">
        <v>1218</v>
      </c>
      <c r="I1990" s="3">
        <v>1235.67</v>
      </c>
      <c r="J1990" s="3">
        <v>3217.6</v>
      </c>
      <c r="K1990" s="3">
        <v>1201.5</v>
      </c>
      <c r="L1990" s="2">
        <v>14816766</v>
      </c>
      <c r="M1990" s="2">
        <v>18308652263.950001</v>
      </c>
      <c r="N1990" s="2">
        <v>317843</v>
      </c>
      <c r="O1990" t="s">
        <v>23</v>
      </c>
    </row>
    <row r="1991" spans="1:15" x14ac:dyDescent="0.3">
      <c r="A1991" s="1">
        <v>45660</v>
      </c>
      <c r="B1991" t="s">
        <v>15</v>
      </c>
      <c r="C1991" s="3">
        <v>1243.9000000000001</v>
      </c>
      <c r="D1991" s="3">
        <v>1262.05</v>
      </c>
      <c r="E1991" s="3">
        <v>1235.5</v>
      </c>
      <c r="F1991" s="3">
        <v>1241.8</v>
      </c>
      <c r="G1991" s="3">
        <v>1249.8499999999999</v>
      </c>
      <c r="H1991" s="3">
        <v>1251.1500000000001</v>
      </c>
      <c r="I1991" s="3">
        <v>1250.3399999999999</v>
      </c>
      <c r="J1991" s="3">
        <v>3217.6</v>
      </c>
      <c r="K1991" s="3">
        <v>1201.5</v>
      </c>
      <c r="L1991" s="2">
        <v>15521102</v>
      </c>
      <c r="M1991" s="2">
        <v>19406715598.75</v>
      </c>
      <c r="N1991" s="2">
        <v>277290</v>
      </c>
      <c r="O1991" t="s">
        <v>23</v>
      </c>
    </row>
    <row r="1992" spans="1:15" x14ac:dyDescent="0.3">
      <c r="A1992" s="1">
        <v>45659</v>
      </c>
      <c r="B1992" t="s">
        <v>15</v>
      </c>
      <c r="C1992" s="3">
        <v>1221.25</v>
      </c>
      <c r="D1992" s="3">
        <v>1244.45</v>
      </c>
      <c r="E1992" s="3">
        <v>1220</v>
      </c>
      <c r="F1992" s="3">
        <v>1221.25</v>
      </c>
      <c r="G1992" s="3">
        <v>1240.55</v>
      </c>
      <c r="H1992" s="3">
        <v>1241.8</v>
      </c>
      <c r="I1992" s="3">
        <v>1234.32</v>
      </c>
      <c r="J1992" s="3">
        <v>3217.6</v>
      </c>
      <c r="K1992" s="3">
        <v>1201.5</v>
      </c>
      <c r="L1992" s="2">
        <v>15486276</v>
      </c>
      <c r="M1992" s="2">
        <v>19115027208.349998</v>
      </c>
      <c r="N1992" s="2">
        <v>271108</v>
      </c>
      <c r="O1992" t="s">
        <v>23</v>
      </c>
    </row>
    <row r="1993" spans="1:15" x14ac:dyDescent="0.3">
      <c r="A1993" s="1">
        <v>45658</v>
      </c>
      <c r="B1993" t="s">
        <v>15</v>
      </c>
      <c r="C1993" s="3">
        <v>1214.8499999999999</v>
      </c>
      <c r="D1993" s="3">
        <v>1226.3</v>
      </c>
      <c r="E1993" s="3">
        <v>1211.5999999999999</v>
      </c>
      <c r="F1993" s="3">
        <v>1215.45</v>
      </c>
      <c r="G1993" s="3">
        <v>1222.75</v>
      </c>
      <c r="H1993" s="3">
        <v>1221.25</v>
      </c>
      <c r="I1993" s="3">
        <v>1221.01</v>
      </c>
      <c r="J1993" s="3">
        <v>3217.6</v>
      </c>
      <c r="K1993" s="3">
        <v>1201.5</v>
      </c>
      <c r="L1993" s="2">
        <v>5892590</v>
      </c>
      <c r="M1993" s="2">
        <v>7194899836.4499998</v>
      </c>
      <c r="N1993" s="2">
        <v>138528</v>
      </c>
      <c r="O1993" t="s">
        <v>23</v>
      </c>
    </row>
    <row r="1994" spans="1:15" x14ac:dyDescent="0.3">
      <c r="A1994" s="1">
        <v>46022</v>
      </c>
      <c r="B1994" t="s">
        <v>15</v>
      </c>
      <c r="C1994" s="3">
        <v>975.25</v>
      </c>
      <c r="D1994" s="3">
        <v>985.65</v>
      </c>
      <c r="E1994" s="3">
        <v>973.5</v>
      </c>
      <c r="F1994" s="3">
        <v>973.45</v>
      </c>
      <c r="G1994" s="3">
        <v>982.4</v>
      </c>
      <c r="H1994" s="3">
        <v>982.2</v>
      </c>
      <c r="I1994" s="3">
        <v>982</v>
      </c>
      <c r="J1994" s="3">
        <v>999</v>
      </c>
      <c r="K1994" s="3">
        <v>680</v>
      </c>
      <c r="L1994" s="2">
        <v>5807630</v>
      </c>
      <c r="M1994" s="2">
        <v>5703085644.8500004</v>
      </c>
      <c r="N1994" s="2">
        <v>109225</v>
      </c>
      <c r="O1994" t="s">
        <v>24</v>
      </c>
    </row>
    <row r="1995" spans="1:15" x14ac:dyDescent="0.3">
      <c r="A1995" s="1">
        <v>46021</v>
      </c>
      <c r="B1995" t="s">
        <v>15</v>
      </c>
      <c r="C1995" s="3">
        <v>963</v>
      </c>
      <c r="D1995" s="3">
        <v>976.2</v>
      </c>
      <c r="E1995" s="3">
        <v>959.5</v>
      </c>
      <c r="F1995" s="3">
        <v>965.05</v>
      </c>
      <c r="G1995" s="3">
        <v>973.1</v>
      </c>
      <c r="H1995" s="3">
        <v>973.45</v>
      </c>
      <c r="I1995" s="3">
        <v>971.99</v>
      </c>
      <c r="J1995" s="3">
        <v>999</v>
      </c>
      <c r="K1995" s="3">
        <v>680</v>
      </c>
      <c r="L1995" s="2">
        <v>15030644</v>
      </c>
      <c r="M1995" s="2">
        <v>14609677358.799999</v>
      </c>
      <c r="N1995" s="2">
        <v>221265</v>
      </c>
      <c r="O1995" t="s">
        <v>24</v>
      </c>
    </row>
    <row r="1996" spans="1:15" x14ac:dyDescent="0.3">
      <c r="A1996" s="1">
        <v>46020</v>
      </c>
      <c r="B1996" t="s">
        <v>15</v>
      </c>
      <c r="C1996" s="3">
        <v>966.9</v>
      </c>
      <c r="D1996" s="3">
        <v>968.9</v>
      </c>
      <c r="E1996" s="3">
        <v>961.45</v>
      </c>
      <c r="F1996" s="3">
        <v>966.3</v>
      </c>
      <c r="G1996" s="3">
        <v>965.7</v>
      </c>
      <c r="H1996" s="3">
        <v>965.05</v>
      </c>
      <c r="I1996" s="3">
        <v>965.03</v>
      </c>
      <c r="J1996" s="3">
        <v>999</v>
      </c>
      <c r="K1996" s="3">
        <v>680</v>
      </c>
      <c r="L1996" s="2">
        <v>5267233</v>
      </c>
      <c r="M1996" s="2">
        <v>5083023420.6999998</v>
      </c>
      <c r="N1996" s="2">
        <v>143589</v>
      </c>
      <c r="O1996" t="s">
        <v>24</v>
      </c>
    </row>
    <row r="1997" spans="1:15" x14ac:dyDescent="0.3">
      <c r="A1997" s="1">
        <v>46017</v>
      </c>
      <c r="B1997" t="s">
        <v>15</v>
      </c>
      <c r="C1997" s="3">
        <v>968.95</v>
      </c>
      <c r="D1997" s="3">
        <v>971</v>
      </c>
      <c r="E1997" s="3">
        <v>964.75</v>
      </c>
      <c r="F1997" s="3">
        <v>968.95</v>
      </c>
      <c r="G1997" s="3">
        <v>966.5</v>
      </c>
      <c r="H1997" s="3">
        <v>966.3</v>
      </c>
      <c r="I1997" s="3">
        <v>967.5</v>
      </c>
      <c r="J1997" s="3">
        <v>999</v>
      </c>
      <c r="K1997" s="3">
        <v>680</v>
      </c>
      <c r="L1997" s="2">
        <v>3286321</v>
      </c>
      <c r="M1997" s="2">
        <v>3179513466.1999998</v>
      </c>
      <c r="N1997" s="2">
        <v>101940</v>
      </c>
      <c r="O1997" t="s">
        <v>24</v>
      </c>
    </row>
    <row r="1998" spans="1:15" x14ac:dyDescent="0.3">
      <c r="A1998" s="1">
        <v>46015</v>
      </c>
      <c r="B1998" t="s">
        <v>15</v>
      </c>
      <c r="C1998" s="3">
        <v>973.2</v>
      </c>
      <c r="D1998" s="3">
        <v>977.3</v>
      </c>
      <c r="E1998" s="3">
        <v>967.5</v>
      </c>
      <c r="F1998" s="3">
        <v>971.9</v>
      </c>
      <c r="G1998" s="3">
        <v>968.85</v>
      </c>
      <c r="H1998" s="3">
        <v>968.95</v>
      </c>
      <c r="I1998" s="3">
        <v>972.14</v>
      </c>
      <c r="J1998" s="3">
        <v>999</v>
      </c>
      <c r="K1998" s="3">
        <v>680</v>
      </c>
      <c r="L1998" s="2">
        <v>4105643</v>
      </c>
      <c r="M1998" s="2">
        <v>3991279807.9000001</v>
      </c>
      <c r="N1998" s="2">
        <v>127471</v>
      </c>
      <c r="O1998" t="s">
        <v>24</v>
      </c>
    </row>
    <row r="1999" spans="1:15" x14ac:dyDescent="0.3">
      <c r="A1999" s="1">
        <v>46014</v>
      </c>
      <c r="B1999" t="s">
        <v>15</v>
      </c>
      <c r="C1999" s="3">
        <v>976.3</v>
      </c>
      <c r="D1999" s="3">
        <v>977.55</v>
      </c>
      <c r="E1999" s="3">
        <v>970.7</v>
      </c>
      <c r="F1999" s="3">
        <v>974.3</v>
      </c>
      <c r="G1999" s="3">
        <v>971.25</v>
      </c>
      <c r="H1999" s="3">
        <v>971.9</v>
      </c>
      <c r="I1999" s="3">
        <v>973.41</v>
      </c>
      <c r="J1999" s="3">
        <v>999</v>
      </c>
      <c r="K1999" s="3">
        <v>680</v>
      </c>
      <c r="L1999" s="2">
        <v>5123287</v>
      </c>
      <c r="M1999" s="2">
        <v>4987059431.5500002</v>
      </c>
      <c r="N1999" s="2">
        <v>142849</v>
      </c>
      <c r="O1999" t="s">
        <v>24</v>
      </c>
    </row>
    <row r="2000" spans="1:15" x14ac:dyDescent="0.3">
      <c r="A2000" s="1">
        <v>46013</v>
      </c>
      <c r="B2000" t="s">
        <v>15</v>
      </c>
      <c r="C2000" s="3">
        <v>981.1</v>
      </c>
      <c r="D2000" s="3">
        <v>983</v>
      </c>
      <c r="E2000" s="3">
        <v>972.55</v>
      </c>
      <c r="F2000" s="3">
        <v>980.3</v>
      </c>
      <c r="G2000" s="3">
        <v>974.5</v>
      </c>
      <c r="H2000" s="3">
        <v>974.3</v>
      </c>
      <c r="I2000" s="3">
        <v>975.83</v>
      </c>
      <c r="J2000" s="3">
        <v>999</v>
      </c>
      <c r="K2000" s="3">
        <v>680</v>
      </c>
      <c r="L2000" s="2">
        <v>5959037</v>
      </c>
      <c r="M2000" s="2">
        <v>5815017507.75</v>
      </c>
      <c r="N2000" s="2">
        <v>172900</v>
      </c>
      <c r="O2000" t="s">
        <v>24</v>
      </c>
    </row>
    <row r="2001" spans="1:15" x14ac:dyDescent="0.3">
      <c r="A2001" s="1">
        <v>46010</v>
      </c>
      <c r="B2001" t="s">
        <v>15</v>
      </c>
      <c r="C2001" s="3">
        <v>979.95</v>
      </c>
      <c r="D2001" s="3">
        <v>982</v>
      </c>
      <c r="E2001" s="3">
        <v>977.05</v>
      </c>
      <c r="F2001" s="3">
        <v>977.55</v>
      </c>
      <c r="G2001" s="3">
        <v>980</v>
      </c>
      <c r="H2001" s="3">
        <v>980.3</v>
      </c>
      <c r="I2001" s="3">
        <v>979.9</v>
      </c>
      <c r="J2001" s="3">
        <v>999</v>
      </c>
      <c r="K2001" s="3">
        <v>680</v>
      </c>
      <c r="L2001" s="2">
        <v>5376584</v>
      </c>
      <c r="M2001" s="2">
        <v>5268518860</v>
      </c>
      <c r="N2001" s="2">
        <v>105980</v>
      </c>
      <c r="O2001" t="s">
        <v>24</v>
      </c>
    </row>
    <row r="2002" spans="1:15" x14ac:dyDescent="0.3">
      <c r="A2002" s="1">
        <v>46009</v>
      </c>
      <c r="B2002" t="s">
        <v>15</v>
      </c>
      <c r="C2002" s="3">
        <v>977.9</v>
      </c>
      <c r="D2002" s="3">
        <v>981.45</v>
      </c>
      <c r="E2002" s="3">
        <v>973.5</v>
      </c>
      <c r="F2002" s="3">
        <v>975.85</v>
      </c>
      <c r="G2002" s="3">
        <v>976.5</v>
      </c>
      <c r="H2002" s="3">
        <v>977.55</v>
      </c>
      <c r="I2002" s="3">
        <v>977.85</v>
      </c>
      <c r="J2002" s="3">
        <v>999</v>
      </c>
      <c r="K2002" s="3">
        <v>680</v>
      </c>
      <c r="L2002" s="2">
        <v>4926879</v>
      </c>
      <c r="M2002" s="2">
        <v>4817742809.1499996</v>
      </c>
      <c r="N2002" s="2">
        <v>123255</v>
      </c>
      <c r="O2002" t="s">
        <v>24</v>
      </c>
    </row>
    <row r="2003" spans="1:15" x14ac:dyDescent="0.3">
      <c r="A2003" s="1">
        <v>46008</v>
      </c>
      <c r="B2003" t="s">
        <v>15</v>
      </c>
      <c r="C2003" s="3">
        <v>965.55</v>
      </c>
      <c r="D2003" s="3">
        <v>978.5</v>
      </c>
      <c r="E2003" s="3">
        <v>964.3</v>
      </c>
      <c r="F2003" s="3">
        <v>961.15</v>
      </c>
      <c r="G2003" s="3">
        <v>976.35</v>
      </c>
      <c r="H2003" s="3">
        <v>975.85</v>
      </c>
      <c r="I2003" s="3">
        <v>974.78</v>
      </c>
      <c r="J2003" s="3">
        <v>999</v>
      </c>
      <c r="K2003" s="3">
        <v>680</v>
      </c>
      <c r="L2003" s="2">
        <v>8013382</v>
      </c>
      <c r="M2003" s="2">
        <v>7811301076.0500002</v>
      </c>
      <c r="N2003" s="2">
        <v>157698</v>
      </c>
      <c r="O2003" t="s">
        <v>24</v>
      </c>
    </row>
    <row r="2004" spans="1:15" x14ac:dyDescent="0.3">
      <c r="A2004" s="1">
        <v>46007</v>
      </c>
      <c r="B2004" t="s">
        <v>15</v>
      </c>
      <c r="C2004" s="3">
        <v>966.05</v>
      </c>
      <c r="D2004" s="3">
        <v>969</v>
      </c>
      <c r="E2004" s="3">
        <v>958.05</v>
      </c>
      <c r="F2004" s="3">
        <v>967.25</v>
      </c>
      <c r="G2004" s="3">
        <v>960</v>
      </c>
      <c r="H2004" s="3">
        <v>961.15</v>
      </c>
      <c r="I2004" s="3">
        <v>963.41</v>
      </c>
      <c r="J2004" s="3">
        <v>999</v>
      </c>
      <c r="K2004" s="3">
        <v>680</v>
      </c>
      <c r="L2004" s="2">
        <v>4764786</v>
      </c>
      <c r="M2004" s="2">
        <v>4590446166.5</v>
      </c>
      <c r="N2004" s="2">
        <v>161741</v>
      </c>
      <c r="O2004" t="s">
        <v>24</v>
      </c>
    </row>
    <row r="2005" spans="1:15" x14ac:dyDescent="0.3">
      <c r="A2005" s="1">
        <v>46006</v>
      </c>
      <c r="B2005" t="s">
        <v>15</v>
      </c>
      <c r="C2005" s="3">
        <v>957.25</v>
      </c>
      <c r="D2005" s="3">
        <v>968.85</v>
      </c>
      <c r="E2005" s="3">
        <v>957.25</v>
      </c>
      <c r="F2005" s="3">
        <v>963.15</v>
      </c>
      <c r="G2005" s="3">
        <v>966.1</v>
      </c>
      <c r="H2005" s="3">
        <v>967.25</v>
      </c>
      <c r="I2005" s="3">
        <v>964.79</v>
      </c>
      <c r="J2005" s="3">
        <v>999</v>
      </c>
      <c r="K2005" s="3">
        <v>680</v>
      </c>
      <c r="L2005" s="2">
        <v>4416952</v>
      </c>
      <c r="M2005" s="2">
        <v>4261435766.5999999</v>
      </c>
      <c r="N2005" s="2">
        <v>136982</v>
      </c>
      <c r="O2005" t="s">
        <v>24</v>
      </c>
    </row>
    <row r="2006" spans="1:15" x14ac:dyDescent="0.3">
      <c r="A2006" s="1">
        <v>46003</v>
      </c>
      <c r="B2006" t="s">
        <v>15</v>
      </c>
      <c r="C2006" s="3">
        <v>966</v>
      </c>
      <c r="D2006" s="3">
        <v>967</v>
      </c>
      <c r="E2006" s="3">
        <v>958</v>
      </c>
      <c r="F2006" s="3">
        <v>963.25</v>
      </c>
      <c r="G2006" s="3">
        <v>962.6</v>
      </c>
      <c r="H2006" s="3">
        <v>963.15</v>
      </c>
      <c r="I2006" s="3">
        <v>961.54</v>
      </c>
      <c r="J2006" s="3">
        <v>999</v>
      </c>
      <c r="K2006" s="3">
        <v>680</v>
      </c>
      <c r="L2006" s="2">
        <v>5681930</v>
      </c>
      <c r="M2006" s="2">
        <v>5463420185.1000004</v>
      </c>
      <c r="N2006" s="2">
        <v>129140</v>
      </c>
      <c r="O2006" t="s">
        <v>24</v>
      </c>
    </row>
    <row r="2007" spans="1:15" x14ac:dyDescent="0.3">
      <c r="A2007" s="1">
        <v>46002</v>
      </c>
      <c r="B2007" t="s">
        <v>15</v>
      </c>
      <c r="C2007" s="3">
        <v>962.1</v>
      </c>
      <c r="D2007" s="3">
        <v>966.5</v>
      </c>
      <c r="E2007" s="3">
        <v>958.45</v>
      </c>
      <c r="F2007" s="3">
        <v>959.75</v>
      </c>
      <c r="G2007" s="3">
        <v>962.6</v>
      </c>
      <c r="H2007" s="3">
        <v>963.25</v>
      </c>
      <c r="I2007" s="3">
        <v>962.82</v>
      </c>
      <c r="J2007" s="3">
        <v>999</v>
      </c>
      <c r="K2007" s="3">
        <v>680</v>
      </c>
      <c r="L2007" s="2">
        <v>5979035</v>
      </c>
      <c r="M2007" s="2">
        <v>5756726765.5</v>
      </c>
      <c r="N2007" s="2">
        <v>154525</v>
      </c>
      <c r="O2007" t="s">
        <v>24</v>
      </c>
    </row>
    <row r="2008" spans="1:15" x14ac:dyDescent="0.3">
      <c r="A2008" s="1">
        <v>46001</v>
      </c>
      <c r="B2008" t="s">
        <v>15</v>
      </c>
      <c r="C2008" s="3">
        <v>960.1</v>
      </c>
      <c r="D2008" s="3">
        <v>963.95</v>
      </c>
      <c r="E2008" s="3">
        <v>955.25</v>
      </c>
      <c r="F2008" s="3">
        <v>959.35</v>
      </c>
      <c r="G2008" s="3">
        <v>958</v>
      </c>
      <c r="H2008" s="3">
        <v>959.75</v>
      </c>
      <c r="I2008" s="3">
        <v>958.76</v>
      </c>
      <c r="J2008" s="3">
        <v>999</v>
      </c>
      <c r="K2008" s="3">
        <v>680</v>
      </c>
      <c r="L2008" s="2">
        <v>6989178</v>
      </c>
      <c r="M2008" s="2">
        <v>6700963054.3500004</v>
      </c>
      <c r="N2008" s="2">
        <v>130262</v>
      </c>
      <c r="O2008" t="s">
        <v>24</v>
      </c>
    </row>
    <row r="2009" spans="1:15" x14ac:dyDescent="0.3">
      <c r="A2009" s="1">
        <v>46000</v>
      </c>
      <c r="B2009" t="s">
        <v>15</v>
      </c>
      <c r="C2009" s="3">
        <v>954.8</v>
      </c>
      <c r="D2009" s="3">
        <v>964</v>
      </c>
      <c r="E2009" s="3">
        <v>950.45</v>
      </c>
      <c r="F2009" s="3">
        <v>956.4</v>
      </c>
      <c r="G2009" s="3">
        <v>960.5</v>
      </c>
      <c r="H2009" s="3">
        <v>959.35</v>
      </c>
      <c r="I2009" s="3">
        <v>959.08</v>
      </c>
      <c r="J2009" s="3">
        <v>999</v>
      </c>
      <c r="K2009" s="3">
        <v>680</v>
      </c>
      <c r="L2009" s="2">
        <v>9580294</v>
      </c>
      <c r="M2009" s="2">
        <v>9188300245.9500008</v>
      </c>
      <c r="N2009" s="2">
        <v>196017</v>
      </c>
      <c r="O2009" t="s">
        <v>24</v>
      </c>
    </row>
    <row r="2010" spans="1:15" x14ac:dyDescent="0.3">
      <c r="A2010" s="1">
        <v>45999</v>
      </c>
      <c r="B2010" t="s">
        <v>15</v>
      </c>
      <c r="C2010" s="3">
        <v>970.85</v>
      </c>
      <c r="D2010" s="3">
        <v>972.5</v>
      </c>
      <c r="E2010" s="3">
        <v>951.7</v>
      </c>
      <c r="F2010" s="3">
        <v>971.5</v>
      </c>
      <c r="G2010" s="3">
        <v>955.4</v>
      </c>
      <c r="H2010" s="3">
        <v>956.4</v>
      </c>
      <c r="I2010" s="3">
        <v>957.71</v>
      </c>
      <c r="J2010" s="3">
        <v>999</v>
      </c>
      <c r="K2010" s="3">
        <v>680</v>
      </c>
      <c r="L2010" s="2">
        <v>15386438</v>
      </c>
      <c r="M2010" s="2">
        <v>14735761731.15</v>
      </c>
      <c r="N2010" s="2">
        <v>201129</v>
      </c>
      <c r="O2010" t="s">
        <v>24</v>
      </c>
    </row>
    <row r="2011" spans="1:15" x14ac:dyDescent="0.3">
      <c r="A2011" s="1">
        <v>45996</v>
      </c>
      <c r="B2011" t="s">
        <v>15</v>
      </c>
      <c r="C2011" s="3">
        <v>948.85</v>
      </c>
      <c r="D2011" s="3">
        <v>973.3</v>
      </c>
      <c r="E2011" s="3">
        <v>946.7</v>
      </c>
      <c r="F2011" s="3">
        <v>948.1</v>
      </c>
      <c r="G2011" s="3">
        <v>971.7</v>
      </c>
      <c r="H2011" s="3">
        <v>971.5</v>
      </c>
      <c r="I2011" s="3">
        <v>961.57</v>
      </c>
      <c r="J2011" s="3">
        <v>999</v>
      </c>
      <c r="K2011" s="3">
        <v>680</v>
      </c>
      <c r="L2011" s="2">
        <v>17347847</v>
      </c>
      <c r="M2011" s="2">
        <v>16681238338.6</v>
      </c>
      <c r="N2011" s="2">
        <v>190193</v>
      </c>
      <c r="O2011" t="s">
        <v>24</v>
      </c>
    </row>
    <row r="2012" spans="1:15" x14ac:dyDescent="0.3">
      <c r="A2012" s="1">
        <v>45995</v>
      </c>
      <c r="B2012" t="s">
        <v>15</v>
      </c>
      <c r="C2012" s="3">
        <v>951.05</v>
      </c>
      <c r="D2012" s="3">
        <v>952.55</v>
      </c>
      <c r="E2012" s="3">
        <v>944.45</v>
      </c>
      <c r="F2012" s="3">
        <v>951.05</v>
      </c>
      <c r="G2012" s="3">
        <v>948.8</v>
      </c>
      <c r="H2012" s="3">
        <v>948.1</v>
      </c>
      <c r="I2012" s="3">
        <v>947.46</v>
      </c>
      <c r="J2012" s="3">
        <v>999</v>
      </c>
      <c r="K2012" s="3">
        <v>680</v>
      </c>
      <c r="L2012" s="2">
        <v>13622724</v>
      </c>
      <c r="M2012" s="2">
        <v>12907004315.15</v>
      </c>
      <c r="N2012" s="2">
        <v>272677</v>
      </c>
      <c r="O2012" t="s">
        <v>24</v>
      </c>
    </row>
    <row r="2013" spans="1:15" x14ac:dyDescent="0.3">
      <c r="A2013" s="1">
        <v>45994</v>
      </c>
      <c r="B2013" t="s">
        <v>15</v>
      </c>
      <c r="C2013" s="3">
        <v>970.45</v>
      </c>
      <c r="D2013" s="3">
        <v>972.55</v>
      </c>
      <c r="E2013" s="3">
        <v>947.55</v>
      </c>
      <c r="F2013" s="3">
        <v>967.3</v>
      </c>
      <c r="G2013" s="3">
        <v>950.8</v>
      </c>
      <c r="H2013" s="3">
        <v>951.05</v>
      </c>
      <c r="I2013" s="3">
        <v>952.61</v>
      </c>
      <c r="J2013" s="3">
        <v>999</v>
      </c>
      <c r="K2013" s="3">
        <v>680</v>
      </c>
      <c r="L2013" s="2">
        <v>14051968</v>
      </c>
      <c r="M2013" s="2">
        <v>13385990295.85</v>
      </c>
      <c r="N2013" s="2">
        <v>233255</v>
      </c>
      <c r="O2013" t="s">
        <v>24</v>
      </c>
    </row>
    <row r="2014" spans="1:15" x14ac:dyDescent="0.3">
      <c r="A2014" s="1">
        <v>45993</v>
      </c>
      <c r="B2014" t="s">
        <v>15</v>
      </c>
      <c r="C2014" s="3">
        <v>976</v>
      </c>
      <c r="D2014" s="3">
        <v>980.45</v>
      </c>
      <c r="E2014" s="3">
        <v>964.9</v>
      </c>
      <c r="F2014" s="3">
        <v>973.1</v>
      </c>
      <c r="G2014" s="3">
        <v>969.9</v>
      </c>
      <c r="H2014" s="3">
        <v>967.3</v>
      </c>
      <c r="I2014" s="3">
        <v>973.23</v>
      </c>
      <c r="J2014" s="3">
        <v>999</v>
      </c>
      <c r="K2014" s="3">
        <v>680</v>
      </c>
      <c r="L2014" s="2">
        <v>13444314</v>
      </c>
      <c r="M2014" s="2">
        <v>13084353756.450001</v>
      </c>
      <c r="N2014" s="2">
        <v>177697</v>
      </c>
      <c r="O2014" t="s">
        <v>24</v>
      </c>
    </row>
    <row r="2015" spans="1:15" x14ac:dyDescent="0.3">
      <c r="A2015" s="1">
        <v>45992</v>
      </c>
      <c r="B2015" t="s">
        <v>15</v>
      </c>
      <c r="C2015" s="3">
        <v>985.45</v>
      </c>
      <c r="D2015" s="3">
        <v>991.2</v>
      </c>
      <c r="E2015" s="3">
        <v>969.85</v>
      </c>
      <c r="F2015" s="3">
        <v>979</v>
      </c>
      <c r="G2015" s="3">
        <v>972.6</v>
      </c>
      <c r="H2015" s="3">
        <v>973.1</v>
      </c>
      <c r="I2015" s="3">
        <v>979.16</v>
      </c>
      <c r="J2015" s="3">
        <v>999</v>
      </c>
      <c r="K2015" s="3">
        <v>680</v>
      </c>
      <c r="L2015" s="2">
        <v>8808306</v>
      </c>
      <c r="M2015" s="2">
        <v>8624752864.4500008</v>
      </c>
      <c r="N2015" s="2">
        <v>237856</v>
      </c>
      <c r="O2015" t="s">
        <v>24</v>
      </c>
    </row>
    <row r="2016" spans="1:15" x14ac:dyDescent="0.3">
      <c r="A2016" s="1">
        <v>45989</v>
      </c>
      <c r="B2016" t="s">
        <v>15</v>
      </c>
      <c r="C2016" s="3">
        <v>976.8</v>
      </c>
      <c r="D2016" s="3">
        <v>983</v>
      </c>
      <c r="E2016" s="3">
        <v>973.05</v>
      </c>
      <c r="F2016" s="3">
        <v>972.85</v>
      </c>
      <c r="G2016" s="3">
        <v>976.35</v>
      </c>
      <c r="H2016" s="3">
        <v>979</v>
      </c>
      <c r="I2016" s="3">
        <v>978.89</v>
      </c>
      <c r="J2016" s="3">
        <v>999</v>
      </c>
      <c r="K2016" s="3">
        <v>680</v>
      </c>
      <c r="L2016" s="2">
        <v>8117842</v>
      </c>
      <c r="M2016" s="2">
        <v>7946440355</v>
      </c>
      <c r="N2016" s="2">
        <v>150394</v>
      </c>
      <c r="O2016" t="s">
        <v>24</v>
      </c>
    </row>
    <row r="2017" spans="1:15" x14ac:dyDescent="0.3">
      <c r="A2017" s="1">
        <v>45988</v>
      </c>
      <c r="B2017" t="s">
        <v>15</v>
      </c>
      <c r="C2017" s="3">
        <v>986.7</v>
      </c>
      <c r="D2017" s="3">
        <v>988.55</v>
      </c>
      <c r="E2017" s="3">
        <v>968.9</v>
      </c>
      <c r="F2017" s="3">
        <v>983.9</v>
      </c>
      <c r="G2017" s="3">
        <v>973</v>
      </c>
      <c r="H2017" s="3">
        <v>972.85</v>
      </c>
      <c r="I2017" s="3">
        <v>975.62</v>
      </c>
      <c r="J2017" s="3">
        <v>999</v>
      </c>
      <c r="K2017" s="3">
        <v>680</v>
      </c>
      <c r="L2017" s="2">
        <v>11909168</v>
      </c>
      <c r="M2017" s="2">
        <v>11618805034.200001</v>
      </c>
      <c r="N2017" s="2">
        <v>174267</v>
      </c>
      <c r="O2017" t="s">
        <v>24</v>
      </c>
    </row>
    <row r="2018" spans="1:15" x14ac:dyDescent="0.3">
      <c r="A2018" s="1">
        <v>45987</v>
      </c>
      <c r="B2018" t="s">
        <v>15</v>
      </c>
      <c r="C2018" s="3">
        <v>986.6</v>
      </c>
      <c r="D2018" s="3">
        <v>999</v>
      </c>
      <c r="E2018" s="3">
        <v>982.15</v>
      </c>
      <c r="F2018" s="3">
        <v>983.6</v>
      </c>
      <c r="G2018" s="3">
        <v>983.05</v>
      </c>
      <c r="H2018" s="3">
        <v>983.9</v>
      </c>
      <c r="I2018" s="3">
        <v>989.4</v>
      </c>
      <c r="J2018" s="3">
        <v>999</v>
      </c>
      <c r="K2018" s="3">
        <v>680</v>
      </c>
      <c r="L2018" s="2">
        <v>13943490</v>
      </c>
      <c r="M2018" s="2">
        <v>13795695016.85</v>
      </c>
      <c r="N2018" s="2">
        <v>178538</v>
      </c>
      <c r="O2018" t="s">
        <v>24</v>
      </c>
    </row>
    <row r="2019" spans="1:15" x14ac:dyDescent="0.3">
      <c r="A2019" s="1">
        <v>45986</v>
      </c>
      <c r="B2019" t="s">
        <v>15</v>
      </c>
      <c r="C2019" s="3">
        <v>975.55</v>
      </c>
      <c r="D2019" s="3">
        <v>988.95</v>
      </c>
      <c r="E2019" s="3">
        <v>971.35</v>
      </c>
      <c r="F2019" s="3">
        <v>970.6</v>
      </c>
      <c r="G2019" s="3">
        <v>983.5</v>
      </c>
      <c r="H2019" s="3">
        <v>983.6</v>
      </c>
      <c r="I2019" s="3">
        <v>983.32</v>
      </c>
      <c r="J2019" s="3">
        <v>988.95</v>
      </c>
      <c r="K2019" s="3">
        <v>680</v>
      </c>
      <c r="L2019" s="2">
        <v>9140201</v>
      </c>
      <c r="M2019" s="2">
        <v>8987762034.8999996</v>
      </c>
      <c r="N2019" s="2">
        <v>207975</v>
      </c>
      <c r="O2019" t="s">
        <v>24</v>
      </c>
    </row>
    <row r="2020" spans="1:15" x14ac:dyDescent="0.3">
      <c r="A2020" s="1">
        <v>45985</v>
      </c>
      <c r="B2020" t="s">
        <v>15</v>
      </c>
      <c r="C2020" s="3">
        <v>975.55</v>
      </c>
      <c r="D2020" s="3">
        <v>977.7</v>
      </c>
      <c r="E2020" s="3">
        <v>968.05</v>
      </c>
      <c r="F2020" s="3">
        <v>972.6</v>
      </c>
      <c r="G2020" s="3">
        <v>969.7</v>
      </c>
      <c r="H2020" s="3">
        <v>970.6</v>
      </c>
      <c r="I2020" s="3">
        <v>972.3</v>
      </c>
      <c r="J2020" s="3">
        <v>986.6</v>
      </c>
      <c r="K2020" s="3">
        <v>680</v>
      </c>
      <c r="L2020" s="2">
        <v>9901946</v>
      </c>
      <c r="M2020" s="2">
        <v>9627696202.3999996</v>
      </c>
      <c r="N2020" s="2">
        <v>112062</v>
      </c>
      <c r="O2020" t="s">
        <v>24</v>
      </c>
    </row>
    <row r="2021" spans="1:15" x14ac:dyDescent="0.3">
      <c r="A2021" s="1">
        <v>45982</v>
      </c>
      <c r="B2021" t="s">
        <v>15</v>
      </c>
      <c r="C2021" s="3">
        <v>979.7</v>
      </c>
      <c r="D2021" s="3">
        <v>980.6</v>
      </c>
      <c r="E2021" s="3">
        <v>971.05</v>
      </c>
      <c r="F2021" s="3">
        <v>981.55</v>
      </c>
      <c r="G2021" s="3">
        <v>972.45</v>
      </c>
      <c r="H2021" s="3">
        <v>972.6</v>
      </c>
      <c r="I2021" s="3">
        <v>975.11</v>
      </c>
      <c r="J2021" s="3">
        <v>986.6</v>
      </c>
      <c r="K2021" s="3">
        <v>680</v>
      </c>
      <c r="L2021" s="2">
        <v>5377241</v>
      </c>
      <c r="M2021" s="2">
        <v>5243409986.1499996</v>
      </c>
      <c r="N2021" s="2">
        <v>113553</v>
      </c>
      <c r="O2021" t="s">
        <v>24</v>
      </c>
    </row>
    <row r="2022" spans="1:15" x14ac:dyDescent="0.3">
      <c r="A2022" s="1">
        <v>45981</v>
      </c>
      <c r="B2022" t="s">
        <v>15</v>
      </c>
      <c r="C2022" s="3">
        <v>986</v>
      </c>
      <c r="D2022" s="3">
        <v>986.6</v>
      </c>
      <c r="E2022" s="3">
        <v>979.35</v>
      </c>
      <c r="F2022" s="3">
        <v>982.75</v>
      </c>
      <c r="G2022" s="3">
        <v>981.05</v>
      </c>
      <c r="H2022" s="3">
        <v>981.55</v>
      </c>
      <c r="I2022" s="3">
        <v>982.12</v>
      </c>
      <c r="J2022" s="3">
        <v>986.6</v>
      </c>
      <c r="K2022" s="3">
        <v>680</v>
      </c>
      <c r="L2022" s="2">
        <v>6440857</v>
      </c>
      <c r="M2022" s="2">
        <v>6325685464.1000004</v>
      </c>
      <c r="N2022" s="2">
        <v>139178</v>
      </c>
      <c r="O2022" t="s">
        <v>24</v>
      </c>
    </row>
    <row r="2023" spans="1:15" x14ac:dyDescent="0.3">
      <c r="A2023" s="1">
        <v>45980</v>
      </c>
      <c r="B2023" t="s">
        <v>15</v>
      </c>
      <c r="C2023" s="3">
        <v>972.45</v>
      </c>
      <c r="D2023" s="3">
        <v>984.45</v>
      </c>
      <c r="E2023" s="3">
        <v>968.8</v>
      </c>
      <c r="F2023" s="3">
        <v>972.45</v>
      </c>
      <c r="G2023" s="3">
        <v>980.5</v>
      </c>
      <c r="H2023" s="3">
        <v>982.75</v>
      </c>
      <c r="I2023" s="3">
        <v>979.31</v>
      </c>
      <c r="J2023" s="3">
        <v>984.45</v>
      </c>
      <c r="K2023" s="3">
        <v>680</v>
      </c>
      <c r="L2023" s="2">
        <v>8291226</v>
      </c>
      <c r="M2023" s="2">
        <v>8119687856.8000002</v>
      </c>
      <c r="N2023" s="2">
        <v>142097</v>
      </c>
      <c r="O2023" t="s">
        <v>24</v>
      </c>
    </row>
    <row r="2024" spans="1:15" x14ac:dyDescent="0.3">
      <c r="A2024" s="1">
        <v>45979</v>
      </c>
      <c r="B2024" t="s">
        <v>15</v>
      </c>
      <c r="C2024" s="3">
        <v>975.6</v>
      </c>
      <c r="D2024" s="3">
        <v>976.7</v>
      </c>
      <c r="E2024" s="3">
        <v>968.85</v>
      </c>
      <c r="F2024" s="3">
        <v>973.35</v>
      </c>
      <c r="G2024" s="3">
        <v>971.3</v>
      </c>
      <c r="H2024" s="3">
        <v>972.45</v>
      </c>
      <c r="I2024" s="3">
        <v>972.74</v>
      </c>
      <c r="J2024" s="3">
        <v>976.7</v>
      </c>
      <c r="K2024" s="3">
        <v>680</v>
      </c>
      <c r="L2024" s="2">
        <v>6594686</v>
      </c>
      <c r="M2024" s="2">
        <v>6414942374.6499996</v>
      </c>
      <c r="N2024" s="2">
        <v>107945</v>
      </c>
      <c r="O2024" t="s">
        <v>24</v>
      </c>
    </row>
    <row r="2025" spans="1:15" x14ac:dyDescent="0.3">
      <c r="A2025" s="1">
        <v>45978</v>
      </c>
      <c r="B2025" t="s">
        <v>15</v>
      </c>
      <c r="C2025" s="3">
        <v>971</v>
      </c>
      <c r="D2025" s="3">
        <v>976</v>
      </c>
      <c r="E2025" s="3">
        <v>968.5</v>
      </c>
      <c r="F2025" s="3">
        <v>967.85</v>
      </c>
      <c r="G2025" s="3">
        <v>973</v>
      </c>
      <c r="H2025" s="3">
        <v>973.35</v>
      </c>
      <c r="I2025" s="3">
        <v>973.09</v>
      </c>
      <c r="J2025" s="3">
        <v>976</v>
      </c>
      <c r="K2025" s="3">
        <v>680</v>
      </c>
      <c r="L2025" s="2">
        <v>7415026</v>
      </c>
      <c r="M2025" s="2">
        <v>7215488915.0500002</v>
      </c>
      <c r="N2025" s="2">
        <v>117287</v>
      </c>
      <c r="O2025" t="s">
        <v>24</v>
      </c>
    </row>
    <row r="2026" spans="1:15" x14ac:dyDescent="0.3">
      <c r="A2026" s="1">
        <v>45975</v>
      </c>
      <c r="B2026" t="s">
        <v>15</v>
      </c>
      <c r="C2026" s="3">
        <v>952.95</v>
      </c>
      <c r="D2026" s="3">
        <v>969.05</v>
      </c>
      <c r="E2026" s="3">
        <v>952</v>
      </c>
      <c r="F2026" s="3">
        <v>954</v>
      </c>
      <c r="G2026" s="3">
        <v>967.95</v>
      </c>
      <c r="H2026" s="3">
        <v>967.85</v>
      </c>
      <c r="I2026" s="3">
        <v>962.38</v>
      </c>
      <c r="J2026" s="3">
        <v>971.4</v>
      </c>
      <c r="K2026" s="3">
        <v>680</v>
      </c>
      <c r="L2026" s="2">
        <v>11032927</v>
      </c>
      <c r="M2026" s="2">
        <v>10617844264.950001</v>
      </c>
      <c r="N2026" s="2">
        <v>191862</v>
      </c>
      <c r="O2026" t="s">
        <v>24</v>
      </c>
    </row>
    <row r="2027" spans="1:15" x14ac:dyDescent="0.3">
      <c r="A2027" s="1">
        <v>45974</v>
      </c>
      <c r="B2027" t="s">
        <v>15</v>
      </c>
      <c r="C2027" s="3">
        <v>954.25</v>
      </c>
      <c r="D2027" s="3">
        <v>963.95</v>
      </c>
      <c r="E2027" s="3">
        <v>952.45</v>
      </c>
      <c r="F2027" s="3">
        <v>957.15</v>
      </c>
      <c r="G2027" s="3">
        <v>954.9</v>
      </c>
      <c r="H2027" s="3">
        <v>954</v>
      </c>
      <c r="I2027" s="3">
        <v>957.93</v>
      </c>
      <c r="J2027" s="3">
        <v>971.4</v>
      </c>
      <c r="K2027" s="3">
        <v>680</v>
      </c>
      <c r="L2027" s="2">
        <v>8894441</v>
      </c>
      <c r="M2027" s="2">
        <v>8520261380.6999998</v>
      </c>
      <c r="N2027" s="2">
        <v>164831</v>
      </c>
      <c r="O2027" t="s">
        <v>24</v>
      </c>
    </row>
    <row r="2028" spans="1:15" x14ac:dyDescent="0.3">
      <c r="A2028" s="1">
        <v>45973</v>
      </c>
      <c r="B2028" t="s">
        <v>15</v>
      </c>
      <c r="C2028" s="3">
        <v>957.7</v>
      </c>
      <c r="D2028" s="3">
        <v>961.55</v>
      </c>
      <c r="E2028" s="3">
        <v>951.4</v>
      </c>
      <c r="F2028" s="3">
        <v>953.3</v>
      </c>
      <c r="G2028" s="3">
        <v>953.7</v>
      </c>
      <c r="H2028" s="3">
        <v>957.15</v>
      </c>
      <c r="I2028" s="3">
        <v>958.12</v>
      </c>
      <c r="J2028" s="3">
        <v>971.4</v>
      </c>
      <c r="K2028" s="3">
        <v>680</v>
      </c>
      <c r="L2028" s="2">
        <v>7043323</v>
      </c>
      <c r="M2028" s="2">
        <v>6748339960.1000004</v>
      </c>
      <c r="N2028" s="2">
        <v>135063</v>
      </c>
      <c r="O2028" t="s">
        <v>24</v>
      </c>
    </row>
    <row r="2029" spans="1:15" x14ac:dyDescent="0.3">
      <c r="A2029" s="1">
        <v>45972</v>
      </c>
      <c r="B2029" t="s">
        <v>15</v>
      </c>
      <c r="C2029" s="3">
        <v>953.6</v>
      </c>
      <c r="D2029" s="3">
        <v>954.95</v>
      </c>
      <c r="E2029" s="3">
        <v>945.05</v>
      </c>
      <c r="F2029" s="3">
        <v>951.15</v>
      </c>
      <c r="G2029" s="3">
        <v>954</v>
      </c>
      <c r="H2029" s="3">
        <v>953.3</v>
      </c>
      <c r="I2029" s="3">
        <v>951.16</v>
      </c>
      <c r="J2029" s="3">
        <v>971.4</v>
      </c>
      <c r="K2029" s="3">
        <v>680</v>
      </c>
      <c r="L2029" s="2">
        <v>8648917</v>
      </c>
      <c r="M2029" s="2">
        <v>8226498757.9499998</v>
      </c>
      <c r="N2029" s="2">
        <v>194994</v>
      </c>
      <c r="O2029" t="s">
        <v>24</v>
      </c>
    </row>
    <row r="2030" spans="1:15" x14ac:dyDescent="0.3">
      <c r="A2030" s="1">
        <v>45971</v>
      </c>
      <c r="B2030" t="s">
        <v>15</v>
      </c>
      <c r="C2030" s="3">
        <v>956</v>
      </c>
      <c r="D2030" s="3">
        <v>963.2</v>
      </c>
      <c r="E2030" s="3">
        <v>949.1</v>
      </c>
      <c r="F2030" s="3">
        <v>955.85</v>
      </c>
      <c r="G2030" s="3">
        <v>950.55</v>
      </c>
      <c r="H2030" s="3">
        <v>951.15</v>
      </c>
      <c r="I2030" s="3">
        <v>952.71</v>
      </c>
      <c r="J2030" s="3">
        <v>971.4</v>
      </c>
      <c r="K2030" s="3">
        <v>680</v>
      </c>
      <c r="L2030" s="2">
        <v>7343249</v>
      </c>
      <c r="M2030" s="2">
        <v>6995981463.75</v>
      </c>
      <c r="N2030" s="2">
        <v>152876</v>
      </c>
      <c r="O2030" t="s">
        <v>24</v>
      </c>
    </row>
    <row r="2031" spans="1:15" x14ac:dyDescent="0.3">
      <c r="A2031" s="1">
        <v>45968</v>
      </c>
      <c r="B2031" t="s">
        <v>15</v>
      </c>
      <c r="C2031" s="3">
        <v>958.75</v>
      </c>
      <c r="D2031" s="3">
        <v>964.85</v>
      </c>
      <c r="E2031" s="3">
        <v>944</v>
      </c>
      <c r="F2031" s="3">
        <v>960.75</v>
      </c>
      <c r="G2031" s="3">
        <v>954.8</v>
      </c>
      <c r="H2031" s="3">
        <v>955.85</v>
      </c>
      <c r="I2031" s="3">
        <v>955.55</v>
      </c>
      <c r="J2031" s="3">
        <v>971.4</v>
      </c>
      <c r="K2031" s="3">
        <v>680</v>
      </c>
      <c r="L2031" s="2">
        <v>13371323</v>
      </c>
      <c r="M2031" s="2">
        <v>12777009240.450001</v>
      </c>
      <c r="N2031" s="2">
        <v>213279</v>
      </c>
      <c r="O2031" t="s">
        <v>24</v>
      </c>
    </row>
    <row r="2032" spans="1:15" x14ac:dyDescent="0.3">
      <c r="A2032" s="1">
        <v>45967</v>
      </c>
      <c r="B2032" t="s">
        <v>15</v>
      </c>
      <c r="C2032" s="3">
        <v>969.65</v>
      </c>
      <c r="D2032" s="3">
        <v>971.4</v>
      </c>
      <c r="E2032" s="3">
        <v>955.3</v>
      </c>
      <c r="F2032" s="3">
        <v>957.6</v>
      </c>
      <c r="G2032" s="3">
        <v>959.85</v>
      </c>
      <c r="H2032" s="3">
        <v>960.75</v>
      </c>
      <c r="I2032" s="3">
        <v>962.26</v>
      </c>
      <c r="J2032" s="3">
        <v>971.4</v>
      </c>
      <c r="K2032" s="3">
        <v>680</v>
      </c>
      <c r="L2032" s="2">
        <v>23088096</v>
      </c>
      <c r="M2032" s="2">
        <v>22216670805.599998</v>
      </c>
      <c r="N2032" s="2">
        <v>295608</v>
      </c>
      <c r="O2032" t="s">
        <v>24</v>
      </c>
    </row>
    <row r="2033" spans="1:15" x14ac:dyDescent="0.3">
      <c r="A2033" s="1">
        <v>45965</v>
      </c>
      <c r="B2033" t="s">
        <v>15</v>
      </c>
      <c r="C2033" s="3">
        <v>951</v>
      </c>
      <c r="D2033" s="3">
        <v>959.3</v>
      </c>
      <c r="E2033" s="3">
        <v>941.5</v>
      </c>
      <c r="F2033" s="3">
        <v>949.7</v>
      </c>
      <c r="G2033" s="3">
        <v>954.6</v>
      </c>
      <c r="H2033" s="3">
        <v>957.6</v>
      </c>
      <c r="I2033" s="3">
        <v>951.24</v>
      </c>
      <c r="J2033" s="3">
        <v>959.3</v>
      </c>
      <c r="K2033" s="3">
        <v>680</v>
      </c>
      <c r="L2033" s="2">
        <v>19154518</v>
      </c>
      <c r="M2033" s="2">
        <v>18220510218.849998</v>
      </c>
      <c r="N2033" s="2">
        <v>274272</v>
      </c>
      <c r="O2033" t="s">
        <v>24</v>
      </c>
    </row>
    <row r="2034" spans="1:15" x14ac:dyDescent="0.3">
      <c r="A2034" s="1">
        <v>45964</v>
      </c>
      <c r="B2034" t="s">
        <v>15</v>
      </c>
      <c r="C2034" s="3">
        <v>938.75</v>
      </c>
      <c r="D2034" s="3">
        <v>953.4</v>
      </c>
      <c r="E2034" s="3">
        <v>937.5</v>
      </c>
      <c r="F2034" s="3">
        <v>937</v>
      </c>
      <c r="G2034" s="3">
        <v>948.6</v>
      </c>
      <c r="H2034" s="3">
        <v>949.7</v>
      </c>
      <c r="I2034" s="3">
        <v>948.05</v>
      </c>
      <c r="J2034" s="3">
        <v>953.4</v>
      </c>
      <c r="K2034" s="3">
        <v>680</v>
      </c>
      <c r="L2034" s="2">
        <v>11744735</v>
      </c>
      <c r="M2034" s="2">
        <v>11134610778.15</v>
      </c>
      <c r="N2034" s="2">
        <v>257905</v>
      </c>
      <c r="O2034" t="s">
        <v>24</v>
      </c>
    </row>
    <row r="2035" spans="1:15" x14ac:dyDescent="0.3">
      <c r="A2035" s="1">
        <v>45961</v>
      </c>
      <c r="B2035" t="s">
        <v>15</v>
      </c>
      <c r="C2035" s="3">
        <v>934.9</v>
      </c>
      <c r="D2035" s="3">
        <v>946.7</v>
      </c>
      <c r="E2035" s="3">
        <v>930.25</v>
      </c>
      <c r="F2035" s="3">
        <v>934.35</v>
      </c>
      <c r="G2035" s="3">
        <v>937.5</v>
      </c>
      <c r="H2035" s="3">
        <v>937</v>
      </c>
      <c r="I2035" s="3">
        <v>939.16</v>
      </c>
      <c r="J2035" s="3">
        <v>946.7</v>
      </c>
      <c r="K2035" s="3">
        <v>680</v>
      </c>
      <c r="L2035" s="2">
        <v>12078252</v>
      </c>
      <c r="M2035" s="2">
        <v>11343369670.65</v>
      </c>
      <c r="N2035" s="2">
        <v>261943</v>
      </c>
      <c r="O2035" t="s">
        <v>24</v>
      </c>
    </row>
    <row r="2036" spans="1:15" x14ac:dyDescent="0.3">
      <c r="A2036" s="1">
        <v>45960</v>
      </c>
      <c r="B2036" t="s">
        <v>15</v>
      </c>
      <c r="C2036" s="3">
        <v>939.45</v>
      </c>
      <c r="D2036" s="3">
        <v>944.9</v>
      </c>
      <c r="E2036" s="3">
        <v>933.05</v>
      </c>
      <c r="F2036" s="3">
        <v>939.75</v>
      </c>
      <c r="G2036" s="3">
        <v>934.5</v>
      </c>
      <c r="H2036" s="3">
        <v>934.35</v>
      </c>
      <c r="I2036" s="3">
        <v>938.89</v>
      </c>
      <c r="J2036" s="3">
        <v>944.9</v>
      </c>
      <c r="K2036" s="3">
        <v>680</v>
      </c>
      <c r="L2036" s="2">
        <v>13044473</v>
      </c>
      <c r="M2036" s="2">
        <v>12247265996.75</v>
      </c>
      <c r="N2036" s="2">
        <v>248310</v>
      </c>
      <c r="O2036" t="s">
        <v>24</v>
      </c>
    </row>
    <row r="2037" spans="1:15" x14ac:dyDescent="0.3">
      <c r="A2037" s="1">
        <v>45959</v>
      </c>
      <c r="B2037" t="s">
        <v>15</v>
      </c>
      <c r="C2037" s="3">
        <v>933.9</v>
      </c>
      <c r="D2037" s="3">
        <v>942.05</v>
      </c>
      <c r="E2037" s="3">
        <v>930.25</v>
      </c>
      <c r="F2037" s="3">
        <v>930.25</v>
      </c>
      <c r="G2037" s="3">
        <v>939</v>
      </c>
      <c r="H2037" s="3">
        <v>939.75</v>
      </c>
      <c r="I2037" s="3">
        <v>937.9</v>
      </c>
      <c r="J2037" s="3">
        <v>942.05</v>
      </c>
      <c r="K2037" s="3">
        <v>680</v>
      </c>
      <c r="L2037" s="2">
        <v>12314222</v>
      </c>
      <c r="M2037" s="2">
        <v>11549498004.299999</v>
      </c>
      <c r="N2037" s="2">
        <v>238682</v>
      </c>
      <c r="O2037" t="s">
        <v>24</v>
      </c>
    </row>
    <row r="2038" spans="1:15" x14ac:dyDescent="0.3">
      <c r="A2038" s="1">
        <v>45958</v>
      </c>
      <c r="B2038" t="s">
        <v>15</v>
      </c>
      <c r="C2038" s="3">
        <v>927.1</v>
      </c>
      <c r="D2038" s="3">
        <v>935.85</v>
      </c>
      <c r="E2038" s="3">
        <v>917.7</v>
      </c>
      <c r="F2038" s="3">
        <v>922.75</v>
      </c>
      <c r="G2038" s="3">
        <v>930.5</v>
      </c>
      <c r="H2038" s="3">
        <v>930.25</v>
      </c>
      <c r="I2038" s="3">
        <v>927.38</v>
      </c>
      <c r="J2038" s="3">
        <v>935.85</v>
      </c>
      <c r="K2038" s="3">
        <v>680</v>
      </c>
      <c r="L2038" s="2">
        <v>22066289</v>
      </c>
      <c r="M2038" s="2">
        <v>20463762333</v>
      </c>
      <c r="N2038" s="2">
        <v>333815</v>
      </c>
      <c r="O2038" t="s">
        <v>24</v>
      </c>
    </row>
    <row r="2039" spans="1:15" x14ac:dyDescent="0.3">
      <c r="A2039" s="1">
        <v>45957</v>
      </c>
      <c r="B2039" t="s">
        <v>15</v>
      </c>
      <c r="C2039" s="3">
        <v>906.95</v>
      </c>
      <c r="D2039" s="3">
        <v>928</v>
      </c>
      <c r="E2039" s="3">
        <v>906</v>
      </c>
      <c r="F2039" s="3">
        <v>904.5</v>
      </c>
      <c r="G2039" s="3">
        <v>926.9</v>
      </c>
      <c r="H2039" s="3">
        <v>922.75</v>
      </c>
      <c r="I2039" s="3">
        <v>918.09</v>
      </c>
      <c r="J2039" s="3">
        <v>928</v>
      </c>
      <c r="K2039" s="3">
        <v>680</v>
      </c>
      <c r="L2039" s="2">
        <v>9150761</v>
      </c>
      <c r="M2039" s="2">
        <v>8401263077.1499996</v>
      </c>
      <c r="N2039" s="2">
        <v>179901</v>
      </c>
      <c r="O2039" t="s">
        <v>24</v>
      </c>
    </row>
    <row r="2040" spans="1:15" x14ac:dyDescent="0.3">
      <c r="A2040" s="1">
        <v>45954</v>
      </c>
      <c r="B2040" t="s">
        <v>15</v>
      </c>
      <c r="C2040" s="3">
        <v>910.95</v>
      </c>
      <c r="D2040" s="3">
        <v>914.1</v>
      </c>
      <c r="E2040" s="3">
        <v>900.95</v>
      </c>
      <c r="F2040" s="3">
        <v>911.55</v>
      </c>
      <c r="G2040" s="3">
        <v>904</v>
      </c>
      <c r="H2040" s="3">
        <v>904.5</v>
      </c>
      <c r="I2040" s="3">
        <v>905.66</v>
      </c>
      <c r="J2040" s="3">
        <v>918</v>
      </c>
      <c r="K2040" s="3">
        <v>680</v>
      </c>
      <c r="L2040" s="2">
        <v>5313227</v>
      </c>
      <c r="M2040" s="2">
        <v>4811992307.8500004</v>
      </c>
      <c r="N2040" s="2">
        <v>173275</v>
      </c>
      <c r="O2040" t="s">
        <v>24</v>
      </c>
    </row>
    <row r="2041" spans="1:15" x14ac:dyDescent="0.3">
      <c r="A2041" s="1">
        <v>45953</v>
      </c>
      <c r="B2041" t="s">
        <v>15</v>
      </c>
      <c r="C2041" s="3">
        <v>912</v>
      </c>
      <c r="D2041" s="3">
        <v>918</v>
      </c>
      <c r="E2041" s="3">
        <v>904.8</v>
      </c>
      <c r="F2041" s="3">
        <v>907.85</v>
      </c>
      <c r="G2041" s="3">
        <v>909.1</v>
      </c>
      <c r="H2041" s="3">
        <v>911.55</v>
      </c>
      <c r="I2041" s="3">
        <v>913.11</v>
      </c>
      <c r="J2041" s="3">
        <v>918</v>
      </c>
      <c r="K2041" s="3">
        <v>680</v>
      </c>
      <c r="L2041" s="2">
        <v>13382769</v>
      </c>
      <c r="M2041" s="2">
        <v>12219945497.549999</v>
      </c>
      <c r="N2041" s="2">
        <v>338233</v>
      </c>
      <c r="O2041" t="s">
        <v>24</v>
      </c>
    </row>
    <row r="2042" spans="1:15" x14ac:dyDescent="0.3">
      <c r="A2042" s="1">
        <v>45951</v>
      </c>
      <c r="B2042" t="s">
        <v>15</v>
      </c>
      <c r="C2042" s="3">
        <v>908</v>
      </c>
      <c r="D2042" s="3">
        <v>910</v>
      </c>
      <c r="E2042" s="3">
        <v>906.4</v>
      </c>
      <c r="F2042" s="3">
        <v>907.5</v>
      </c>
      <c r="G2042" s="3">
        <v>907.05</v>
      </c>
      <c r="H2042" s="3">
        <v>907.85</v>
      </c>
      <c r="I2042" s="3">
        <v>907.99</v>
      </c>
      <c r="J2042" s="3">
        <v>913.65</v>
      </c>
      <c r="K2042" s="3">
        <v>680</v>
      </c>
      <c r="L2042" s="2">
        <v>1783576</v>
      </c>
      <c r="M2042" s="2">
        <v>1619477226.4000001</v>
      </c>
      <c r="N2042" s="2">
        <v>51138</v>
      </c>
      <c r="O2042" t="s">
        <v>24</v>
      </c>
    </row>
    <row r="2043" spans="1:15" x14ac:dyDescent="0.3">
      <c r="A2043" s="1">
        <v>45950</v>
      </c>
      <c r="B2043" t="s">
        <v>15</v>
      </c>
      <c r="C2043" s="3">
        <v>894.6</v>
      </c>
      <c r="D2043" s="3">
        <v>913.65</v>
      </c>
      <c r="E2043" s="3">
        <v>891.05</v>
      </c>
      <c r="F2043" s="3">
        <v>889.15</v>
      </c>
      <c r="G2043" s="3">
        <v>907</v>
      </c>
      <c r="H2043" s="3">
        <v>907.5</v>
      </c>
      <c r="I2043" s="3">
        <v>905.33</v>
      </c>
      <c r="J2043" s="3">
        <v>913.65</v>
      </c>
      <c r="K2043" s="3">
        <v>680</v>
      </c>
      <c r="L2043" s="2">
        <v>13546463</v>
      </c>
      <c r="M2043" s="2">
        <v>12264027405.35</v>
      </c>
      <c r="N2043" s="2">
        <v>241758</v>
      </c>
      <c r="O2043" t="s">
        <v>24</v>
      </c>
    </row>
    <row r="2044" spans="1:15" x14ac:dyDescent="0.3">
      <c r="A2044" s="1">
        <v>45947</v>
      </c>
      <c r="B2044" t="s">
        <v>15</v>
      </c>
      <c r="C2044" s="3">
        <v>887.5</v>
      </c>
      <c r="D2044" s="3">
        <v>894.75</v>
      </c>
      <c r="E2044" s="3">
        <v>883</v>
      </c>
      <c r="F2044" s="3">
        <v>886.95</v>
      </c>
      <c r="G2044" s="3">
        <v>888</v>
      </c>
      <c r="H2044" s="3">
        <v>889.15</v>
      </c>
      <c r="I2044" s="3">
        <v>888.75</v>
      </c>
      <c r="J2044" s="3">
        <v>894.75</v>
      </c>
      <c r="K2044" s="3">
        <v>680</v>
      </c>
      <c r="L2044" s="2">
        <v>8511854</v>
      </c>
      <c r="M2044" s="2">
        <v>7564950031.25</v>
      </c>
      <c r="N2044" s="2">
        <v>231474</v>
      </c>
      <c r="O2044" t="s">
        <v>24</v>
      </c>
    </row>
    <row r="2045" spans="1:15" x14ac:dyDescent="0.3">
      <c r="A2045" s="1">
        <v>45946</v>
      </c>
      <c r="B2045" t="s">
        <v>15</v>
      </c>
      <c r="C2045" s="3">
        <v>888.3</v>
      </c>
      <c r="D2045" s="3">
        <v>891.85</v>
      </c>
      <c r="E2045" s="3">
        <v>882.45</v>
      </c>
      <c r="F2045" s="3">
        <v>886.1</v>
      </c>
      <c r="G2045" s="3">
        <v>886.2</v>
      </c>
      <c r="H2045" s="3">
        <v>886.95</v>
      </c>
      <c r="I2045" s="3">
        <v>887.32</v>
      </c>
      <c r="J2045" s="3">
        <v>891.85</v>
      </c>
      <c r="K2045" s="3">
        <v>680</v>
      </c>
      <c r="L2045" s="2">
        <v>8493686</v>
      </c>
      <c r="M2045" s="2">
        <v>7536587997.5</v>
      </c>
      <c r="N2045" s="2">
        <v>269552</v>
      </c>
      <c r="O2045" t="s">
        <v>24</v>
      </c>
    </row>
    <row r="2046" spans="1:15" x14ac:dyDescent="0.3">
      <c r="A2046" s="1">
        <v>45945</v>
      </c>
      <c r="B2046" t="s">
        <v>15</v>
      </c>
      <c r="C2046" s="3">
        <v>878.1</v>
      </c>
      <c r="D2046" s="3">
        <v>887.5</v>
      </c>
      <c r="E2046" s="3">
        <v>877.05</v>
      </c>
      <c r="F2046" s="3">
        <v>876.95</v>
      </c>
      <c r="G2046" s="3">
        <v>886.9</v>
      </c>
      <c r="H2046" s="3">
        <v>886.1</v>
      </c>
      <c r="I2046" s="3">
        <v>884.42</v>
      </c>
      <c r="J2046" s="3">
        <v>888.1</v>
      </c>
      <c r="K2046" s="3">
        <v>680</v>
      </c>
      <c r="L2046" s="2">
        <v>8269225</v>
      </c>
      <c r="M2046" s="2">
        <v>7313505128.5500002</v>
      </c>
      <c r="N2046" s="2">
        <v>246174</v>
      </c>
      <c r="O2046" t="s">
        <v>24</v>
      </c>
    </row>
    <row r="2047" spans="1:15" x14ac:dyDescent="0.3">
      <c r="A2047" s="1">
        <v>45944</v>
      </c>
      <c r="B2047" t="s">
        <v>15</v>
      </c>
      <c r="C2047" s="3">
        <v>883</v>
      </c>
      <c r="D2047" s="3">
        <v>884.15</v>
      </c>
      <c r="E2047" s="3">
        <v>872.1</v>
      </c>
      <c r="F2047" s="3">
        <v>882.95</v>
      </c>
      <c r="G2047" s="3">
        <v>876</v>
      </c>
      <c r="H2047" s="3">
        <v>876.95</v>
      </c>
      <c r="I2047" s="3">
        <v>876.97</v>
      </c>
      <c r="J2047" s="3">
        <v>888.1</v>
      </c>
      <c r="K2047" s="3">
        <v>680</v>
      </c>
      <c r="L2047" s="2">
        <v>7681973</v>
      </c>
      <c r="M2047" s="2">
        <v>6736896799.3000002</v>
      </c>
      <c r="N2047" s="2">
        <v>134593</v>
      </c>
      <c r="O2047" t="s">
        <v>24</v>
      </c>
    </row>
    <row r="2048" spans="1:15" x14ac:dyDescent="0.3">
      <c r="A2048" s="1">
        <v>45943</v>
      </c>
      <c r="B2048" t="s">
        <v>15</v>
      </c>
      <c r="C2048" s="3">
        <v>879</v>
      </c>
      <c r="D2048" s="3">
        <v>888.1</v>
      </c>
      <c r="E2048" s="3">
        <v>876</v>
      </c>
      <c r="F2048" s="3">
        <v>880.65</v>
      </c>
      <c r="G2048" s="3">
        <v>884</v>
      </c>
      <c r="H2048" s="3">
        <v>882.95</v>
      </c>
      <c r="I2048" s="3">
        <v>884.03</v>
      </c>
      <c r="J2048" s="3">
        <v>888.1</v>
      </c>
      <c r="K2048" s="3">
        <v>680</v>
      </c>
      <c r="L2048" s="2">
        <v>11923143</v>
      </c>
      <c r="M2048" s="2">
        <v>10540393655.950001</v>
      </c>
      <c r="N2048" s="2">
        <v>198375</v>
      </c>
      <c r="O2048" t="s">
        <v>24</v>
      </c>
    </row>
    <row r="2049" spans="1:15" x14ac:dyDescent="0.3">
      <c r="A2049" s="1">
        <v>45940</v>
      </c>
      <c r="B2049" t="s">
        <v>15</v>
      </c>
      <c r="C2049" s="3">
        <v>862.1</v>
      </c>
      <c r="D2049" s="3">
        <v>883.75</v>
      </c>
      <c r="E2049" s="3">
        <v>861.3</v>
      </c>
      <c r="F2049" s="3">
        <v>862.1</v>
      </c>
      <c r="G2049" s="3">
        <v>881.25</v>
      </c>
      <c r="H2049" s="3">
        <v>880.65</v>
      </c>
      <c r="I2049" s="3">
        <v>879.53</v>
      </c>
      <c r="J2049" s="3">
        <v>883.75</v>
      </c>
      <c r="K2049" s="3">
        <v>680</v>
      </c>
      <c r="L2049" s="2">
        <v>13713015</v>
      </c>
      <c r="M2049" s="2">
        <v>12061033018.65</v>
      </c>
      <c r="N2049" s="2">
        <v>191535</v>
      </c>
      <c r="O2049" t="s">
        <v>24</v>
      </c>
    </row>
    <row r="2050" spans="1:15" x14ac:dyDescent="0.3">
      <c r="A2050" s="1">
        <v>45939</v>
      </c>
      <c r="B2050" t="s">
        <v>15</v>
      </c>
      <c r="C2050" s="3">
        <v>861.6</v>
      </c>
      <c r="D2050" s="3">
        <v>865.8</v>
      </c>
      <c r="E2050" s="3">
        <v>858.1</v>
      </c>
      <c r="F2050" s="3">
        <v>858.25</v>
      </c>
      <c r="G2050" s="3">
        <v>861.4</v>
      </c>
      <c r="H2050" s="3">
        <v>862.1</v>
      </c>
      <c r="I2050" s="3">
        <v>861.48</v>
      </c>
      <c r="J2050" s="3">
        <v>880.5</v>
      </c>
      <c r="K2050" s="3">
        <v>680</v>
      </c>
      <c r="L2050" s="2">
        <v>7020501</v>
      </c>
      <c r="M2050" s="2">
        <v>6048014878.8999996</v>
      </c>
      <c r="N2050" s="2">
        <v>121377</v>
      </c>
      <c r="O2050" t="s">
        <v>24</v>
      </c>
    </row>
    <row r="2051" spans="1:15" x14ac:dyDescent="0.3">
      <c r="A2051" s="1">
        <v>45938</v>
      </c>
      <c r="B2051" t="s">
        <v>15</v>
      </c>
      <c r="C2051" s="3">
        <v>866.8</v>
      </c>
      <c r="D2051" s="3">
        <v>867.8</v>
      </c>
      <c r="E2051" s="3">
        <v>857.25</v>
      </c>
      <c r="F2051" s="3">
        <v>864.7</v>
      </c>
      <c r="G2051" s="3">
        <v>857.3</v>
      </c>
      <c r="H2051" s="3">
        <v>858.25</v>
      </c>
      <c r="I2051" s="3">
        <v>860.69</v>
      </c>
      <c r="J2051" s="3">
        <v>880.5</v>
      </c>
      <c r="K2051" s="3">
        <v>680</v>
      </c>
      <c r="L2051" s="2">
        <v>7156112</v>
      </c>
      <c r="M2051" s="2">
        <v>6159218647.3000002</v>
      </c>
      <c r="N2051" s="2">
        <v>129510</v>
      </c>
      <c r="O2051" t="s">
        <v>24</v>
      </c>
    </row>
    <row r="2052" spans="1:15" x14ac:dyDescent="0.3">
      <c r="A2052" s="1">
        <v>45937</v>
      </c>
      <c r="B2052" t="s">
        <v>15</v>
      </c>
      <c r="C2052" s="3">
        <v>874.15</v>
      </c>
      <c r="D2052" s="3">
        <v>877</v>
      </c>
      <c r="E2052" s="3">
        <v>863</v>
      </c>
      <c r="F2052" s="3">
        <v>874.05</v>
      </c>
      <c r="G2052" s="3">
        <v>864.15</v>
      </c>
      <c r="H2052" s="3">
        <v>864.7</v>
      </c>
      <c r="I2052" s="3">
        <v>868.32</v>
      </c>
      <c r="J2052" s="3">
        <v>880.5</v>
      </c>
      <c r="K2052" s="3">
        <v>680</v>
      </c>
      <c r="L2052" s="2">
        <v>9242580</v>
      </c>
      <c r="M2052" s="2">
        <v>8025523526.1000004</v>
      </c>
      <c r="N2052" s="2">
        <v>167126</v>
      </c>
      <c r="O2052" t="s">
        <v>24</v>
      </c>
    </row>
    <row r="2053" spans="1:15" x14ac:dyDescent="0.3">
      <c r="A2053" s="1">
        <v>45936</v>
      </c>
      <c r="B2053" t="s">
        <v>15</v>
      </c>
      <c r="C2053" s="3">
        <v>868</v>
      </c>
      <c r="D2053" s="3">
        <v>875.3</v>
      </c>
      <c r="E2053" s="3">
        <v>862.8</v>
      </c>
      <c r="F2053" s="3">
        <v>867.3</v>
      </c>
      <c r="G2053" s="3">
        <v>873.8</v>
      </c>
      <c r="H2053" s="3">
        <v>874.05</v>
      </c>
      <c r="I2053" s="3">
        <v>868.71</v>
      </c>
      <c r="J2053" s="3">
        <v>880.5</v>
      </c>
      <c r="K2053" s="3">
        <v>680</v>
      </c>
      <c r="L2053" s="2">
        <v>7820352</v>
      </c>
      <c r="M2053" s="2">
        <v>6793631063.5</v>
      </c>
      <c r="N2053" s="2">
        <v>164571</v>
      </c>
      <c r="O2053" t="s">
        <v>24</v>
      </c>
    </row>
    <row r="2054" spans="1:15" x14ac:dyDescent="0.3">
      <c r="A2054" s="1">
        <v>45933</v>
      </c>
      <c r="B2054" t="s">
        <v>15</v>
      </c>
      <c r="C2054" s="3">
        <v>865.15</v>
      </c>
      <c r="D2054" s="3">
        <v>873</v>
      </c>
      <c r="E2054" s="3">
        <v>863.8</v>
      </c>
      <c r="F2054" s="3">
        <v>864.1</v>
      </c>
      <c r="G2054" s="3">
        <v>867.7</v>
      </c>
      <c r="H2054" s="3">
        <v>867.3</v>
      </c>
      <c r="I2054" s="3">
        <v>867.43</v>
      </c>
      <c r="J2054" s="3">
        <v>880.5</v>
      </c>
      <c r="K2054" s="3">
        <v>680</v>
      </c>
      <c r="L2054" s="2">
        <v>8019442</v>
      </c>
      <c r="M2054" s="2">
        <v>6956290461.6999998</v>
      </c>
      <c r="N2054" s="2">
        <v>154834</v>
      </c>
      <c r="O2054" t="s">
        <v>24</v>
      </c>
    </row>
    <row r="2055" spans="1:15" x14ac:dyDescent="0.3">
      <c r="A2055" s="1">
        <v>45931</v>
      </c>
      <c r="B2055" t="s">
        <v>15</v>
      </c>
      <c r="C2055" s="3">
        <v>872.3</v>
      </c>
      <c r="D2055" s="3">
        <v>876.45</v>
      </c>
      <c r="E2055" s="3">
        <v>862.8</v>
      </c>
      <c r="F2055" s="3">
        <v>872.45</v>
      </c>
      <c r="G2055" s="3">
        <v>865.15</v>
      </c>
      <c r="H2055" s="3">
        <v>864.1</v>
      </c>
      <c r="I2055" s="3">
        <v>866.79</v>
      </c>
      <c r="J2055" s="3">
        <v>880.5</v>
      </c>
      <c r="K2055" s="3">
        <v>680</v>
      </c>
      <c r="L2055" s="2">
        <v>10832384</v>
      </c>
      <c r="M2055" s="2">
        <v>9389446664.6499996</v>
      </c>
      <c r="N2055" s="2">
        <v>218205</v>
      </c>
      <c r="O2055" t="s">
        <v>24</v>
      </c>
    </row>
    <row r="2056" spans="1:15" x14ac:dyDescent="0.3">
      <c r="A2056" s="1">
        <v>45930</v>
      </c>
      <c r="B2056" t="s">
        <v>15</v>
      </c>
      <c r="C2056" s="3">
        <v>869.95</v>
      </c>
      <c r="D2056" s="3">
        <v>877.6</v>
      </c>
      <c r="E2056" s="3">
        <v>867.6</v>
      </c>
      <c r="F2056" s="3">
        <v>870.75</v>
      </c>
      <c r="G2056" s="3">
        <v>873.7</v>
      </c>
      <c r="H2056" s="3">
        <v>872.45</v>
      </c>
      <c r="I2056" s="3">
        <v>873.54</v>
      </c>
      <c r="J2056" s="3">
        <v>880.5</v>
      </c>
      <c r="K2056" s="3">
        <v>680</v>
      </c>
      <c r="L2056" s="2">
        <v>12831593</v>
      </c>
      <c r="M2056" s="2">
        <v>11208895455.700001</v>
      </c>
      <c r="N2056" s="2">
        <v>205386</v>
      </c>
      <c r="O2056" t="s">
        <v>24</v>
      </c>
    </row>
    <row r="2057" spans="1:15" x14ac:dyDescent="0.3">
      <c r="A2057" s="1">
        <v>45929</v>
      </c>
      <c r="B2057" t="s">
        <v>15</v>
      </c>
      <c r="C2057" s="3">
        <v>858.05</v>
      </c>
      <c r="D2057" s="3">
        <v>873.5</v>
      </c>
      <c r="E2057" s="3">
        <v>856</v>
      </c>
      <c r="F2057" s="3">
        <v>856.95</v>
      </c>
      <c r="G2057" s="3">
        <v>870.25</v>
      </c>
      <c r="H2057" s="3">
        <v>870.75</v>
      </c>
      <c r="I2057" s="3">
        <v>868.13</v>
      </c>
      <c r="J2057" s="3">
        <v>880.5</v>
      </c>
      <c r="K2057" s="3">
        <v>680</v>
      </c>
      <c r="L2057" s="2">
        <v>22641712</v>
      </c>
      <c r="M2057" s="2">
        <v>19655996220.150002</v>
      </c>
      <c r="N2057" s="2">
        <v>192001</v>
      </c>
      <c r="O2057" t="s">
        <v>24</v>
      </c>
    </row>
    <row r="2058" spans="1:15" x14ac:dyDescent="0.3">
      <c r="A2058" s="1">
        <v>45926</v>
      </c>
      <c r="B2058" t="s">
        <v>15</v>
      </c>
      <c r="C2058" s="3">
        <v>862</v>
      </c>
      <c r="D2058" s="3">
        <v>864.35</v>
      </c>
      <c r="E2058" s="3">
        <v>853</v>
      </c>
      <c r="F2058" s="3">
        <v>861.15</v>
      </c>
      <c r="G2058" s="3">
        <v>857</v>
      </c>
      <c r="H2058" s="3">
        <v>856.95</v>
      </c>
      <c r="I2058" s="3">
        <v>857.34</v>
      </c>
      <c r="J2058" s="3">
        <v>880.5</v>
      </c>
      <c r="K2058" s="3">
        <v>680</v>
      </c>
      <c r="L2058" s="2">
        <v>6959545</v>
      </c>
      <c r="M2058" s="2">
        <v>5966677885.8000002</v>
      </c>
      <c r="N2058" s="2">
        <v>158616</v>
      </c>
      <c r="O2058" t="s">
        <v>24</v>
      </c>
    </row>
    <row r="2059" spans="1:15" x14ac:dyDescent="0.3">
      <c r="A2059" s="1">
        <v>45925</v>
      </c>
      <c r="B2059" t="s">
        <v>15</v>
      </c>
      <c r="C2059" s="3">
        <v>866.55</v>
      </c>
      <c r="D2059" s="3">
        <v>870.15</v>
      </c>
      <c r="E2059" s="3">
        <v>859.95</v>
      </c>
      <c r="F2059" s="3">
        <v>866.2</v>
      </c>
      <c r="G2059" s="3">
        <v>861.45</v>
      </c>
      <c r="H2059" s="3">
        <v>861.15</v>
      </c>
      <c r="I2059" s="3">
        <v>864.66</v>
      </c>
      <c r="J2059" s="3">
        <v>880.5</v>
      </c>
      <c r="K2059" s="3">
        <v>680</v>
      </c>
      <c r="L2059" s="2">
        <v>8678821</v>
      </c>
      <c r="M2059" s="2">
        <v>7504197402.9499998</v>
      </c>
      <c r="N2059" s="2">
        <v>190936</v>
      </c>
      <c r="O2059" t="s">
        <v>24</v>
      </c>
    </row>
    <row r="2060" spans="1:15" x14ac:dyDescent="0.3">
      <c r="A2060" s="1">
        <v>45924</v>
      </c>
      <c r="B2060" t="s">
        <v>15</v>
      </c>
      <c r="C2060" s="3">
        <v>876</v>
      </c>
      <c r="D2060" s="3">
        <v>880.5</v>
      </c>
      <c r="E2060" s="3">
        <v>864.45</v>
      </c>
      <c r="F2060" s="3">
        <v>870.6</v>
      </c>
      <c r="G2060" s="3">
        <v>866.15</v>
      </c>
      <c r="H2060" s="3">
        <v>866.2</v>
      </c>
      <c r="I2060" s="3">
        <v>872.28</v>
      </c>
      <c r="J2060" s="3">
        <v>880.5</v>
      </c>
      <c r="K2060" s="3">
        <v>680</v>
      </c>
      <c r="L2060" s="2">
        <v>12840160</v>
      </c>
      <c r="M2060" s="2">
        <v>11200249246.85</v>
      </c>
      <c r="N2060" s="2">
        <v>219731</v>
      </c>
      <c r="O2060" t="s">
        <v>24</v>
      </c>
    </row>
    <row r="2061" spans="1:15" x14ac:dyDescent="0.3">
      <c r="A2061" s="1">
        <v>45923</v>
      </c>
      <c r="B2061" t="s">
        <v>15</v>
      </c>
      <c r="C2061" s="3">
        <v>854.6</v>
      </c>
      <c r="D2061" s="3">
        <v>874.25</v>
      </c>
      <c r="E2061" s="3">
        <v>851.2</v>
      </c>
      <c r="F2061" s="3">
        <v>855.25</v>
      </c>
      <c r="G2061" s="3">
        <v>869.6</v>
      </c>
      <c r="H2061" s="3">
        <v>870.6</v>
      </c>
      <c r="I2061" s="3">
        <v>866.65</v>
      </c>
      <c r="J2061" s="3">
        <v>875.45</v>
      </c>
      <c r="K2061" s="3">
        <v>680</v>
      </c>
      <c r="L2061" s="2">
        <v>14357863</v>
      </c>
      <c r="M2061" s="2">
        <v>12443185268.450001</v>
      </c>
      <c r="N2061" s="2">
        <v>218373</v>
      </c>
      <c r="O2061" t="s">
        <v>24</v>
      </c>
    </row>
    <row r="2062" spans="1:15" x14ac:dyDescent="0.3">
      <c r="A2062" s="1">
        <v>45922</v>
      </c>
      <c r="B2062" t="s">
        <v>15</v>
      </c>
      <c r="C2062" s="3">
        <v>862</v>
      </c>
      <c r="D2062" s="3">
        <v>868.2</v>
      </c>
      <c r="E2062" s="3">
        <v>854</v>
      </c>
      <c r="F2062" s="3">
        <v>862.35</v>
      </c>
      <c r="G2062" s="3">
        <v>854.7</v>
      </c>
      <c r="H2062" s="3">
        <v>855.25</v>
      </c>
      <c r="I2062" s="3">
        <v>860.89</v>
      </c>
      <c r="J2062" s="3">
        <v>875.45</v>
      </c>
      <c r="K2062" s="3">
        <v>680</v>
      </c>
      <c r="L2062" s="2">
        <v>6594034</v>
      </c>
      <c r="M2062" s="2">
        <v>5676737180.1499996</v>
      </c>
      <c r="N2062" s="2">
        <v>158066</v>
      </c>
      <c r="O2062" t="s">
        <v>24</v>
      </c>
    </row>
    <row r="2063" spans="1:15" x14ac:dyDescent="0.3">
      <c r="A2063" s="1">
        <v>45919</v>
      </c>
      <c r="B2063" t="s">
        <v>15</v>
      </c>
      <c r="C2063" s="3">
        <v>852</v>
      </c>
      <c r="D2063" s="3">
        <v>864.45</v>
      </c>
      <c r="E2063" s="3">
        <v>849.3</v>
      </c>
      <c r="F2063" s="3">
        <v>854.35</v>
      </c>
      <c r="G2063" s="3">
        <v>862.55</v>
      </c>
      <c r="H2063" s="3">
        <v>862.35</v>
      </c>
      <c r="I2063" s="3">
        <v>861</v>
      </c>
      <c r="J2063" s="3">
        <v>875.45</v>
      </c>
      <c r="K2063" s="3">
        <v>680</v>
      </c>
      <c r="L2063" s="2">
        <v>15206426</v>
      </c>
      <c r="M2063" s="2">
        <v>13092718216.85</v>
      </c>
      <c r="N2063" s="2">
        <v>246465</v>
      </c>
      <c r="O2063" t="s">
        <v>24</v>
      </c>
    </row>
    <row r="2064" spans="1:15" x14ac:dyDescent="0.3">
      <c r="A2064" s="1">
        <v>45918</v>
      </c>
      <c r="B2064" t="s">
        <v>15</v>
      </c>
      <c r="C2064" s="3">
        <v>858.65</v>
      </c>
      <c r="D2064" s="3">
        <v>860.8</v>
      </c>
      <c r="E2064" s="3">
        <v>851.1</v>
      </c>
      <c r="F2064" s="3">
        <v>857.15</v>
      </c>
      <c r="G2064" s="3">
        <v>854.1</v>
      </c>
      <c r="H2064" s="3">
        <v>854.35</v>
      </c>
      <c r="I2064" s="3">
        <v>855.42</v>
      </c>
      <c r="J2064" s="3">
        <v>875.45</v>
      </c>
      <c r="K2064" s="3">
        <v>680</v>
      </c>
      <c r="L2064" s="2">
        <v>10400847</v>
      </c>
      <c r="M2064" s="2">
        <v>8897051776</v>
      </c>
      <c r="N2064" s="2">
        <v>261925</v>
      </c>
      <c r="O2064" t="s">
        <v>24</v>
      </c>
    </row>
    <row r="2065" spans="1:15" x14ac:dyDescent="0.3">
      <c r="A2065" s="1">
        <v>45917</v>
      </c>
      <c r="B2065" t="s">
        <v>15</v>
      </c>
      <c r="C2065" s="3">
        <v>834.3</v>
      </c>
      <c r="D2065" s="3">
        <v>858.15</v>
      </c>
      <c r="E2065" s="3">
        <v>831</v>
      </c>
      <c r="F2065" s="3">
        <v>831.55</v>
      </c>
      <c r="G2065" s="3">
        <v>856.9</v>
      </c>
      <c r="H2065" s="3">
        <v>857.15</v>
      </c>
      <c r="I2065" s="3">
        <v>847.27</v>
      </c>
      <c r="J2065" s="3">
        <v>875.45</v>
      </c>
      <c r="K2065" s="3">
        <v>680</v>
      </c>
      <c r="L2065" s="2">
        <v>17243938</v>
      </c>
      <c r="M2065" s="2">
        <v>14610349915.4</v>
      </c>
      <c r="N2065" s="2">
        <v>240034</v>
      </c>
      <c r="O2065" t="s">
        <v>24</v>
      </c>
    </row>
    <row r="2066" spans="1:15" x14ac:dyDescent="0.3">
      <c r="A2066" s="1">
        <v>45916</v>
      </c>
      <c r="B2066" t="s">
        <v>15</v>
      </c>
      <c r="C2066" s="3">
        <v>825.1</v>
      </c>
      <c r="D2066" s="3">
        <v>833</v>
      </c>
      <c r="E2066" s="3">
        <v>821.65</v>
      </c>
      <c r="F2066" s="3">
        <v>824.75</v>
      </c>
      <c r="G2066" s="3">
        <v>832.65</v>
      </c>
      <c r="H2066" s="3">
        <v>831.55</v>
      </c>
      <c r="I2066" s="3">
        <v>829.33</v>
      </c>
      <c r="J2066" s="3">
        <v>875.45</v>
      </c>
      <c r="K2066" s="3">
        <v>680</v>
      </c>
      <c r="L2066" s="2">
        <v>9467531</v>
      </c>
      <c r="M2066" s="2">
        <v>7851753614.4499998</v>
      </c>
      <c r="N2066" s="2">
        <v>176946</v>
      </c>
      <c r="O2066" t="s">
        <v>24</v>
      </c>
    </row>
    <row r="2067" spans="1:15" x14ac:dyDescent="0.3">
      <c r="A2067" s="1">
        <v>45915</v>
      </c>
      <c r="B2067" t="s">
        <v>15</v>
      </c>
      <c r="C2067" s="3">
        <v>823.55</v>
      </c>
      <c r="D2067" s="3">
        <v>827.8</v>
      </c>
      <c r="E2067" s="3">
        <v>821.1</v>
      </c>
      <c r="F2067" s="3">
        <v>823.55</v>
      </c>
      <c r="G2067" s="3">
        <v>824</v>
      </c>
      <c r="H2067" s="3">
        <v>824.75</v>
      </c>
      <c r="I2067" s="3">
        <v>824.82</v>
      </c>
      <c r="J2067" s="3">
        <v>875.45</v>
      </c>
      <c r="K2067" s="3">
        <v>680</v>
      </c>
      <c r="L2067" s="2">
        <v>3852494</v>
      </c>
      <c r="M2067" s="2">
        <v>3177618594.5500002</v>
      </c>
      <c r="N2067" s="2">
        <v>112933</v>
      </c>
      <c r="O2067" t="s">
        <v>24</v>
      </c>
    </row>
    <row r="2068" spans="1:15" x14ac:dyDescent="0.3">
      <c r="A2068" s="1">
        <v>45912</v>
      </c>
      <c r="B2068" t="s">
        <v>15</v>
      </c>
      <c r="C2068" s="3">
        <v>824.1</v>
      </c>
      <c r="D2068" s="3">
        <v>825.8</v>
      </c>
      <c r="E2068" s="3">
        <v>819.8</v>
      </c>
      <c r="F2068" s="3">
        <v>823.65</v>
      </c>
      <c r="G2068" s="3">
        <v>823.2</v>
      </c>
      <c r="H2068" s="3">
        <v>823.55</v>
      </c>
      <c r="I2068" s="3">
        <v>822.85</v>
      </c>
      <c r="J2068" s="3">
        <v>875.45</v>
      </c>
      <c r="K2068" s="3">
        <v>680</v>
      </c>
      <c r="L2068" s="2">
        <v>5078018</v>
      </c>
      <c r="M2068" s="2">
        <v>4178428627.0500002</v>
      </c>
      <c r="N2068" s="2">
        <v>97209</v>
      </c>
      <c r="O2068" t="s">
        <v>24</v>
      </c>
    </row>
    <row r="2069" spans="1:15" x14ac:dyDescent="0.3">
      <c r="A2069" s="1">
        <v>45911</v>
      </c>
      <c r="B2069" t="s">
        <v>15</v>
      </c>
      <c r="C2069" s="3">
        <v>819.1</v>
      </c>
      <c r="D2069" s="3">
        <v>825.7</v>
      </c>
      <c r="E2069" s="3">
        <v>819</v>
      </c>
      <c r="F2069" s="3">
        <v>818.2</v>
      </c>
      <c r="G2069" s="3">
        <v>824.6</v>
      </c>
      <c r="H2069" s="3">
        <v>823.65</v>
      </c>
      <c r="I2069" s="3">
        <v>823.2</v>
      </c>
      <c r="J2069" s="3">
        <v>875.45</v>
      </c>
      <c r="K2069" s="3">
        <v>680</v>
      </c>
      <c r="L2069" s="2">
        <v>7425055</v>
      </c>
      <c r="M2069" s="2">
        <v>6112287855</v>
      </c>
      <c r="N2069" s="2">
        <v>127782</v>
      </c>
      <c r="O2069" t="s">
        <v>24</v>
      </c>
    </row>
    <row r="2070" spans="1:15" x14ac:dyDescent="0.3">
      <c r="A2070" s="1">
        <v>45910</v>
      </c>
      <c r="B2070" t="s">
        <v>15</v>
      </c>
      <c r="C2070" s="3">
        <v>812</v>
      </c>
      <c r="D2070" s="3">
        <v>824.6</v>
      </c>
      <c r="E2070" s="3">
        <v>810.4</v>
      </c>
      <c r="F2070" s="3">
        <v>808.85</v>
      </c>
      <c r="G2070" s="3">
        <v>818.45</v>
      </c>
      <c r="H2070" s="3">
        <v>818.2</v>
      </c>
      <c r="I2070" s="3">
        <v>818.64</v>
      </c>
      <c r="J2070" s="3">
        <v>875.45</v>
      </c>
      <c r="K2070" s="3">
        <v>680</v>
      </c>
      <c r="L2070" s="2">
        <v>7285853</v>
      </c>
      <c r="M2070" s="2">
        <v>5964483743.8500004</v>
      </c>
      <c r="N2070" s="2">
        <v>106322</v>
      </c>
      <c r="O2070" t="s">
        <v>24</v>
      </c>
    </row>
    <row r="2071" spans="1:15" x14ac:dyDescent="0.3">
      <c r="A2071" s="1">
        <v>45909</v>
      </c>
      <c r="B2071" t="s">
        <v>15</v>
      </c>
      <c r="C2071" s="3">
        <v>812</v>
      </c>
      <c r="D2071" s="3">
        <v>812.35</v>
      </c>
      <c r="E2071" s="3">
        <v>805.6</v>
      </c>
      <c r="F2071" s="3">
        <v>808.8</v>
      </c>
      <c r="G2071" s="3">
        <v>808</v>
      </c>
      <c r="H2071" s="3">
        <v>808.85</v>
      </c>
      <c r="I2071" s="3">
        <v>808.44</v>
      </c>
      <c r="J2071" s="3">
        <v>875.45</v>
      </c>
      <c r="K2071" s="3">
        <v>680</v>
      </c>
      <c r="L2071" s="2">
        <v>4567272</v>
      </c>
      <c r="M2071" s="2">
        <v>3692346687.0999999</v>
      </c>
      <c r="N2071" s="2">
        <v>104998</v>
      </c>
      <c r="O2071" t="s">
        <v>24</v>
      </c>
    </row>
    <row r="2072" spans="1:15" x14ac:dyDescent="0.3">
      <c r="A2072" s="1">
        <v>45908</v>
      </c>
      <c r="B2072" t="s">
        <v>15</v>
      </c>
      <c r="C2072" s="3">
        <v>808</v>
      </c>
      <c r="D2072" s="3">
        <v>813.85</v>
      </c>
      <c r="E2072" s="3">
        <v>806.8</v>
      </c>
      <c r="F2072" s="3">
        <v>806.6</v>
      </c>
      <c r="G2072" s="3">
        <v>808</v>
      </c>
      <c r="H2072" s="3">
        <v>808.8</v>
      </c>
      <c r="I2072" s="3">
        <v>810.2</v>
      </c>
      <c r="J2072" s="3">
        <v>875.45</v>
      </c>
      <c r="K2072" s="3">
        <v>680</v>
      </c>
      <c r="L2072" s="2">
        <v>4614227</v>
      </c>
      <c r="M2072" s="2">
        <v>3738454020.9499998</v>
      </c>
      <c r="N2072" s="2">
        <v>121620</v>
      </c>
      <c r="O2072" t="s">
        <v>24</v>
      </c>
    </row>
    <row r="2073" spans="1:15" x14ac:dyDescent="0.3">
      <c r="A2073" s="1">
        <v>45905</v>
      </c>
      <c r="B2073" t="s">
        <v>15</v>
      </c>
      <c r="C2073" s="3">
        <v>811.5</v>
      </c>
      <c r="D2073" s="3">
        <v>812.5</v>
      </c>
      <c r="E2073" s="3">
        <v>803.65</v>
      </c>
      <c r="F2073" s="3">
        <v>809.4</v>
      </c>
      <c r="G2073" s="3">
        <v>806.95</v>
      </c>
      <c r="H2073" s="3">
        <v>806.6</v>
      </c>
      <c r="I2073" s="3">
        <v>807.29</v>
      </c>
      <c r="J2073" s="3">
        <v>875.45</v>
      </c>
      <c r="K2073" s="3">
        <v>680</v>
      </c>
      <c r="L2073" s="2">
        <v>5194842</v>
      </c>
      <c r="M2073" s="2">
        <v>4193721391</v>
      </c>
      <c r="N2073" s="2">
        <v>102729</v>
      </c>
      <c r="O2073" t="s">
        <v>24</v>
      </c>
    </row>
    <row r="2074" spans="1:15" x14ac:dyDescent="0.3">
      <c r="A2074" s="1">
        <v>45904</v>
      </c>
      <c r="B2074" t="s">
        <v>15</v>
      </c>
      <c r="C2074" s="3">
        <v>814.65</v>
      </c>
      <c r="D2074" s="3">
        <v>816.75</v>
      </c>
      <c r="E2074" s="3">
        <v>808</v>
      </c>
      <c r="F2074" s="3">
        <v>812.15</v>
      </c>
      <c r="G2074" s="3">
        <v>809.85</v>
      </c>
      <c r="H2074" s="3">
        <v>809.4</v>
      </c>
      <c r="I2074" s="3">
        <v>811.23</v>
      </c>
      <c r="J2074" s="3">
        <v>875.45</v>
      </c>
      <c r="K2074" s="3">
        <v>680</v>
      </c>
      <c r="L2074" s="2">
        <v>4471950</v>
      </c>
      <c r="M2074" s="2">
        <v>3627764983.4000001</v>
      </c>
      <c r="N2074" s="2">
        <v>96652</v>
      </c>
      <c r="O2074" t="s">
        <v>24</v>
      </c>
    </row>
    <row r="2075" spans="1:15" x14ac:dyDescent="0.3">
      <c r="A2075" s="1">
        <v>45903</v>
      </c>
      <c r="B2075" t="s">
        <v>15</v>
      </c>
      <c r="C2075" s="3">
        <v>804.3</v>
      </c>
      <c r="D2075" s="3">
        <v>813.3</v>
      </c>
      <c r="E2075" s="3">
        <v>803</v>
      </c>
      <c r="F2075" s="3">
        <v>803.9</v>
      </c>
      <c r="G2075" s="3">
        <v>813</v>
      </c>
      <c r="H2075" s="3">
        <v>812.15</v>
      </c>
      <c r="I2075" s="3">
        <v>810.4</v>
      </c>
      <c r="J2075" s="3">
        <v>875.45</v>
      </c>
      <c r="K2075" s="3">
        <v>680</v>
      </c>
      <c r="L2075" s="2">
        <v>4261589</v>
      </c>
      <c r="M2075" s="2">
        <v>3453582134.4000001</v>
      </c>
      <c r="N2075" s="2">
        <v>87672</v>
      </c>
      <c r="O2075" t="s">
        <v>24</v>
      </c>
    </row>
    <row r="2076" spans="1:15" x14ac:dyDescent="0.3">
      <c r="A2076" s="1">
        <v>45902</v>
      </c>
      <c r="B2076" t="s">
        <v>15</v>
      </c>
      <c r="C2076" s="3">
        <v>806.3</v>
      </c>
      <c r="D2076" s="3">
        <v>810.5</v>
      </c>
      <c r="E2076" s="3">
        <v>802.65</v>
      </c>
      <c r="F2076" s="3">
        <v>806.05</v>
      </c>
      <c r="G2076" s="3">
        <v>803.75</v>
      </c>
      <c r="H2076" s="3">
        <v>803.9</v>
      </c>
      <c r="I2076" s="3">
        <v>806.45</v>
      </c>
      <c r="J2076" s="3">
        <v>875.45</v>
      </c>
      <c r="K2076" s="3">
        <v>680</v>
      </c>
      <c r="L2076" s="2">
        <v>5075460</v>
      </c>
      <c r="M2076" s="2">
        <v>4093129116.75</v>
      </c>
      <c r="N2076" s="2">
        <v>106989</v>
      </c>
      <c r="O2076" t="s">
        <v>24</v>
      </c>
    </row>
    <row r="2077" spans="1:15" x14ac:dyDescent="0.3">
      <c r="A2077" s="1">
        <v>45901</v>
      </c>
      <c r="B2077" t="s">
        <v>15</v>
      </c>
      <c r="C2077" s="3">
        <v>803.1</v>
      </c>
      <c r="D2077" s="3">
        <v>808.3</v>
      </c>
      <c r="E2077" s="3">
        <v>802.65</v>
      </c>
      <c r="F2077" s="3">
        <v>802.5</v>
      </c>
      <c r="G2077" s="3">
        <v>805.5</v>
      </c>
      <c r="H2077" s="3">
        <v>806.05</v>
      </c>
      <c r="I2077" s="3">
        <v>805.3</v>
      </c>
      <c r="J2077" s="3">
        <v>875.45</v>
      </c>
      <c r="K2077" s="3">
        <v>680</v>
      </c>
      <c r="L2077" s="2">
        <v>5619805</v>
      </c>
      <c r="M2077" s="2">
        <v>4525656654.4499998</v>
      </c>
      <c r="N2077" s="2">
        <v>128697</v>
      </c>
      <c r="O2077" t="s">
        <v>24</v>
      </c>
    </row>
    <row r="2078" spans="1:15" x14ac:dyDescent="0.3">
      <c r="A2078" s="1">
        <v>45898</v>
      </c>
      <c r="B2078" t="s">
        <v>15</v>
      </c>
      <c r="C2078" s="3">
        <v>800.7</v>
      </c>
      <c r="D2078" s="3">
        <v>806.7</v>
      </c>
      <c r="E2078" s="3">
        <v>798.5</v>
      </c>
      <c r="F2078" s="3">
        <v>801.95</v>
      </c>
      <c r="G2078" s="3">
        <v>802.4</v>
      </c>
      <c r="H2078" s="3">
        <v>802.5</v>
      </c>
      <c r="I2078" s="3">
        <v>803</v>
      </c>
      <c r="J2078" s="3">
        <v>875.45</v>
      </c>
      <c r="K2078" s="3">
        <v>680</v>
      </c>
      <c r="L2078" s="2">
        <v>6861440</v>
      </c>
      <c r="M2078" s="2">
        <v>5509712391.6999998</v>
      </c>
      <c r="N2078" s="2">
        <v>127449</v>
      </c>
      <c r="O2078" t="s">
        <v>24</v>
      </c>
    </row>
    <row r="2079" spans="1:15" x14ac:dyDescent="0.3">
      <c r="A2079" s="1">
        <v>45897</v>
      </c>
      <c r="B2079" t="s">
        <v>15</v>
      </c>
      <c r="C2079" s="3">
        <v>807.25</v>
      </c>
      <c r="D2079" s="3">
        <v>811</v>
      </c>
      <c r="E2079" s="3">
        <v>800.65</v>
      </c>
      <c r="F2079" s="3">
        <v>807.85</v>
      </c>
      <c r="G2079" s="3">
        <v>802.9</v>
      </c>
      <c r="H2079" s="3">
        <v>801.95</v>
      </c>
      <c r="I2079" s="3">
        <v>806.19</v>
      </c>
      <c r="J2079" s="3">
        <v>875.45</v>
      </c>
      <c r="K2079" s="3">
        <v>680</v>
      </c>
      <c r="L2079" s="2">
        <v>7898436</v>
      </c>
      <c r="M2079" s="2">
        <v>6367629468</v>
      </c>
      <c r="N2079" s="2">
        <v>163534</v>
      </c>
      <c r="O2079" t="s">
        <v>24</v>
      </c>
    </row>
    <row r="2080" spans="1:15" x14ac:dyDescent="0.3">
      <c r="A2080" s="1">
        <v>45895</v>
      </c>
      <c r="B2080" t="s">
        <v>15</v>
      </c>
      <c r="C2080" s="3">
        <v>814.85</v>
      </c>
      <c r="D2080" s="3">
        <v>815.85</v>
      </c>
      <c r="E2080" s="3">
        <v>806.75</v>
      </c>
      <c r="F2080" s="3">
        <v>816.45</v>
      </c>
      <c r="G2080" s="3">
        <v>808.4</v>
      </c>
      <c r="H2080" s="3">
        <v>807.85</v>
      </c>
      <c r="I2080" s="3">
        <v>810.3</v>
      </c>
      <c r="J2080" s="3">
        <v>875.45</v>
      </c>
      <c r="K2080" s="3">
        <v>680</v>
      </c>
      <c r="L2080" s="2">
        <v>6997817</v>
      </c>
      <c r="M2080" s="2">
        <v>5670332537.1000004</v>
      </c>
      <c r="N2080" s="2">
        <v>127200</v>
      </c>
      <c r="O2080" t="s">
        <v>24</v>
      </c>
    </row>
    <row r="2081" spans="1:15" x14ac:dyDescent="0.3">
      <c r="A2081" s="1">
        <v>45894</v>
      </c>
      <c r="B2081" t="s">
        <v>15</v>
      </c>
      <c r="C2081" s="3">
        <v>817.45</v>
      </c>
      <c r="D2081" s="3">
        <v>820.5</v>
      </c>
      <c r="E2081" s="3">
        <v>814.2</v>
      </c>
      <c r="F2081" s="3">
        <v>816.25</v>
      </c>
      <c r="G2081" s="3">
        <v>816.5</v>
      </c>
      <c r="H2081" s="3">
        <v>816.45</v>
      </c>
      <c r="I2081" s="3">
        <v>817.57</v>
      </c>
      <c r="J2081" s="3">
        <v>875.45</v>
      </c>
      <c r="K2081" s="3">
        <v>680</v>
      </c>
      <c r="L2081" s="2">
        <v>5672898</v>
      </c>
      <c r="M2081" s="2">
        <v>4637981705.0500002</v>
      </c>
      <c r="N2081" s="2">
        <v>176881</v>
      </c>
      <c r="O2081" t="s">
        <v>24</v>
      </c>
    </row>
    <row r="2082" spans="1:15" x14ac:dyDescent="0.3">
      <c r="A2082" s="1">
        <v>45891</v>
      </c>
      <c r="B2082" t="s">
        <v>15</v>
      </c>
      <c r="C2082" s="3">
        <v>824</v>
      </c>
      <c r="D2082" s="3">
        <v>826</v>
      </c>
      <c r="E2082" s="3">
        <v>815.7</v>
      </c>
      <c r="F2082" s="3">
        <v>825.7</v>
      </c>
      <c r="G2082" s="3">
        <v>816.8</v>
      </c>
      <c r="H2082" s="3">
        <v>816.25</v>
      </c>
      <c r="I2082" s="3">
        <v>819.33</v>
      </c>
      <c r="J2082" s="3">
        <v>875.45</v>
      </c>
      <c r="K2082" s="3">
        <v>680</v>
      </c>
      <c r="L2082" s="2">
        <v>5097647</v>
      </c>
      <c r="M2082" s="2">
        <v>4176641494.8499999</v>
      </c>
      <c r="N2082" s="2">
        <v>141389</v>
      </c>
      <c r="O2082" t="s">
        <v>24</v>
      </c>
    </row>
    <row r="2083" spans="1:15" x14ac:dyDescent="0.3">
      <c r="A2083" s="1">
        <v>45890</v>
      </c>
      <c r="B2083" t="s">
        <v>15</v>
      </c>
      <c r="C2083" s="3">
        <v>828.95</v>
      </c>
      <c r="D2083" s="3">
        <v>833.25</v>
      </c>
      <c r="E2083" s="3">
        <v>824.05</v>
      </c>
      <c r="F2083" s="3">
        <v>828.95</v>
      </c>
      <c r="G2083" s="3">
        <v>824.05</v>
      </c>
      <c r="H2083" s="3">
        <v>825.7</v>
      </c>
      <c r="I2083" s="3">
        <v>828.67</v>
      </c>
      <c r="J2083" s="3">
        <v>875.45</v>
      </c>
      <c r="K2083" s="3">
        <v>680</v>
      </c>
      <c r="L2083" s="2">
        <v>4402511</v>
      </c>
      <c r="M2083" s="2">
        <v>3648216255.5</v>
      </c>
      <c r="N2083" s="2">
        <v>108762</v>
      </c>
      <c r="O2083" t="s">
        <v>24</v>
      </c>
    </row>
    <row r="2084" spans="1:15" x14ac:dyDescent="0.3">
      <c r="A2084" s="1">
        <v>45889</v>
      </c>
      <c r="B2084" t="s">
        <v>15</v>
      </c>
      <c r="C2084" s="3">
        <v>828.7</v>
      </c>
      <c r="D2084" s="3">
        <v>831.9</v>
      </c>
      <c r="E2084" s="3">
        <v>827.4</v>
      </c>
      <c r="F2084" s="3">
        <v>830.4</v>
      </c>
      <c r="G2084" s="3">
        <v>828.9</v>
      </c>
      <c r="H2084" s="3">
        <v>828.95</v>
      </c>
      <c r="I2084" s="3">
        <v>829.56</v>
      </c>
      <c r="J2084" s="3">
        <v>875.45</v>
      </c>
      <c r="K2084" s="3">
        <v>680</v>
      </c>
      <c r="L2084" s="2">
        <v>4493888</v>
      </c>
      <c r="M2084" s="2">
        <v>3727970038.6500001</v>
      </c>
      <c r="N2084" s="2">
        <v>89785</v>
      </c>
      <c r="O2084" t="s">
        <v>24</v>
      </c>
    </row>
    <row r="2085" spans="1:15" x14ac:dyDescent="0.3">
      <c r="A2085" s="1">
        <v>45888</v>
      </c>
      <c r="B2085" t="s">
        <v>15</v>
      </c>
      <c r="C2085" s="3">
        <v>827.5</v>
      </c>
      <c r="D2085" s="3">
        <v>831</v>
      </c>
      <c r="E2085" s="3">
        <v>825.8</v>
      </c>
      <c r="F2085" s="3">
        <v>827.65</v>
      </c>
      <c r="G2085" s="3">
        <v>829.15</v>
      </c>
      <c r="H2085" s="3">
        <v>830.4</v>
      </c>
      <c r="I2085" s="3">
        <v>829.06</v>
      </c>
      <c r="J2085" s="3">
        <v>875.45</v>
      </c>
      <c r="K2085" s="3">
        <v>680</v>
      </c>
      <c r="L2085" s="2">
        <v>5076681</v>
      </c>
      <c r="M2085" s="2">
        <v>4208857802.0999999</v>
      </c>
      <c r="N2085" s="2">
        <v>110280</v>
      </c>
      <c r="O2085" t="s">
        <v>24</v>
      </c>
    </row>
    <row r="2086" spans="1:15" x14ac:dyDescent="0.3">
      <c r="A2086" s="1">
        <v>45887</v>
      </c>
      <c r="B2086" t="s">
        <v>15</v>
      </c>
      <c r="C2086" s="3">
        <v>836</v>
      </c>
      <c r="D2086" s="3">
        <v>838</v>
      </c>
      <c r="E2086" s="3">
        <v>825.15</v>
      </c>
      <c r="F2086" s="3">
        <v>826.55</v>
      </c>
      <c r="G2086" s="3">
        <v>826.2</v>
      </c>
      <c r="H2086" s="3">
        <v>827.65</v>
      </c>
      <c r="I2086" s="3">
        <v>829.82</v>
      </c>
      <c r="J2086" s="3">
        <v>875.45</v>
      </c>
      <c r="K2086" s="3">
        <v>680</v>
      </c>
      <c r="L2086" s="2">
        <v>6138124</v>
      </c>
      <c r="M2086" s="2">
        <v>5093538559.75</v>
      </c>
      <c r="N2086" s="2">
        <v>136179</v>
      </c>
      <c r="O2086" t="s">
        <v>24</v>
      </c>
    </row>
    <row r="2087" spans="1:15" x14ac:dyDescent="0.3">
      <c r="A2087" s="1">
        <v>45883</v>
      </c>
      <c r="B2087" t="s">
        <v>15</v>
      </c>
      <c r="C2087" s="3">
        <v>822</v>
      </c>
      <c r="D2087" s="3">
        <v>828</v>
      </c>
      <c r="E2087" s="3">
        <v>819.1</v>
      </c>
      <c r="F2087" s="3">
        <v>821.85</v>
      </c>
      <c r="G2087" s="3">
        <v>825.5</v>
      </c>
      <c r="H2087" s="3">
        <v>826.55</v>
      </c>
      <c r="I2087" s="3">
        <v>826.02</v>
      </c>
      <c r="J2087" s="3">
        <v>875.45</v>
      </c>
      <c r="K2087" s="3">
        <v>680</v>
      </c>
      <c r="L2087" s="2">
        <v>7087573</v>
      </c>
      <c r="M2087" s="2">
        <v>5854478307.9499998</v>
      </c>
      <c r="N2087" s="2">
        <v>152716</v>
      </c>
      <c r="O2087" t="s">
        <v>24</v>
      </c>
    </row>
    <row r="2088" spans="1:15" x14ac:dyDescent="0.3">
      <c r="A2088" s="1">
        <v>45882</v>
      </c>
      <c r="B2088" t="s">
        <v>15</v>
      </c>
      <c r="C2088" s="3">
        <v>822.65</v>
      </c>
      <c r="D2088" s="3">
        <v>824.95</v>
      </c>
      <c r="E2088" s="3">
        <v>820.65</v>
      </c>
      <c r="F2088" s="3">
        <v>820.6</v>
      </c>
      <c r="G2088" s="3">
        <v>821.55</v>
      </c>
      <c r="H2088" s="3">
        <v>821.85</v>
      </c>
      <c r="I2088" s="3">
        <v>822.38</v>
      </c>
      <c r="J2088" s="3">
        <v>875.45</v>
      </c>
      <c r="K2088" s="3">
        <v>680</v>
      </c>
      <c r="L2088" s="2">
        <v>4447508</v>
      </c>
      <c r="M2088" s="2">
        <v>3657529878.0500002</v>
      </c>
      <c r="N2088" s="2">
        <v>85625</v>
      </c>
      <c r="O2088" t="s">
        <v>24</v>
      </c>
    </row>
    <row r="2089" spans="1:15" x14ac:dyDescent="0.3">
      <c r="A2089" s="1">
        <v>45881</v>
      </c>
      <c r="B2089" t="s">
        <v>15</v>
      </c>
      <c r="C2089" s="3">
        <v>824.95</v>
      </c>
      <c r="D2089" s="3">
        <v>825.5</v>
      </c>
      <c r="E2089" s="3">
        <v>820</v>
      </c>
      <c r="F2089" s="3">
        <v>823.45</v>
      </c>
      <c r="G2089" s="3">
        <v>821.1</v>
      </c>
      <c r="H2089" s="3">
        <v>820.6</v>
      </c>
      <c r="I2089" s="3">
        <v>823.09</v>
      </c>
      <c r="J2089" s="3">
        <v>875.45</v>
      </c>
      <c r="K2089" s="3">
        <v>680</v>
      </c>
      <c r="L2089" s="2">
        <v>7986728</v>
      </c>
      <c r="M2089" s="2">
        <v>6573758560.3999996</v>
      </c>
      <c r="N2089" s="2">
        <v>224361</v>
      </c>
      <c r="O2089" t="s">
        <v>24</v>
      </c>
    </row>
    <row r="2090" spans="1:15" x14ac:dyDescent="0.3">
      <c r="A2090" s="1">
        <v>45880</v>
      </c>
      <c r="B2090" t="s">
        <v>15</v>
      </c>
      <c r="C2090" s="3">
        <v>808</v>
      </c>
      <c r="D2090" s="3">
        <v>825</v>
      </c>
      <c r="E2090" s="3">
        <v>808</v>
      </c>
      <c r="F2090" s="3">
        <v>804.3</v>
      </c>
      <c r="G2090" s="3">
        <v>820.8</v>
      </c>
      <c r="H2090" s="3">
        <v>823.45</v>
      </c>
      <c r="I2090" s="3">
        <v>820.82</v>
      </c>
      <c r="J2090" s="3">
        <v>875.45</v>
      </c>
      <c r="K2090" s="3">
        <v>680</v>
      </c>
      <c r="L2090" s="2">
        <v>15236297</v>
      </c>
      <c r="M2090" s="2">
        <v>12506219350.049999</v>
      </c>
      <c r="N2090" s="2">
        <v>287439</v>
      </c>
      <c r="O2090" t="s">
        <v>24</v>
      </c>
    </row>
    <row r="2091" spans="1:15" x14ac:dyDescent="0.3">
      <c r="A2091" s="1">
        <v>45877</v>
      </c>
      <c r="B2091" t="s">
        <v>15</v>
      </c>
      <c r="C2091" s="3">
        <v>805</v>
      </c>
      <c r="D2091" s="3">
        <v>807.8</v>
      </c>
      <c r="E2091" s="3">
        <v>790</v>
      </c>
      <c r="F2091" s="3">
        <v>805.15</v>
      </c>
      <c r="G2091" s="3">
        <v>802.5</v>
      </c>
      <c r="H2091" s="3">
        <v>804.3</v>
      </c>
      <c r="I2091" s="3">
        <v>801.59</v>
      </c>
      <c r="J2091" s="3">
        <v>875.45</v>
      </c>
      <c r="K2091" s="3">
        <v>680</v>
      </c>
      <c r="L2091" s="2">
        <v>15708181</v>
      </c>
      <c r="M2091" s="2">
        <v>12591558509.549999</v>
      </c>
      <c r="N2091" s="2">
        <v>277397</v>
      </c>
      <c r="O2091" t="s">
        <v>24</v>
      </c>
    </row>
    <row r="2092" spans="1:15" x14ac:dyDescent="0.3">
      <c r="A2092" s="1">
        <v>45876</v>
      </c>
      <c r="B2092" t="s">
        <v>15</v>
      </c>
      <c r="C2092" s="3">
        <v>801.1</v>
      </c>
      <c r="D2092" s="3">
        <v>806.65</v>
      </c>
      <c r="E2092" s="3">
        <v>793.4</v>
      </c>
      <c r="F2092" s="3">
        <v>805.15</v>
      </c>
      <c r="G2092" s="3">
        <v>805.6</v>
      </c>
      <c r="H2092" s="3">
        <v>805.15</v>
      </c>
      <c r="I2092" s="3">
        <v>799.81</v>
      </c>
      <c r="J2092" s="3">
        <v>875.45</v>
      </c>
      <c r="K2092" s="3">
        <v>680</v>
      </c>
      <c r="L2092" s="2">
        <v>7091392</v>
      </c>
      <c r="M2092" s="2">
        <v>5671767724.3500004</v>
      </c>
      <c r="N2092" s="2">
        <v>134092</v>
      </c>
      <c r="O2092" t="s">
        <v>24</v>
      </c>
    </row>
    <row r="2093" spans="1:15" x14ac:dyDescent="0.3">
      <c r="A2093" s="1">
        <v>45875</v>
      </c>
      <c r="B2093" t="s">
        <v>15</v>
      </c>
      <c r="C2093" s="3">
        <v>800.95</v>
      </c>
      <c r="D2093" s="3">
        <v>810.2</v>
      </c>
      <c r="E2093" s="3">
        <v>799</v>
      </c>
      <c r="F2093" s="3">
        <v>800.6</v>
      </c>
      <c r="G2093" s="3">
        <v>804.8</v>
      </c>
      <c r="H2093" s="3">
        <v>805.15</v>
      </c>
      <c r="I2093" s="3">
        <v>804.39</v>
      </c>
      <c r="J2093" s="3">
        <v>875.45</v>
      </c>
      <c r="K2093" s="3">
        <v>680</v>
      </c>
      <c r="L2093" s="2">
        <v>7409396</v>
      </c>
      <c r="M2093" s="2">
        <v>5960018370.3500004</v>
      </c>
      <c r="N2093" s="2">
        <v>120510</v>
      </c>
      <c r="O2093" t="s">
        <v>24</v>
      </c>
    </row>
    <row r="2094" spans="1:15" x14ac:dyDescent="0.3">
      <c r="A2094" s="1">
        <v>45874</v>
      </c>
      <c r="B2094" t="s">
        <v>15</v>
      </c>
      <c r="C2094" s="3">
        <v>798</v>
      </c>
      <c r="D2094" s="3">
        <v>804.05</v>
      </c>
      <c r="E2094" s="3">
        <v>796.3</v>
      </c>
      <c r="F2094" s="3">
        <v>795.7</v>
      </c>
      <c r="G2094" s="3">
        <v>800.5</v>
      </c>
      <c r="H2094" s="3">
        <v>800.6</v>
      </c>
      <c r="I2094" s="3">
        <v>800.2</v>
      </c>
      <c r="J2094" s="3">
        <v>875.45</v>
      </c>
      <c r="K2094" s="3">
        <v>680</v>
      </c>
      <c r="L2094" s="2">
        <v>7381537</v>
      </c>
      <c r="M2094" s="2">
        <v>5906692588.8000002</v>
      </c>
      <c r="N2094" s="2">
        <v>174330</v>
      </c>
      <c r="O2094" t="s">
        <v>24</v>
      </c>
    </row>
    <row r="2095" spans="1:15" x14ac:dyDescent="0.3">
      <c r="A2095" s="1">
        <v>45873</v>
      </c>
      <c r="B2095" t="s">
        <v>15</v>
      </c>
      <c r="C2095" s="3">
        <v>794.5</v>
      </c>
      <c r="D2095" s="3">
        <v>797.2</v>
      </c>
      <c r="E2095" s="3">
        <v>786.55</v>
      </c>
      <c r="F2095" s="3">
        <v>794</v>
      </c>
      <c r="G2095" s="3">
        <v>796.8</v>
      </c>
      <c r="H2095" s="3">
        <v>795.7</v>
      </c>
      <c r="I2095" s="3">
        <v>792.44</v>
      </c>
      <c r="J2095" s="3">
        <v>875.45</v>
      </c>
      <c r="K2095" s="3">
        <v>680</v>
      </c>
      <c r="L2095" s="2">
        <v>8820724</v>
      </c>
      <c r="M2095" s="2">
        <v>6989858237.1000004</v>
      </c>
      <c r="N2095" s="2">
        <v>169176</v>
      </c>
      <c r="O2095" t="s">
        <v>24</v>
      </c>
    </row>
    <row r="2096" spans="1:15" x14ac:dyDescent="0.3">
      <c r="A2096" s="1">
        <v>45870</v>
      </c>
      <c r="B2096" t="s">
        <v>15</v>
      </c>
      <c r="C2096" s="3">
        <v>795.7</v>
      </c>
      <c r="D2096" s="3">
        <v>801</v>
      </c>
      <c r="E2096" s="3">
        <v>792</v>
      </c>
      <c r="F2096" s="3">
        <v>796.55</v>
      </c>
      <c r="G2096" s="3">
        <v>792.95</v>
      </c>
      <c r="H2096" s="3">
        <v>794</v>
      </c>
      <c r="I2096" s="3">
        <v>795.49</v>
      </c>
      <c r="J2096" s="3">
        <v>889.1</v>
      </c>
      <c r="K2096" s="3">
        <v>680</v>
      </c>
      <c r="L2096" s="2">
        <v>15468391</v>
      </c>
      <c r="M2096" s="2">
        <v>12304983591.85</v>
      </c>
      <c r="N2096" s="2">
        <v>180563</v>
      </c>
      <c r="O2096" t="s">
        <v>24</v>
      </c>
    </row>
    <row r="2097" spans="1:15" x14ac:dyDescent="0.3">
      <c r="A2097" s="1">
        <v>45869</v>
      </c>
      <c r="B2097" t="s">
        <v>15</v>
      </c>
      <c r="C2097" s="3">
        <v>795.1</v>
      </c>
      <c r="D2097" s="3">
        <v>803.8</v>
      </c>
      <c r="E2097" s="3">
        <v>792.55</v>
      </c>
      <c r="F2097" s="3">
        <v>801.65</v>
      </c>
      <c r="G2097" s="3">
        <v>796</v>
      </c>
      <c r="H2097" s="3">
        <v>796.55</v>
      </c>
      <c r="I2097" s="3">
        <v>798.31</v>
      </c>
      <c r="J2097" s="3">
        <v>889.1</v>
      </c>
      <c r="K2097" s="3">
        <v>680</v>
      </c>
      <c r="L2097" s="2">
        <v>11359112</v>
      </c>
      <c r="M2097" s="2">
        <v>9068069397.0499992</v>
      </c>
      <c r="N2097" s="2">
        <v>185101</v>
      </c>
      <c r="O2097" t="s">
        <v>24</v>
      </c>
    </row>
    <row r="2098" spans="1:15" x14ac:dyDescent="0.3">
      <c r="A2098" s="1">
        <v>45868</v>
      </c>
      <c r="B2098" t="s">
        <v>15</v>
      </c>
      <c r="C2098" s="3">
        <v>798.95</v>
      </c>
      <c r="D2098" s="3">
        <v>803.4</v>
      </c>
      <c r="E2098" s="3">
        <v>796.2</v>
      </c>
      <c r="F2098" s="3">
        <v>799.2</v>
      </c>
      <c r="G2098" s="3">
        <v>800</v>
      </c>
      <c r="H2098" s="3">
        <v>801.65</v>
      </c>
      <c r="I2098" s="3">
        <v>800.75</v>
      </c>
      <c r="J2098" s="3">
        <v>889.1</v>
      </c>
      <c r="K2098" s="3">
        <v>680</v>
      </c>
      <c r="L2098" s="2">
        <v>8743723</v>
      </c>
      <c r="M2098" s="2">
        <v>7001526821.1999998</v>
      </c>
      <c r="N2098" s="2">
        <v>119582</v>
      </c>
      <c r="O2098" t="s">
        <v>24</v>
      </c>
    </row>
    <row r="2099" spans="1:15" x14ac:dyDescent="0.3">
      <c r="A2099" s="1">
        <v>45867</v>
      </c>
      <c r="B2099" t="s">
        <v>15</v>
      </c>
      <c r="C2099" s="3">
        <v>796.2</v>
      </c>
      <c r="D2099" s="3">
        <v>800</v>
      </c>
      <c r="E2099" s="3">
        <v>793.1</v>
      </c>
      <c r="F2099" s="3">
        <v>797.15</v>
      </c>
      <c r="G2099" s="3">
        <v>798.85</v>
      </c>
      <c r="H2099" s="3">
        <v>799.2</v>
      </c>
      <c r="I2099" s="3">
        <v>797.21</v>
      </c>
      <c r="J2099" s="3">
        <v>889.1</v>
      </c>
      <c r="K2099" s="3">
        <v>680</v>
      </c>
      <c r="L2099" s="2">
        <v>7833759</v>
      </c>
      <c r="M2099" s="2">
        <v>6245123153.3999996</v>
      </c>
      <c r="N2099" s="2">
        <v>133563</v>
      </c>
      <c r="O2099" t="s">
        <v>24</v>
      </c>
    </row>
    <row r="2100" spans="1:15" x14ac:dyDescent="0.3">
      <c r="A2100" s="1">
        <v>45866</v>
      </c>
      <c r="B2100" t="s">
        <v>15</v>
      </c>
      <c r="C2100" s="3">
        <v>806.55</v>
      </c>
      <c r="D2100" s="3">
        <v>808.95</v>
      </c>
      <c r="E2100" s="3">
        <v>796</v>
      </c>
      <c r="F2100" s="3">
        <v>806.55</v>
      </c>
      <c r="G2100" s="3">
        <v>796.55</v>
      </c>
      <c r="H2100" s="3">
        <v>797.15</v>
      </c>
      <c r="I2100" s="3">
        <v>801.77</v>
      </c>
      <c r="J2100" s="3">
        <v>889.1</v>
      </c>
      <c r="K2100" s="3">
        <v>680</v>
      </c>
      <c r="L2100" s="2">
        <v>7734158</v>
      </c>
      <c r="M2100" s="2">
        <v>6201051607.25</v>
      </c>
      <c r="N2100" s="2">
        <v>243443</v>
      </c>
      <c r="O2100" t="s">
        <v>24</v>
      </c>
    </row>
    <row r="2101" spans="1:15" x14ac:dyDescent="0.3">
      <c r="A2101" s="1">
        <v>45863</v>
      </c>
      <c r="B2101" t="s">
        <v>15</v>
      </c>
      <c r="C2101" s="3">
        <v>815</v>
      </c>
      <c r="D2101" s="3">
        <v>819.2</v>
      </c>
      <c r="E2101" s="3">
        <v>805.5</v>
      </c>
      <c r="F2101" s="3">
        <v>815.7</v>
      </c>
      <c r="G2101" s="3">
        <v>805.9</v>
      </c>
      <c r="H2101" s="3">
        <v>806.55</v>
      </c>
      <c r="I2101" s="3">
        <v>810.72</v>
      </c>
      <c r="J2101" s="3">
        <v>895</v>
      </c>
      <c r="K2101" s="3">
        <v>680</v>
      </c>
      <c r="L2101" s="2">
        <v>6734439</v>
      </c>
      <c r="M2101" s="2">
        <v>5459744200.8500004</v>
      </c>
      <c r="N2101" s="2">
        <v>155026</v>
      </c>
      <c r="O2101" t="s">
        <v>24</v>
      </c>
    </row>
    <row r="2102" spans="1:15" x14ac:dyDescent="0.3">
      <c r="A2102" s="1">
        <v>45862</v>
      </c>
      <c r="B2102" t="s">
        <v>15</v>
      </c>
      <c r="C2102" s="3">
        <v>820</v>
      </c>
      <c r="D2102" s="3">
        <v>821.95</v>
      </c>
      <c r="E2102" s="3">
        <v>810.65</v>
      </c>
      <c r="F2102" s="3">
        <v>820.65</v>
      </c>
      <c r="G2102" s="3">
        <v>816.5</v>
      </c>
      <c r="H2102" s="3">
        <v>815.7</v>
      </c>
      <c r="I2102" s="3">
        <v>815.53</v>
      </c>
      <c r="J2102" s="3">
        <v>895</v>
      </c>
      <c r="K2102" s="3">
        <v>680</v>
      </c>
      <c r="L2102" s="2">
        <v>10118309</v>
      </c>
      <c r="M2102" s="2">
        <v>8251755595.6999998</v>
      </c>
      <c r="N2102" s="2">
        <v>197128</v>
      </c>
      <c r="O2102" t="s">
        <v>24</v>
      </c>
    </row>
    <row r="2103" spans="1:15" x14ac:dyDescent="0.3">
      <c r="A2103" s="1">
        <v>45861</v>
      </c>
      <c r="B2103" t="s">
        <v>15</v>
      </c>
      <c r="C2103" s="3">
        <v>812.5</v>
      </c>
      <c r="D2103" s="3">
        <v>825.2</v>
      </c>
      <c r="E2103" s="3">
        <v>811.5</v>
      </c>
      <c r="F2103" s="3">
        <v>815</v>
      </c>
      <c r="G2103" s="3">
        <v>820.05</v>
      </c>
      <c r="H2103" s="3">
        <v>820.65</v>
      </c>
      <c r="I2103" s="3">
        <v>817.03</v>
      </c>
      <c r="J2103" s="3">
        <v>895</v>
      </c>
      <c r="K2103" s="3">
        <v>680</v>
      </c>
      <c r="L2103" s="2">
        <v>15470390</v>
      </c>
      <c r="M2103" s="2">
        <v>12639761432.950001</v>
      </c>
      <c r="N2103" s="2">
        <v>221637</v>
      </c>
      <c r="O2103" t="s">
        <v>24</v>
      </c>
    </row>
    <row r="2104" spans="1:15" x14ac:dyDescent="0.3">
      <c r="A2104" s="1">
        <v>45860</v>
      </c>
      <c r="B2104" t="s">
        <v>15</v>
      </c>
      <c r="C2104" s="3">
        <v>827.5</v>
      </c>
      <c r="D2104" s="3">
        <v>828.05</v>
      </c>
      <c r="E2104" s="3">
        <v>814</v>
      </c>
      <c r="F2104" s="3">
        <v>824.2</v>
      </c>
      <c r="G2104" s="3">
        <v>814.65</v>
      </c>
      <c r="H2104" s="3">
        <v>815</v>
      </c>
      <c r="I2104" s="3">
        <v>819.53</v>
      </c>
      <c r="J2104" s="3">
        <v>895</v>
      </c>
      <c r="K2104" s="3">
        <v>680</v>
      </c>
      <c r="L2104" s="2">
        <v>7851163</v>
      </c>
      <c r="M2104" s="2">
        <v>6434296996.25</v>
      </c>
      <c r="N2104" s="2">
        <v>146969</v>
      </c>
      <c r="O2104" t="s">
        <v>24</v>
      </c>
    </row>
    <row r="2105" spans="1:15" x14ac:dyDescent="0.3">
      <c r="A2105" s="1">
        <v>45859</v>
      </c>
      <c r="B2105" t="s">
        <v>15</v>
      </c>
      <c r="C2105" s="3">
        <v>823</v>
      </c>
      <c r="D2105" s="3">
        <v>827.35</v>
      </c>
      <c r="E2105" s="3">
        <v>817.95</v>
      </c>
      <c r="F2105" s="3">
        <v>823.35</v>
      </c>
      <c r="G2105" s="3">
        <v>824.6</v>
      </c>
      <c r="H2105" s="3">
        <v>824.2</v>
      </c>
      <c r="I2105" s="3">
        <v>823.65</v>
      </c>
      <c r="J2105" s="3">
        <v>895</v>
      </c>
      <c r="K2105" s="3">
        <v>680</v>
      </c>
      <c r="L2105" s="2">
        <v>8852594</v>
      </c>
      <c r="M2105" s="2">
        <v>7291470527.5</v>
      </c>
      <c r="N2105" s="2">
        <v>146624</v>
      </c>
      <c r="O2105" t="s">
        <v>24</v>
      </c>
    </row>
    <row r="2106" spans="1:15" x14ac:dyDescent="0.3">
      <c r="A2106" s="1">
        <v>45856</v>
      </c>
      <c r="B2106" t="s">
        <v>15</v>
      </c>
      <c r="C2106" s="3">
        <v>832</v>
      </c>
      <c r="D2106" s="3">
        <v>832.65</v>
      </c>
      <c r="E2106" s="3">
        <v>820.25</v>
      </c>
      <c r="F2106" s="3">
        <v>829</v>
      </c>
      <c r="G2106" s="3">
        <v>823</v>
      </c>
      <c r="H2106" s="3">
        <v>823.35</v>
      </c>
      <c r="I2106" s="3">
        <v>823.4</v>
      </c>
      <c r="J2106" s="3">
        <v>899</v>
      </c>
      <c r="K2106" s="3">
        <v>680</v>
      </c>
      <c r="L2106" s="2">
        <v>15387801</v>
      </c>
      <c r="M2106" s="2">
        <v>12670269957.1</v>
      </c>
      <c r="N2106" s="2">
        <v>177062</v>
      </c>
      <c r="O2106" t="s">
        <v>24</v>
      </c>
    </row>
    <row r="2107" spans="1:15" x14ac:dyDescent="0.3">
      <c r="A2107" s="1">
        <v>45855</v>
      </c>
      <c r="B2107" t="s">
        <v>15</v>
      </c>
      <c r="C2107" s="3">
        <v>838.4</v>
      </c>
      <c r="D2107" s="3">
        <v>842.5</v>
      </c>
      <c r="E2107" s="3">
        <v>826.35</v>
      </c>
      <c r="F2107" s="3">
        <v>831.7</v>
      </c>
      <c r="G2107" s="3">
        <v>828.75</v>
      </c>
      <c r="H2107" s="3">
        <v>829</v>
      </c>
      <c r="I2107" s="3">
        <v>834.43</v>
      </c>
      <c r="J2107" s="3">
        <v>899</v>
      </c>
      <c r="K2107" s="3">
        <v>680</v>
      </c>
      <c r="L2107" s="2">
        <v>23073718</v>
      </c>
      <c r="M2107" s="2">
        <v>19253323758.599998</v>
      </c>
      <c r="N2107" s="2">
        <v>267805</v>
      </c>
      <c r="O2107" t="s">
        <v>24</v>
      </c>
    </row>
    <row r="2108" spans="1:15" x14ac:dyDescent="0.3">
      <c r="A2108" s="1">
        <v>45854</v>
      </c>
      <c r="B2108" t="s">
        <v>15</v>
      </c>
      <c r="C2108" s="3">
        <v>816</v>
      </c>
      <c r="D2108" s="3">
        <v>834.2</v>
      </c>
      <c r="E2108" s="3">
        <v>815.3</v>
      </c>
      <c r="F2108" s="3">
        <v>816.45</v>
      </c>
      <c r="G2108" s="3">
        <v>830.5</v>
      </c>
      <c r="H2108" s="3">
        <v>831.7</v>
      </c>
      <c r="I2108" s="3">
        <v>827.89</v>
      </c>
      <c r="J2108" s="3">
        <v>899</v>
      </c>
      <c r="K2108" s="3">
        <v>680</v>
      </c>
      <c r="L2108" s="2">
        <v>16458920</v>
      </c>
      <c r="M2108" s="2">
        <v>13626244060.15</v>
      </c>
      <c r="N2108" s="2">
        <v>287903</v>
      </c>
      <c r="O2108" t="s">
        <v>24</v>
      </c>
    </row>
    <row r="2109" spans="1:15" x14ac:dyDescent="0.3">
      <c r="A2109" s="1">
        <v>45853</v>
      </c>
      <c r="B2109" t="s">
        <v>15</v>
      </c>
      <c r="C2109" s="3">
        <v>811</v>
      </c>
      <c r="D2109" s="3">
        <v>821</v>
      </c>
      <c r="E2109" s="3">
        <v>810.5</v>
      </c>
      <c r="F2109" s="3">
        <v>808.85</v>
      </c>
      <c r="G2109" s="3">
        <v>816.4</v>
      </c>
      <c r="H2109" s="3">
        <v>816.45</v>
      </c>
      <c r="I2109" s="3">
        <v>816.69</v>
      </c>
      <c r="J2109" s="3">
        <v>899</v>
      </c>
      <c r="K2109" s="3">
        <v>680</v>
      </c>
      <c r="L2109" s="2">
        <v>9297645</v>
      </c>
      <c r="M2109" s="2">
        <v>7593279897.1000004</v>
      </c>
      <c r="N2109" s="2">
        <v>163000</v>
      </c>
      <c r="O2109" t="s">
        <v>24</v>
      </c>
    </row>
    <row r="2110" spans="1:15" x14ac:dyDescent="0.3">
      <c r="A2110" s="1">
        <v>45852</v>
      </c>
      <c r="B2110" t="s">
        <v>15</v>
      </c>
      <c r="C2110" s="3">
        <v>809.8</v>
      </c>
      <c r="D2110" s="3">
        <v>815.5</v>
      </c>
      <c r="E2110" s="3">
        <v>808</v>
      </c>
      <c r="F2110" s="3">
        <v>808.65</v>
      </c>
      <c r="G2110" s="3">
        <v>809.1</v>
      </c>
      <c r="H2110" s="3">
        <v>808.85</v>
      </c>
      <c r="I2110" s="3">
        <v>810.6</v>
      </c>
      <c r="J2110" s="3">
        <v>899</v>
      </c>
      <c r="K2110" s="3">
        <v>680</v>
      </c>
      <c r="L2110" s="2">
        <v>6938635</v>
      </c>
      <c r="M2110" s="2">
        <v>5624460859</v>
      </c>
      <c r="N2110" s="2">
        <v>112079</v>
      </c>
      <c r="O2110" t="s">
        <v>24</v>
      </c>
    </row>
    <row r="2111" spans="1:15" x14ac:dyDescent="0.3">
      <c r="A2111" s="1">
        <v>45849</v>
      </c>
      <c r="B2111" t="s">
        <v>15</v>
      </c>
      <c r="C2111" s="3">
        <v>807.55</v>
      </c>
      <c r="D2111" s="3">
        <v>812.55</v>
      </c>
      <c r="E2111" s="3">
        <v>804.55</v>
      </c>
      <c r="F2111" s="3">
        <v>808</v>
      </c>
      <c r="G2111" s="3">
        <v>808.6</v>
      </c>
      <c r="H2111" s="3">
        <v>808.65</v>
      </c>
      <c r="I2111" s="3">
        <v>808.72</v>
      </c>
      <c r="J2111" s="3">
        <v>899</v>
      </c>
      <c r="K2111" s="3">
        <v>680</v>
      </c>
      <c r="L2111" s="2">
        <v>6202372</v>
      </c>
      <c r="M2111" s="2">
        <v>5015955117.8999996</v>
      </c>
      <c r="N2111" s="2">
        <v>143253</v>
      </c>
      <c r="O2111" t="s">
        <v>24</v>
      </c>
    </row>
    <row r="2112" spans="1:15" x14ac:dyDescent="0.3">
      <c r="A2112" s="1">
        <v>45848</v>
      </c>
      <c r="B2112" t="s">
        <v>15</v>
      </c>
      <c r="C2112" s="3">
        <v>811.3</v>
      </c>
      <c r="D2112" s="3">
        <v>815.5</v>
      </c>
      <c r="E2112" s="3">
        <v>806.9</v>
      </c>
      <c r="F2112" s="3">
        <v>810.95</v>
      </c>
      <c r="G2112" s="3">
        <v>807.55</v>
      </c>
      <c r="H2112" s="3">
        <v>808</v>
      </c>
      <c r="I2112" s="3">
        <v>810.53</v>
      </c>
      <c r="J2112" s="3">
        <v>899</v>
      </c>
      <c r="K2112" s="3">
        <v>680</v>
      </c>
      <c r="L2112" s="2">
        <v>12178137</v>
      </c>
      <c r="M2112" s="2">
        <v>9870766879.9500008</v>
      </c>
      <c r="N2112" s="2">
        <v>171580</v>
      </c>
      <c r="O2112" t="s">
        <v>24</v>
      </c>
    </row>
    <row r="2113" spans="1:15" x14ac:dyDescent="0.3">
      <c r="A2113" s="1">
        <v>45847</v>
      </c>
      <c r="B2113" t="s">
        <v>15</v>
      </c>
      <c r="C2113" s="3">
        <v>810</v>
      </c>
      <c r="D2113" s="3">
        <v>812.45</v>
      </c>
      <c r="E2113" s="3">
        <v>809</v>
      </c>
      <c r="F2113" s="3">
        <v>812.65</v>
      </c>
      <c r="G2113" s="3">
        <v>811</v>
      </c>
      <c r="H2113" s="3">
        <v>810.95</v>
      </c>
      <c r="I2113" s="3">
        <v>810.91</v>
      </c>
      <c r="J2113" s="3">
        <v>899</v>
      </c>
      <c r="K2113" s="3">
        <v>680</v>
      </c>
      <c r="L2113" s="2">
        <v>4099112</v>
      </c>
      <c r="M2113" s="2">
        <v>3323995623.5999999</v>
      </c>
      <c r="N2113" s="2">
        <v>171040</v>
      </c>
      <c r="O2113" t="s">
        <v>24</v>
      </c>
    </row>
    <row r="2114" spans="1:15" x14ac:dyDescent="0.3">
      <c r="A2114" s="1">
        <v>45846</v>
      </c>
      <c r="B2114" t="s">
        <v>15</v>
      </c>
      <c r="C2114" s="3">
        <v>807.9</v>
      </c>
      <c r="D2114" s="3">
        <v>813.55</v>
      </c>
      <c r="E2114" s="3">
        <v>805.35</v>
      </c>
      <c r="F2114" s="3">
        <v>806.85</v>
      </c>
      <c r="G2114" s="3">
        <v>812.25</v>
      </c>
      <c r="H2114" s="3">
        <v>812.65</v>
      </c>
      <c r="I2114" s="3">
        <v>809.46</v>
      </c>
      <c r="J2114" s="3">
        <v>899</v>
      </c>
      <c r="K2114" s="3">
        <v>680</v>
      </c>
      <c r="L2114" s="2">
        <v>5935770</v>
      </c>
      <c r="M2114" s="2">
        <v>4804795680.5500002</v>
      </c>
      <c r="N2114" s="2">
        <v>152435</v>
      </c>
      <c r="O2114" t="s">
        <v>24</v>
      </c>
    </row>
    <row r="2115" spans="1:15" x14ac:dyDescent="0.3">
      <c r="A2115" s="1">
        <v>45845</v>
      </c>
      <c r="B2115" t="s">
        <v>15</v>
      </c>
      <c r="C2115" s="3">
        <v>811.2</v>
      </c>
      <c r="D2115" s="3">
        <v>812.65</v>
      </c>
      <c r="E2115" s="3">
        <v>805.15</v>
      </c>
      <c r="F2115" s="3">
        <v>811.85</v>
      </c>
      <c r="G2115" s="3">
        <v>807</v>
      </c>
      <c r="H2115" s="3">
        <v>806.85</v>
      </c>
      <c r="I2115" s="3">
        <v>807.71</v>
      </c>
      <c r="J2115" s="3">
        <v>899</v>
      </c>
      <c r="K2115" s="3">
        <v>680</v>
      </c>
      <c r="L2115" s="2">
        <v>4461783</v>
      </c>
      <c r="M2115" s="2">
        <v>3603840471.1500001</v>
      </c>
      <c r="N2115" s="2">
        <v>110862</v>
      </c>
      <c r="O2115" t="s">
        <v>24</v>
      </c>
    </row>
    <row r="2116" spans="1:15" x14ac:dyDescent="0.3">
      <c r="A2116" s="1">
        <v>45842</v>
      </c>
      <c r="B2116" t="s">
        <v>15</v>
      </c>
      <c r="C2116" s="3">
        <v>808.75</v>
      </c>
      <c r="D2116" s="3">
        <v>813.85</v>
      </c>
      <c r="E2116" s="3">
        <v>804.1</v>
      </c>
      <c r="F2116" s="3">
        <v>807.1</v>
      </c>
      <c r="G2116" s="3">
        <v>811.25</v>
      </c>
      <c r="H2116" s="3">
        <v>811.85</v>
      </c>
      <c r="I2116" s="3">
        <v>808.47</v>
      </c>
      <c r="J2116" s="3">
        <v>899</v>
      </c>
      <c r="K2116" s="3">
        <v>680</v>
      </c>
      <c r="L2116" s="2">
        <v>4319538</v>
      </c>
      <c r="M2116" s="2">
        <v>3492204634.3499999</v>
      </c>
      <c r="N2116" s="2">
        <v>96453</v>
      </c>
      <c r="O2116" t="s">
        <v>24</v>
      </c>
    </row>
    <row r="2117" spans="1:15" x14ac:dyDescent="0.3">
      <c r="A2117" s="1">
        <v>45841</v>
      </c>
      <c r="B2117" t="s">
        <v>15</v>
      </c>
      <c r="C2117" s="3">
        <v>813.5</v>
      </c>
      <c r="D2117" s="3">
        <v>814.5</v>
      </c>
      <c r="E2117" s="3">
        <v>805.8</v>
      </c>
      <c r="F2117" s="3">
        <v>812.9</v>
      </c>
      <c r="G2117" s="3">
        <v>807</v>
      </c>
      <c r="H2117" s="3">
        <v>807.1</v>
      </c>
      <c r="I2117" s="3">
        <v>809.78</v>
      </c>
      <c r="J2117" s="3">
        <v>899</v>
      </c>
      <c r="K2117" s="3">
        <v>680</v>
      </c>
      <c r="L2117" s="2">
        <v>7020403</v>
      </c>
      <c r="M2117" s="2">
        <v>5684973436.0500002</v>
      </c>
      <c r="N2117" s="2">
        <v>137793</v>
      </c>
      <c r="O2117" t="s">
        <v>24</v>
      </c>
    </row>
    <row r="2118" spans="1:15" x14ac:dyDescent="0.3">
      <c r="A2118" s="1">
        <v>45840</v>
      </c>
      <c r="B2118" t="s">
        <v>15</v>
      </c>
      <c r="C2118" s="3">
        <v>821</v>
      </c>
      <c r="D2118" s="3">
        <v>824.05</v>
      </c>
      <c r="E2118" s="3">
        <v>809</v>
      </c>
      <c r="F2118" s="3">
        <v>820.3</v>
      </c>
      <c r="G2118" s="3">
        <v>812.7</v>
      </c>
      <c r="H2118" s="3">
        <v>812.9</v>
      </c>
      <c r="I2118" s="3">
        <v>814.81</v>
      </c>
      <c r="J2118" s="3">
        <v>899</v>
      </c>
      <c r="K2118" s="3">
        <v>680</v>
      </c>
      <c r="L2118" s="2">
        <v>6661200</v>
      </c>
      <c r="M2118" s="2">
        <v>5427583829.5500002</v>
      </c>
      <c r="N2118" s="2">
        <v>121545</v>
      </c>
      <c r="O2118" t="s">
        <v>24</v>
      </c>
    </row>
    <row r="2119" spans="1:15" x14ac:dyDescent="0.3">
      <c r="A2119" s="1">
        <v>45839</v>
      </c>
      <c r="B2119" t="s">
        <v>15</v>
      </c>
      <c r="C2119" s="3">
        <v>820</v>
      </c>
      <c r="D2119" s="3">
        <v>824.9</v>
      </c>
      <c r="E2119" s="3">
        <v>813.25</v>
      </c>
      <c r="F2119" s="3">
        <v>820.35</v>
      </c>
      <c r="G2119" s="3">
        <v>820.2</v>
      </c>
      <c r="H2119" s="3">
        <v>820.3</v>
      </c>
      <c r="I2119" s="3">
        <v>819.76</v>
      </c>
      <c r="J2119" s="3">
        <v>899</v>
      </c>
      <c r="K2119" s="3">
        <v>680</v>
      </c>
      <c r="L2119" s="2">
        <v>11456405</v>
      </c>
      <c r="M2119" s="2">
        <v>9391484331.0499992</v>
      </c>
      <c r="N2119" s="2">
        <v>157197</v>
      </c>
      <c r="O2119" t="s">
        <v>24</v>
      </c>
    </row>
    <row r="2120" spans="1:15" x14ac:dyDescent="0.3">
      <c r="A2120" s="1">
        <v>45838</v>
      </c>
      <c r="B2120" t="s">
        <v>15</v>
      </c>
      <c r="C2120" s="3">
        <v>809</v>
      </c>
      <c r="D2120" s="3">
        <v>821</v>
      </c>
      <c r="E2120" s="3">
        <v>807.05</v>
      </c>
      <c r="F2120" s="3">
        <v>805.4</v>
      </c>
      <c r="G2120" s="3">
        <v>819.85</v>
      </c>
      <c r="H2120" s="3">
        <v>820.35</v>
      </c>
      <c r="I2120" s="3">
        <v>816.64</v>
      </c>
      <c r="J2120" s="3">
        <v>899</v>
      </c>
      <c r="K2120" s="3">
        <v>680</v>
      </c>
      <c r="L2120" s="2">
        <v>19652607</v>
      </c>
      <c r="M2120" s="2">
        <v>16049137157.549999</v>
      </c>
      <c r="N2120" s="2">
        <v>249562</v>
      </c>
      <c r="O2120" t="s">
        <v>24</v>
      </c>
    </row>
    <row r="2121" spans="1:15" x14ac:dyDescent="0.3">
      <c r="A2121" s="1">
        <v>45835</v>
      </c>
      <c r="B2121" t="s">
        <v>15</v>
      </c>
      <c r="C2121" s="3">
        <v>805</v>
      </c>
      <c r="D2121" s="3">
        <v>809.45</v>
      </c>
      <c r="E2121" s="3">
        <v>802.65</v>
      </c>
      <c r="F2121" s="3">
        <v>797.05</v>
      </c>
      <c r="G2121" s="3">
        <v>804.55</v>
      </c>
      <c r="H2121" s="3">
        <v>805.4</v>
      </c>
      <c r="I2121" s="3">
        <v>805.86</v>
      </c>
      <c r="J2121" s="3">
        <v>899</v>
      </c>
      <c r="K2121" s="3">
        <v>680</v>
      </c>
      <c r="L2121" s="2">
        <v>19375990</v>
      </c>
      <c r="M2121" s="2">
        <v>15614254535.75</v>
      </c>
      <c r="N2121" s="2">
        <v>262127</v>
      </c>
      <c r="O2121" t="s">
        <v>24</v>
      </c>
    </row>
    <row r="2122" spans="1:15" x14ac:dyDescent="0.3">
      <c r="A2122" s="1">
        <v>45834</v>
      </c>
      <c r="B2122" t="s">
        <v>15</v>
      </c>
      <c r="C2122" s="3">
        <v>802</v>
      </c>
      <c r="D2122" s="3">
        <v>803.35</v>
      </c>
      <c r="E2122" s="3">
        <v>791.4</v>
      </c>
      <c r="F2122" s="3">
        <v>800.05</v>
      </c>
      <c r="G2122" s="3">
        <v>796.05</v>
      </c>
      <c r="H2122" s="3">
        <v>797.05</v>
      </c>
      <c r="I2122" s="3">
        <v>795.08</v>
      </c>
      <c r="J2122" s="3">
        <v>899</v>
      </c>
      <c r="K2122" s="3">
        <v>680</v>
      </c>
      <c r="L2122" s="2">
        <v>24704402</v>
      </c>
      <c r="M2122" s="2">
        <v>19641948457</v>
      </c>
      <c r="N2122" s="2">
        <v>208543</v>
      </c>
      <c r="O2122" t="s">
        <v>24</v>
      </c>
    </row>
    <row r="2123" spans="1:15" x14ac:dyDescent="0.3">
      <c r="A2123" s="1">
        <v>45833</v>
      </c>
      <c r="B2123" t="s">
        <v>15</v>
      </c>
      <c r="C2123" s="3">
        <v>799.5</v>
      </c>
      <c r="D2123" s="3">
        <v>803.8</v>
      </c>
      <c r="E2123" s="3">
        <v>796.1</v>
      </c>
      <c r="F2123" s="3">
        <v>795.4</v>
      </c>
      <c r="G2123" s="3">
        <v>800</v>
      </c>
      <c r="H2123" s="3">
        <v>800.05</v>
      </c>
      <c r="I2123" s="3">
        <v>799.91</v>
      </c>
      <c r="J2123" s="3">
        <v>899</v>
      </c>
      <c r="K2123" s="3">
        <v>680</v>
      </c>
      <c r="L2123" s="2">
        <v>6528324</v>
      </c>
      <c r="M2123" s="2">
        <v>5222095310</v>
      </c>
      <c r="N2123" s="2">
        <v>131096</v>
      </c>
      <c r="O2123" t="s">
        <v>24</v>
      </c>
    </row>
    <row r="2124" spans="1:15" x14ac:dyDescent="0.3">
      <c r="A2124" s="1">
        <v>45832</v>
      </c>
      <c r="B2124" t="s">
        <v>15</v>
      </c>
      <c r="C2124" s="3">
        <v>799</v>
      </c>
      <c r="D2124" s="3">
        <v>806.65</v>
      </c>
      <c r="E2124" s="3">
        <v>793.65</v>
      </c>
      <c r="F2124" s="3">
        <v>790.2</v>
      </c>
      <c r="G2124" s="3">
        <v>795.75</v>
      </c>
      <c r="H2124" s="3">
        <v>795.4</v>
      </c>
      <c r="I2124" s="3">
        <v>799.6</v>
      </c>
      <c r="J2124" s="3">
        <v>899</v>
      </c>
      <c r="K2124" s="3">
        <v>680</v>
      </c>
      <c r="L2124" s="2">
        <v>11402190</v>
      </c>
      <c r="M2124" s="2">
        <v>9117165780.8500004</v>
      </c>
      <c r="N2124" s="2">
        <v>184002</v>
      </c>
      <c r="O2124" t="s">
        <v>24</v>
      </c>
    </row>
    <row r="2125" spans="1:15" x14ac:dyDescent="0.3">
      <c r="A2125" s="1">
        <v>45831</v>
      </c>
      <c r="B2125" t="s">
        <v>15</v>
      </c>
      <c r="C2125" s="3">
        <v>790</v>
      </c>
      <c r="D2125" s="3">
        <v>794.95</v>
      </c>
      <c r="E2125" s="3">
        <v>788.5</v>
      </c>
      <c r="F2125" s="3">
        <v>796.15</v>
      </c>
      <c r="G2125" s="3">
        <v>790</v>
      </c>
      <c r="H2125" s="3">
        <v>790.2</v>
      </c>
      <c r="I2125" s="3">
        <v>791.21</v>
      </c>
      <c r="J2125" s="3">
        <v>899</v>
      </c>
      <c r="K2125" s="3">
        <v>680</v>
      </c>
      <c r="L2125" s="2">
        <v>5549253</v>
      </c>
      <c r="M2125" s="2">
        <v>4390604870.6499996</v>
      </c>
      <c r="N2125" s="2">
        <v>131841</v>
      </c>
      <c r="O2125" t="s">
        <v>24</v>
      </c>
    </row>
    <row r="2126" spans="1:15" x14ac:dyDescent="0.3">
      <c r="A2126" s="1">
        <v>45828</v>
      </c>
      <c r="B2126" t="s">
        <v>15</v>
      </c>
      <c r="C2126" s="3">
        <v>787.5</v>
      </c>
      <c r="D2126" s="3">
        <v>799.45</v>
      </c>
      <c r="E2126" s="3">
        <v>786.1</v>
      </c>
      <c r="F2126" s="3">
        <v>785.1</v>
      </c>
      <c r="G2126" s="3">
        <v>795.25</v>
      </c>
      <c r="H2126" s="3">
        <v>796.15</v>
      </c>
      <c r="I2126" s="3">
        <v>794.39</v>
      </c>
      <c r="J2126" s="3">
        <v>899</v>
      </c>
      <c r="K2126" s="3">
        <v>680</v>
      </c>
      <c r="L2126" s="2">
        <v>11367669</v>
      </c>
      <c r="M2126" s="2">
        <v>9030330594.4500008</v>
      </c>
      <c r="N2126" s="2">
        <v>169215</v>
      </c>
      <c r="O2126" t="s">
        <v>24</v>
      </c>
    </row>
    <row r="2127" spans="1:15" x14ac:dyDescent="0.3">
      <c r="A2127" s="1">
        <v>45827</v>
      </c>
      <c r="B2127" t="s">
        <v>15</v>
      </c>
      <c r="C2127" s="3">
        <v>792.35</v>
      </c>
      <c r="D2127" s="3">
        <v>793.25</v>
      </c>
      <c r="E2127" s="3">
        <v>781.7</v>
      </c>
      <c r="F2127" s="3">
        <v>791.9</v>
      </c>
      <c r="G2127" s="3">
        <v>782.6</v>
      </c>
      <c r="H2127" s="3">
        <v>785.1</v>
      </c>
      <c r="I2127" s="3">
        <v>786.26</v>
      </c>
      <c r="J2127" s="3">
        <v>899</v>
      </c>
      <c r="K2127" s="3">
        <v>680</v>
      </c>
      <c r="L2127" s="2">
        <v>11824333</v>
      </c>
      <c r="M2127" s="2">
        <v>9297045726.7000008</v>
      </c>
      <c r="N2127" s="2">
        <v>289212</v>
      </c>
      <c r="O2127" t="s">
        <v>24</v>
      </c>
    </row>
    <row r="2128" spans="1:15" x14ac:dyDescent="0.3">
      <c r="A2128" s="1">
        <v>45826</v>
      </c>
      <c r="B2128" t="s">
        <v>15</v>
      </c>
      <c r="C2128" s="3">
        <v>792.5</v>
      </c>
      <c r="D2128" s="3">
        <v>795.5</v>
      </c>
      <c r="E2128" s="3">
        <v>788.35</v>
      </c>
      <c r="F2128" s="3">
        <v>792.3</v>
      </c>
      <c r="G2128" s="3">
        <v>790.4</v>
      </c>
      <c r="H2128" s="3">
        <v>791.9</v>
      </c>
      <c r="I2128" s="3">
        <v>791.48</v>
      </c>
      <c r="J2128" s="3">
        <v>899</v>
      </c>
      <c r="K2128" s="3">
        <v>680</v>
      </c>
      <c r="L2128" s="2">
        <v>5710169</v>
      </c>
      <c r="M2128" s="2">
        <v>4519500759.8999996</v>
      </c>
      <c r="N2128" s="2">
        <v>136624</v>
      </c>
      <c r="O2128" t="s">
        <v>24</v>
      </c>
    </row>
    <row r="2129" spans="1:15" x14ac:dyDescent="0.3">
      <c r="A2129" s="1">
        <v>45825</v>
      </c>
      <c r="B2129" t="s">
        <v>15</v>
      </c>
      <c r="C2129" s="3">
        <v>794</v>
      </c>
      <c r="D2129" s="3">
        <v>798.85</v>
      </c>
      <c r="E2129" s="3">
        <v>790.55</v>
      </c>
      <c r="F2129" s="3">
        <v>792.5</v>
      </c>
      <c r="G2129" s="3">
        <v>792.05</v>
      </c>
      <c r="H2129" s="3">
        <v>792.3</v>
      </c>
      <c r="I2129" s="3">
        <v>794.06</v>
      </c>
      <c r="J2129" s="3">
        <v>899</v>
      </c>
      <c r="K2129" s="3">
        <v>680</v>
      </c>
      <c r="L2129" s="2">
        <v>7753156</v>
      </c>
      <c r="M2129" s="2">
        <v>6156466697.6000004</v>
      </c>
      <c r="N2129" s="2">
        <v>115931</v>
      </c>
      <c r="O2129" t="s">
        <v>24</v>
      </c>
    </row>
    <row r="2130" spans="1:15" x14ac:dyDescent="0.3">
      <c r="A2130" s="1">
        <v>45824</v>
      </c>
      <c r="B2130" t="s">
        <v>15</v>
      </c>
      <c r="C2130" s="3">
        <v>792.5</v>
      </c>
      <c r="D2130" s="3">
        <v>795.4</v>
      </c>
      <c r="E2130" s="3">
        <v>786.15</v>
      </c>
      <c r="F2130" s="3">
        <v>792.35</v>
      </c>
      <c r="G2130" s="3">
        <v>793</v>
      </c>
      <c r="H2130" s="3">
        <v>792.5</v>
      </c>
      <c r="I2130" s="3">
        <v>791.28</v>
      </c>
      <c r="J2130" s="3">
        <v>899</v>
      </c>
      <c r="K2130" s="3">
        <v>680</v>
      </c>
      <c r="L2130" s="2">
        <v>8085001</v>
      </c>
      <c r="M2130" s="2">
        <v>6397493172.1499996</v>
      </c>
      <c r="N2130" s="2">
        <v>157361</v>
      </c>
      <c r="O2130" t="s">
        <v>24</v>
      </c>
    </row>
    <row r="2131" spans="1:15" x14ac:dyDescent="0.3">
      <c r="A2131" s="1">
        <v>45821</v>
      </c>
      <c r="B2131" t="s">
        <v>15</v>
      </c>
      <c r="C2131" s="3">
        <v>786.25</v>
      </c>
      <c r="D2131" s="3">
        <v>796.3</v>
      </c>
      <c r="E2131" s="3">
        <v>786.25</v>
      </c>
      <c r="F2131" s="3">
        <v>805.95</v>
      </c>
      <c r="G2131" s="3">
        <v>793.3</v>
      </c>
      <c r="H2131" s="3">
        <v>792.35</v>
      </c>
      <c r="I2131" s="3">
        <v>792.35</v>
      </c>
      <c r="J2131" s="3">
        <v>899</v>
      </c>
      <c r="K2131" s="3">
        <v>680</v>
      </c>
      <c r="L2131" s="2">
        <v>11377117</v>
      </c>
      <c r="M2131" s="2">
        <v>9014634064.2999992</v>
      </c>
      <c r="N2131" s="2">
        <v>196572</v>
      </c>
      <c r="O2131" t="s">
        <v>24</v>
      </c>
    </row>
    <row r="2132" spans="1:15" x14ac:dyDescent="0.3">
      <c r="A2132" s="1">
        <v>45820</v>
      </c>
      <c r="B2132" t="s">
        <v>15</v>
      </c>
      <c r="C2132" s="3">
        <v>816</v>
      </c>
      <c r="D2132" s="3">
        <v>816.5</v>
      </c>
      <c r="E2132" s="3">
        <v>801.2</v>
      </c>
      <c r="F2132" s="3">
        <v>815.05</v>
      </c>
      <c r="G2132" s="3">
        <v>804</v>
      </c>
      <c r="H2132" s="3">
        <v>805.95</v>
      </c>
      <c r="I2132" s="3">
        <v>809.23</v>
      </c>
      <c r="J2132" s="3">
        <v>899</v>
      </c>
      <c r="K2132" s="3">
        <v>680</v>
      </c>
      <c r="L2132" s="2">
        <v>13448521</v>
      </c>
      <c r="M2132" s="2">
        <v>10882909973.85</v>
      </c>
      <c r="N2132" s="2">
        <v>154034</v>
      </c>
      <c r="O2132" t="s">
        <v>24</v>
      </c>
    </row>
    <row r="2133" spans="1:15" x14ac:dyDescent="0.3">
      <c r="A2133" s="1">
        <v>45819</v>
      </c>
      <c r="B2133" t="s">
        <v>15</v>
      </c>
      <c r="C2133" s="3">
        <v>817</v>
      </c>
      <c r="D2133" s="3">
        <v>820.6</v>
      </c>
      <c r="E2133" s="3">
        <v>813.05</v>
      </c>
      <c r="F2133" s="3">
        <v>817.05</v>
      </c>
      <c r="G2133" s="3">
        <v>814.4</v>
      </c>
      <c r="H2133" s="3">
        <v>815.05</v>
      </c>
      <c r="I2133" s="3">
        <v>817.21</v>
      </c>
      <c r="J2133" s="3">
        <v>899</v>
      </c>
      <c r="K2133" s="3">
        <v>680</v>
      </c>
      <c r="L2133" s="2">
        <v>7197825</v>
      </c>
      <c r="M2133" s="2">
        <v>5882109303.8999996</v>
      </c>
      <c r="N2133" s="2">
        <v>109100</v>
      </c>
      <c r="O2133" t="s">
        <v>24</v>
      </c>
    </row>
    <row r="2134" spans="1:15" x14ac:dyDescent="0.3">
      <c r="A2134" s="1">
        <v>45818</v>
      </c>
      <c r="B2134" t="s">
        <v>15</v>
      </c>
      <c r="C2134" s="3">
        <v>821</v>
      </c>
      <c r="D2134" s="3">
        <v>822.05</v>
      </c>
      <c r="E2134" s="3">
        <v>814.6</v>
      </c>
      <c r="F2134" s="3">
        <v>820.05</v>
      </c>
      <c r="G2134" s="3">
        <v>817</v>
      </c>
      <c r="H2134" s="3">
        <v>817.05</v>
      </c>
      <c r="I2134" s="3">
        <v>818.07</v>
      </c>
      <c r="J2134" s="3">
        <v>899</v>
      </c>
      <c r="K2134" s="3">
        <v>680</v>
      </c>
      <c r="L2134" s="2">
        <v>6560513</v>
      </c>
      <c r="M2134" s="2">
        <v>5366931400.75</v>
      </c>
      <c r="N2134" s="2">
        <v>173698</v>
      </c>
      <c r="O2134" t="s">
        <v>24</v>
      </c>
    </row>
    <row r="2135" spans="1:15" x14ac:dyDescent="0.3">
      <c r="A2135" s="1">
        <v>45817</v>
      </c>
      <c r="B2135" t="s">
        <v>15</v>
      </c>
      <c r="C2135" s="3">
        <v>817.4</v>
      </c>
      <c r="D2135" s="3">
        <v>824.5</v>
      </c>
      <c r="E2135" s="3">
        <v>815.7</v>
      </c>
      <c r="F2135" s="3">
        <v>813.05</v>
      </c>
      <c r="G2135" s="3">
        <v>820</v>
      </c>
      <c r="H2135" s="3">
        <v>820.05</v>
      </c>
      <c r="I2135" s="3">
        <v>820.86</v>
      </c>
      <c r="J2135" s="3">
        <v>899</v>
      </c>
      <c r="K2135" s="3">
        <v>680</v>
      </c>
      <c r="L2135" s="2">
        <v>12793040</v>
      </c>
      <c r="M2135" s="2">
        <v>10501357386.299999</v>
      </c>
      <c r="N2135" s="2">
        <v>195288</v>
      </c>
      <c r="O2135" t="s">
        <v>24</v>
      </c>
    </row>
    <row r="2136" spans="1:15" x14ac:dyDescent="0.3">
      <c r="A2136" s="1">
        <v>45814</v>
      </c>
      <c r="B2136" t="s">
        <v>15</v>
      </c>
      <c r="C2136" s="3">
        <v>806.65</v>
      </c>
      <c r="D2136" s="3">
        <v>816.45</v>
      </c>
      <c r="E2136" s="3">
        <v>803.1</v>
      </c>
      <c r="F2136" s="3">
        <v>806</v>
      </c>
      <c r="G2136" s="3">
        <v>812.65</v>
      </c>
      <c r="H2136" s="3">
        <v>813.05</v>
      </c>
      <c r="I2136" s="3">
        <v>811.87</v>
      </c>
      <c r="J2136" s="3">
        <v>912</v>
      </c>
      <c r="K2136" s="3">
        <v>680</v>
      </c>
      <c r="L2136" s="2">
        <v>17163935</v>
      </c>
      <c r="M2136" s="2">
        <v>13934918691.450001</v>
      </c>
      <c r="N2136" s="2">
        <v>202699</v>
      </c>
      <c r="O2136" t="s">
        <v>24</v>
      </c>
    </row>
    <row r="2137" spans="1:15" x14ac:dyDescent="0.3">
      <c r="A2137" s="1">
        <v>45813</v>
      </c>
      <c r="B2137" t="s">
        <v>15</v>
      </c>
      <c r="C2137" s="3">
        <v>808.7</v>
      </c>
      <c r="D2137" s="3">
        <v>811.7</v>
      </c>
      <c r="E2137" s="3">
        <v>802.85</v>
      </c>
      <c r="F2137" s="3">
        <v>806.5</v>
      </c>
      <c r="G2137" s="3">
        <v>806.8</v>
      </c>
      <c r="H2137" s="3">
        <v>806</v>
      </c>
      <c r="I2137" s="3">
        <v>806.79</v>
      </c>
      <c r="J2137" s="3">
        <v>912</v>
      </c>
      <c r="K2137" s="3">
        <v>680</v>
      </c>
      <c r="L2137" s="2">
        <v>13595507</v>
      </c>
      <c r="M2137" s="2">
        <v>10968653855.65</v>
      </c>
      <c r="N2137" s="2">
        <v>176672</v>
      </c>
      <c r="O2137" t="s">
        <v>24</v>
      </c>
    </row>
    <row r="2138" spans="1:15" x14ac:dyDescent="0.3">
      <c r="A2138" s="1">
        <v>45812</v>
      </c>
      <c r="B2138" t="s">
        <v>15</v>
      </c>
      <c r="C2138" s="3">
        <v>817</v>
      </c>
      <c r="D2138" s="3">
        <v>817</v>
      </c>
      <c r="E2138" s="3">
        <v>805.25</v>
      </c>
      <c r="F2138" s="3">
        <v>809.8</v>
      </c>
      <c r="G2138" s="3">
        <v>805.5</v>
      </c>
      <c r="H2138" s="3">
        <v>806.5</v>
      </c>
      <c r="I2138" s="3">
        <v>808.79</v>
      </c>
      <c r="J2138" s="3">
        <v>912</v>
      </c>
      <c r="K2138" s="3">
        <v>680</v>
      </c>
      <c r="L2138" s="2">
        <v>9607927</v>
      </c>
      <c r="M2138" s="2">
        <v>7770821872.8999996</v>
      </c>
      <c r="N2138" s="2">
        <v>136010</v>
      </c>
      <c r="O2138" t="s">
        <v>24</v>
      </c>
    </row>
    <row r="2139" spans="1:15" x14ac:dyDescent="0.3">
      <c r="A2139" s="1">
        <v>45811</v>
      </c>
      <c r="B2139" t="s">
        <v>15</v>
      </c>
      <c r="C2139" s="3">
        <v>816.2</v>
      </c>
      <c r="D2139" s="3">
        <v>818.4</v>
      </c>
      <c r="E2139" s="3">
        <v>805.15</v>
      </c>
      <c r="F2139" s="3">
        <v>813.65</v>
      </c>
      <c r="G2139" s="3">
        <v>808.2</v>
      </c>
      <c r="H2139" s="3">
        <v>809.8</v>
      </c>
      <c r="I2139" s="3">
        <v>811.05</v>
      </c>
      <c r="J2139" s="3">
        <v>912</v>
      </c>
      <c r="K2139" s="3">
        <v>680</v>
      </c>
      <c r="L2139" s="2">
        <v>14247597</v>
      </c>
      <c r="M2139" s="2">
        <v>11555479376.75</v>
      </c>
      <c r="N2139" s="2">
        <v>175051</v>
      </c>
      <c r="O2139" t="s">
        <v>24</v>
      </c>
    </row>
    <row r="2140" spans="1:15" x14ac:dyDescent="0.3">
      <c r="A2140" s="1">
        <v>45810</v>
      </c>
      <c r="B2140" t="s">
        <v>15</v>
      </c>
      <c r="C2140" s="3">
        <v>812.85</v>
      </c>
      <c r="D2140" s="3">
        <v>822.55</v>
      </c>
      <c r="E2140" s="3">
        <v>809.2</v>
      </c>
      <c r="F2140" s="3">
        <v>812.3</v>
      </c>
      <c r="G2140" s="3">
        <v>813.5</v>
      </c>
      <c r="H2140" s="3">
        <v>813.65</v>
      </c>
      <c r="I2140" s="3">
        <v>814.73</v>
      </c>
      <c r="J2140" s="3">
        <v>912</v>
      </c>
      <c r="K2140" s="3">
        <v>680</v>
      </c>
      <c r="L2140" s="2">
        <v>26891575</v>
      </c>
      <c r="M2140" s="2">
        <v>21909310086.450001</v>
      </c>
      <c r="N2140" s="2">
        <v>218771</v>
      </c>
      <c r="O2140" t="s">
        <v>24</v>
      </c>
    </row>
    <row r="2141" spans="1:15" x14ac:dyDescent="0.3">
      <c r="A2141" s="1">
        <v>45807</v>
      </c>
      <c r="B2141" t="s">
        <v>15</v>
      </c>
      <c r="C2141" s="3">
        <v>798</v>
      </c>
      <c r="D2141" s="3">
        <v>814.5</v>
      </c>
      <c r="E2141" s="3">
        <v>792.6</v>
      </c>
      <c r="F2141" s="3">
        <v>797.35</v>
      </c>
      <c r="G2141" s="3">
        <v>814</v>
      </c>
      <c r="H2141" s="3">
        <v>812.3</v>
      </c>
      <c r="I2141" s="3">
        <v>807.33</v>
      </c>
      <c r="J2141" s="3">
        <v>912</v>
      </c>
      <c r="K2141" s="3">
        <v>680</v>
      </c>
      <c r="L2141" s="2">
        <v>22037314</v>
      </c>
      <c r="M2141" s="2">
        <v>17791279933.650002</v>
      </c>
      <c r="N2141" s="2">
        <v>217715</v>
      </c>
      <c r="O2141" t="s">
        <v>24</v>
      </c>
    </row>
    <row r="2142" spans="1:15" x14ac:dyDescent="0.3">
      <c r="A2142" s="1">
        <v>45806</v>
      </c>
      <c r="B2142" t="s">
        <v>15</v>
      </c>
      <c r="C2142" s="3">
        <v>799</v>
      </c>
      <c r="D2142" s="3">
        <v>800.4</v>
      </c>
      <c r="E2142" s="3">
        <v>791.35</v>
      </c>
      <c r="F2142" s="3">
        <v>796.55</v>
      </c>
      <c r="G2142" s="3">
        <v>798.1</v>
      </c>
      <c r="H2142" s="3">
        <v>797.35</v>
      </c>
      <c r="I2142" s="3">
        <v>794.95</v>
      </c>
      <c r="J2142" s="3">
        <v>912</v>
      </c>
      <c r="K2142" s="3">
        <v>680</v>
      </c>
      <c r="L2142" s="2">
        <v>14034127</v>
      </c>
      <c r="M2142" s="2">
        <v>11156361147.65</v>
      </c>
      <c r="N2142" s="2">
        <v>281565</v>
      </c>
      <c r="O2142" t="s">
        <v>24</v>
      </c>
    </row>
    <row r="2143" spans="1:15" x14ac:dyDescent="0.3">
      <c r="A2143" s="1">
        <v>45805</v>
      </c>
      <c r="B2143" t="s">
        <v>15</v>
      </c>
      <c r="C2143" s="3">
        <v>794.5</v>
      </c>
      <c r="D2143" s="3">
        <v>798.9</v>
      </c>
      <c r="E2143" s="3">
        <v>792.65</v>
      </c>
      <c r="F2143" s="3">
        <v>793.7</v>
      </c>
      <c r="G2143" s="3">
        <v>796</v>
      </c>
      <c r="H2143" s="3">
        <v>796.55</v>
      </c>
      <c r="I2143" s="3">
        <v>796.29</v>
      </c>
      <c r="J2143" s="3">
        <v>912</v>
      </c>
      <c r="K2143" s="3">
        <v>680</v>
      </c>
      <c r="L2143" s="2">
        <v>6873519</v>
      </c>
      <c r="M2143" s="2">
        <v>5473317160.3500004</v>
      </c>
      <c r="N2143" s="2">
        <v>113841</v>
      </c>
      <c r="O2143" t="s">
        <v>24</v>
      </c>
    </row>
    <row r="2144" spans="1:15" x14ac:dyDescent="0.3">
      <c r="A2144" s="1">
        <v>45804</v>
      </c>
      <c r="B2144" t="s">
        <v>15</v>
      </c>
      <c r="C2144" s="3">
        <v>794.4</v>
      </c>
      <c r="D2144" s="3">
        <v>801.35</v>
      </c>
      <c r="E2144" s="3">
        <v>790.05</v>
      </c>
      <c r="F2144" s="3">
        <v>794.4</v>
      </c>
      <c r="G2144" s="3">
        <v>794.25</v>
      </c>
      <c r="H2144" s="3">
        <v>793.7</v>
      </c>
      <c r="I2144" s="3">
        <v>795.55</v>
      </c>
      <c r="J2144" s="3">
        <v>912</v>
      </c>
      <c r="K2144" s="3">
        <v>680</v>
      </c>
      <c r="L2144" s="2">
        <v>11995043</v>
      </c>
      <c r="M2144" s="2">
        <v>9542679873.1499996</v>
      </c>
      <c r="N2144" s="2">
        <v>178381</v>
      </c>
      <c r="O2144" t="s">
        <v>24</v>
      </c>
    </row>
    <row r="2145" spans="1:15" x14ac:dyDescent="0.3">
      <c r="A2145" s="1">
        <v>45803</v>
      </c>
      <c r="B2145" t="s">
        <v>15</v>
      </c>
      <c r="C2145" s="3">
        <v>792</v>
      </c>
      <c r="D2145" s="3">
        <v>797.55</v>
      </c>
      <c r="E2145" s="3">
        <v>789.2</v>
      </c>
      <c r="F2145" s="3">
        <v>790.5</v>
      </c>
      <c r="G2145" s="3">
        <v>794.15</v>
      </c>
      <c r="H2145" s="3">
        <v>794.4</v>
      </c>
      <c r="I2145" s="3">
        <v>794.09</v>
      </c>
      <c r="J2145" s="3">
        <v>912</v>
      </c>
      <c r="K2145" s="3">
        <v>680</v>
      </c>
      <c r="L2145" s="2">
        <v>4965466</v>
      </c>
      <c r="M2145" s="2">
        <v>3943015064.1500001</v>
      </c>
      <c r="N2145" s="2">
        <v>98636</v>
      </c>
      <c r="O2145" t="s">
        <v>24</v>
      </c>
    </row>
    <row r="2146" spans="1:15" x14ac:dyDescent="0.3">
      <c r="A2146" s="1">
        <v>45800</v>
      </c>
      <c r="B2146" t="s">
        <v>15</v>
      </c>
      <c r="C2146" s="3">
        <v>787.9</v>
      </c>
      <c r="D2146" s="3">
        <v>794.95</v>
      </c>
      <c r="E2146" s="3">
        <v>786.2</v>
      </c>
      <c r="F2146" s="3">
        <v>785.25</v>
      </c>
      <c r="G2146" s="3">
        <v>790.25</v>
      </c>
      <c r="H2146" s="3">
        <v>790.5</v>
      </c>
      <c r="I2146" s="3">
        <v>790.74</v>
      </c>
      <c r="J2146" s="3">
        <v>912</v>
      </c>
      <c r="K2146" s="3">
        <v>680</v>
      </c>
      <c r="L2146" s="2">
        <v>5534158</v>
      </c>
      <c r="M2146" s="2">
        <v>4376097515.6000004</v>
      </c>
      <c r="N2146" s="2">
        <v>106313</v>
      </c>
      <c r="O2146" t="s">
        <v>24</v>
      </c>
    </row>
    <row r="2147" spans="1:15" x14ac:dyDescent="0.3">
      <c r="A2147" s="1">
        <v>45799</v>
      </c>
      <c r="B2147" t="s">
        <v>15</v>
      </c>
      <c r="C2147" s="3">
        <v>788</v>
      </c>
      <c r="D2147" s="3">
        <v>788.2</v>
      </c>
      <c r="E2147" s="3">
        <v>780.3</v>
      </c>
      <c r="F2147" s="3">
        <v>787.1</v>
      </c>
      <c r="G2147" s="3">
        <v>785.8</v>
      </c>
      <c r="H2147" s="3">
        <v>785.25</v>
      </c>
      <c r="I2147" s="3">
        <v>784.47</v>
      </c>
      <c r="J2147" s="3">
        <v>912</v>
      </c>
      <c r="K2147" s="3">
        <v>680</v>
      </c>
      <c r="L2147" s="2">
        <v>7355826</v>
      </c>
      <c r="M2147" s="2">
        <v>5770452205</v>
      </c>
      <c r="N2147" s="2">
        <v>160443</v>
      </c>
      <c r="O2147" t="s">
        <v>24</v>
      </c>
    </row>
    <row r="2148" spans="1:15" x14ac:dyDescent="0.3">
      <c r="A2148" s="1">
        <v>45798</v>
      </c>
      <c r="B2148" t="s">
        <v>15</v>
      </c>
      <c r="C2148" s="3">
        <v>787</v>
      </c>
      <c r="D2148" s="3">
        <v>791</v>
      </c>
      <c r="E2148" s="3">
        <v>779.1</v>
      </c>
      <c r="F2148" s="3">
        <v>785.65</v>
      </c>
      <c r="G2148" s="3">
        <v>787.2</v>
      </c>
      <c r="H2148" s="3">
        <v>787.1</v>
      </c>
      <c r="I2148" s="3">
        <v>786</v>
      </c>
      <c r="J2148" s="3">
        <v>912</v>
      </c>
      <c r="K2148" s="3">
        <v>680</v>
      </c>
      <c r="L2148" s="2">
        <v>8206040</v>
      </c>
      <c r="M2148" s="2">
        <v>6449939895.5500002</v>
      </c>
      <c r="N2148" s="2">
        <v>130051</v>
      </c>
      <c r="O2148" t="s">
        <v>24</v>
      </c>
    </row>
    <row r="2149" spans="1:15" x14ac:dyDescent="0.3">
      <c r="A2149" s="1">
        <v>45797</v>
      </c>
      <c r="B2149" t="s">
        <v>15</v>
      </c>
      <c r="C2149" s="3">
        <v>798.15</v>
      </c>
      <c r="D2149" s="3">
        <v>799.4</v>
      </c>
      <c r="E2149" s="3">
        <v>783.8</v>
      </c>
      <c r="F2149" s="3">
        <v>795</v>
      </c>
      <c r="G2149" s="3">
        <v>786.7</v>
      </c>
      <c r="H2149" s="3">
        <v>785.65</v>
      </c>
      <c r="I2149" s="3">
        <v>788.84</v>
      </c>
      <c r="J2149" s="3">
        <v>912</v>
      </c>
      <c r="K2149" s="3">
        <v>680</v>
      </c>
      <c r="L2149" s="2">
        <v>11324667</v>
      </c>
      <c r="M2149" s="2">
        <v>8933354461.8500004</v>
      </c>
      <c r="N2149" s="2">
        <v>169563</v>
      </c>
      <c r="O2149" t="s">
        <v>24</v>
      </c>
    </row>
    <row r="2150" spans="1:15" x14ac:dyDescent="0.3">
      <c r="A2150" s="1">
        <v>45796</v>
      </c>
      <c r="B2150" t="s">
        <v>15</v>
      </c>
      <c r="C2150" s="3">
        <v>792.1</v>
      </c>
      <c r="D2150" s="3">
        <v>801.4</v>
      </c>
      <c r="E2150" s="3">
        <v>792.1</v>
      </c>
      <c r="F2150" s="3">
        <v>792.1</v>
      </c>
      <c r="G2150" s="3">
        <v>794.45</v>
      </c>
      <c r="H2150" s="3">
        <v>795</v>
      </c>
      <c r="I2150" s="3">
        <v>796.74</v>
      </c>
      <c r="J2150" s="3">
        <v>912</v>
      </c>
      <c r="K2150" s="3">
        <v>680</v>
      </c>
      <c r="L2150" s="2">
        <v>10666184</v>
      </c>
      <c r="M2150" s="2">
        <v>8498149477.5</v>
      </c>
      <c r="N2150" s="2">
        <v>194011</v>
      </c>
      <c r="O2150" t="s">
        <v>24</v>
      </c>
    </row>
    <row r="2151" spans="1:15" x14ac:dyDescent="0.3">
      <c r="A2151" s="1">
        <v>45793</v>
      </c>
      <c r="B2151" t="s">
        <v>15</v>
      </c>
      <c r="C2151" s="3">
        <v>804</v>
      </c>
      <c r="D2151" s="3">
        <v>804</v>
      </c>
      <c r="E2151" s="3">
        <v>791</v>
      </c>
      <c r="F2151" s="3">
        <v>807.75</v>
      </c>
      <c r="G2151" s="3">
        <v>792.5</v>
      </c>
      <c r="H2151" s="3">
        <v>792.1</v>
      </c>
      <c r="I2151" s="3">
        <v>794.09</v>
      </c>
      <c r="J2151" s="3">
        <v>912</v>
      </c>
      <c r="K2151" s="3">
        <v>680</v>
      </c>
      <c r="L2151" s="2">
        <v>14733924</v>
      </c>
      <c r="M2151" s="2">
        <v>11700004865.75</v>
      </c>
      <c r="N2151" s="2">
        <v>241785</v>
      </c>
      <c r="O2151" t="s">
        <v>24</v>
      </c>
    </row>
    <row r="2152" spans="1:15" x14ac:dyDescent="0.3">
      <c r="A2152" s="1">
        <v>45792</v>
      </c>
      <c r="B2152" t="s">
        <v>15</v>
      </c>
      <c r="C2152" s="3">
        <v>804.45</v>
      </c>
      <c r="D2152" s="3">
        <v>809.45</v>
      </c>
      <c r="E2152" s="3">
        <v>794.5</v>
      </c>
      <c r="F2152" s="3">
        <v>800.7</v>
      </c>
      <c r="G2152" s="3">
        <v>808</v>
      </c>
      <c r="H2152" s="3">
        <v>807.75</v>
      </c>
      <c r="I2152" s="3">
        <v>802.04</v>
      </c>
      <c r="J2152" s="3">
        <v>912</v>
      </c>
      <c r="K2152" s="3">
        <v>680</v>
      </c>
      <c r="L2152" s="2">
        <v>17058854</v>
      </c>
      <c r="M2152" s="2">
        <v>13681951074.049999</v>
      </c>
      <c r="N2152" s="2">
        <v>200305</v>
      </c>
      <c r="O2152" t="s">
        <v>24</v>
      </c>
    </row>
    <row r="2153" spans="1:15" x14ac:dyDescent="0.3">
      <c r="A2153" s="1">
        <v>45791</v>
      </c>
      <c r="B2153" t="s">
        <v>15</v>
      </c>
      <c r="C2153" s="3">
        <v>805.75</v>
      </c>
      <c r="D2153" s="3">
        <v>807.5</v>
      </c>
      <c r="E2153" s="3">
        <v>796.3</v>
      </c>
      <c r="F2153" s="3">
        <v>801.75</v>
      </c>
      <c r="G2153" s="3">
        <v>802.4</v>
      </c>
      <c r="H2153" s="3">
        <v>800.7</v>
      </c>
      <c r="I2153" s="3">
        <v>801.49</v>
      </c>
      <c r="J2153" s="3">
        <v>912</v>
      </c>
      <c r="K2153" s="3">
        <v>680</v>
      </c>
      <c r="L2153" s="2">
        <v>9281719</v>
      </c>
      <c r="M2153" s="2">
        <v>7439187440.9499998</v>
      </c>
      <c r="N2153" s="2">
        <v>146698</v>
      </c>
      <c r="O2153" t="s">
        <v>24</v>
      </c>
    </row>
    <row r="2154" spans="1:15" x14ac:dyDescent="0.3">
      <c r="A2154" s="1">
        <v>45790</v>
      </c>
      <c r="B2154" t="s">
        <v>15</v>
      </c>
      <c r="C2154" s="3">
        <v>798.6</v>
      </c>
      <c r="D2154" s="3">
        <v>807.65</v>
      </c>
      <c r="E2154" s="3">
        <v>797.2</v>
      </c>
      <c r="F2154" s="3">
        <v>801.65</v>
      </c>
      <c r="G2154" s="3">
        <v>801.95</v>
      </c>
      <c r="H2154" s="3">
        <v>801.75</v>
      </c>
      <c r="I2154" s="3">
        <v>802.32</v>
      </c>
      <c r="J2154" s="3">
        <v>912</v>
      </c>
      <c r="K2154" s="3">
        <v>680</v>
      </c>
      <c r="L2154" s="2">
        <v>13909596</v>
      </c>
      <c r="M2154" s="2">
        <v>11159932476.1</v>
      </c>
      <c r="N2154" s="2">
        <v>201551</v>
      </c>
      <c r="O2154" t="s">
        <v>24</v>
      </c>
    </row>
    <row r="2155" spans="1:15" x14ac:dyDescent="0.3">
      <c r="A2155" s="1">
        <v>45789</v>
      </c>
      <c r="B2155" t="s">
        <v>15</v>
      </c>
      <c r="C2155" s="3">
        <v>799</v>
      </c>
      <c r="D2155" s="3">
        <v>803.9</v>
      </c>
      <c r="E2155" s="3">
        <v>793</v>
      </c>
      <c r="F2155" s="3">
        <v>779.25</v>
      </c>
      <c r="G2155" s="3">
        <v>800.95</v>
      </c>
      <c r="H2155" s="3">
        <v>801.65</v>
      </c>
      <c r="I2155" s="3">
        <v>799.87</v>
      </c>
      <c r="J2155" s="3">
        <v>912</v>
      </c>
      <c r="K2155" s="3">
        <v>680</v>
      </c>
      <c r="L2155" s="2">
        <v>15096824</v>
      </c>
      <c r="M2155" s="2">
        <v>12075421793.799999</v>
      </c>
      <c r="N2155" s="2">
        <v>173252</v>
      </c>
      <c r="O2155" t="s">
        <v>24</v>
      </c>
    </row>
    <row r="2156" spans="1:15" x14ac:dyDescent="0.3">
      <c r="A2156" s="1">
        <v>45786</v>
      </c>
      <c r="B2156" t="s">
        <v>15</v>
      </c>
      <c r="C2156" s="3">
        <v>756.5</v>
      </c>
      <c r="D2156" s="3">
        <v>781.7</v>
      </c>
      <c r="E2156" s="3">
        <v>755.5</v>
      </c>
      <c r="F2156" s="3">
        <v>769</v>
      </c>
      <c r="G2156" s="3">
        <v>780.5</v>
      </c>
      <c r="H2156" s="3">
        <v>779.25</v>
      </c>
      <c r="I2156" s="3">
        <v>772.28</v>
      </c>
      <c r="J2156" s="3">
        <v>912</v>
      </c>
      <c r="K2156" s="3">
        <v>680</v>
      </c>
      <c r="L2156" s="2">
        <v>13578216</v>
      </c>
      <c r="M2156" s="2">
        <v>10486227680.4</v>
      </c>
      <c r="N2156" s="2">
        <v>246098</v>
      </c>
      <c r="O2156" t="s">
        <v>24</v>
      </c>
    </row>
    <row r="2157" spans="1:15" x14ac:dyDescent="0.3">
      <c r="A2157" s="1">
        <v>45785</v>
      </c>
      <c r="B2157" t="s">
        <v>15</v>
      </c>
      <c r="C2157" s="3">
        <v>779</v>
      </c>
      <c r="D2157" s="3">
        <v>786.5</v>
      </c>
      <c r="E2157" s="3">
        <v>764</v>
      </c>
      <c r="F2157" s="3">
        <v>776.1</v>
      </c>
      <c r="G2157" s="3">
        <v>765.45</v>
      </c>
      <c r="H2157" s="3">
        <v>769</v>
      </c>
      <c r="I2157" s="3">
        <v>775.8</v>
      </c>
      <c r="J2157" s="3">
        <v>912</v>
      </c>
      <c r="K2157" s="3">
        <v>680</v>
      </c>
      <c r="L2157" s="2">
        <v>14491673</v>
      </c>
      <c r="M2157" s="2">
        <v>11242592363.700001</v>
      </c>
      <c r="N2157" s="2">
        <v>202239</v>
      </c>
      <c r="O2157" t="s">
        <v>24</v>
      </c>
    </row>
    <row r="2158" spans="1:15" x14ac:dyDescent="0.3">
      <c r="A2158" s="1">
        <v>45784</v>
      </c>
      <c r="B2158" t="s">
        <v>15</v>
      </c>
      <c r="C2158" s="3">
        <v>765.3</v>
      </c>
      <c r="D2158" s="3">
        <v>782.4</v>
      </c>
      <c r="E2158" s="3">
        <v>764.55</v>
      </c>
      <c r="F2158" s="3">
        <v>774.1</v>
      </c>
      <c r="G2158" s="3">
        <v>777.8</v>
      </c>
      <c r="H2158" s="3">
        <v>776.1</v>
      </c>
      <c r="I2158" s="3">
        <v>775.68</v>
      </c>
      <c r="J2158" s="3">
        <v>912</v>
      </c>
      <c r="K2158" s="3">
        <v>680</v>
      </c>
      <c r="L2158" s="2">
        <v>15586266</v>
      </c>
      <c r="M2158" s="2">
        <v>12089945664.9</v>
      </c>
      <c r="N2158" s="2">
        <v>254691</v>
      </c>
      <c r="O2158" t="s">
        <v>24</v>
      </c>
    </row>
    <row r="2159" spans="1:15" x14ac:dyDescent="0.3">
      <c r="A2159" s="1">
        <v>45783</v>
      </c>
      <c r="B2159" t="s">
        <v>15</v>
      </c>
      <c r="C2159" s="3">
        <v>793.95</v>
      </c>
      <c r="D2159" s="3">
        <v>799.15</v>
      </c>
      <c r="E2159" s="3">
        <v>771.1</v>
      </c>
      <c r="F2159" s="3">
        <v>790</v>
      </c>
      <c r="G2159" s="3">
        <v>772.8</v>
      </c>
      <c r="H2159" s="3">
        <v>774.1</v>
      </c>
      <c r="I2159" s="3">
        <v>777.79</v>
      </c>
      <c r="J2159" s="3">
        <v>912</v>
      </c>
      <c r="K2159" s="3">
        <v>680</v>
      </c>
      <c r="L2159" s="2">
        <v>18869468</v>
      </c>
      <c r="M2159" s="2">
        <v>14676463740.85</v>
      </c>
      <c r="N2159" s="2">
        <v>344651</v>
      </c>
      <c r="O2159" t="s">
        <v>24</v>
      </c>
    </row>
    <row r="2160" spans="1:15" x14ac:dyDescent="0.3">
      <c r="A2160" s="1">
        <v>45782</v>
      </c>
      <c r="B2160" t="s">
        <v>15</v>
      </c>
      <c r="C2160" s="3">
        <v>782</v>
      </c>
      <c r="D2160" s="3">
        <v>799</v>
      </c>
      <c r="E2160" s="3">
        <v>782</v>
      </c>
      <c r="F2160" s="3">
        <v>800</v>
      </c>
      <c r="G2160" s="3">
        <v>790.6</v>
      </c>
      <c r="H2160" s="3">
        <v>790</v>
      </c>
      <c r="I2160" s="3">
        <v>789.65</v>
      </c>
      <c r="J2160" s="3">
        <v>912</v>
      </c>
      <c r="K2160" s="3">
        <v>680</v>
      </c>
      <c r="L2160" s="2">
        <v>23986447</v>
      </c>
      <c r="M2160" s="2">
        <v>18940919612</v>
      </c>
      <c r="N2160" s="2">
        <v>422162</v>
      </c>
      <c r="O2160" t="s">
        <v>24</v>
      </c>
    </row>
    <row r="2161" spans="1:15" x14ac:dyDescent="0.3">
      <c r="A2161" s="1">
        <v>45779</v>
      </c>
      <c r="B2161" t="s">
        <v>15</v>
      </c>
      <c r="C2161" s="3">
        <v>790.35</v>
      </c>
      <c r="D2161" s="3">
        <v>803.4</v>
      </c>
      <c r="E2161" s="3">
        <v>789</v>
      </c>
      <c r="F2161" s="3">
        <v>788.65</v>
      </c>
      <c r="G2161" s="3">
        <v>799.8</v>
      </c>
      <c r="H2161" s="3">
        <v>800</v>
      </c>
      <c r="I2161" s="3">
        <v>795.71</v>
      </c>
      <c r="J2161" s="3">
        <v>912</v>
      </c>
      <c r="K2161" s="3">
        <v>680</v>
      </c>
      <c r="L2161" s="2">
        <v>17199386</v>
      </c>
      <c r="M2161" s="2">
        <v>13685736797.75</v>
      </c>
      <c r="N2161" s="2">
        <v>281692</v>
      </c>
      <c r="O2161" t="s">
        <v>24</v>
      </c>
    </row>
    <row r="2162" spans="1:15" x14ac:dyDescent="0.3">
      <c r="A2162" s="1">
        <v>45777</v>
      </c>
      <c r="B2162" t="s">
        <v>15</v>
      </c>
      <c r="C2162" s="3">
        <v>811.5</v>
      </c>
      <c r="D2162" s="3">
        <v>811.5</v>
      </c>
      <c r="E2162" s="3">
        <v>784.5</v>
      </c>
      <c r="F2162" s="3">
        <v>812.55</v>
      </c>
      <c r="G2162" s="3">
        <v>787.6</v>
      </c>
      <c r="H2162" s="3">
        <v>788.65</v>
      </c>
      <c r="I2162" s="3">
        <v>791.14</v>
      </c>
      <c r="J2162" s="3">
        <v>912</v>
      </c>
      <c r="K2162" s="3">
        <v>680</v>
      </c>
      <c r="L2162" s="2">
        <v>25635764</v>
      </c>
      <c r="M2162" s="2">
        <v>20281571431.099998</v>
      </c>
      <c r="N2162" s="2">
        <v>476377</v>
      </c>
      <c r="O2162" t="s">
        <v>24</v>
      </c>
    </row>
    <row r="2163" spans="1:15" x14ac:dyDescent="0.3">
      <c r="A2163" s="1">
        <v>45776</v>
      </c>
      <c r="B2163" t="s">
        <v>15</v>
      </c>
      <c r="C2163" s="3">
        <v>820</v>
      </c>
      <c r="D2163" s="3">
        <v>829</v>
      </c>
      <c r="E2163" s="3">
        <v>809</v>
      </c>
      <c r="F2163" s="3">
        <v>817.35</v>
      </c>
      <c r="G2163" s="3">
        <v>810.75</v>
      </c>
      <c r="H2163" s="3">
        <v>812.55</v>
      </c>
      <c r="I2163" s="3">
        <v>819</v>
      </c>
      <c r="J2163" s="3">
        <v>912</v>
      </c>
      <c r="K2163" s="3">
        <v>680</v>
      </c>
      <c r="L2163" s="2">
        <v>11283059</v>
      </c>
      <c r="M2163" s="2">
        <v>9240843611.6000004</v>
      </c>
      <c r="N2163" s="2">
        <v>231689</v>
      </c>
      <c r="O2163" t="s">
        <v>24</v>
      </c>
    </row>
    <row r="2164" spans="1:15" x14ac:dyDescent="0.3">
      <c r="A2164" s="1">
        <v>45775</v>
      </c>
      <c r="B2164" t="s">
        <v>15</v>
      </c>
      <c r="C2164" s="3">
        <v>798.65</v>
      </c>
      <c r="D2164" s="3">
        <v>822.8</v>
      </c>
      <c r="E2164" s="3">
        <v>797.4</v>
      </c>
      <c r="F2164" s="3">
        <v>798.65</v>
      </c>
      <c r="G2164" s="3">
        <v>816.55</v>
      </c>
      <c r="H2164" s="3">
        <v>817.35</v>
      </c>
      <c r="I2164" s="3">
        <v>814.04</v>
      </c>
      <c r="J2164" s="3">
        <v>912</v>
      </c>
      <c r="K2164" s="3">
        <v>680</v>
      </c>
      <c r="L2164" s="2">
        <v>11317611</v>
      </c>
      <c r="M2164" s="2">
        <v>9212982723.3999996</v>
      </c>
      <c r="N2164" s="2">
        <v>199250</v>
      </c>
      <c r="O2164" t="s">
        <v>24</v>
      </c>
    </row>
    <row r="2165" spans="1:15" x14ac:dyDescent="0.3">
      <c r="A2165" s="1">
        <v>45772</v>
      </c>
      <c r="B2165" t="s">
        <v>15</v>
      </c>
      <c r="C2165" s="3">
        <v>815</v>
      </c>
      <c r="D2165" s="3">
        <v>819</v>
      </c>
      <c r="E2165" s="3">
        <v>787</v>
      </c>
      <c r="F2165" s="3">
        <v>813.4</v>
      </c>
      <c r="G2165" s="3">
        <v>797.4</v>
      </c>
      <c r="H2165" s="3">
        <v>798.65</v>
      </c>
      <c r="I2165" s="3">
        <v>799.45</v>
      </c>
      <c r="J2165" s="3">
        <v>912</v>
      </c>
      <c r="K2165" s="3">
        <v>680</v>
      </c>
      <c r="L2165" s="2">
        <v>13131038</v>
      </c>
      <c r="M2165" s="2">
        <v>10497610552.700001</v>
      </c>
      <c r="N2165" s="2">
        <v>223526</v>
      </c>
      <c r="O2165" t="s">
        <v>24</v>
      </c>
    </row>
    <row r="2166" spans="1:15" x14ac:dyDescent="0.3">
      <c r="A2166" s="1">
        <v>45771</v>
      </c>
      <c r="B2166" t="s">
        <v>15</v>
      </c>
      <c r="C2166" s="3">
        <v>812.75</v>
      </c>
      <c r="D2166" s="3">
        <v>819</v>
      </c>
      <c r="E2166" s="3">
        <v>811.15</v>
      </c>
      <c r="F2166" s="3">
        <v>813.45</v>
      </c>
      <c r="G2166" s="3">
        <v>812</v>
      </c>
      <c r="H2166" s="3">
        <v>813.4</v>
      </c>
      <c r="I2166" s="3">
        <v>814.85</v>
      </c>
      <c r="J2166" s="3">
        <v>912</v>
      </c>
      <c r="K2166" s="3">
        <v>680</v>
      </c>
      <c r="L2166" s="2">
        <v>12713521</v>
      </c>
      <c r="M2166" s="2">
        <v>10359638546.25</v>
      </c>
      <c r="N2166" s="2">
        <v>141306</v>
      </c>
      <c r="O2166" t="s">
        <v>24</v>
      </c>
    </row>
    <row r="2167" spans="1:15" x14ac:dyDescent="0.3">
      <c r="A2167" s="1">
        <v>45770</v>
      </c>
      <c r="B2167" t="s">
        <v>15</v>
      </c>
      <c r="C2167" s="3">
        <v>826</v>
      </c>
      <c r="D2167" s="3">
        <v>831</v>
      </c>
      <c r="E2167" s="3">
        <v>810.1</v>
      </c>
      <c r="F2167" s="3">
        <v>822.4</v>
      </c>
      <c r="G2167" s="3">
        <v>813.5</v>
      </c>
      <c r="H2167" s="3">
        <v>813.45</v>
      </c>
      <c r="I2167" s="3">
        <v>817.36</v>
      </c>
      <c r="J2167" s="3">
        <v>912</v>
      </c>
      <c r="K2167" s="3">
        <v>680</v>
      </c>
      <c r="L2167" s="2">
        <v>12104382</v>
      </c>
      <c r="M2167" s="2">
        <v>9893605141.2999992</v>
      </c>
      <c r="N2167" s="2">
        <v>174170</v>
      </c>
      <c r="O2167" t="s">
        <v>24</v>
      </c>
    </row>
    <row r="2168" spans="1:15" x14ac:dyDescent="0.3">
      <c r="A2168" s="1">
        <v>45769</v>
      </c>
      <c r="B2168" t="s">
        <v>15</v>
      </c>
      <c r="C2168" s="3">
        <v>821.15</v>
      </c>
      <c r="D2168" s="3">
        <v>835.5</v>
      </c>
      <c r="E2168" s="3">
        <v>814</v>
      </c>
      <c r="F2168" s="3">
        <v>816.7</v>
      </c>
      <c r="G2168" s="3">
        <v>821.3</v>
      </c>
      <c r="H2168" s="3">
        <v>822.4</v>
      </c>
      <c r="I2168" s="3">
        <v>827.32</v>
      </c>
      <c r="J2168" s="3">
        <v>912</v>
      </c>
      <c r="K2168" s="3">
        <v>680</v>
      </c>
      <c r="L2168" s="2">
        <v>25117557</v>
      </c>
      <c r="M2168" s="2">
        <v>20780349179.950001</v>
      </c>
      <c r="N2168" s="2">
        <v>323370</v>
      </c>
      <c r="O2168" t="s">
        <v>24</v>
      </c>
    </row>
    <row r="2169" spans="1:15" x14ac:dyDescent="0.3">
      <c r="A2169" s="1">
        <v>45768</v>
      </c>
      <c r="B2169" t="s">
        <v>15</v>
      </c>
      <c r="C2169" s="3">
        <v>803</v>
      </c>
      <c r="D2169" s="3">
        <v>824.35</v>
      </c>
      <c r="E2169" s="3">
        <v>801.4</v>
      </c>
      <c r="F2169" s="3">
        <v>797.45</v>
      </c>
      <c r="G2169" s="3">
        <v>817.2</v>
      </c>
      <c r="H2169" s="3">
        <v>816.7</v>
      </c>
      <c r="I2169" s="3">
        <v>817.02</v>
      </c>
      <c r="J2169" s="3">
        <v>912</v>
      </c>
      <c r="K2169" s="3">
        <v>680</v>
      </c>
      <c r="L2169" s="2">
        <v>16398507</v>
      </c>
      <c r="M2169" s="2">
        <v>13397975541</v>
      </c>
      <c r="N2169" s="2">
        <v>359684</v>
      </c>
      <c r="O2169" t="s">
        <v>24</v>
      </c>
    </row>
    <row r="2170" spans="1:15" x14ac:dyDescent="0.3">
      <c r="A2170" s="1">
        <v>45764</v>
      </c>
      <c r="B2170" t="s">
        <v>15</v>
      </c>
      <c r="C2170" s="3">
        <v>772</v>
      </c>
      <c r="D2170" s="3">
        <v>801</v>
      </c>
      <c r="E2170" s="3">
        <v>767.15</v>
      </c>
      <c r="F2170" s="3">
        <v>771.75</v>
      </c>
      <c r="G2170" s="3">
        <v>793.85</v>
      </c>
      <c r="H2170" s="3">
        <v>797.45</v>
      </c>
      <c r="I2170" s="3">
        <v>787.54</v>
      </c>
      <c r="J2170" s="3">
        <v>912</v>
      </c>
      <c r="K2170" s="3">
        <v>680</v>
      </c>
      <c r="L2170" s="2">
        <v>27034818</v>
      </c>
      <c r="M2170" s="2">
        <v>21290993764.099998</v>
      </c>
      <c r="N2170" s="2">
        <v>335841</v>
      </c>
      <c r="O2170" t="s">
        <v>24</v>
      </c>
    </row>
    <row r="2171" spans="1:15" x14ac:dyDescent="0.3">
      <c r="A2171" s="1">
        <v>45763</v>
      </c>
      <c r="B2171" t="s">
        <v>15</v>
      </c>
      <c r="C2171" s="3">
        <v>763.5</v>
      </c>
      <c r="D2171" s="3">
        <v>774.75</v>
      </c>
      <c r="E2171" s="3">
        <v>760.5</v>
      </c>
      <c r="F2171" s="3">
        <v>763.5</v>
      </c>
      <c r="G2171" s="3">
        <v>772.15</v>
      </c>
      <c r="H2171" s="3">
        <v>771.75</v>
      </c>
      <c r="I2171" s="3">
        <v>769.27</v>
      </c>
      <c r="J2171" s="3">
        <v>912</v>
      </c>
      <c r="K2171" s="3">
        <v>680</v>
      </c>
      <c r="L2171" s="2">
        <v>12536694</v>
      </c>
      <c r="M2171" s="2">
        <v>9644113410.4500008</v>
      </c>
      <c r="N2171" s="2">
        <v>204698</v>
      </c>
      <c r="O2171" t="s">
        <v>24</v>
      </c>
    </row>
    <row r="2172" spans="1:15" x14ac:dyDescent="0.3">
      <c r="A2172" s="1">
        <v>45762</v>
      </c>
      <c r="B2172" t="s">
        <v>15</v>
      </c>
      <c r="C2172" s="3">
        <v>770</v>
      </c>
      <c r="D2172" s="3">
        <v>770.7</v>
      </c>
      <c r="E2172" s="3">
        <v>757.1</v>
      </c>
      <c r="F2172" s="3">
        <v>753.85</v>
      </c>
      <c r="G2172" s="3">
        <v>764.5</v>
      </c>
      <c r="H2172" s="3">
        <v>763.5</v>
      </c>
      <c r="I2172" s="3">
        <v>765.37</v>
      </c>
      <c r="J2172" s="3">
        <v>912</v>
      </c>
      <c r="K2172" s="3">
        <v>680</v>
      </c>
      <c r="L2172" s="2">
        <v>7859090</v>
      </c>
      <c r="M2172" s="2">
        <v>6015134839.8000002</v>
      </c>
      <c r="N2172" s="2">
        <v>167851</v>
      </c>
      <c r="O2172" t="s">
        <v>24</v>
      </c>
    </row>
    <row r="2173" spans="1:15" x14ac:dyDescent="0.3">
      <c r="A2173" s="1">
        <v>45758</v>
      </c>
      <c r="B2173" t="s">
        <v>15</v>
      </c>
      <c r="C2173" s="3">
        <v>759</v>
      </c>
      <c r="D2173" s="3">
        <v>759.7</v>
      </c>
      <c r="E2173" s="3">
        <v>746</v>
      </c>
      <c r="F2173" s="3">
        <v>742.2</v>
      </c>
      <c r="G2173" s="3">
        <v>753.85</v>
      </c>
      <c r="H2173" s="3">
        <v>753.85</v>
      </c>
      <c r="I2173" s="3">
        <v>752.58</v>
      </c>
      <c r="J2173" s="3">
        <v>912</v>
      </c>
      <c r="K2173" s="3">
        <v>680</v>
      </c>
      <c r="L2173" s="2">
        <v>9360327</v>
      </c>
      <c r="M2173" s="2">
        <v>7044429057.5500002</v>
      </c>
      <c r="N2173" s="2">
        <v>200062</v>
      </c>
      <c r="O2173" t="s">
        <v>24</v>
      </c>
    </row>
    <row r="2174" spans="1:15" x14ac:dyDescent="0.3">
      <c r="A2174" s="1">
        <v>45756</v>
      </c>
      <c r="B2174" t="s">
        <v>15</v>
      </c>
      <c r="C2174" s="3">
        <v>767</v>
      </c>
      <c r="D2174" s="3">
        <v>767.95</v>
      </c>
      <c r="E2174" s="3">
        <v>741</v>
      </c>
      <c r="F2174" s="3">
        <v>768.6</v>
      </c>
      <c r="G2174" s="3">
        <v>742.45</v>
      </c>
      <c r="H2174" s="3">
        <v>742.2</v>
      </c>
      <c r="I2174" s="3">
        <v>751.33</v>
      </c>
      <c r="J2174" s="3">
        <v>912</v>
      </c>
      <c r="K2174" s="3">
        <v>680</v>
      </c>
      <c r="L2174" s="2">
        <v>11319387</v>
      </c>
      <c r="M2174" s="2">
        <v>8504647288.25</v>
      </c>
      <c r="N2174" s="2">
        <v>208433</v>
      </c>
      <c r="O2174" t="s">
        <v>24</v>
      </c>
    </row>
    <row r="2175" spans="1:15" x14ac:dyDescent="0.3">
      <c r="A2175" s="1">
        <v>45755</v>
      </c>
      <c r="B2175" t="s">
        <v>15</v>
      </c>
      <c r="C2175" s="3">
        <v>760</v>
      </c>
      <c r="D2175" s="3">
        <v>774</v>
      </c>
      <c r="E2175" s="3">
        <v>758.15</v>
      </c>
      <c r="F2175" s="3">
        <v>746.9</v>
      </c>
      <c r="G2175" s="3">
        <v>770</v>
      </c>
      <c r="H2175" s="3">
        <v>768.6</v>
      </c>
      <c r="I2175" s="3">
        <v>767.45</v>
      </c>
      <c r="J2175" s="3">
        <v>912</v>
      </c>
      <c r="K2175" s="3">
        <v>680</v>
      </c>
      <c r="L2175" s="2">
        <v>12911288</v>
      </c>
      <c r="M2175" s="2">
        <v>9908728355.7999992</v>
      </c>
      <c r="N2175" s="2">
        <v>212013</v>
      </c>
      <c r="O2175" t="s">
        <v>24</v>
      </c>
    </row>
    <row r="2176" spans="1:15" x14ac:dyDescent="0.3">
      <c r="A2176" s="1">
        <v>45754</v>
      </c>
      <c r="B2176" t="s">
        <v>15</v>
      </c>
      <c r="C2176" s="3">
        <v>730</v>
      </c>
      <c r="D2176" s="3">
        <v>753.7</v>
      </c>
      <c r="E2176" s="3">
        <v>730</v>
      </c>
      <c r="F2176" s="3">
        <v>767.45</v>
      </c>
      <c r="G2176" s="3">
        <v>749</v>
      </c>
      <c r="H2176" s="3">
        <v>746.9</v>
      </c>
      <c r="I2176" s="3">
        <v>742.21</v>
      </c>
      <c r="J2176" s="3">
        <v>912</v>
      </c>
      <c r="K2176" s="3">
        <v>680</v>
      </c>
      <c r="L2176" s="2">
        <v>14923235</v>
      </c>
      <c r="M2176" s="2">
        <v>11076177328.65</v>
      </c>
      <c r="N2176" s="2">
        <v>291536</v>
      </c>
      <c r="O2176" t="s">
        <v>24</v>
      </c>
    </row>
    <row r="2177" spans="1:15" x14ac:dyDescent="0.3">
      <c r="A2177" s="1">
        <v>45751</v>
      </c>
      <c r="B2177" t="s">
        <v>15</v>
      </c>
      <c r="C2177" s="3">
        <v>779.1</v>
      </c>
      <c r="D2177" s="3">
        <v>782.9</v>
      </c>
      <c r="E2177" s="3">
        <v>765</v>
      </c>
      <c r="F2177" s="3">
        <v>779.2</v>
      </c>
      <c r="G2177" s="3">
        <v>769</v>
      </c>
      <c r="H2177" s="3">
        <v>767.45</v>
      </c>
      <c r="I2177" s="3">
        <v>773.82</v>
      </c>
      <c r="J2177" s="3">
        <v>912</v>
      </c>
      <c r="K2177" s="3">
        <v>680</v>
      </c>
      <c r="L2177" s="2">
        <v>8231194</v>
      </c>
      <c r="M2177" s="2">
        <v>6369455086.4499998</v>
      </c>
      <c r="N2177" s="2">
        <v>147204</v>
      </c>
      <c r="O2177" t="s">
        <v>24</v>
      </c>
    </row>
    <row r="2178" spans="1:15" x14ac:dyDescent="0.3">
      <c r="A2178" s="1">
        <v>45750</v>
      </c>
      <c r="B2178" t="s">
        <v>15</v>
      </c>
      <c r="C2178" s="3">
        <v>770</v>
      </c>
      <c r="D2178" s="3">
        <v>784.7</v>
      </c>
      <c r="E2178" s="3">
        <v>769.95</v>
      </c>
      <c r="F2178" s="3">
        <v>775.95</v>
      </c>
      <c r="G2178" s="3">
        <v>779.9</v>
      </c>
      <c r="H2178" s="3">
        <v>779.2</v>
      </c>
      <c r="I2178" s="3">
        <v>778.44</v>
      </c>
      <c r="J2178" s="3">
        <v>912</v>
      </c>
      <c r="K2178" s="3">
        <v>680</v>
      </c>
      <c r="L2178" s="2">
        <v>7956680</v>
      </c>
      <c r="M2178" s="2">
        <v>6193805584.1499996</v>
      </c>
      <c r="N2178" s="2">
        <v>140239</v>
      </c>
      <c r="O2178" t="s">
        <v>24</v>
      </c>
    </row>
    <row r="2179" spans="1:15" x14ac:dyDescent="0.3">
      <c r="A2179" s="1">
        <v>45749</v>
      </c>
      <c r="B2179" t="s">
        <v>15</v>
      </c>
      <c r="C2179" s="3">
        <v>772.3</v>
      </c>
      <c r="D2179" s="3">
        <v>777</v>
      </c>
      <c r="E2179" s="3">
        <v>764.3</v>
      </c>
      <c r="F2179" s="3">
        <v>771.7</v>
      </c>
      <c r="G2179" s="3">
        <v>776.6</v>
      </c>
      <c r="H2179" s="3">
        <v>775.95</v>
      </c>
      <c r="I2179" s="3">
        <v>772.51</v>
      </c>
      <c r="J2179" s="3">
        <v>912</v>
      </c>
      <c r="K2179" s="3">
        <v>680</v>
      </c>
      <c r="L2179" s="2">
        <v>5458436</v>
      </c>
      <c r="M2179" s="2">
        <v>4216703463.5500002</v>
      </c>
      <c r="N2179" s="2">
        <v>119114</v>
      </c>
      <c r="O2179" t="s">
        <v>24</v>
      </c>
    </row>
    <row r="2180" spans="1:15" x14ac:dyDescent="0.3">
      <c r="A2180" s="1">
        <v>45748</v>
      </c>
      <c r="B2180" t="s">
        <v>15</v>
      </c>
      <c r="C2180" s="3">
        <v>766.8</v>
      </c>
      <c r="D2180" s="3">
        <v>782.75</v>
      </c>
      <c r="E2180" s="3">
        <v>763.2</v>
      </c>
      <c r="F2180" s="3">
        <v>771.5</v>
      </c>
      <c r="G2180" s="3">
        <v>771.25</v>
      </c>
      <c r="H2180" s="3">
        <v>771.7</v>
      </c>
      <c r="I2180" s="3">
        <v>772.17</v>
      </c>
      <c r="J2180" s="3">
        <v>912</v>
      </c>
      <c r="K2180" s="3">
        <v>680</v>
      </c>
      <c r="L2180" s="2">
        <v>7011125</v>
      </c>
      <c r="M2180" s="2">
        <v>5413777287.4499998</v>
      </c>
      <c r="N2180" s="2">
        <v>214639</v>
      </c>
      <c r="O2180" t="s">
        <v>24</v>
      </c>
    </row>
    <row r="2181" spans="1:15" x14ac:dyDescent="0.3">
      <c r="A2181" s="1">
        <v>45744</v>
      </c>
      <c r="B2181" t="s">
        <v>15</v>
      </c>
      <c r="C2181" s="3">
        <v>772.1</v>
      </c>
      <c r="D2181" s="3">
        <v>778.6</v>
      </c>
      <c r="E2181" s="3">
        <v>767</v>
      </c>
      <c r="F2181" s="3">
        <v>772.3</v>
      </c>
      <c r="G2181" s="3">
        <v>771.2</v>
      </c>
      <c r="H2181" s="3">
        <v>771.5</v>
      </c>
      <c r="I2181" s="3">
        <v>773.3</v>
      </c>
      <c r="J2181" s="3">
        <v>912</v>
      </c>
      <c r="K2181" s="3">
        <v>680</v>
      </c>
      <c r="L2181" s="2">
        <v>7628185</v>
      </c>
      <c r="M2181" s="2">
        <v>5898886414.5500002</v>
      </c>
      <c r="N2181" s="2">
        <v>119920</v>
      </c>
      <c r="O2181" t="s">
        <v>24</v>
      </c>
    </row>
    <row r="2182" spans="1:15" x14ac:dyDescent="0.3">
      <c r="A2182" s="1">
        <v>45743</v>
      </c>
      <c r="B2182" t="s">
        <v>15</v>
      </c>
      <c r="C2182" s="3">
        <v>763.8</v>
      </c>
      <c r="D2182" s="3">
        <v>775.8</v>
      </c>
      <c r="E2182" s="3">
        <v>760.5</v>
      </c>
      <c r="F2182" s="3">
        <v>764</v>
      </c>
      <c r="G2182" s="3">
        <v>772.05</v>
      </c>
      <c r="H2182" s="3">
        <v>772.3</v>
      </c>
      <c r="I2182" s="3">
        <v>770.57</v>
      </c>
      <c r="J2182" s="3">
        <v>912</v>
      </c>
      <c r="K2182" s="3">
        <v>680</v>
      </c>
      <c r="L2182" s="2">
        <v>15648616</v>
      </c>
      <c r="M2182" s="2">
        <v>12058372899.4</v>
      </c>
      <c r="N2182" s="2">
        <v>175954</v>
      </c>
      <c r="O2182" t="s">
        <v>24</v>
      </c>
    </row>
    <row r="2183" spans="1:15" x14ac:dyDescent="0.3">
      <c r="A2183" s="1">
        <v>45742</v>
      </c>
      <c r="B2183" t="s">
        <v>15</v>
      </c>
      <c r="C2183" s="3">
        <v>772</v>
      </c>
      <c r="D2183" s="3">
        <v>776.05</v>
      </c>
      <c r="E2183" s="3">
        <v>761.45</v>
      </c>
      <c r="F2183" s="3">
        <v>772.85</v>
      </c>
      <c r="G2183" s="3">
        <v>762.7</v>
      </c>
      <c r="H2183" s="3">
        <v>764</v>
      </c>
      <c r="I2183" s="3">
        <v>767.9</v>
      </c>
      <c r="J2183" s="3">
        <v>912</v>
      </c>
      <c r="K2183" s="3">
        <v>680</v>
      </c>
      <c r="L2183" s="2">
        <v>7711852</v>
      </c>
      <c r="M2183" s="2">
        <v>5921902187.9499998</v>
      </c>
      <c r="N2183" s="2">
        <v>195361</v>
      </c>
      <c r="O2183" t="s">
        <v>24</v>
      </c>
    </row>
    <row r="2184" spans="1:15" x14ac:dyDescent="0.3">
      <c r="A2184" s="1">
        <v>45741</v>
      </c>
      <c r="B2184" t="s">
        <v>15</v>
      </c>
      <c r="C2184" s="3">
        <v>783.9</v>
      </c>
      <c r="D2184" s="3">
        <v>786</v>
      </c>
      <c r="E2184" s="3">
        <v>769.2</v>
      </c>
      <c r="F2184" s="3">
        <v>780.8</v>
      </c>
      <c r="G2184" s="3">
        <v>770.35</v>
      </c>
      <c r="H2184" s="3">
        <v>772.85</v>
      </c>
      <c r="I2184" s="3">
        <v>777.02</v>
      </c>
      <c r="J2184" s="3">
        <v>912</v>
      </c>
      <c r="K2184" s="3">
        <v>680</v>
      </c>
      <c r="L2184" s="2">
        <v>15190143</v>
      </c>
      <c r="M2184" s="2">
        <v>11803003386.5</v>
      </c>
      <c r="N2184" s="2">
        <v>227394</v>
      </c>
      <c r="O2184" t="s">
        <v>24</v>
      </c>
    </row>
    <row r="2185" spans="1:15" x14ac:dyDescent="0.3">
      <c r="A2185" s="1">
        <v>45740</v>
      </c>
      <c r="B2185" t="s">
        <v>15</v>
      </c>
      <c r="C2185" s="3">
        <v>758</v>
      </c>
      <c r="D2185" s="3">
        <v>782.95</v>
      </c>
      <c r="E2185" s="3">
        <v>755.1</v>
      </c>
      <c r="F2185" s="3">
        <v>753.2</v>
      </c>
      <c r="G2185" s="3">
        <v>781</v>
      </c>
      <c r="H2185" s="3">
        <v>780.8</v>
      </c>
      <c r="I2185" s="3">
        <v>772.33</v>
      </c>
      <c r="J2185" s="3">
        <v>912</v>
      </c>
      <c r="K2185" s="3">
        <v>680</v>
      </c>
      <c r="L2185" s="2">
        <v>12095064</v>
      </c>
      <c r="M2185" s="2">
        <v>9341333502.0499992</v>
      </c>
      <c r="N2185" s="2">
        <v>215047</v>
      </c>
      <c r="O2185" t="s">
        <v>24</v>
      </c>
    </row>
    <row r="2186" spans="1:15" x14ac:dyDescent="0.3">
      <c r="A2186" s="1">
        <v>45737</v>
      </c>
      <c r="B2186" t="s">
        <v>15</v>
      </c>
      <c r="C2186" s="3">
        <v>749.95</v>
      </c>
      <c r="D2186" s="3">
        <v>755.6</v>
      </c>
      <c r="E2186" s="3">
        <v>747</v>
      </c>
      <c r="F2186" s="3">
        <v>749.55</v>
      </c>
      <c r="G2186" s="3">
        <v>754.5</v>
      </c>
      <c r="H2186" s="3">
        <v>753.2</v>
      </c>
      <c r="I2186" s="3">
        <v>752.25</v>
      </c>
      <c r="J2186" s="3">
        <v>912</v>
      </c>
      <c r="K2186" s="3">
        <v>680</v>
      </c>
      <c r="L2186" s="2">
        <v>9577327</v>
      </c>
      <c r="M2186" s="2">
        <v>7204591918.5500002</v>
      </c>
      <c r="N2186" s="2">
        <v>151097</v>
      </c>
      <c r="O2186" t="s">
        <v>24</v>
      </c>
    </row>
    <row r="2187" spans="1:15" x14ac:dyDescent="0.3">
      <c r="A2187" s="1">
        <v>45736</v>
      </c>
      <c r="B2187" t="s">
        <v>15</v>
      </c>
      <c r="C2187" s="3">
        <v>748</v>
      </c>
      <c r="D2187" s="3">
        <v>752.7</v>
      </c>
      <c r="E2187" s="3">
        <v>744.2</v>
      </c>
      <c r="F2187" s="3">
        <v>745.1</v>
      </c>
      <c r="G2187" s="3">
        <v>748.5</v>
      </c>
      <c r="H2187" s="3">
        <v>749.55</v>
      </c>
      <c r="I2187" s="3">
        <v>748.29</v>
      </c>
      <c r="J2187" s="3">
        <v>912</v>
      </c>
      <c r="K2187" s="3">
        <v>680</v>
      </c>
      <c r="L2187" s="2">
        <v>6963197</v>
      </c>
      <c r="M2187" s="2">
        <v>5210523085.6999998</v>
      </c>
      <c r="N2187" s="2">
        <v>230012</v>
      </c>
      <c r="O2187" t="s">
        <v>24</v>
      </c>
    </row>
    <row r="2188" spans="1:15" x14ac:dyDescent="0.3">
      <c r="A2188" s="1">
        <v>45735</v>
      </c>
      <c r="B2188" t="s">
        <v>15</v>
      </c>
      <c r="C2188" s="3">
        <v>739.6</v>
      </c>
      <c r="D2188" s="3">
        <v>749.3</v>
      </c>
      <c r="E2188" s="3">
        <v>739.1</v>
      </c>
      <c r="F2188" s="3">
        <v>736.7</v>
      </c>
      <c r="G2188" s="3">
        <v>745.05</v>
      </c>
      <c r="H2188" s="3">
        <v>745.1</v>
      </c>
      <c r="I2188" s="3">
        <v>745.26</v>
      </c>
      <c r="J2188" s="3">
        <v>912</v>
      </c>
      <c r="K2188" s="3">
        <v>680</v>
      </c>
      <c r="L2188" s="2">
        <v>7604850</v>
      </c>
      <c r="M2188" s="2">
        <v>5667568731.1000004</v>
      </c>
      <c r="N2188" s="2">
        <v>143607</v>
      </c>
      <c r="O2188" t="s">
        <v>24</v>
      </c>
    </row>
    <row r="2189" spans="1:15" x14ac:dyDescent="0.3">
      <c r="A2189" s="1">
        <v>45734</v>
      </c>
      <c r="B2189" t="s">
        <v>15</v>
      </c>
      <c r="C2189" s="3">
        <v>726.6</v>
      </c>
      <c r="D2189" s="3">
        <v>738.45</v>
      </c>
      <c r="E2189" s="3">
        <v>722.6</v>
      </c>
      <c r="F2189" s="3">
        <v>723.15</v>
      </c>
      <c r="G2189" s="3">
        <v>737.65</v>
      </c>
      <c r="H2189" s="3">
        <v>736.7</v>
      </c>
      <c r="I2189" s="3">
        <v>731.34</v>
      </c>
      <c r="J2189" s="3">
        <v>912</v>
      </c>
      <c r="K2189" s="3">
        <v>680</v>
      </c>
      <c r="L2189" s="2">
        <v>8087710</v>
      </c>
      <c r="M2189" s="2">
        <v>5914829898.8999996</v>
      </c>
      <c r="N2189" s="2">
        <v>164100</v>
      </c>
      <c r="O2189" t="s">
        <v>24</v>
      </c>
    </row>
    <row r="2190" spans="1:15" x14ac:dyDescent="0.3">
      <c r="A2190" s="1">
        <v>45733</v>
      </c>
      <c r="B2190" t="s">
        <v>15</v>
      </c>
      <c r="C2190" s="3">
        <v>728.9</v>
      </c>
      <c r="D2190" s="3">
        <v>731.25</v>
      </c>
      <c r="E2190" s="3">
        <v>722.3</v>
      </c>
      <c r="F2190" s="3">
        <v>727.85</v>
      </c>
      <c r="G2190" s="3">
        <v>723.3</v>
      </c>
      <c r="H2190" s="3">
        <v>723.15</v>
      </c>
      <c r="I2190" s="3">
        <v>724.77</v>
      </c>
      <c r="J2190" s="3">
        <v>912</v>
      </c>
      <c r="K2190" s="3">
        <v>680</v>
      </c>
      <c r="L2190" s="2">
        <v>5149565</v>
      </c>
      <c r="M2190" s="2">
        <v>3732235269.5</v>
      </c>
      <c r="N2190" s="2">
        <v>100779</v>
      </c>
      <c r="O2190" t="s">
        <v>24</v>
      </c>
    </row>
    <row r="2191" spans="1:15" x14ac:dyDescent="0.3">
      <c r="A2191" s="1">
        <v>45729</v>
      </c>
      <c r="B2191" t="s">
        <v>15</v>
      </c>
      <c r="C2191" s="3">
        <v>725.9</v>
      </c>
      <c r="D2191" s="3">
        <v>731.45</v>
      </c>
      <c r="E2191" s="3">
        <v>724.5</v>
      </c>
      <c r="F2191" s="3">
        <v>723.05</v>
      </c>
      <c r="G2191" s="3">
        <v>728</v>
      </c>
      <c r="H2191" s="3">
        <v>727.85</v>
      </c>
      <c r="I2191" s="3">
        <v>728.41</v>
      </c>
      <c r="J2191" s="3">
        <v>912</v>
      </c>
      <c r="K2191" s="3">
        <v>680</v>
      </c>
      <c r="L2191" s="2">
        <v>5908337</v>
      </c>
      <c r="M2191" s="2">
        <v>4303676476.6000004</v>
      </c>
      <c r="N2191" s="2">
        <v>154692</v>
      </c>
      <c r="O2191" t="s">
        <v>24</v>
      </c>
    </row>
    <row r="2192" spans="1:15" x14ac:dyDescent="0.3">
      <c r="A2192" s="1">
        <v>45728</v>
      </c>
      <c r="B2192" t="s">
        <v>15</v>
      </c>
      <c r="C2192" s="3">
        <v>730.6</v>
      </c>
      <c r="D2192" s="3">
        <v>737</v>
      </c>
      <c r="E2192" s="3">
        <v>719.05</v>
      </c>
      <c r="F2192" s="3">
        <v>729.85</v>
      </c>
      <c r="G2192" s="3">
        <v>722.75</v>
      </c>
      <c r="H2192" s="3">
        <v>723.05</v>
      </c>
      <c r="I2192" s="3">
        <v>726.43</v>
      </c>
      <c r="J2192" s="3">
        <v>912</v>
      </c>
      <c r="K2192" s="3">
        <v>680</v>
      </c>
      <c r="L2192" s="2">
        <v>5547762</v>
      </c>
      <c r="M2192" s="2">
        <v>4030071050.5999999</v>
      </c>
      <c r="N2192" s="2">
        <v>109147</v>
      </c>
      <c r="O2192" t="s">
        <v>24</v>
      </c>
    </row>
    <row r="2193" spans="1:15" x14ac:dyDescent="0.3">
      <c r="A2193" s="1">
        <v>45727</v>
      </c>
      <c r="B2193" t="s">
        <v>15</v>
      </c>
      <c r="C2193" s="3">
        <v>724.9</v>
      </c>
      <c r="D2193" s="3">
        <v>734.05</v>
      </c>
      <c r="E2193" s="3">
        <v>722.7</v>
      </c>
      <c r="F2193" s="3">
        <v>728.9</v>
      </c>
      <c r="G2193" s="3">
        <v>729.9</v>
      </c>
      <c r="H2193" s="3">
        <v>729.85</v>
      </c>
      <c r="I2193" s="3">
        <v>729.33</v>
      </c>
      <c r="J2193" s="3">
        <v>912</v>
      </c>
      <c r="K2193" s="3">
        <v>680</v>
      </c>
      <c r="L2193" s="2">
        <v>5538789</v>
      </c>
      <c r="M2193" s="2">
        <v>4039629878.3499999</v>
      </c>
      <c r="N2193" s="2">
        <v>106128</v>
      </c>
      <c r="O2193" t="s">
        <v>24</v>
      </c>
    </row>
    <row r="2194" spans="1:15" x14ac:dyDescent="0.3">
      <c r="A2194" s="1">
        <v>45726</v>
      </c>
      <c r="B2194" t="s">
        <v>15</v>
      </c>
      <c r="C2194" s="3">
        <v>732.75</v>
      </c>
      <c r="D2194" s="3">
        <v>738.5</v>
      </c>
      <c r="E2194" s="3">
        <v>726.6</v>
      </c>
      <c r="F2194" s="3">
        <v>732.75</v>
      </c>
      <c r="G2194" s="3">
        <v>727.7</v>
      </c>
      <c r="H2194" s="3">
        <v>728.9</v>
      </c>
      <c r="I2194" s="3">
        <v>732.3</v>
      </c>
      <c r="J2194" s="3">
        <v>912</v>
      </c>
      <c r="K2194" s="3">
        <v>680</v>
      </c>
      <c r="L2194" s="2">
        <v>7400109</v>
      </c>
      <c r="M2194" s="2">
        <v>5419125663.5</v>
      </c>
      <c r="N2194" s="2">
        <v>140264</v>
      </c>
      <c r="O2194" t="s">
        <v>24</v>
      </c>
    </row>
    <row r="2195" spans="1:15" x14ac:dyDescent="0.3">
      <c r="A2195" s="1">
        <v>45723</v>
      </c>
      <c r="B2195" t="s">
        <v>15</v>
      </c>
      <c r="C2195" s="3">
        <v>732.05</v>
      </c>
      <c r="D2195" s="3">
        <v>734.85</v>
      </c>
      <c r="E2195" s="3">
        <v>728</v>
      </c>
      <c r="F2195" s="3">
        <v>732.05</v>
      </c>
      <c r="G2195" s="3">
        <v>731.95</v>
      </c>
      <c r="H2195" s="3">
        <v>732.75</v>
      </c>
      <c r="I2195" s="3">
        <v>731.74</v>
      </c>
      <c r="J2195" s="3">
        <v>912</v>
      </c>
      <c r="K2195" s="3">
        <v>680</v>
      </c>
      <c r="L2195" s="2">
        <v>7246729</v>
      </c>
      <c r="M2195" s="2">
        <v>5302755367.9499998</v>
      </c>
      <c r="N2195" s="2">
        <v>169004</v>
      </c>
      <c r="O2195" t="s">
        <v>24</v>
      </c>
    </row>
    <row r="2196" spans="1:15" x14ac:dyDescent="0.3">
      <c r="A2196" s="1">
        <v>45722</v>
      </c>
      <c r="B2196" t="s">
        <v>15</v>
      </c>
      <c r="C2196" s="3">
        <v>736</v>
      </c>
      <c r="D2196" s="3">
        <v>736.75</v>
      </c>
      <c r="E2196" s="3">
        <v>727</v>
      </c>
      <c r="F2196" s="3">
        <v>730.35</v>
      </c>
      <c r="G2196" s="3">
        <v>730.25</v>
      </c>
      <c r="H2196" s="3">
        <v>732.05</v>
      </c>
      <c r="I2196" s="3">
        <v>731.45</v>
      </c>
      <c r="J2196" s="3">
        <v>912</v>
      </c>
      <c r="K2196" s="3">
        <v>680</v>
      </c>
      <c r="L2196" s="2">
        <v>10928847</v>
      </c>
      <c r="M2196" s="2">
        <v>7993892337.1000004</v>
      </c>
      <c r="N2196" s="2">
        <v>211006</v>
      </c>
      <c r="O2196" t="s">
        <v>24</v>
      </c>
    </row>
    <row r="2197" spans="1:15" x14ac:dyDescent="0.3">
      <c r="A2197" s="1">
        <v>45721</v>
      </c>
      <c r="B2197" t="s">
        <v>15</v>
      </c>
      <c r="C2197" s="3">
        <v>717.55</v>
      </c>
      <c r="D2197" s="3">
        <v>731.3</v>
      </c>
      <c r="E2197" s="3">
        <v>717</v>
      </c>
      <c r="F2197" s="3">
        <v>716.05</v>
      </c>
      <c r="G2197" s="3">
        <v>730</v>
      </c>
      <c r="H2197" s="3">
        <v>730.35</v>
      </c>
      <c r="I2197" s="3">
        <v>725.61</v>
      </c>
      <c r="J2197" s="3">
        <v>912</v>
      </c>
      <c r="K2197" s="3">
        <v>680</v>
      </c>
      <c r="L2197" s="2">
        <v>10409805</v>
      </c>
      <c r="M2197" s="2">
        <v>7553494263.1000004</v>
      </c>
      <c r="N2197" s="2">
        <v>189027</v>
      </c>
      <c r="O2197" t="s">
        <v>24</v>
      </c>
    </row>
    <row r="2198" spans="1:15" x14ac:dyDescent="0.3">
      <c r="A2198" s="1">
        <v>45720</v>
      </c>
      <c r="B2198" t="s">
        <v>15</v>
      </c>
      <c r="C2198" s="3">
        <v>693</v>
      </c>
      <c r="D2198" s="3">
        <v>718.45</v>
      </c>
      <c r="E2198" s="3">
        <v>692.1</v>
      </c>
      <c r="F2198" s="3">
        <v>695.3</v>
      </c>
      <c r="G2198" s="3">
        <v>716.4</v>
      </c>
      <c r="H2198" s="3">
        <v>716.05</v>
      </c>
      <c r="I2198" s="3">
        <v>712.88</v>
      </c>
      <c r="J2198" s="3">
        <v>912</v>
      </c>
      <c r="K2198" s="3">
        <v>680</v>
      </c>
      <c r="L2198" s="2">
        <v>14386214</v>
      </c>
      <c r="M2198" s="2">
        <v>10255688811.35</v>
      </c>
      <c r="N2198" s="2">
        <v>220118</v>
      </c>
      <c r="O2198" t="s">
        <v>24</v>
      </c>
    </row>
    <row r="2199" spans="1:15" x14ac:dyDescent="0.3">
      <c r="A2199" s="1">
        <v>45719</v>
      </c>
      <c r="B2199" t="s">
        <v>15</v>
      </c>
      <c r="C2199" s="3">
        <v>690.15</v>
      </c>
      <c r="D2199" s="3">
        <v>697.4</v>
      </c>
      <c r="E2199" s="3">
        <v>680</v>
      </c>
      <c r="F2199" s="3">
        <v>688.8</v>
      </c>
      <c r="G2199" s="3">
        <v>696.15</v>
      </c>
      <c r="H2199" s="3">
        <v>695.3</v>
      </c>
      <c r="I2199" s="3">
        <v>689.59</v>
      </c>
      <c r="J2199" s="3">
        <v>912</v>
      </c>
      <c r="K2199" s="3">
        <v>680</v>
      </c>
      <c r="L2199" s="2">
        <v>10598479</v>
      </c>
      <c r="M2199" s="2">
        <v>7308557453.6000004</v>
      </c>
      <c r="N2199" s="2">
        <v>187766</v>
      </c>
      <c r="O2199" t="s">
        <v>24</v>
      </c>
    </row>
    <row r="2200" spans="1:15" x14ac:dyDescent="0.3">
      <c r="A2200" s="1">
        <v>45716</v>
      </c>
      <c r="B2200" t="s">
        <v>15</v>
      </c>
      <c r="C2200" s="3">
        <v>700.9</v>
      </c>
      <c r="D2200" s="3">
        <v>701.35</v>
      </c>
      <c r="E2200" s="3">
        <v>682.6</v>
      </c>
      <c r="F2200" s="3">
        <v>703.9</v>
      </c>
      <c r="G2200" s="3">
        <v>689.8</v>
      </c>
      <c r="H2200" s="3">
        <v>688.8</v>
      </c>
      <c r="I2200" s="3">
        <v>690.06</v>
      </c>
      <c r="J2200" s="3">
        <v>912</v>
      </c>
      <c r="K2200" s="3">
        <v>682.6</v>
      </c>
      <c r="L2200" s="2">
        <v>15780609</v>
      </c>
      <c r="M2200" s="2">
        <v>10889517995.15</v>
      </c>
      <c r="N2200" s="2">
        <v>252397</v>
      </c>
      <c r="O2200" t="s">
        <v>24</v>
      </c>
    </row>
    <row r="2201" spans="1:15" x14ac:dyDescent="0.3">
      <c r="A2201" s="1">
        <v>45715</v>
      </c>
      <c r="B2201" t="s">
        <v>15</v>
      </c>
      <c r="C2201" s="3">
        <v>716</v>
      </c>
      <c r="D2201" s="3">
        <v>717.7</v>
      </c>
      <c r="E2201" s="3">
        <v>701.1</v>
      </c>
      <c r="F2201" s="3">
        <v>710.9</v>
      </c>
      <c r="G2201" s="3">
        <v>702.3</v>
      </c>
      <c r="H2201" s="3">
        <v>703.9</v>
      </c>
      <c r="I2201" s="3">
        <v>707.28</v>
      </c>
      <c r="J2201" s="3">
        <v>912</v>
      </c>
      <c r="K2201" s="3">
        <v>701.1</v>
      </c>
      <c r="L2201" s="2">
        <v>12033139</v>
      </c>
      <c r="M2201" s="2">
        <v>8510789065.1499996</v>
      </c>
      <c r="N2201" s="2">
        <v>205060</v>
      </c>
      <c r="O2201" t="s">
        <v>24</v>
      </c>
    </row>
    <row r="2202" spans="1:15" x14ac:dyDescent="0.3">
      <c r="A2202" s="1">
        <v>45713</v>
      </c>
      <c r="B2202" t="s">
        <v>15</v>
      </c>
      <c r="C2202" s="3">
        <v>718.95</v>
      </c>
      <c r="D2202" s="3">
        <v>718.95</v>
      </c>
      <c r="E2202" s="3">
        <v>710</v>
      </c>
      <c r="F2202" s="3">
        <v>716.4</v>
      </c>
      <c r="G2202" s="3">
        <v>710.05</v>
      </c>
      <c r="H2202" s="3">
        <v>710.9</v>
      </c>
      <c r="I2202" s="3">
        <v>713.58</v>
      </c>
      <c r="J2202" s="3">
        <v>912</v>
      </c>
      <c r="K2202" s="3">
        <v>710</v>
      </c>
      <c r="L2202" s="2">
        <v>8599635</v>
      </c>
      <c r="M2202" s="2">
        <v>6136527160.1499996</v>
      </c>
      <c r="N2202" s="2">
        <v>185705</v>
      </c>
      <c r="O2202" t="s">
        <v>24</v>
      </c>
    </row>
    <row r="2203" spans="1:15" x14ac:dyDescent="0.3">
      <c r="A2203" s="1">
        <v>45712</v>
      </c>
      <c r="B2203" t="s">
        <v>15</v>
      </c>
      <c r="C2203" s="3">
        <v>710.5</v>
      </c>
      <c r="D2203" s="3">
        <v>719.75</v>
      </c>
      <c r="E2203" s="3">
        <v>710.5</v>
      </c>
      <c r="F2203" s="3">
        <v>722</v>
      </c>
      <c r="G2203" s="3">
        <v>716.2</v>
      </c>
      <c r="H2203" s="3">
        <v>716.4</v>
      </c>
      <c r="I2203" s="3">
        <v>715.85</v>
      </c>
      <c r="J2203" s="3">
        <v>912</v>
      </c>
      <c r="K2203" s="3">
        <v>710.5</v>
      </c>
      <c r="L2203" s="2">
        <v>6912148</v>
      </c>
      <c r="M2203" s="2">
        <v>4948071432.6999998</v>
      </c>
      <c r="N2203" s="2">
        <v>193311</v>
      </c>
      <c r="O2203" t="s">
        <v>24</v>
      </c>
    </row>
    <row r="2204" spans="1:15" x14ac:dyDescent="0.3">
      <c r="A2204" s="1">
        <v>45709</v>
      </c>
      <c r="B2204" t="s">
        <v>15</v>
      </c>
      <c r="C2204" s="3">
        <v>727.3</v>
      </c>
      <c r="D2204" s="3">
        <v>731.7</v>
      </c>
      <c r="E2204" s="3">
        <v>720</v>
      </c>
      <c r="F2204" s="3">
        <v>729.7</v>
      </c>
      <c r="G2204" s="3">
        <v>720.35</v>
      </c>
      <c r="H2204" s="3">
        <v>722</v>
      </c>
      <c r="I2204" s="3">
        <v>724.72</v>
      </c>
      <c r="J2204" s="3">
        <v>912</v>
      </c>
      <c r="K2204" s="3">
        <v>711.55</v>
      </c>
      <c r="L2204" s="2">
        <v>6571602</v>
      </c>
      <c r="M2204" s="2">
        <v>4762573887.3500004</v>
      </c>
      <c r="N2204" s="2">
        <v>173223</v>
      </c>
      <c r="O2204" t="s">
        <v>24</v>
      </c>
    </row>
    <row r="2205" spans="1:15" x14ac:dyDescent="0.3">
      <c r="A2205" s="1">
        <v>45708</v>
      </c>
      <c r="B2205" t="s">
        <v>15</v>
      </c>
      <c r="C2205" s="3">
        <v>724.9</v>
      </c>
      <c r="D2205" s="3">
        <v>731.5</v>
      </c>
      <c r="E2205" s="3">
        <v>723.35</v>
      </c>
      <c r="F2205" s="3">
        <v>727.3</v>
      </c>
      <c r="G2205" s="3">
        <v>728.85</v>
      </c>
      <c r="H2205" s="3">
        <v>729.7</v>
      </c>
      <c r="I2205" s="3">
        <v>729.14</v>
      </c>
      <c r="J2205" s="3">
        <v>912</v>
      </c>
      <c r="K2205" s="3">
        <v>711.55</v>
      </c>
      <c r="L2205" s="2">
        <v>7423268</v>
      </c>
      <c r="M2205" s="2">
        <v>5412595518.0500002</v>
      </c>
      <c r="N2205" s="2">
        <v>149827</v>
      </c>
      <c r="O2205" t="s">
        <v>24</v>
      </c>
    </row>
    <row r="2206" spans="1:15" x14ac:dyDescent="0.3">
      <c r="A2206" s="1">
        <v>45707</v>
      </c>
      <c r="B2206" t="s">
        <v>15</v>
      </c>
      <c r="C2206" s="3">
        <v>722.05</v>
      </c>
      <c r="D2206" s="3">
        <v>734.85</v>
      </c>
      <c r="E2206" s="3">
        <v>722.05</v>
      </c>
      <c r="F2206" s="3">
        <v>725.8</v>
      </c>
      <c r="G2206" s="3">
        <v>726</v>
      </c>
      <c r="H2206" s="3">
        <v>727.3</v>
      </c>
      <c r="I2206" s="3">
        <v>728.86</v>
      </c>
      <c r="J2206" s="3">
        <v>912</v>
      </c>
      <c r="K2206" s="3">
        <v>711.55</v>
      </c>
      <c r="L2206" s="2">
        <v>6766606</v>
      </c>
      <c r="M2206" s="2">
        <v>4931883943.6000004</v>
      </c>
      <c r="N2206" s="2">
        <v>141913</v>
      </c>
      <c r="O2206" t="s">
        <v>24</v>
      </c>
    </row>
    <row r="2207" spans="1:15" x14ac:dyDescent="0.3">
      <c r="A2207" s="1">
        <v>45706</v>
      </c>
      <c r="B2207" t="s">
        <v>15</v>
      </c>
      <c r="C2207" s="3">
        <v>727.7</v>
      </c>
      <c r="D2207" s="3">
        <v>728.25</v>
      </c>
      <c r="E2207" s="3">
        <v>717.35</v>
      </c>
      <c r="F2207" s="3">
        <v>727.7</v>
      </c>
      <c r="G2207" s="3">
        <v>725.5</v>
      </c>
      <c r="H2207" s="3">
        <v>725.8</v>
      </c>
      <c r="I2207" s="3">
        <v>723.76</v>
      </c>
      <c r="J2207" s="3">
        <v>912</v>
      </c>
      <c r="K2207" s="3">
        <v>711.55</v>
      </c>
      <c r="L2207" s="2">
        <v>8562003</v>
      </c>
      <c r="M2207" s="2">
        <v>6196817709.8500004</v>
      </c>
      <c r="N2207" s="2">
        <v>196786</v>
      </c>
      <c r="O2207" t="s">
        <v>24</v>
      </c>
    </row>
    <row r="2208" spans="1:15" x14ac:dyDescent="0.3">
      <c r="A2208" s="1">
        <v>45705</v>
      </c>
      <c r="B2208" t="s">
        <v>15</v>
      </c>
      <c r="C2208" s="3">
        <v>719.05</v>
      </c>
      <c r="D2208" s="3">
        <v>728.75</v>
      </c>
      <c r="E2208" s="3">
        <v>711.55</v>
      </c>
      <c r="F2208" s="3">
        <v>722.15</v>
      </c>
      <c r="G2208" s="3">
        <v>727.9</v>
      </c>
      <c r="H2208" s="3">
        <v>727.7</v>
      </c>
      <c r="I2208" s="3">
        <v>721.67</v>
      </c>
      <c r="J2208" s="3">
        <v>912</v>
      </c>
      <c r="K2208" s="3">
        <v>711.55</v>
      </c>
      <c r="L2208" s="2">
        <v>9093600</v>
      </c>
      <c r="M2208" s="2">
        <v>6562543848.8999996</v>
      </c>
      <c r="N2208" s="2">
        <v>219084</v>
      </c>
      <c r="O2208" t="s">
        <v>24</v>
      </c>
    </row>
    <row r="2209" spans="1:15" x14ac:dyDescent="0.3">
      <c r="A2209" s="1">
        <v>45702</v>
      </c>
      <c r="B2209" t="s">
        <v>15</v>
      </c>
      <c r="C2209" s="3">
        <v>730.95</v>
      </c>
      <c r="D2209" s="3">
        <v>732.9</v>
      </c>
      <c r="E2209" s="3">
        <v>716.2</v>
      </c>
      <c r="F2209" s="3">
        <v>727.65</v>
      </c>
      <c r="G2209" s="3">
        <v>720.8</v>
      </c>
      <c r="H2209" s="3">
        <v>722.15</v>
      </c>
      <c r="I2209" s="3">
        <v>724.57</v>
      </c>
      <c r="J2209" s="3">
        <v>912</v>
      </c>
      <c r="K2209" s="3">
        <v>702.15</v>
      </c>
      <c r="L2209" s="2">
        <v>10417539</v>
      </c>
      <c r="M2209" s="2">
        <v>7548247748.3500004</v>
      </c>
      <c r="N2209" s="2">
        <v>221611</v>
      </c>
      <c r="O2209" t="s">
        <v>24</v>
      </c>
    </row>
    <row r="2210" spans="1:15" x14ac:dyDescent="0.3">
      <c r="A2210" s="1">
        <v>45701</v>
      </c>
      <c r="B2210" t="s">
        <v>15</v>
      </c>
      <c r="C2210" s="3">
        <v>734.4</v>
      </c>
      <c r="D2210" s="3">
        <v>737.5</v>
      </c>
      <c r="E2210" s="3">
        <v>726.15</v>
      </c>
      <c r="F2210" s="3">
        <v>733.15</v>
      </c>
      <c r="G2210" s="3">
        <v>726.8</v>
      </c>
      <c r="H2210" s="3">
        <v>727.65</v>
      </c>
      <c r="I2210" s="3">
        <v>731.83</v>
      </c>
      <c r="J2210" s="3">
        <v>912</v>
      </c>
      <c r="K2210" s="3">
        <v>702.15</v>
      </c>
      <c r="L2210" s="2">
        <v>12370571</v>
      </c>
      <c r="M2210" s="2">
        <v>9053189302.1000004</v>
      </c>
      <c r="N2210" s="2">
        <v>213728</v>
      </c>
      <c r="O2210" t="s">
        <v>24</v>
      </c>
    </row>
    <row r="2211" spans="1:15" x14ac:dyDescent="0.3">
      <c r="A2211" s="1">
        <v>45700</v>
      </c>
      <c r="B2211" t="s">
        <v>15</v>
      </c>
      <c r="C2211" s="3">
        <v>733.15</v>
      </c>
      <c r="D2211" s="3">
        <v>738.7</v>
      </c>
      <c r="E2211" s="3">
        <v>717.15</v>
      </c>
      <c r="F2211" s="3">
        <v>731.1</v>
      </c>
      <c r="G2211" s="3">
        <v>732.95</v>
      </c>
      <c r="H2211" s="3">
        <v>733.15</v>
      </c>
      <c r="I2211" s="3">
        <v>729.15</v>
      </c>
      <c r="J2211" s="3">
        <v>912</v>
      </c>
      <c r="K2211" s="3">
        <v>702.15</v>
      </c>
      <c r="L2211" s="2">
        <v>12697743</v>
      </c>
      <c r="M2211" s="2">
        <v>9258558059.3500004</v>
      </c>
      <c r="N2211" s="2">
        <v>242862</v>
      </c>
      <c r="O2211" t="s">
        <v>24</v>
      </c>
    </row>
    <row r="2212" spans="1:15" x14ac:dyDescent="0.3">
      <c r="A2212" s="1">
        <v>45699</v>
      </c>
      <c r="B2212" t="s">
        <v>15</v>
      </c>
      <c r="C2212" s="3">
        <v>737.45</v>
      </c>
      <c r="D2212" s="3">
        <v>740.15</v>
      </c>
      <c r="E2212" s="3">
        <v>726.55</v>
      </c>
      <c r="F2212" s="3">
        <v>736.8</v>
      </c>
      <c r="G2212" s="3">
        <v>731</v>
      </c>
      <c r="H2212" s="3">
        <v>731.1</v>
      </c>
      <c r="I2212" s="3">
        <v>731.28</v>
      </c>
      <c r="J2212" s="3">
        <v>912</v>
      </c>
      <c r="K2212" s="3">
        <v>702.15</v>
      </c>
      <c r="L2212" s="2">
        <v>13017060</v>
      </c>
      <c r="M2212" s="2">
        <v>9519145846.9500008</v>
      </c>
      <c r="N2212" s="2">
        <v>236472</v>
      </c>
      <c r="O2212" t="s">
        <v>24</v>
      </c>
    </row>
    <row r="2213" spans="1:15" x14ac:dyDescent="0.3">
      <c r="A2213" s="1">
        <v>45698</v>
      </c>
      <c r="B2213" t="s">
        <v>15</v>
      </c>
      <c r="C2213" s="3">
        <v>740</v>
      </c>
      <c r="D2213" s="3">
        <v>743.9</v>
      </c>
      <c r="E2213" s="3">
        <v>733.4</v>
      </c>
      <c r="F2213" s="3">
        <v>737.2</v>
      </c>
      <c r="G2213" s="3">
        <v>736.5</v>
      </c>
      <c r="H2213" s="3">
        <v>736.8</v>
      </c>
      <c r="I2213" s="3">
        <v>737.43</v>
      </c>
      <c r="J2213" s="3">
        <v>912</v>
      </c>
      <c r="K2213" s="3">
        <v>702.15</v>
      </c>
      <c r="L2213" s="2">
        <v>12667049</v>
      </c>
      <c r="M2213" s="2">
        <v>9341009055.8500004</v>
      </c>
      <c r="N2213" s="2">
        <v>270972</v>
      </c>
      <c r="O2213" t="s">
        <v>24</v>
      </c>
    </row>
    <row r="2214" spans="1:15" x14ac:dyDescent="0.3">
      <c r="A2214" s="1">
        <v>45695</v>
      </c>
      <c r="B2214" t="s">
        <v>15</v>
      </c>
      <c r="C2214" s="3">
        <v>759.8</v>
      </c>
      <c r="D2214" s="3">
        <v>759.9</v>
      </c>
      <c r="E2214" s="3">
        <v>731.75</v>
      </c>
      <c r="F2214" s="3">
        <v>752.25</v>
      </c>
      <c r="G2214" s="3">
        <v>736.4</v>
      </c>
      <c r="H2214" s="3">
        <v>737.2</v>
      </c>
      <c r="I2214" s="3">
        <v>740.52</v>
      </c>
      <c r="J2214" s="3">
        <v>912</v>
      </c>
      <c r="K2214" s="3">
        <v>637.70000000000005</v>
      </c>
      <c r="L2214" s="2">
        <v>37240692</v>
      </c>
      <c r="M2214" s="2">
        <v>27577411008.650002</v>
      </c>
      <c r="N2214" s="2">
        <v>578986</v>
      </c>
      <c r="O2214" t="s">
        <v>24</v>
      </c>
    </row>
    <row r="2215" spans="1:15" x14ac:dyDescent="0.3">
      <c r="A2215" s="1">
        <v>45694</v>
      </c>
      <c r="B2215" t="s">
        <v>15</v>
      </c>
      <c r="C2215" s="3">
        <v>769</v>
      </c>
      <c r="D2215" s="3">
        <v>770.85</v>
      </c>
      <c r="E2215" s="3">
        <v>750.05</v>
      </c>
      <c r="F2215" s="3">
        <v>766.05</v>
      </c>
      <c r="G2215" s="3">
        <v>753.95</v>
      </c>
      <c r="H2215" s="3">
        <v>752.25</v>
      </c>
      <c r="I2215" s="3">
        <v>758.86</v>
      </c>
      <c r="J2215" s="3">
        <v>912</v>
      </c>
      <c r="K2215" s="3">
        <v>637.70000000000005</v>
      </c>
      <c r="L2215" s="2">
        <v>32745391</v>
      </c>
      <c r="M2215" s="2">
        <v>24849300016.650002</v>
      </c>
      <c r="N2215" s="2">
        <v>439301</v>
      </c>
      <c r="O2215" t="s">
        <v>24</v>
      </c>
    </row>
    <row r="2216" spans="1:15" x14ac:dyDescent="0.3">
      <c r="A2216" s="1">
        <v>45693</v>
      </c>
      <c r="B2216" t="s">
        <v>15</v>
      </c>
      <c r="C2216" s="3">
        <v>780</v>
      </c>
      <c r="D2216" s="3">
        <v>782</v>
      </c>
      <c r="E2216" s="3">
        <v>765</v>
      </c>
      <c r="F2216" s="3">
        <v>779.2</v>
      </c>
      <c r="G2216" s="3">
        <v>765.5</v>
      </c>
      <c r="H2216" s="3">
        <v>766.05</v>
      </c>
      <c r="I2216" s="3">
        <v>771.76</v>
      </c>
      <c r="J2216" s="3">
        <v>912</v>
      </c>
      <c r="K2216" s="3">
        <v>637.70000000000005</v>
      </c>
      <c r="L2216" s="2">
        <v>13419162</v>
      </c>
      <c r="M2216" s="2">
        <v>10356328683.049999</v>
      </c>
      <c r="N2216" s="2">
        <v>283249</v>
      </c>
      <c r="O2216" t="s">
        <v>24</v>
      </c>
    </row>
    <row r="2217" spans="1:15" x14ac:dyDescent="0.3">
      <c r="A2217" s="1">
        <v>45692</v>
      </c>
      <c r="B2217" t="s">
        <v>15</v>
      </c>
      <c r="C2217" s="3">
        <v>767</v>
      </c>
      <c r="D2217" s="3">
        <v>781.25</v>
      </c>
      <c r="E2217" s="3">
        <v>765.65</v>
      </c>
      <c r="F2217" s="3">
        <v>760.95</v>
      </c>
      <c r="G2217" s="3">
        <v>778.5</v>
      </c>
      <c r="H2217" s="3">
        <v>779.2</v>
      </c>
      <c r="I2217" s="3">
        <v>776.12</v>
      </c>
      <c r="J2217" s="3">
        <v>912</v>
      </c>
      <c r="K2217" s="3">
        <v>637.70000000000005</v>
      </c>
      <c r="L2217" s="2">
        <v>12020807</v>
      </c>
      <c r="M2217" s="2">
        <v>9329536078.75</v>
      </c>
      <c r="N2217" s="2">
        <v>237155</v>
      </c>
      <c r="O2217" t="s">
        <v>24</v>
      </c>
    </row>
    <row r="2218" spans="1:15" x14ac:dyDescent="0.3">
      <c r="A2218" s="1">
        <v>45691</v>
      </c>
      <c r="B2218" t="s">
        <v>15</v>
      </c>
      <c r="C2218" s="3">
        <v>762.8</v>
      </c>
      <c r="D2218" s="3">
        <v>762.8</v>
      </c>
      <c r="E2218" s="3">
        <v>753.15</v>
      </c>
      <c r="F2218" s="3">
        <v>766</v>
      </c>
      <c r="G2218" s="3">
        <v>761.05</v>
      </c>
      <c r="H2218" s="3">
        <v>760.95</v>
      </c>
      <c r="I2218" s="3">
        <v>758.76</v>
      </c>
      <c r="J2218" s="3">
        <v>912</v>
      </c>
      <c r="K2218" s="3">
        <v>637.70000000000005</v>
      </c>
      <c r="L2218" s="2">
        <v>7862190</v>
      </c>
      <c r="M2218" s="2">
        <v>5965488760.5500002</v>
      </c>
      <c r="N2218" s="2">
        <v>182478</v>
      </c>
      <c r="O2218" t="s">
        <v>24</v>
      </c>
    </row>
    <row r="2219" spans="1:15" x14ac:dyDescent="0.3">
      <c r="A2219" s="1">
        <v>45689</v>
      </c>
      <c r="B2219" t="s">
        <v>15</v>
      </c>
      <c r="C2219" s="3">
        <v>774.8</v>
      </c>
      <c r="D2219" s="3">
        <v>778.75</v>
      </c>
      <c r="E2219" s="3">
        <v>752.15</v>
      </c>
      <c r="F2219" s="3">
        <v>772.9</v>
      </c>
      <c r="G2219" s="3">
        <v>766.4</v>
      </c>
      <c r="H2219" s="3">
        <v>766</v>
      </c>
      <c r="I2219" s="3">
        <v>765.95</v>
      </c>
      <c r="J2219" s="3">
        <v>912</v>
      </c>
      <c r="K2219" s="3">
        <v>615.6</v>
      </c>
      <c r="L2219" s="2">
        <v>9363077</v>
      </c>
      <c r="M2219" s="2">
        <v>7171656657.1499996</v>
      </c>
      <c r="N2219" s="2">
        <v>146411</v>
      </c>
      <c r="O2219" t="s">
        <v>24</v>
      </c>
    </row>
    <row r="2220" spans="1:15" x14ac:dyDescent="0.3">
      <c r="A2220" s="1">
        <v>45688</v>
      </c>
      <c r="B2220" t="s">
        <v>15</v>
      </c>
      <c r="C2220" s="3">
        <v>764.9</v>
      </c>
      <c r="D2220" s="3">
        <v>777.55</v>
      </c>
      <c r="E2220" s="3">
        <v>759.5</v>
      </c>
      <c r="F2220" s="3">
        <v>762.6</v>
      </c>
      <c r="G2220" s="3">
        <v>773.1</v>
      </c>
      <c r="H2220" s="3">
        <v>772.9</v>
      </c>
      <c r="I2220" s="3">
        <v>770.25</v>
      </c>
      <c r="J2220" s="3">
        <v>912</v>
      </c>
      <c r="K2220" s="3">
        <v>615.6</v>
      </c>
      <c r="L2220" s="2">
        <v>10083763</v>
      </c>
      <c r="M2220" s="2">
        <v>7766979527.6000004</v>
      </c>
      <c r="N2220" s="2">
        <v>213867</v>
      </c>
      <c r="O2220" t="s">
        <v>24</v>
      </c>
    </row>
    <row r="2221" spans="1:15" x14ac:dyDescent="0.3">
      <c r="A2221" s="1">
        <v>45687</v>
      </c>
      <c r="B2221" t="s">
        <v>15</v>
      </c>
      <c r="C2221" s="3">
        <v>758.55</v>
      </c>
      <c r="D2221" s="3">
        <v>765</v>
      </c>
      <c r="E2221" s="3">
        <v>754.75</v>
      </c>
      <c r="F2221" s="3">
        <v>758.45</v>
      </c>
      <c r="G2221" s="3">
        <v>764.5</v>
      </c>
      <c r="H2221" s="3">
        <v>762.6</v>
      </c>
      <c r="I2221" s="3">
        <v>760.64</v>
      </c>
      <c r="J2221" s="3">
        <v>912</v>
      </c>
      <c r="K2221" s="3">
        <v>615.6</v>
      </c>
      <c r="L2221" s="2">
        <v>11085824</v>
      </c>
      <c r="M2221" s="2">
        <v>8432370364.6499996</v>
      </c>
      <c r="N2221" s="2">
        <v>236993</v>
      </c>
      <c r="O2221" t="s">
        <v>24</v>
      </c>
    </row>
    <row r="2222" spans="1:15" x14ac:dyDescent="0.3">
      <c r="A2222" s="1">
        <v>45686</v>
      </c>
      <c r="B2222" t="s">
        <v>15</v>
      </c>
      <c r="C2222" s="3">
        <v>753</v>
      </c>
      <c r="D2222" s="3">
        <v>760.8</v>
      </c>
      <c r="E2222" s="3">
        <v>749.8</v>
      </c>
      <c r="F2222" s="3">
        <v>752.4</v>
      </c>
      <c r="G2222" s="3">
        <v>758.5</v>
      </c>
      <c r="H2222" s="3">
        <v>758.45</v>
      </c>
      <c r="I2222" s="3">
        <v>757.35</v>
      </c>
      <c r="J2222" s="3">
        <v>912</v>
      </c>
      <c r="K2222" s="3">
        <v>615.6</v>
      </c>
      <c r="L2222" s="2">
        <v>9251973</v>
      </c>
      <c r="M2222" s="2">
        <v>7006956312.6000004</v>
      </c>
      <c r="N2222" s="2">
        <v>267695</v>
      </c>
      <c r="O2222" t="s">
        <v>24</v>
      </c>
    </row>
    <row r="2223" spans="1:15" x14ac:dyDescent="0.3">
      <c r="A2223" s="1">
        <v>45685</v>
      </c>
      <c r="B2223" t="s">
        <v>15</v>
      </c>
      <c r="C2223" s="3">
        <v>757</v>
      </c>
      <c r="D2223" s="3">
        <v>759.75</v>
      </c>
      <c r="E2223" s="3">
        <v>745.4</v>
      </c>
      <c r="F2223" s="3">
        <v>749.2</v>
      </c>
      <c r="G2223" s="3">
        <v>752.15</v>
      </c>
      <c r="H2223" s="3">
        <v>752.4</v>
      </c>
      <c r="I2223" s="3">
        <v>752.61</v>
      </c>
      <c r="J2223" s="3">
        <v>912</v>
      </c>
      <c r="K2223" s="3">
        <v>615.6</v>
      </c>
      <c r="L2223" s="2">
        <v>14140860</v>
      </c>
      <c r="M2223" s="2">
        <v>10642622577.4</v>
      </c>
      <c r="N2223" s="2">
        <v>282284</v>
      </c>
      <c r="O2223" t="s">
        <v>24</v>
      </c>
    </row>
    <row r="2224" spans="1:15" x14ac:dyDescent="0.3">
      <c r="A2224" s="1">
        <v>45684</v>
      </c>
      <c r="B2224" t="s">
        <v>15</v>
      </c>
      <c r="C2224" s="3">
        <v>740</v>
      </c>
      <c r="D2224" s="3">
        <v>755.35</v>
      </c>
      <c r="E2224" s="3">
        <v>735.9</v>
      </c>
      <c r="F2224" s="3">
        <v>744.15</v>
      </c>
      <c r="G2224" s="3">
        <v>747.5</v>
      </c>
      <c r="H2224" s="3">
        <v>749.2</v>
      </c>
      <c r="I2224" s="3">
        <v>748.97</v>
      </c>
      <c r="J2224" s="3">
        <v>912</v>
      </c>
      <c r="K2224" s="3">
        <v>615.6</v>
      </c>
      <c r="L2224" s="2">
        <v>11433353</v>
      </c>
      <c r="M2224" s="2">
        <v>8563257255.5</v>
      </c>
      <c r="N2224" s="2">
        <v>227844</v>
      </c>
      <c r="O2224" t="s">
        <v>24</v>
      </c>
    </row>
    <row r="2225" spans="1:15" x14ac:dyDescent="0.3">
      <c r="A2225" s="1">
        <v>45681</v>
      </c>
      <c r="B2225" t="s">
        <v>15</v>
      </c>
      <c r="C2225" s="3">
        <v>749.9</v>
      </c>
      <c r="D2225" s="3">
        <v>753.7</v>
      </c>
      <c r="E2225" s="3">
        <v>739</v>
      </c>
      <c r="F2225" s="3">
        <v>745.9</v>
      </c>
      <c r="G2225" s="3">
        <v>744.5</v>
      </c>
      <c r="H2225" s="3">
        <v>744.15</v>
      </c>
      <c r="I2225" s="3">
        <v>746.32</v>
      </c>
      <c r="J2225" s="3">
        <v>912</v>
      </c>
      <c r="K2225" s="3">
        <v>600.65</v>
      </c>
      <c r="L2225" s="2">
        <v>10579213</v>
      </c>
      <c r="M2225" s="2">
        <v>7895435197</v>
      </c>
      <c r="N2225" s="2">
        <v>174627</v>
      </c>
      <c r="O2225" t="s">
        <v>24</v>
      </c>
    </row>
    <row r="2226" spans="1:15" x14ac:dyDescent="0.3">
      <c r="A2226" s="1">
        <v>45680</v>
      </c>
      <c r="B2226" t="s">
        <v>15</v>
      </c>
      <c r="C2226" s="3">
        <v>750</v>
      </c>
      <c r="D2226" s="3">
        <v>755.65</v>
      </c>
      <c r="E2226" s="3">
        <v>743.1</v>
      </c>
      <c r="F2226" s="3">
        <v>753.45</v>
      </c>
      <c r="G2226" s="3">
        <v>746.25</v>
      </c>
      <c r="H2226" s="3">
        <v>745.9</v>
      </c>
      <c r="I2226" s="3">
        <v>748.15</v>
      </c>
      <c r="J2226" s="3">
        <v>912</v>
      </c>
      <c r="K2226" s="3">
        <v>600.65</v>
      </c>
      <c r="L2226" s="2">
        <v>10986405</v>
      </c>
      <c r="M2226" s="2">
        <v>8219465974</v>
      </c>
      <c r="N2226" s="2">
        <v>220737</v>
      </c>
      <c r="O2226" t="s">
        <v>24</v>
      </c>
    </row>
    <row r="2227" spans="1:15" x14ac:dyDescent="0.3">
      <c r="A2227" s="1">
        <v>45679</v>
      </c>
      <c r="B2227" t="s">
        <v>15</v>
      </c>
      <c r="C2227" s="3">
        <v>762</v>
      </c>
      <c r="D2227" s="3">
        <v>763</v>
      </c>
      <c r="E2227" s="3">
        <v>738</v>
      </c>
      <c r="F2227" s="3">
        <v>759.05</v>
      </c>
      <c r="G2227" s="3">
        <v>753.45</v>
      </c>
      <c r="H2227" s="3">
        <v>753.45</v>
      </c>
      <c r="I2227" s="3">
        <v>749.23</v>
      </c>
      <c r="J2227" s="3">
        <v>912</v>
      </c>
      <c r="K2227" s="3">
        <v>600.65</v>
      </c>
      <c r="L2227" s="2">
        <v>9908339</v>
      </c>
      <c r="M2227" s="2">
        <v>7423585184</v>
      </c>
      <c r="N2227" s="2">
        <v>233659</v>
      </c>
      <c r="O2227" t="s">
        <v>24</v>
      </c>
    </row>
    <row r="2228" spans="1:15" x14ac:dyDescent="0.3">
      <c r="A2228" s="1">
        <v>45678</v>
      </c>
      <c r="B2228" t="s">
        <v>15</v>
      </c>
      <c r="C2228" s="3">
        <v>784.8</v>
      </c>
      <c r="D2228" s="3">
        <v>784.9</v>
      </c>
      <c r="E2228" s="3">
        <v>756.05</v>
      </c>
      <c r="F2228" s="3">
        <v>779.25</v>
      </c>
      <c r="G2228" s="3">
        <v>759.8</v>
      </c>
      <c r="H2228" s="3">
        <v>759.05</v>
      </c>
      <c r="I2228" s="3">
        <v>765.52</v>
      </c>
      <c r="J2228" s="3">
        <v>912</v>
      </c>
      <c r="K2228" s="3">
        <v>600.65</v>
      </c>
      <c r="L2228" s="2">
        <v>13751780</v>
      </c>
      <c r="M2228" s="2">
        <v>10527321816.950001</v>
      </c>
      <c r="N2228" s="2">
        <v>278817</v>
      </c>
      <c r="O2228" t="s">
        <v>24</v>
      </c>
    </row>
    <row r="2229" spans="1:15" x14ac:dyDescent="0.3">
      <c r="A2229" s="1">
        <v>45677</v>
      </c>
      <c r="B2229" t="s">
        <v>15</v>
      </c>
      <c r="C2229" s="3">
        <v>769</v>
      </c>
      <c r="D2229" s="3">
        <v>785</v>
      </c>
      <c r="E2229" s="3">
        <v>767.85</v>
      </c>
      <c r="F2229" s="3">
        <v>764.1</v>
      </c>
      <c r="G2229" s="3">
        <v>778.5</v>
      </c>
      <c r="H2229" s="3">
        <v>779.25</v>
      </c>
      <c r="I2229" s="3">
        <v>778.03</v>
      </c>
      <c r="J2229" s="3">
        <v>912</v>
      </c>
      <c r="K2229" s="3">
        <v>600.65</v>
      </c>
      <c r="L2229" s="2">
        <v>9198929</v>
      </c>
      <c r="M2229" s="2">
        <v>7157000810.0500002</v>
      </c>
      <c r="N2229" s="2">
        <v>211086</v>
      </c>
      <c r="O2229" t="s">
        <v>24</v>
      </c>
    </row>
    <row r="2230" spans="1:15" x14ac:dyDescent="0.3">
      <c r="A2230" s="1">
        <v>45674</v>
      </c>
      <c r="B2230" t="s">
        <v>15</v>
      </c>
      <c r="C2230" s="3">
        <v>766.3</v>
      </c>
      <c r="D2230" s="3">
        <v>767.95</v>
      </c>
      <c r="E2230" s="3">
        <v>759.4</v>
      </c>
      <c r="F2230" s="3">
        <v>766.3</v>
      </c>
      <c r="G2230" s="3">
        <v>763.8</v>
      </c>
      <c r="H2230" s="3">
        <v>764.1</v>
      </c>
      <c r="I2230" s="3">
        <v>763.55</v>
      </c>
      <c r="J2230" s="3">
        <v>912</v>
      </c>
      <c r="K2230" s="3">
        <v>600.65</v>
      </c>
      <c r="L2230" s="2">
        <v>5766573</v>
      </c>
      <c r="M2230" s="2">
        <v>4403052207.1499996</v>
      </c>
      <c r="N2230" s="2">
        <v>147029</v>
      </c>
      <c r="O2230" t="s">
        <v>24</v>
      </c>
    </row>
    <row r="2231" spans="1:15" x14ac:dyDescent="0.3">
      <c r="A2231" s="1">
        <v>45673</v>
      </c>
      <c r="B2231" t="s">
        <v>15</v>
      </c>
      <c r="C2231" s="3">
        <v>760.4</v>
      </c>
      <c r="D2231" s="3">
        <v>776.7</v>
      </c>
      <c r="E2231" s="3">
        <v>760.4</v>
      </c>
      <c r="F2231" s="3">
        <v>753.7</v>
      </c>
      <c r="G2231" s="3">
        <v>767</v>
      </c>
      <c r="H2231" s="3">
        <v>766.3</v>
      </c>
      <c r="I2231" s="3">
        <v>768.15</v>
      </c>
      <c r="J2231" s="3">
        <v>912</v>
      </c>
      <c r="K2231" s="3">
        <v>600.65</v>
      </c>
      <c r="L2231" s="2">
        <v>11816079</v>
      </c>
      <c r="M2231" s="2">
        <v>9076538069.2000008</v>
      </c>
      <c r="N2231" s="2">
        <v>204032</v>
      </c>
      <c r="O2231" t="s">
        <v>24</v>
      </c>
    </row>
    <row r="2232" spans="1:15" x14ac:dyDescent="0.3">
      <c r="A2232" s="1">
        <v>45672</v>
      </c>
      <c r="B2232" t="s">
        <v>15</v>
      </c>
      <c r="C2232" s="3">
        <v>753.15</v>
      </c>
      <c r="D2232" s="3">
        <v>758.9</v>
      </c>
      <c r="E2232" s="3">
        <v>750</v>
      </c>
      <c r="F2232" s="3">
        <v>748.15</v>
      </c>
      <c r="G2232" s="3">
        <v>754.95</v>
      </c>
      <c r="H2232" s="3">
        <v>753.7</v>
      </c>
      <c r="I2232" s="3">
        <v>754.48</v>
      </c>
      <c r="J2232" s="3">
        <v>912</v>
      </c>
      <c r="K2232" s="3">
        <v>600.65</v>
      </c>
      <c r="L2232" s="2">
        <v>7792299</v>
      </c>
      <c r="M2232" s="2">
        <v>5879131387.4499998</v>
      </c>
      <c r="N2232" s="2">
        <v>225171</v>
      </c>
      <c r="O2232" t="s">
        <v>24</v>
      </c>
    </row>
    <row r="2233" spans="1:15" x14ac:dyDescent="0.3">
      <c r="A2233" s="1">
        <v>45671</v>
      </c>
      <c r="B2233" t="s">
        <v>15</v>
      </c>
      <c r="C2233" s="3">
        <v>732.95</v>
      </c>
      <c r="D2233" s="3">
        <v>757</v>
      </c>
      <c r="E2233" s="3">
        <v>732.95</v>
      </c>
      <c r="F2233" s="3">
        <v>729.5</v>
      </c>
      <c r="G2233" s="3">
        <v>750.5</v>
      </c>
      <c r="H2233" s="3">
        <v>748.15</v>
      </c>
      <c r="I2233" s="3">
        <v>748.73</v>
      </c>
      <c r="J2233" s="3">
        <v>912</v>
      </c>
      <c r="K2233" s="3">
        <v>600.65</v>
      </c>
      <c r="L2233" s="2">
        <v>11960975</v>
      </c>
      <c r="M2233" s="2">
        <v>8955585470.2999992</v>
      </c>
      <c r="N2233" s="2">
        <v>242233</v>
      </c>
      <c r="O2233" t="s">
        <v>24</v>
      </c>
    </row>
    <row r="2234" spans="1:15" x14ac:dyDescent="0.3">
      <c r="A2234" s="1">
        <v>45670</v>
      </c>
      <c r="B2234" t="s">
        <v>15</v>
      </c>
      <c r="C2234" s="3">
        <v>741.5</v>
      </c>
      <c r="D2234" s="3">
        <v>743.95</v>
      </c>
      <c r="E2234" s="3">
        <v>722.5</v>
      </c>
      <c r="F2234" s="3">
        <v>743.25</v>
      </c>
      <c r="G2234" s="3">
        <v>728.95</v>
      </c>
      <c r="H2234" s="3">
        <v>729.5</v>
      </c>
      <c r="I2234" s="3">
        <v>733.81</v>
      </c>
      <c r="J2234" s="3">
        <v>912</v>
      </c>
      <c r="K2234" s="3">
        <v>600.65</v>
      </c>
      <c r="L2234" s="2">
        <v>10414733</v>
      </c>
      <c r="M2234" s="2">
        <v>7642474249.6499996</v>
      </c>
      <c r="N2234" s="2">
        <v>254856</v>
      </c>
      <c r="O2234" t="s">
        <v>24</v>
      </c>
    </row>
    <row r="2235" spans="1:15" x14ac:dyDescent="0.3">
      <c r="A2235" s="1">
        <v>45667</v>
      </c>
      <c r="B2235" t="s">
        <v>15</v>
      </c>
      <c r="C2235" s="3">
        <v>760.35</v>
      </c>
      <c r="D2235" s="3">
        <v>763.4</v>
      </c>
      <c r="E2235" s="3">
        <v>742.05</v>
      </c>
      <c r="F2235" s="3">
        <v>760.45</v>
      </c>
      <c r="G2235" s="3">
        <v>744.8</v>
      </c>
      <c r="H2235" s="3">
        <v>743.25</v>
      </c>
      <c r="I2235" s="3">
        <v>748.01</v>
      </c>
      <c r="J2235" s="3">
        <v>912</v>
      </c>
      <c r="K2235" s="3">
        <v>600.65</v>
      </c>
      <c r="L2235" s="2">
        <v>11779296</v>
      </c>
      <c r="M2235" s="2">
        <v>8811043804.5</v>
      </c>
      <c r="N2235" s="2">
        <v>275478</v>
      </c>
      <c r="O2235" t="s">
        <v>24</v>
      </c>
    </row>
    <row r="2236" spans="1:15" x14ac:dyDescent="0.3">
      <c r="A2236" s="1">
        <v>45666</v>
      </c>
      <c r="B2236" t="s">
        <v>15</v>
      </c>
      <c r="C2236" s="3">
        <v>771.15</v>
      </c>
      <c r="D2236" s="3">
        <v>771.35</v>
      </c>
      <c r="E2236" s="3">
        <v>726.25</v>
      </c>
      <c r="F2236" s="3">
        <v>771.15</v>
      </c>
      <c r="G2236" s="3">
        <v>762</v>
      </c>
      <c r="H2236" s="3">
        <v>760.45</v>
      </c>
      <c r="I2236" s="3">
        <v>760.13</v>
      </c>
      <c r="J2236" s="3">
        <v>912</v>
      </c>
      <c r="K2236" s="3">
        <v>600.65</v>
      </c>
      <c r="L2236" s="2">
        <v>15351029</v>
      </c>
      <c r="M2236" s="2">
        <v>11668746480.15</v>
      </c>
      <c r="N2236" s="2">
        <v>258299</v>
      </c>
      <c r="O2236" t="s">
        <v>24</v>
      </c>
    </row>
    <row r="2237" spans="1:15" x14ac:dyDescent="0.3">
      <c r="A2237" s="1">
        <v>45665</v>
      </c>
      <c r="B2237" t="s">
        <v>15</v>
      </c>
      <c r="C2237" s="3">
        <v>780.9</v>
      </c>
      <c r="D2237" s="3">
        <v>783.95</v>
      </c>
      <c r="E2237" s="3">
        <v>760.1</v>
      </c>
      <c r="F2237" s="3">
        <v>778.75</v>
      </c>
      <c r="G2237" s="3">
        <v>771.35</v>
      </c>
      <c r="H2237" s="3">
        <v>771.15</v>
      </c>
      <c r="I2237" s="3">
        <v>767.67</v>
      </c>
      <c r="J2237" s="3">
        <v>912</v>
      </c>
      <c r="K2237" s="3">
        <v>600.65</v>
      </c>
      <c r="L2237" s="2">
        <v>15641490</v>
      </c>
      <c r="M2237" s="2">
        <v>12007486384.75</v>
      </c>
      <c r="N2237" s="2">
        <v>277739</v>
      </c>
      <c r="O2237" t="s">
        <v>24</v>
      </c>
    </row>
    <row r="2238" spans="1:15" x14ac:dyDescent="0.3">
      <c r="A2238" s="1">
        <v>45664</v>
      </c>
      <c r="B2238" t="s">
        <v>15</v>
      </c>
      <c r="C2238" s="3">
        <v>779.85</v>
      </c>
      <c r="D2238" s="3">
        <v>783.85</v>
      </c>
      <c r="E2238" s="3">
        <v>774.85</v>
      </c>
      <c r="F2238" s="3">
        <v>776.4</v>
      </c>
      <c r="G2238" s="3">
        <v>778.4</v>
      </c>
      <c r="H2238" s="3">
        <v>778.75</v>
      </c>
      <c r="I2238" s="3">
        <v>778.73</v>
      </c>
      <c r="J2238" s="3">
        <v>912</v>
      </c>
      <c r="K2238" s="3">
        <v>600.65</v>
      </c>
      <c r="L2238" s="2">
        <v>9669152</v>
      </c>
      <c r="M2238" s="2">
        <v>7529620598.6999998</v>
      </c>
      <c r="N2238" s="2">
        <v>188005</v>
      </c>
      <c r="O2238" t="s">
        <v>24</v>
      </c>
    </row>
    <row r="2239" spans="1:15" x14ac:dyDescent="0.3">
      <c r="A2239" s="1">
        <v>45663</v>
      </c>
      <c r="B2239" t="s">
        <v>15</v>
      </c>
      <c r="C2239" s="3">
        <v>797.4</v>
      </c>
      <c r="D2239" s="3">
        <v>797.6</v>
      </c>
      <c r="E2239" s="3">
        <v>773.15</v>
      </c>
      <c r="F2239" s="3">
        <v>793.4</v>
      </c>
      <c r="G2239" s="3">
        <v>778.4</v>
      </c>
      <c r="H2239" s="3">
        <v>776.4</v>
      </c>
      <c r="I2239" s="3">
        <v>781.47</v>
      </c>
      <c r="J2239" s="3">
        <v>912</v>
      </c>
      <c r="K2239" s="3">
        <v>600.65</v>
      </c>
      <c r="L2239" s="2">
        <v>11419367</v>
      </c>
      <c r="M2239" s="2">
        <v>8923876463.4500008</v>
      </c>
      <c r="N2239" s="2">
        <v>289818</v>
      </c>
      <c r="O2239" t="s">
        <v>24</v>
      </c>
    </row>
    <row r="2240" spans="1:15" x14ac:dyDescent="0.3">
      <c r="A2240" s="1">
        <v>45660</v>
      </c>
      <c r="B2240" t="s">
        <v>15</v>
      </c>
      <c r="C2240" s="3">
        <v>801.2</v>
      </c>
      <c r="D2240" s="3">
        <v>809.5</v>
      </c>
      <c r="E2240" s="3">
        <v>792.15</v>
      </c>
      <c r="F2240" s="3">
        <v>801.2</v>
      </c>
      <c r="G2240" s="3">
        <v>793.3</v>
      </c>
      <c r="H2240" s="3">
        <v>793.4</v>
      </c>
      <c r="I2240" s="3">
        <v>798.97</v>
      </c>
      <c r="J2240" s="3">
        <v>912</v>
      </c>
      <c r="K2240" s="3">
        <v>600.65</v>
      </c>
      <c r="L2240" s="2">
        <v>13336514</v>
      </c>
      <c r="M2240" s="2">
        <v>10655490014.65</v>
      </c>
      <c r="N2240" s="2">
        <v>208457</v>
      </c>
      <c r="O2240" t="s">
        <v>24</v>
      </c>
    </row>
    <row r="2241" spans="1:15" x14ac:dyDescent="0.3">
      <c r="A2241" s="1">
        <v>45659</v>
      </c>
      <c r="B2241" t="s">
        <v>15</v>
      </c>
      <c r="C2241" s="3">
        <v>795</v>
      </c>
      <c r="D2241" s="3">
        <v>802.4</v>
      </c>
      <c r="E2241" s="3">
        <v>787</v>
      </c>
      <c r="F2241" s="3">
        <v>793.2</v>
      </c>
      <c r="G2241" s="3">
        <v>802.25</v>
      </c>
      <c r="H2241" s="3">
        <v>801.2</v>
      </c>
      <c r="I2241" s="3">
        <v>795.88</v>
      </c>
      <c r="J2241" s="3">
        <v>912</v>
      </c>
      <c r="K2241" s="3">
        <v>600.65</v>
      </c>
      <c r="L2241" s="2">
        <v>11398319</v>
      </c>
      <c r="M2241" s="2">
        <v>9071709128.0499992</v>
      </c>
      <c r="N2241" s="2">
        <v>206144</v>
      </c>
      <c r="O2241" t="s">
        <v>24</v>
      </c>
    </row>
    <row r="2242" spans="1:15" x14ac:dyDescent="0.3">
      <c r="A2242" s="1">
        <v>45658</v>
      </c>
      <c r="B2242" t="s">
        <v>15</v>
      </c>
      <c r="C2242" s="3">
        <v>795.55</v>
      </c>
      <c r="D2242" s="3">
        <v>798.65</v>
      </c>
      <c r="E2242" s="3">
        <v>789.5</v>
      </c>
      <c r="F2242" s="3">
        <v>794.95</v>
      </c>
      <c r="G2242" s="3">
        <v>794.3</v>
      </c>
      <c r="H2242" s="3">
        <v>793.2</v>
      </c>
      <c r="I2242" s="3">
        <v>793.85</v>
      </c>
      <c r="J2242" s="3">
        <v>912</v>
      </c>
      <c r="K2242" s="3">
        <v>600.65</v>
      </c>
      <c r="L2242" s="2">
        <v>7273098</v>
      </c>
      <c r="M2242" s="2">
        <v>5773733671.3500004</v>
      </c>
      <c r="N2242" s="2">
        <v>125843</v>
      </c>
      <c r="O2242" t="s">
        <v>24</v>
      </c>
    </row>
    <row r="2243" spans="1:15" x14ac:dyDescent="0.3">
      <c r="A2243" s="1">
        <v>46022</v>
      </c>
      <c r="B2243" t="s">
        <v>15</v>
      </c>
      <c r="C2243" s="3">
        <v>3240</v>
      </c>
      <c r="D2243" s="3">
        <v>3246</v>
      </c>
      <c r="E2243" s="3">
        <v>3198.5</v>
      </c>
      <c r="F2243" s="3">
        <v>3246.8</v>
      </c>
      <c r="G2243" s="3">
        <v>3210</v>
      </c>
      <c r="H2243" s="3">
        <v>3206.2</v>
      </c>
      <c r="I2243" s="3">
        <v>3216.08</v>
      </c>
      <c r="J2243" s="3">
        <v>4322.95</v>
      </c>
      <c r="K2243" s="3">
        <v>2866.6</v>
      </c>
      <c r="L2243" s="2">
        <v>3362634</v>
      </c>
      <c r="M2243" s="2">
        <v>10814502991.9</v>
      </c>
      <c r="N2243" s="2">
        <v>145683</v>
      </c>
      <c r="O2243" t="s">
        <v>25</v>
      </c>
    </row>
    <row r="2244" spans="1:15" x14ac:dyDescent="0.3">
      <c r="A2244" s="1">
        <v>46021</v>
      </c>
      <c r="B2244" t="s">
        <v>15</v>
      </c>
      <c r="C2244" s="3">
        <v>3250</v>
      </c>
      <c r="D2244" s="3">
        <v>3267.5</v>
      </c>
      <c r="E2244" s="3">
        <v>3239.5</v>
      </c>
      <c r="F2244" s="3">
        <v>3251.5</v>
      </c>
      <c r="G2244" s="3">
        <v>3255</v>
      </c>
      <c r="H2244" s="3">
        <v>3246.8</v>
      </c>
      <c r="I2244" s="3">
        <v>3250.64</v>
      </c>
      <c r="J2244" s="3">
        <v>4322.95</v>
      </c>
      <c r="K2244" s="3">
        <v>2866.6</v>
      </c>
      <c r="L2244" s="2">
        <v>2807593</v>
      </c>
      <c r="M2244" s="2">
        <v>9126473823.5</v>
      </c>
      <c r="N2244" s="2">
        <v>184541</v>
      </c>
      <c r="O2244" t="s">
        <v>25</v>
      </c>
    </row>
    <row r="2245" spans="1:15" x14ac:dyDescent="0.3">
      <c r="A2245" s="1">
        <v>46020</v>
      </c>
      <c r="B2245" t="s">
        <v>15</v>
      </c>
      <c r="C2245" s="3">
        <v>3280</v>
      </c>
      <c r="D2245" s="3">
        <v>3288</v>
      </c>
      <c r="E2245" s="3">
        <v>3242.9</v>
      </c>
      <c r="F2245" s="3">
        <v>3280</v>
      </c>
      <c r="G2245" s="3">
        <v>3256</v>
      </c>
      <c r="H2245" s="3">
        <v>3251.5</v>
      </c>
      <c r="I2245" s="3">
        <v>3254.98</v>
      </c>
      <c r="J2245" s="3">
        <v>4322.95</v>
      </c>
      <c r="K2245" s="3">
        <v>2866.6</v>
      </c>
      <c r="L2245" s="2">
        <v>2079473</v>
      </c>
      <c r="M2245" s="2">
        <v>6768650796.3999996</v>
      </c>
      <c r="N2245" s="2">
        <v>117390</v>
      </c>
      <c r="O2245" t="s">
        <v>25</v>
      </c>
    </row>
    <row r="2246" spans="1:15" x14ac:dyDescent="0.3">
      <c r="A2246" s="1">
        <v>46017</v>
      </c>
      <c r="B2246" t="s">
        <v>15</v>
      </c>
      <c r="C2246" s="3">
        <v>3313.1</v>
      </c>
      <c r="D2246" s="3">
        <v>3320</v>
      </c>
      <c r="E2246" s="3">
        <v>3271.8</v>
      </c>
      <c r="F2246" s="3">
        <v>3319</v>
      </c>
      <c r="G2246" s="3">
        <v>3276.8</v>
      </c>
      <c r="H2246" s="3">
        <v>3280</v>
      </c>
      <c r="I2246" s="3">
        <v>3287.91</v>
      </c>
      <c r="J2246" s="3">
        <v>4322.95</v>
      </c>
      <c r="K2246" s="3">
        <v>2866.6</v>
      </c>
      <c r="L2246" s="2">
        <v>1176664</v>
      </c>
      <c r="M2246" s="2">
        <v>3868759940.5999999</v>
      </c>
      <c r="N2246" s="2">
        <v>89363</v>
      </c>
      <c r="O2246" t="s">
        <v>25</v>
      </c>
    </row>
    <row r="2247" spans="1:15" x14ac:dyDescent="0.3">
      <c r="A2247" s="1">
        <v>46015</v>
      </c>
      <c r="B2247" t="s">
        <v>15</v>
      </c>
      <c r="C2247" s="3">
        <v>3304.1</v>
      </c>
      <c r="D2247" s="3">
        <v>3327.1</v>
      </c>
      <c r="E2247" s="3">
        <v>3296.1</v>
      </c>
      <c r="F2247" s="3">
        <v>3310</v>
      </c>
      <c r="G2247" s="3">
        <v>3313.1</v>
      </c>
      <c r="H2247" s="3">
        <v>3319</v>
      </c>
      <c r="I2247" s="3">
        <v>3312.41</v>
      </c>
      <c r="J2247" s="3">
        <v>4322.95</v>
      </c>
      <c r="K2247" s="3">
        <v>2866.6</v>
      </c>
      <c r="L2247" s="2">
        <v>1367708</v>
      </c>
      <c r="M2247" s="2">
        <v>4530413590.8999996</v>
      </c>
      <c r="N2247" s="2">
        <v>84873</v>
      </c>
      <c r="O2247" t="s">
        <v>25</v>
      </c>
    </row>
    <row r="2248" spans="1:15" x14ac:dyDescent="0.3">
      <c r="A2248" s="1">
        <v>46014</v>
      </c>
      <c r="B2248" t="s">
        <v>15</v>
      </c>
      <c r="C2248" s="3">
        <v>3319.9</v>
      </c>
      <c r="D2248" s="3">
        <v>3319.9</v>
      </c>
      <c r="E2248" s="3">
        <v>3293.5</v>
      </c>
      <c r="F2248" s="3">
        <v>3324.9</v>
      </c>
      <c r="G2248" s="3">
        <v>3305.1</v>
      </c>
      <c r="H2248" s="3">
        <v>3310</v>
      </c>
      <c r="I2248" s="3">
        <v>3304.76</v>
      </c>
      <c r="J2248" s="3">
        <v>4322.95</v>
      </c>
      <c r="K2248" s="3">
        <v>2866.6</v>
      </c>
      <c r="L2248" s="2">
        <v>2365420</v>
      </c>
      <c r="M2248" s="2">
        <v>7817155849.8999996</v>
      </c>
      <c r="N2248" s="2">
        <v>139216</v>
      </c>
      <c r="O2248" t="s">
        <v>25</v>
      </c>
    </row>
    <row r="2249" spans="1:15" x14ac:dyDescent="0.3">
      <c r="A2249" s="1">
        <v>46013</v>
      </c>
      <c r="B2249" t="s">
        <v>15</v>
      </c>
      <c r="C2249" s="3">
        <v>3310</v>
      </c>
      <c r="D2249" s="3">
        <v>3328.6</v>
      </c>
      <c r="E2249" s="3">
        <v>3291</v>
      </c>
      <c r="F2249" s="3">
        <v>3282</v>
      </c>
      <c r="G2249" s="3">
        <v>3324.9</v>
      </c>
      <c r="H2249" s="3">
        <v>3324.9</v>
      </c>
      <c r="I2249" s="3">
        <v>3314.14</v>
      </c>
      <c r="J2249" s="3">
        <v>4322.95</v>
      </c>
      <c r="K2249" s="3">
        <v>2866.6</v>
      </c>
      <c r="L2249" s="2">
        <v>2632816</v>
      </c>
      <c r="M2249" s="2">
        <v>8725523457.1000004</v>
      </c>
      <c r="N2249" s="2">
        <v>101733</v>
      </c>
      <c r="O2249" t="s">
        <v>25</v>
      </c>
    </row>
    <row r="2250" spans="1:15" x14ac:dyDescent="0.3">
      <c r="A2250" s="1">
        <v>46010</v>
      </c>
      <c r="B2250" t="s">
        <v>15</v>
      </c>
      <c r="C2250" s="3">
        <v>3299</v>
      </c>
      <c r="D2250" s="3">
        <v>3317.9</v>
      </c>
      <c r="E2250" s="3">
        <v>3278.8</v>
      </c>
      <c r="F2250" s="3">
        <v>3280.8</v>
      </c>
      <c r="G2250" s="3">
        <v>3285</v>
      </c>
      <c r="H2250" s="3">
        <v>3282</v>
      </c>
      <c r="I2250" s="3">
        <v>3295</v>
      </c>
      <c r="J2250" s="3">
        <v>4475</v>
      </c>
      <c r="K2250" s="3">
        <v>2866.6</v>
      </c>
      <c r="L2250" s="2">
        <v>3902511</v>
      </c>
      <c r="M2250" s="2">
        <v>12858780664.299999</v>
      </c>
      <c r="N2250" s="2">
        <v>122711</v>
      </c>
      <c r="O2250" t="s">
        <v>25</v>
      </c>
    </row>
    <row r="2251" spans="1:15" x14ac:dyDescent="0.3">
      <c r="A2251" s="1">
        <v>46009</v>
      </c>
      <c r="B2251" t="s">
        <v>15</v>
      </c>
      <c r="C2251" s="3">
        <v>3228</v>
      </c>
      <c r="D2251" s="3">
        <v>3287.8</v>
      </c>
      <c r="E2251" s="3">
        <v>3221</v>
      </c>
      <c r="F2251" s="3">
        <v>3217.8</v>
      </c>
      <c r="G2251" s="3">
        <v>3281.2</v>
      </c>
      <c r="H2251" s="3">
        <v>3280.8</v>
      </c>
      <c r="I2251" s="3">
        <v>3260.45</v>
      </c>
      <c r="J2251" s="3">
        <v>4475</v>
      </c>
      <c r="K2251" s="3">
        <v>2866.6</v>
      </c>
      <c r="L2251" s="2">
        <v>2307422</v>
      </c>
      <c r="M2251" s="2">
        <v>7523225819.8000002</v>
      </c>
      <c r="N2251" s="2">
        <v>166551</v>
      </c>
      <c r="O2251" t="s">
        <v>25</v>
      </c>
    </row>
    <row r="2252" spans="1:15" x14ac:dyDescent="0.3">
      <c r="A2252" s="1">
        <v>46008</v>
      </c>
      <c r="B2252" t="s">
        <v>15</v>
      </c>
      <c r="C2252" s="3">
        <v>3200.5</v>
      </c>
      <c r="D2252" s="3">
        <v>3236.9</v>
      </c>
      <c r="E2252" s="3">
        <v>3200.5</v>
      </c>
      <c r="F2252" s="3">
        <v>3205.1</v>
      </c>
      <c r="G2252" s="3">
        <v>3217.8</v>
      </c>
      <c r="H2252" s="3">
        <v>3217.8</v>
      </c>
      <c r="I2252" s="3">
        <v>3218.6</v>
      </c>
      <c r="J2252" s="3">
        <v>4475</v>
      </c>
      <c r="K2252" s="3">
        <v>2866.6</v>
      </c>
      <c r="L2252" s="2">
        <v>1376350</v>
      </c>
      <c r="M2252" s="2">
        <v>4429915958.6999998</v>
      </c>
      <c r="N2252" s="2">
        <v>88357</v>
      </c>
      <c r="O2252" t="s">
        <v>25</v>
      </c>
    </row>
    <row r="2253" spans="1:15" x14ac:dyDescent="0.3">
      <c r="A2253" s="1">
        <v>46007</v>
      </c>
      <c r="B2253" t="s">
        <v>15</v>
      </c>
      <c r="C2253" s="3">
        <v>3220</v>
      </c>
      <c r="D2253" s="3">
        <v>3220</v>
      </c>
      <c r="E2253" s="3">
        <v>3191.1</v>
      </c>
      <c r="F2253" s="3">
        <v>3230.2</v>
      </c>
      <c r="G2253" s="3">
        <v>3206.6</v>
      </c>
      <c r="H2253" s="3">
        <v>3205.1</v>
      </c>
      <c r="I2253" s="3">
        <v>3204.68</v>
      </c>
      <c r="J2253" s="3">
        <v>4475</v>
      </c>
      <c r="K2253" s="3">
        <v>2866.6</v>
      </c>
      <c r="L2253" s="2">
        <v>1734623</v>
      </c>
      <c r="M2253" s="2">
        <v>5558913487.8000002</v>
      </c>
      <c r="N2253" s="2">
        <v>97265</v>
      </c>
      <c r="O2253" t="s">
        <v>25</v>
      </c>
    </row>
    <row r="2254" spans="1:15" x14ac:dyDescent="0.3">
      <c r="A2254" s="1">
        <v>46006</v>
      </c>
      <c r="B2254" t="s">
        <v>15</v>
      </c>
      <c r="C2254" s="3">
        <v>3211.1</v>
      </c>
      <c r="D2254" s="3">
        <v>3238.2</v>
      </c>
      <c r="E2254" s="3">
        <v>3197.3</v>
      </c>
      <c r="F2254" s="3">
        <v>3220.5</v>
      </c>
      <c r="G2254" s="3">
        <v>3227</v>
      </c>
      <c r="H2254" s="3">
        <v>3230.2</v>
      </c>
      <c r="I2254" s="3">
        <v>3220.97</v>
      </c>
      <c r="J2254" s="3">
        <v>4475</v>
      </c>
      <c r="K2254" s="3">
        <v>2866.6</v>
      </c>
      <c r="L2254" s="2">
        <v>1562190</v>
      </c>
      <c r="M2254" s="2">
        <v>5031766680.6999998</v>
      </c>
      <c r="N2254" s="2">
        <v>107289</v>
      </c>
      <c r="O2254" t="s">
        <v>25</v>
      </c>
    </row>
    <row r="2255" spans="1:15" x14ac:dyDescent="0.3">
      <c r="A2255" s="1">
        <v>46003</v>
      </c>
      <c r="B2255" t="s">
        <v>15</v>
      </c>
      <c r="C2255" s="3">
        <v>3197.7</v>
      </c>
      <c r="D2255" s="3">
        <v>3223</v>
      </c>
      <c r="E2255" s="3">
        <v>3185.7</v>
      </c>
      <c r="F2255" s="3">
        <v>3191.9</v>
      </c>
      <c r="G2255" s="3">
        <v>3220.1</v>
      </c>
      <c r="H2255" s="3">
        <v>3220.5</v>
      </c>
      <c r="I2255" s="3">
        <v>3209.12</v>
      </c>
      <c r="J2255" s="3">
        <v>4494.8999999999996</v>
      </c>
      <c r="K2255" s="3">
        <v>2866.6</v>
      </c>
      <c r="L2255" s="2">
        <v>1146554</v>
      </c>
      <c r="M2255" s="2">
        <v>3679424706.9000001</v>
      </c>
      <c r="N2255" s="2">
        <v>83968</v>
      </c>
      <c r="O2255" t="s">
        <v>25</v>
      </c>
    </row>
    <row r="2256" spans="1:15" x14ac:dyDescent="0.3">
      <c r="A2256" s="1">
        <v>46002</v>
      </c>
      <c r="B2256" t="s">
        <v>15</v>
      </c>
      <c r="C2256" s="3">
        <v>3205</v>
      </c>
      <c r="D2256" s="3">
        <v>3208.4</v>
      </c>
      <c r="E2256" s="3">
        <v>3153.1</v>
      </c>
      <c r="F2256" s="3">
        <v>3189.2</v>
      </c>
      <c r="G2256" s="3">
        <v>3193.9</v>
      </c>
      <c r="H2256" s="3">
        <v>3191.9</v>
      </c>
      <c r="I2256" s="3">
        <v>3184.35</v>
      </c>
      <c r="J2256" s="3">
        <v>4494.8999999999996</v>
      </c>
      <c r="K2256" s="3">
        <v>2866.6</v>
      </c>
      <c r="L2256" s="2">
        <v>1914362</v>
      </c>
      <c r="M2256" s="2">
        <v>6095995407.3000002</v>
      </c>
      <c r="N2256" s="2">
        <v>100793</v>
      </c>
      <c r="O2256" t="s">
        <v>25</v>
      </c>
    </row>
    <row r="2257" spans="1:15" x14ac:dyDescent="0.3">
      <c r="A2257" s="1">
        <v>46001</v>
      </c>
      <c r="B2257" t="s">
        <v>15</v>
      </c>
      <c r="C2257" s="3">
        <v>3225</v>
      </c>
      <c r="D2257" s="3">
        <v>3225</v>
      </c>
      <c r="E2257" s="3">
        <v>3178.1</v>
      </c>
      <c r="F2257" s="3">
        <v>3208.3</v>
      </c>
      <c r="G2257" s="3">
        <v>3185</v>
      </c>
      <c r="H2257" s="3">
        <v>3189.2</v>
      </c>
      <c r="I2257" s="3">
        <v>3191.56</v>
      </c>
      <c r="J2257" s="3">
        <v>4494.8999999999996</v>
      </c>
      <c r="K2257" s="3">
        <v>2866.6</v>
      </c>
      <c r="L2257" s="2">
        <v>1386849</v>
      </c>
      <c r="M2257" s="2">
        <v>4426207513.5</v>
      </c>
      <c r="N2257" s="2">
        <v>82261</v>
      </c>
      <c r="O2257" t="s">
        <v>25</v>
      </c>
    </row>
    <row r="2258" spans="1:15" x14ac:dyDescent="0.3">
      <c r="A2258" s="1">
        <v>46000</v>
      </c>
      <c r="B2258" t="s">
        <v>15</v>
      </c>
      <c r="C2258" s="3">
        <v>3230</v>
      </c>
      <c r="D2258" s="3">
        <v>3233.7</v>
      </c>
      <c r="E2258" s="3">
        <v>3181.2</v>
      </c>
      <c r="F2258" s="3">
        <v>3236.5</v>
      </c>
      <c r="G2258" s="3">
        <v>3208</v>
      </c>
      <c r="H2258" s="3">
        <v>3208.3</v>
      </c>
      <c r="I2258" s="3">
        <v>3201.08</v>
      </c>
      <c r="J2258" s="3">
        <v>4494.8999999999996</v>
      </c>
      <c r="K2258" s="3">
        <v>2866.6</v>
      </c>
      <c r="L2258" s="2">
        <v>2734893</v>
      </c>
      <c r="M2258" s="2">
        <v>8754608897.6000004</v>
      </c>
      <c r="N2258" s="2">
        <v>138787</v>
      </c>
      <c r="O2258" t="s">
        <v>25</v>
      </c>
    </row>
    <row r="2259" spans="1:15" x14ac:dyDescent="0.3">
      <c r="A2259" s="1">
        <v>45999</v>
      </c>
      <c r="B2259" t="s">
        <v>15</v>
      </c>
      <c r="C2259" s="3">
        <v>3243</v>
      </c>
      <c r="D2259" s="3">
        <v>3259.9</v>
      </c>
      <c r="E2259" s="3">
        <v>3208.6</v>
      </c>
      <c r="F2259" s="3">
        <v>3238.2</v>
      </c>
      <c r="G2259" s="3">
        <v>3237.9</v>
      </c>
      <c r="H2259" s="3">
        <v>3236.5</v>
      </c>
      <c r="I2259" s="3">
        <v>3236.92</v>
      </c>
      <c r="J2259" s="3">
        <v>4494.8999999999996</v>
      </c>
      <c r="K2259" s="3">
        <v>2866.6</v>
      </c>
      <c r="L2259" s="2">
        <v>2544725</v>
      </c>
      <c r="M2259" s="2">
        <v>8237058645.8999996</v>
      </c>
      <c r="N2259" s="2">
        <v>121186</v>
      </c>
      <c r="O2259" t="s">
        <v>25</v>
      </c>
    </row>
    <row r="2260" spans="1:15" x14ac:dyDescent="0.3">
      <c r="A2260" s="1">
        <v>45996</v>
      </c>
      <c r="B2260" t="s">
        <v>15</v>
      </c>
      <c r="C2260" s="3">
        <v>3230</v>
      </c>
      <c r="D2260" s="3">
        <v>3271.6</v>
      </c>
      <c r="E2260" s="3">
        <v>3222.4</v>
      </c>
      <c r="F2260" s="3">
        <v>3229.2</v>
      </c>
      <c r="G2260" s="3">
        <v>3241</v>
      </c>
      <c r="H2260" s="3">
        <v>3238.2</v>
      </c>
      <c r="I2260" s="3">
        <v>3246.03</v>
      </c>
      <c r="J2260" s="3">
        <v>4494.8999999999996</v>
      </c>
      <c r="K2260" s="3">
        <v>2866.6</v>
      </c>
      <c r="L2260" s="2">
        <v>5244013</v>
      </c>
      <c r="M2260" s="2">
        <v>17022214888.299999</v>
      </c>
      <c r="N2260" s="2">
        <v>178219</v>
      </c>
      <c r="O2260" t="s">
        <v>25</v>
      </c>
    </row>
    <row r="2261" spans="1:15" x14ac:dyDescent="0.3">
      <c r="A2261" s="1">
        <v>45995</v>
      </c>
      <c r="B2261" t="s">
        <v>15</v>
      </c>
      <c r="C2261" s="3">
        <v>3194</v>
      </c>
      <c r="D2261" s="3">
        <v>3250</v>
      </c>
      <c r="E2261" s="3">
        <v>3187.4</v>
      </c>
      <c r="F2261" s="3">
        <v>3180</v>
      </c>
      <c r="G2261" s="3">
        <v>3227</v>
      </c>
      <c r="H2261" s="3">
        <v>3229.2</v>
      </c>
      <c r="I2261" s="3">
        <v>3231.21</v>
      </c>
      <c r="J2261" s="3">
        <v>4494.8999999999996</v>
      </c>
      <c r="K2261" s="3">
        <v>2866.6</v>
      </c>
      <c r="L2261" s="2">
        <v>5025905</v>
      </c>
      <c r="M2261" s="2">
        <v>16239749623.200001</v>
      </c>
      <c r="N2261" s="2">
        <v>185585</v>
      </c>
      <c r="O2261" t="s">
        <v>25</v>
      </c>
    </row>
    <row r="2262" spans="1:15" x14ac:dyDescent="0.3">
      <c r="A2262" s="1">
        <v>45994</v>
      </c>
      <c r="B2262" t="s">
        <v>15</v>
      </c>
      <c r="C2262" s="3">
        <v>3140</v>
      </c>
      <c r="D2262" s="3">
        <v>3211.9</v>
      </c>
      <c r="E2262" s="3">
        <v>3139</v>
      </c>
      <c r="F2262" s="3">
        <v>3135.7</v>
      </c>
      <c r="G2262" s="3">
        <v>3180</v>
      </c>
      <c r="H2262" s="3">
        <v>3180</v>
      </c>
      <c r="I2262" s="3">
        <v>3185.48</v>
      </c>
      <c r="J2262" s="3">
        <v>4494.8999999999996</v>
      </c>
      <c r="K2262" s="3">
        <v>2866.6</v>
      </c>
      <c r="L2262" s="2">
        <v>3952112</v>
      </c>
      <c r="M2262" s="2">
        <v>12589378283.4</v>
      </c>
      <c r="N2262" s="2">
        <v>192454</v>
      </c>
      <c r="O2262" t="s">
        <v>25</v>
      </c>
    </row>
    <row r="2263" spans="1:15" x14ac:dyDescent="0.3">
      <c r="A2263" s="1">
        <v>45993</v>
      </c>
      <c r="B2263" t="s">
        <v>15</v>
      </c>
      <c r="C2263" s="3">
        <v>3131</v>
      </c>
      <c r="D2263" s="3">
        <v>3144</v>
      </c>
      <c r="E2263" s="3">
        <v>3120.4</v>
      </c>
      <c r="F2263" s="3">
        <v>3133.4</v>
      </c>
      <c r="G2263" s="3">
        <v>3137.5</v>
      </c>
      <c r="H2263" s="3">
        <v>3135.7</v>
      </c>
      <c r="I2263" s="3">
        <v>3133.36</v>
      </c>
      <c r="J2263" s="3">
        <v>4494.8999999999996</v>
      </c>
      <c r="K2263" s="3">
        <v>2866.6</v>
      </c>
      <c r="L2263" s="2">
        <v>2512003</v>
      </c>
      <c r="M2263" s="2">
        <v>7871011640.6000004</v>
      </c>
      <c r="N2263" s="2">
        <v>127701</v>
      </c>
      <c r="O2263" t="s">
        <v>25</v>
      </c>
    </row>
    <row r="2264" spans="1:15" x14ac:dyDescent="0.3">
      <c r="A2264" s="1">
        <v>45992</v>
      </c>
      <c r="B2264" t="s">
        <v>15</v>
      </c>
      <c r="C2264" s="3">
        <v>3137.9</v>
      </c>
      <c r="D2264" s="3">
        <v>3154</v>
      </c>
      <c r="E2264" s="3">
        <v>3122.2</v>
      </c>
      <c r="F2264" s="3">
        <v>3137.5</v>
      </c>
      <c r="G2264" s="3">
        <v>3138</v>
      </c>
      <c r="H2264" s="3">
        <v>3133.4</v>
      </c>
      <c r="I2264" s="3">
        <v>3133.29</v>
      </c>
      <c r="J2264" s="3">
        <v>4494.8999999999996</v>
      </c>
      <c r="K2264" s="3">
        <v>2866.6</v>
      </c>
      <c r="L2264" s="2">
        <v>1747647</v>
      </c>
      <c r="M2264" s="2">
        <v>5475878282.1999998</v>
      </c>
      <c r="N2264" s="2">
        <v>130698</v>
      </c>
      <c r="O2264" t="s">
        <v>25</v>
      </c>
    </row>
    <row r="2265" spans="1:15" x14ac:dyDescent="0.3">
      <c r="A2265" s="1">
        <v>45989</v>
      </c>
      <c r="B2265" t="s">
        <v>15</v>
      </c>
      <c r="C2265" s="3">
        <v>3140</v>
      </c>
      <c r="D2265" s="3">
        <v>3147.3</v>
      </c>
      <c r="E2265" s="3">
        <v>3125</v>
      </c>
      <c r="F2265" s="3">
        <v>3136.6</v>
      </c>
      <c r="G2265" s="3">
        <v>3135.9</v>
      </c>
      <c r="H2265" s="3">
        <v>3137.5</v>
      </c>
      <c r="I2265" s="3">
        <v>3137.82</v>
      </c>
      <c r="J2265" s="3">
        <v>4494.8999999999996</v>
      </c>
      <c r="K2265" s="3">
        <v>2866.6</v>
      </c>
      <c r="L2265" s="2">
        <v>1616690</v>
      </c>
      <c r="M2265" s="2">
        <v>5072888841.3000002</v>
      </c>
      <c r="N2265" s="2">
        <v>79463</v>
      </c>
      <c r="O2265" t="s">
        <v>25</v>
      </c>
    </row>
    <row r="2266" spans="1:15" x14ac:dyDescent="0.3">
      <c r="A2266" s="1">
        <v>45988</v>
      </c>
      <c r="B2266" t="s">
        <v>15</v>
      </c>
      <c r="C2266" s="3">
        <v>3180</v>
      </c>
      <c r="D2266" s="3">
        <v>3180</v>
      </c>
      <c r="E2266" s="3">
        <v>3125</v>
      </c>
      <c r="F2266" s="3">
        <v>3162.9</v>
      </c>
      <c r="G2266" s="3">
        <v>3134</v>
      </c>
      <c r="H2266" s="3">
        <v>3136.6</v>
      </c>
      <c r="I2266" s="3">
        <v>3142.97</v>
      </c>
      <c r="J2266" s="3">
        <v>4494.8999999999996</v>
      </c>
      <c r="K2266" s="3">
        <v>2866.6</v>
      </c>
      <c r="L2266" s="2">
        <v>2836233</v>
      </c>
      <c r="M2266" s="2">
        <v>8914192099.1000004</v>
      </c>
      <c r="N2266" s="2">
        <v>171374</v>
      </c>
      <c r="O2266" t="s">
        <v>25</v>
      </c>
    </row>
    <row r="2267" spans="1:15" x14ac:dyDescent="0.3">
      <c r="A2267" s="1">
        <v>45987</v>
      </c>
      <c r="B2267" t="s">
        <v>15</v>
      </c>
      <c r="C2267" s="3">
        <v>3118.8</v>
      </c>
      <c r="D2267" s="3">
        <v>3178</v>
      </c>
      <c r="E2267" s="3">
        <v>3117</v>
      </c>
      <c r="F2267" s="3">
        <v>3119.2</v>
      </c>
      <c r="G2267" s="3">
        <v>3162.9</v>
      </c>
      <c r="H2267" s="3">
        <v>3162.9</v>
      </c>
      <c r="I2267" s="3">
        <v>3157.95</v>
      </c>
      <c r="J2267" s="3">
        <v>4494.8999999999996</v>
      </c>
      <c r="K2267" s="3">
        <v>2866.6</v>
      </c>
      <c r="L2267" s="2">
        <v>2508527</v>
      </c>
      <c r="M2267" s="2">
        <v>7921809747</v>
      </c>
      <c r="N2267" s="2">
        <v>112405</v>
      </c>
      <c r="O2267" t="s">
        <v>25</v>
      </c>
    </row>
    <row r="2268" spans="1:15" x14ac:dyDescent="0.3">
      <c r="A2268" s="1">
        <v>45986</v>
      </c>
      <c r="B2268" t="s">
        <v>15</v>
      </c>
      <c r="C2268" s="3">
        <v>3145.3</v>
      </c>
      <c r="D2268" s="3">
        <v>3149.8</v>
      </c>
      <c r="E2268" s="3">
        <v>3115</v>
      </c>
      <c r="F2268" s="3">
        <v>3141.2</v>
      </c>
      <c r="G2268" s="3">
        <v>3115.7</v>
      </c>
      <c r="H2268" s="3">
        <v>3119.2</v>
      </c>
      <c r="I2268" s="3">
        <v>3127.55</v>
      </c>
      <c r="J2268" s="3">
        <v>4494.8999999999996</v>
      </c>
      <c r="K2268" s="3">
        <v>2866.6</v>
      </c>
      <c r="L2268" s="2">
        <v>2737920</v>
      </c>
      <c r="M2268" s="2">
        <v>8562968101.6999998</v>
      </c>
      <c r="N2268" s="2">
        <v>144573</v>
      </c>
      <c r="O2268" t="s">
        <v>25</v>
      </c>
    </row>
    <row r="2269" spans="1:15" x14ac:dyDescent="0.3">
      <c r="A2269" s="1">
        <v>45985</v>
      </c>
      <c r="B2269" t="s">
        <v>15</v>
      </c>
      <c r="C2269" s="3">
        <v>3158</v>
      </c>
      <c r="D2269" s="3">
        <v>3178.9</v>
      </c>
      <c r="E2269" s="3">
        <v>3131</v>
      </c>
      <c r="F2269" s="3">
        <v>3150.6</v>
      </c>
      <c r="G2269" s="3">
        <v>3134</v>
      </c>
      <c r="H2269" s="3">
        <v>3141.2</v>
      </c>
      <c r="I2269" s="3">
        <v>3151.71</v>
      </c>
      <c r="J2269" s="3">
        <v>4494.8999999999996</v>
      </c>
      <c r="K2269" s="3">
        <v>2866.6</v>
      </c>
      <c r="L2269" s="2">
        <v>6703764</v>
      </c>
      <c r="M2269" s="2">
        <v>21128317183.5</v>
      </c>
      <c r="N2269" s="2">
        <v>176937</v>
      </c>
      <c r="O2269" t="s">
        <v>25</v>
      </c>
    </row>
    <row r="2270" spans="1:15" x14ac:dyDescent="0.3">
      <c r="A2270" s="1">
        <v>45982</v>
      </c>
      <c r="B2270" t="s">
        <v>15</v>
      </c>
      <c r="C2270" s="3">
        <v>3144.8</v>
      </c>
      <c r="D2270" s="3">
        <v>3170</v>
      </c>
      <c r="E2270" s="3">
        <v>3135.2</v>
      </c>
      <c r="F2270" s="3">
        <v>3144.8</v>
      </c>
      <c r="G2270" s="3">
        <v>3150</v>
      </c>
      <c r="H2270" s="3">
        <v>3150.6</v>
      </c>
      <c r="I2270" s="3">
        <v>3153.22</v>
      </c>
      <c r="J2270" s="3">
        <v>4494.8999999999996</v>
      </c>
      <c r="K2270" s="3">
        <v>2866.6</v>
      </c>
      <c r="L2270" s="2">
        <v>4177037</v>
      </c>
      <c r="M2270" s="2">
        <v>13171133172.799999</v>
      </c>
      <c r="N2270" s="2">
        <v>136571</v>
      </c>
      <c r="O2270" t="s">
        <v>25</v>
      </c>
    </row>
    <row r="2271" spans="1:15" x14ac:dyDescent="0.3">
      <c r="A2271" s="1">
        <v>45981</v>
      </c>
      <c r="B2271" t="s">
        <v>15</v>
      </c>
      <c r="C2271" s="3">
        <v>3148</v>
      </c>
      <c r="D2271" s="3">
        <v>3164.5</v>
      </c>
      <c r="E2271" s="3">
        <v>3138.1</v>
      </c>
      <c r="F2271" s="3">
        <v>3147.7</v>
      </c>
      <c r="G2271" s="3">
        <v>3149.8</v>
      </c>
      <c r="H2271" s="3">
        <v>3144.8</v>
      </c>
      <c r="I2271" s="3">
        <v>3152.05</v>
      </c>
      <c r="J2271" s="3">
        <v>4494.8999999999996</v>
      </c>
      <c r="K2271" s="3">
        <v>2866.6</v>
      </c>
      <c r="L2271" s="2">
        <v>2700767</v>
      </c>
      <c r="M2271" s="2">
        <v>8512940687.6999998</v>
      </c>
      <c r="N2271" s="2">
        <v>113822</v>
      </c>
      <c r="O2271" t="s">
        <v>25</v>
      </c>
    </row>
    <row r="2272" spans="1:15" x14ac:dyDescent="0.3">
      <c r="A2272" s="1">
        <v>45980</v>
      </c>
      <c r="B2272" t="s">
        <v>15</v>
      </c>
      <c r="C2272" s="3">
        <v>3097</v>
      </c>
      <c r="D2272" s="3">
        <v>3155</v>
      </c>
      <c r="E2272" s="3">
        <v>3083.5</v>
      </c>
      <c r="F2272" s="3">
        <v>3087.1</v>
      </c>
      <c r="G2272" s="3">
        <v>3147</v>
      </c>
      <c r="H2272" s="3">
        <v>3147.7</v>
      </c>
      <c r="I2272" s="3">
        <v>3136.67</v>
      </c>
      <c r="J2272" s="3">
        <v>4494.8999999999996</v>
      </c>
      <c r="K2272" s="3">
        <v>2866.6</v>
      </c>
      <c r="L2272" s="2">
        <v>3151053</v>
      </c>
      <c r="M2272" s="2">
        <v>9883820509.7999992</v>
      </c>
      <c r="N2272" s="2">
        <v>160625</v>
      </c>
      <c r="O2272" t="s">
        <v>25</v>
      </c>
    </row>
    <row r="2273" spans="1:15" x14ac:dyDescent="0.3">
      <c r="A2273" s="1">
        <v>45979</v>
      </c>
      <c r="B2273" t="s">
        <v>15</v>
      </c>
      <c r="C2273" s="3">
        <v>3102</v>
      </c>
      <c r="D2273" s="3">
        <v>3105</v>
      </c>
      <c r="E2273" s="3">
        <v>3078</v>
      </c>
      <c r="F2273" s="3">
        <v>3102.2</v>
      </c>
      <c r="G2273" s="3">
        <v>3080.1</v>
      </c>
      <c r="H2273" s="3">
        <v>3087.1</v>
      </c>
      <c r="I2273" s="3">
        <v>3090.92</v>
      </c>
      <c r="J2273" s="3">
        <v>4494.8999999999996</v>
      </c>
      <c r="K2273" s="3">
        <v>2866.6</v>
      </c>
      <c r="L2273" s="2">
        <v>2548350</v>
      </c>
      <c r="M2273" s="2">
        <v>7876755648.8999996</v>
      </c>
      <c r="N2273" s="2">
        <v>110903</v>
      </c>
      <c r="O2273" t="s">
        <v>25</v>
      </c>
    </row>
    <row r="2274" spans="1:15" x14ac:dyDescent="0.3">
      <c r="A2274" s="1">
        <v>45978</v>
      </c>
      <c r="B2274" t="s">
        <v>15</v>
      </c>
      <c r="C2274" s="3">
        <v>3106</v>
      </c>
      <c r="D2274" s="3">
        <v>3123.5</v>
      </c>
      <c r="E2274" s="3">
        <v>3086.6</v>
      </c>
      <c r="F2274" s="3">
        <v>3106</v>
      </c>
      <c r="G2274" s="3">
        <v>3100</v>
      </c>
      <c r="H2274" s="3">
        <v>3102.2</v>
      </c>
      <c r="I2274" s="3">
        <v>3099.87</v>
      </c>
      <c r="J2274" s="3">
        <v>4494.8999999999996</v>
      </c>
      <c r="K2274" s="3">
        <v>2866.6</v>
      </c>
      <c r="L2274" s="2">
        <v>2232853</v>
      </c>
      <c r="M2274" s="2">
        <v>6921546326.8999996</v>
      </c>
      <c r="N2274" s="2">
        <v>96155</v>
      </c>
      <c r="O2274" t="s">
        <v>25</v>
      </c>
    </row>
    <row r="2275" spans="1:15" x14ac:dyDescent="0.3">
      <c r="A2275" s="1">
        <v>45975</v>
      </c>
      <c r="B2275" t="s">
        <v>15</v>
      </c>
      <c r="C2275" s="3">
        <v>3090</v>
      </c>
      <c r="D2275" s="3">
        <v>3113.1</v>
      </c>
      <c r="E2275" s="3">
        <v>3077.3</v>
      </c>
      <c r="F2275" s="3">
        <v>3105.7</v>
      </c>
      <c r="G2275" s="3">
        <v>3112</v>
      </c>
      <c r="H2275" s="3">
        <v>3106</v>
      </c>
      <c r="I2275" s="3">
        <v>3095.35</v>
      </c>
      <c r="J2275" s="3">
        <v>4494.8999999999996</v>
      </c>
      <c r="K2275" s="3">
        <v>2866.6</v>
      </c>
      <c r="L2275" s="2">
        <v>2210794</v>
      </c>
      <c r="M2275" s="2">
        <v>6843177119.8999996</v>
      </c>
      <c r="N2275" s="2">
        <v>105008</v>
      </c>
      <c r="O2275" t="s">
        <v>25</v>
      </c>
    </row>
    <row r="2276" spans="1:15" x14ac:dyDescent="0.3">
      <c r="A2276" s="1">
        <v>45974</v>
      </c>
      <c r="B2276" t="s">
        <v>15</v>
      </c>
      <c r="C2276" s="3">
        <v>3131.8</v>
      </c>
      <c r="D2276" s="3">
        <v>3131.9</v>
      </c>
      <c r="E2276" s="3">
        <v>3102</v>
      </c>
      <c r="F2276" s="3">
        <v>3131.8</v>
      </c>
      <c r="G2276" s="3">
        <v>3104.8</v>
      </c>
      <c r="H2276" s="3">
        <v>3105.7</v>
      </c>
      <c r="I2276" s="3">
        <v>3113.07</v>
      </c>
      <c r="J2276" s="3">
        <v>4494.8999999999996</v>
      </c>
      <c r="K2276" s="3">
        <v>2866.6</v>
      </c>
      <c r="L2276" s="2">
        <v>1740435</v>
      </c>
      <c r="M2276" s="2">
        <v>5418091012.5</v>
      </c>
      <c r="N2276" s="2">
        <v>120845</v>
      </c>
      <c r="O2276" t="s">
        <v>25</v>
      </c>
    </row>
    <row r="2277" spans="1:15" x14ac:dyDescent="0.3">
      <c r="A2277" s="1">
        <v>45973</v>
      </c>
      <c r="B2277" t="s">
        <v>15</v>
      </c>
      <c r="C2277" s="3">
        <v>3060</v>
      </c>
      <c r="D2277" s="3">
        <v>3136.4</v>
      </c>
      <c r="E2277" s="3">
        <v>3057.1</v>
      </c>
      <c r="F2277" s="3">
        <v>3047</v>
      </c>
      <c r="G2277" s="3">
        <v>3125.1</v>
      </c>
      <c r="H2277" s="3">
        <v>3131.8</v>
      </c>
      <c r="I2277" s="3">
        <v>3114.78</v>
      </c>
      <c r="J2277" s="3">
        <v>4494.8999999999996</v>
      </c>
      <c r="K2277" s="3">
        <v>2866.6</v>
      </c>
      <c r="L2277" s="2">
        <v>4460315</v>
      </c>
      <c r="M2277" s="2">
        <v>13892902410.200001</v>
      </c>
      <c r="N2277" s="2">
        <v>175446</v>
      </c>
      <c r="O2277" t="s">
        <v>25</v>
      </c>
    </row>
    <row r="2278" spans="1:15" x14ac:dyDescent="0.3">
      <c r="A2278" s="1">
        <v>45972</v>
      </c>
      <c r="B2278" t="s">
        <v>15</v>
      </c>
      <c r="C2278" s="3">
        <v>3045</v>
      </c>
      <c r="D2278" s="3">
        <v>3055.7</v>
      </c>
      <c r="E2278" s="3">
        <v>3018</v>
      </c>
      <c r="F2278" s="3">
        <v>3025.2</v>
      </c>
      <c r="G2278" s="3">
        <v>3049</v>
      </c>
      <c r="H2278" s="3">
        <v>3047</v>
      </c>
      <c r="I2278" s="3">
        <v>3037.03</v>
      </c>
      <c r="J2278" s="3">
        <v>4494.8999999999996</v>
      </c>
      <c r="K2278" s="3">
        <v>2866.6</v>
      </c>
      <c r="L2278" s="2">
        <v>2806868</v>
      </c>
      <c r="M2278" s="2">
        <v>8524541738.5</v>
      </c>
      <c r="N2278" s="2">
        <v>112361</v>
      </c>
      <c r="O2278" t="s">
        <v>25</v>
      </c>
    </row>
    <row r="2279" spans="1:15" x14ac:dyDescent="0.3">
      <c r="A2279" s="1">
        <v>45971</v>
      </c>
      <c r="B2279" t="s">
        <v>15</v>
      </c>
      <c r="C2279" s="3">
        <v>2993</v>
      </c>
      <c r="D2279" s="3">
        <v>3047.9</v>
      </c>
      <c r="E2279" s="3">
        <v>2992</v>
      </c>
      <c r="F2279" s="3">
        <v>2991.8</v>
      </c>
      <c r="G2279" s="3">
        <v>3025</v>
      </c>
      <c r="H2279" s="3">
        <v>3025.2</v>
      </c>
      <c r="I2279" s="3">
        <v>3022.51</v>
      </c>
      <c r="J2279" s="3">
        <v>4494.8999999999996</v>
      </c>
      <c r="K2279" s="3">
        <v>2866.6</v>
      </c>
      <c r="L2279" s="2">
        <v>1556656</v>
      </c>
      <c r="M2279" s="2">
        <v>4705008219.6999998</v>
      </c>
      <c r="N2279" s="2">
        <v>78119</v>
      </c>
      <c r="O2279" t="s">
        <v>25</v>
      </c>
    </row>
    <row r="2280" spans="1:15" x14ac:dyDescent="0.3">
      <c r="A2280" s="1">
        <v>45968</v>
      </c>
      <c r="B2280" t="s">
        <v>15</v>
      </c>
      <c r="C2280" s="3">
        <v>3001</v>
      </c>
      <c r="D2280" s="3">
        <v>3004</v>
      </c>
      <c r="E2280" s="3">
        <v>2960.5</v>
      </c>
      <c r="F2280" s="3">
        <v>3010.9</v>
      </c>
      <c r="G2280" s="3">
        <v>2993.5</v>
      </c>
      <c r="H2280" s="3">
        <v>2991.8</v>
      </c>
      <c r="I2280" s="3">
        <v>2979.65</v>
      </c>
      <c r="J2280" s="3">
        <v>4494.8999999999996</v>
      </c>
      <c r="K2280" s="3">
        <v>2866.6</v>
      </c>
      <c r="L2280" s="2">
        <v>1830520</v>
      </c>
      <c r="M2280" s="2">
        <v>5454308584.3000002</v>
      </c>
      <c r="N2280" s="2">
        <v>106949</v>
      </c>
      <c r="O2280" t="s">
        <v>25</v>
      </c>
    </row>
    <row r="2281" spans="1:15" x14ac:dyDescent="0.3">
      <c r="A2281" s="1">
        <v>45967</v>
      </c>
      <c r="B2281" t="s">
        <v>15</v>
      </c>
      <c r="C2281" s="3">
        <v>2990.1</v>
      </c>
      <c r="D2281" s="3">
        <v>3024</v>
      </c>
      <c r="E2281" s="3">
        <v>2990</v>
      </c>
      <c r="F2281" s="3">
        <v>2990.2</v>
      </c>
      <c r="G2281" s="3">
        <v>3010</v>
      </c>
      <c r="H2281" s="3">
        <v>3010.9</v>
      </c>
      <c r="I2281" s="3">
        <v>3010.5</v>
      </c>
      <c r="J2281" s="3">
        <v>4494.8999999999996</v>
      </c>
      <c r="K2281" s="3">
        <v>2866.6</v>
      </c>
      <c r="L2281" s="2">
        <v>2542721</v>
      </c>
      <c r="M2281" s="2">
        <v>7654860638.8000002</v>
      </c>
      <c r="N2281" s="2">
        <v>200775</v>
      </c>
      <c r="O2281" t="s">
        <v>25</v>
      </c>
    </row>
    <row r="2282" spans="1:15" x14ac:dyDescent="0.3">
      <c r="A2282" s="1">
        <v>45965</v>
      </c>
      <c r="B2282" t="s">
        <v>15</v>
      </c>
      <c r="C2282" s="3">
        <v>3019.6</v>
      </c>
      <c r="D2282" s="3">
        <v>3029.3</v>
      </c>
      <c r="E2282" s="3">
        <v>2976</v>
      </c>
      <c r="F2282" s="3">
        <v>3016.8</v>
      </c>
      <c r="G2282" s="3">
        <v>2987.7</v>
      </c>
      <c r="H2282" s="3">
        <v>2990.2</v>
      </c>
      <c r="I2282" s="3">
        <v>2992.11</v>
      </c>
      <c r="J2282" s="3">
        <v>4494.8999999999996</v>
      </c>
      <c r="K2282" s="3">
        <v>2866.6</v>
      </c>
      <c r="L2282" s="2">
        <v>2670720</v>
      </c>
      <c r="M2282" s="2">
        <v>7991078689.6000004</v>
      </c>
      <c r="N2282" s="2">
        <v>168525</v>
      </c>
      <c r="O2282" t="s">
        <v>25</v>
      </c>
    </row>
    <row r="2283" spans="1:15" x14ac:dyDescent="0.3">
      <c r="A2283" s="1">
        <v>45964</v>
      </c>
      <c r="B2283" t="s">
        <v>15</v>
      </c>
      <c r="C2283" s="3">
        <v>3046.9</v>
      </c>
      <c r="D2283" s="3">
        <v>3058</v>
      </c>
      <c r="E2283" s="3">
        <v>3010</v>
      </c>
      <c r="F2283" s="3">
        <v>3058</v>
      </c>
      <c r="G2283" s="3">
        <v>3019.5</v>
      </c>
      <c r="H2283" s="3">
        <v>3016.8</v>
      </c>
      <c r="I2283" s="3">
        <v>3024.83</v>
      </c>
      <c r="J2283" s="3">
        <v>4494.8999999999996</v>
      </c>
      <c r="K2283" s="3">
        <v>2866.6</v>
      </c>
      <c r="L2283" s="2">
        <v>2194877</v>
      </c>
      <c r="M2283" s="2">
        <v>6639124030.6999998</v>
      </c>
      <c r="N2283" s="2">
        <v>101452</v>
      </c>
      <c r="O2283" t="s">
        <v>25</v>
      </c>
    </row>
    <row r="2284" spans="1:15" x14ac:dyDescent="0.3">
      <c r="A2284" s="1">
        <v>45961</v>
      </c>
      <c r="B2284" t="s">
        <v>15</v>
      </c>
      <c r="C2284" s="3">
        <v>3035</v>
      </c>
      <c r="D2284" s="3">
        <v>3067.4</v>
      </c>
      <c r="E2284" s="3">
        <v>3025.1</v>
      </c>
      <c r="F2284" s="3">
        <v>3035.3</v>
      </c>
      <c r="G2284" s="3">
        <v>3060</v>
      </c>
      <c r="H2284" s="3">
        <v>3058</v>
      </c>
      <c r="I2284" s="3">
        <v>3055.61</v>
      </c>
      <c r="J2284" s="3">
        <v>4494.8999999999996</v>
      </c>
      <c r="K2284" s="3">
        <v>2866.6</v>
      </c>
      <c r="L2284" s="2">
        <v>1868085</v>
      </c>
      <c r="M2284" s="2">
        <v>5708136334.3000002</v>
      </c>
      <c r="N2284" s="2">
        <v>81376</v>
      </c>
      <c r="O2284" t="s">
        <v>25</v>
      </c>
    </row>
    <row r="2285" spans="1:15" x14ac:dyDescent="0.3">
      <c r="A2285" s="1">
        <v>45960</v>
      </c>
      <c r="B2285" t="s">
        <v>15</v>
      </c>
      <c r="C2285" s="3">
        <v>3049.1</v>
      </c>
      <c r="D2285" s="3">
        <v>3063.8</v>
      </c>
      <c r="E2285" s="3">
        <v>3032.8</v>
      </c>
      <c r="F2285" s="3">
        <v>3057.6</v>
      </c>
      <c r="G2285" s="3">
        <v>3035.5</v>
      </c>
      <c r="H2285" s="3">
        <v>3035.3</v>
      </c>
      <c r="I2285" s="3">
        <v>3039.99</v>
      </c>
      <c r="J2285" s="3">
        <v>4494.8999999999996</v>
      </c>
      <c r="K2285" s="3">
        <v>2866.6</v>
      </c>
      <c r="L2285" s="2">
        <v>2241536</v>
      </c>
      <c r="M2285" s="2">
        <v>6814245032</v>
      </c>
      <c r="N2285" s="2">
        <v>115244</v>
      </c>
      <c r="O2285" t="s">
        <v>25</v>
      </c>
    </row>
    <row r="2286" spans="1:15" x14ac:dyDescent="0.3">
      <c r="A2286" s="1">
        <v>45959</v>
      </c>
      <c r="B2286" t="s">
        <v>15</v>
      </c>
      <c r="C2286" s="3">
        <v>3057.9</v>
      </c>
      <c r="D2286" s="3">
        <v>3076</v>
      </c>
      <c r="E2286" s="3">
        <v>3046.1</v>
      </c>
      <c r="F2286" s="3">
        <v>3057.9</v>
      </c>
      <c r="G2286" s="3">
        <v>3060</v>
      </c>
      <c r="H2286" s="3">
        <v>3057.6</v>
      </c>
      <c r="I2286" s="3">
        <v>3061.14</v>
      </c>
      <c r="J2286" s="3">
        <v>4494.8999999999996</v>
      </c>
      <c r="K2286" s="3">
        <v>2866.6</v>
      </c>
      <c r="L2286" s="2">
        <v>2895420</v>
      </c>
      <c r="M2286" s="2">
        <v>8863286092.5</v>
      </c>
      <c r="N2286" s="2">
        <v>116138</v>
      </c>
      <c r="O2286" t="s">
        <v>25</v>
      </c>
    </row>
    <row r="2287" spans="1:15" x14ac:dyDescent="0.3">
      <c r="A2287" s="1">
        <v>45958</v>
      </c>
      <c r="B2287" t="s">
        <v>15</v>
      </c>
      <c r="C2287" s="3">
        <v>3076</v>
      </c>
      <c r="D2287" s="3">
        <v>3090.2</v>
      </c>
      <c r="E2287" s="3">
        <v>3040.2</v>
      </c>
      <c r="F2287" s="3">
        <v>3084.9</v>
      </c>
      <c r="G2287" s="3">
        <v>3059.8</v>
      </c>
      <c r="H2287" s="3">
        <v>3057.9</v>
      </c>
      <c r="I2287" s="3">
        <v>3059.27</v>
      </c>
      <c r="J2287" s="3">
        <v>4494.8999999999996</v>
      </c>
      <c r="K2287" s="3">
        <v>2866.6</v>
      </c>
      <c r="L2287" s="2">
        <v>3470737</v>
      </c>
      <c r="M2287" s="2">
        <v>10617938168.299999</v>
      </c>
      <c r="N2287" s="2">
        <v>140326</v>
      </c>
      <c r="O2287" t="s">
        <v>25</v>
      </c>
    </row>
    <row r="2288" spans="1:15" x14ac:dyDescent="0.3">
      <c r="A2288" s="1">
        <v>45957</v>
      </c>
      <c r="B2288" t="s">
        <v>15</v>
      </c>
      <c r="C2288" s="3">
        <v>3066.5</v>
      </c>
      <c r="D2288" s="3">
        <v>3094.2</v>
      </c>
      <c r="E2288" s="3">
        <v>3060.2</v>
      </c>
      <c r="F2288" s="3">
        <v>3063.2</v>
      </c>
      <c r="G2288" s="3">
        <v>3083</v>
      </c>
      <c r="H2288" s="3">
        <v>3084.9</v>
      </c>
      <c r="I2288" s="3">
        <v>3083.94</v>
      </c>
      <c r="J2288" s="3">
        <v>4494.8999999999996</v>
      </c>
      <c r="K2288" s="3">
        <v>2866.6</v>
      </c>
      <c r="L2288" s="2">
        <v>1946312</v>
      </c>
      <c r="M2288" s="2">
        <v>6002314206.6000004</v>
      </c>
      <c r="N2288" s="2">
        <v>85517</v>
      </c>
      <c r="O2288" t="s">
        <v>25</v>
      </c>
    </row>
    <row r="2289" spans="1:15" x14ac:dyDescent="0.3">
      <c r="A2289" s="1">
        <v>45954</v>
      </c>
      <c r="B2289" t="s">
        <v>15</v>
      </c>
      <c r="C2289" s="3">
        <v>3080</v>
      </c>
      <c r="D2289" s="3">
        <v>3090</v>
      </c>
      <c r="E2289" s="3">
        <v>3058.3</v>
      </c>
      <c r="F2289" s="3">
        <v>3073.2</v>
      </c>
      <c r="G2289" s="3">
        <v>3060.6</v>
      </c>
      <c r="H2289" s="3">
        <v>3063.2</v>
      </c>
      <c r="I2289" s="3">
        <v>3073.62</v>
      </c>
      <c r="J2289" s="3">
        <v>4494.8999999999996</v>
      </c>
      <c r="K2289" s="3">
        <v>2866.6</v>
      </c>
      <c r="L2289" s="2">
        <v>2684318</v>
      </c>
      <c r="M2289" s="2">
        <v>8250573087.8000002</v>
      </c>
      <c r="N2289" s="2">
        <v>187127</v>
      </c>
      <c r="O2289" t="s">
        <v>25</v>
      </c>
    </row>
    <row r="2290" spans="1:15" x14ac:dyDescent="0.3">
      <c r="A2290" s="1">
        <v>45953</v>
      </c>
      <c r="B2290" t="s">
        <v>15</v>
      </c>
      <c r="C2290" s="3">
        <v>3055</v>
      </c>
      <c r="D2290" s="3">
        <v>3098</v>
      </c>
      <c r="E2290" s="3">
        <v>3036.1</v>
      </c>
      <c r="F2290" s="3">
        <v>3006.7</v>
      </c>
      <c r="G2290" s="3">
        <v>3070</v>
      </c>
      <c r="H2290" s="3">
        <v>3073.2</v>
      </c>
      <c r="I2290" s="3">
        <v>3075.63</v>
      </c>
      <c r="J2290" s="3">
        <v>4494.8999999999996</v>
      </c>
      <c r="K2290" s="3">
        <v>2866.6</v>
      </c>
      <c r="L2290" s="2">
        <v>5564758</v>
      </c>
      <c r="M2290" s="2">
        <v>17115135296</v>
      </c>
      <c r="N2290" s="2">
        <v>290229</v>
      </c>
      <c r="O2290" t="s">
        <v>25</v>
      </c>
    </row>
    <row r="2291" spans="1:15" x14ac:dyDescent="0.3">
      <c r="A2291" s="1">
        <v>45951</v>
      </c>
      <c r="B2291" t="s">
        <v>15</v>
      </c>
      <c r="C2291" s="3">
        <v>3031.1</v>
      </c>
      <c r="D2291" s="3">
        <v>3031.8</v>
      </c>
      <c r="E2291" s="3">
        <v>2996</v>
      </c>
      <c r="F2291" s="3">
        <v>3015.2</v>
      </c>
      <c r="G2291" s="3">
        <v>3000</v>
      </c>
      <c r="H2291" s="3">
        <v>3006.7</v>
      </c>
      <c r="I2291" s="3">
        <v>3013.14</v>
      </c>
      <c r="J2291" s="3">
        <v>4494.8999999999996</v>
      </c>
      <c r="K2291" s="3">
        <v>2866.6</v>
      </c>
      <c r="L2291" s="2">
        <v>310644</v>
      </c>
      <c r="M2291" s="2">
        <v>936015414.70000005</v>
      </c>
      <c r="N2291" s="2">
        <v>29319</v>
      </c>
      <c r="O2291" t="s">
        <v>25</v>
      </c>
    </row>
    <row r="2292" spans="1:15" x14ac:dyDescent="0.3">
      <c r="A2292" s="1">
        <v>45950</v>
      </c>
      <c r="B2292" t="s">
        <v>15</v>
      </c>
      <c r="C2292" s="3">
        <v>2985.5</v>
      </c>
      <c r="D2292" s="3">
        <v>3023</v>
      </c>
      <c r="E2292" s="3">
        <v>2978.5</v>
      </c>
      <c r="F2292" s="3">
        <v>2962.2</v>
      </c>
      <c r="G2292" s="3">
        <v>3016.3</v>
      </c>
      <c r="H2292" s="3">
        <v>3015.2</v>
      </c>
      <c r="I2292" s="3">
        <v>3007.54</v>
      </c>
      <c r="J2292" s="3">
        <v>4494.8999999999996</v>
      </c>
      <c r="K2292" s="3">
        <v>2866.6</v>
      </c>
      <c r="L2292" s="2">
        <v>3133039</v>
      </c>
      <c r="M2292" s="2">
        <v>9422754243.2999992</v>
      </c>
      <c r="N2292" s="2">
        <v>163532</v>
      </c>
      <c r="O2292" t="s">
        <v>25</v>
      </c>
    </row>
    <row r="2293" spans="1:15" x14ac:dyDescent="0.3">
      <c r="A2293" s="1">
        <v>45947</v>
      </c>
      <c r="B2293" t="s">
        <v>15</v>
      </c>
      <c r="C2293" s="3">
        <v>2970</v>
      </c>
      <c r="D2293" s="3">
        <v>2988.8</v>
      </c>
      <c r="E2293" s="3">
        <v>2955.4</v>
      </c>
      <c r="F2293" s="3">
        <v>2970.7</v>
      </c>
      <c r="G2293" s="3">
        <v>2963</v>
      </c>
      <c r="H2293" s="3">
        <v>2962.2</v>
      </c>
      <c r="I2293" s="3">
        <v>2967.59</v>
      </c>
      <c r="J2293" s="3">
        <v>4494.8999999999996</v>
      </c>
      <c r="K2293" s="3">
        <v>2866.6</v>
      </c>
      <c r="L2293" s="2">
        <v>4374683</v>
      </c>
      <c r="M2293" s="2">
        <v>12982248748.299999</v>
      </c>
      <c r="N2293" s="2">
        <v>165312</v>
      </c>
      <c r="O2293" t="s">
        <v>25</v>
      </c>
    </row>
    <row r="2294" spans="1:15" x14ac:dyDescent="0.3">
      <c r="A2294" s="1">
        <v>45946</v>
      </c>
      <c r="B2294" t="s">
        <v>15</v>
      </c>
      <c r="C2294" s="3">
        <v>2969.9</v>
      </c>
      <c r="D2294" s="3">
        <v>2975</v>
      </c>
      <c r="E2294" s="3">
        <v>2943.1</v>
      </c>
      <c r="F2294" s="3">
        <v>2969.8</v>
      </c>
      <c r="G2294" s="3">
        <v>2971.8</v>
      </c>
      <c r="H2294" s="3">
        <v>2970.7</v>
      </c>
      <c r="I2294" s="3">
        <v>2961.98</v>
      </c>
      <c r="J2294" s="3">
        <v>4494.8999999999996</v>
      </c>
      <c r="K2294" s="3">
        <v>2866.6</v>
      </c>
      <c r="L2294" s="2">
        <v>3251495</v>
      </c>
      <c r="M2294" s="2">
        <v>9630875594.5</v>
      </c>
      <c r="N2294" s="2">
        <v>197293</v>
      </c>
      <c r="O2294" t="s">
        <v>25</v>
      </c>
    </row>
    <row r="2295" spans="1:15" x14ac:dyDescent="0.3">
      <c r="A2295" s="1">
        <v>45945</v>
      </c>
      <c r="B2295" t="s">
        <v>15</v>
      </c>
      <c r="C2295" s="3">
        <v>2971</v>
      </c>
      <c r="D2295" s="3">
        <v>2979.7</v>
      </c>
      <c r="E2295" s="3">
        <v>2951</v>
      </c>
      <c r="F2295" s="3">
        <v>2960.3</v>
      </c>
      <c r="G2295" s="3">
        <v>2970</v>
      </c>
      <c r="H2295" s="3">
        <v>2969.8</v>
      </c>
      <c r="I2295" s="3">
        <v>2967.01</v>
      </c>
      <c r="J2295" s="3">
        <v>4494.8999999999996</v>
      </c>
      <c r="K2295" s="3">
        <v>2866.6</v>
      </c>
      <c r="L2295" s="2">
        <v>4282226</v>
      </c>
      <c r="M2295" s="2">
        <v>12705386117.200001</v>
      </c>
      <c r="N2295" s="2">
        <v>146773</v>
      </c>
      <c r="O2295" t="s">
        <v>25</v>
      </c>
    </row>
    <row r="2296" spans="1:15" x14ac:dyDescent="0.3">
      <c r="A2296" s="1">
        <v>45944</v>
      </c>
      <c r="B2296" t="s">
        <v>15</v>
      </c>
      <c r="C2296" s="3">
        <v>3021</v>
      </c>
      <c r="D2296" s="3">
        <v>3027.2</v>
      </c>
      <c r="E2296" s="3">
        <v>2955.5</v>
      </c>
      <c r="F2296" s="3">
        <v>3007.2</v>
      </c>
      <c r="G2296" s="3">
        <v>2960</v>
      </c>
      <c r="H2296" s="3">
        <v>2960.3</v>
      </c>
      <c r="I2296" s="3">
        <v>2976.34</v>
      </c>
      <c r="J2296" s="3">
        <v>4494.8999999999996</v>
      </c>
      <c r="K2296" s="3">
        <v>2866.6</v>
      </c>
      <c r="L2296" s="2">
        <v>3611416</v>
      </c>
      <c r="M2296" s="2">
        <v>10748794587.5</v>
      </c>
      <c r="N2296" s="2">
        <v>183673</v>
      </c>
      <c r="O2296" t="s">
        <v>25</v>
      </c>
    </row>
    <row r="2297" spans="1:15" x14ac:dyDescent="0.3">
      <c r="A2297" s="1">
        <v>45943</v>
      </c>
      <c r="B2297" t="s">
        <v>15</v>
      </c>
      <c r="C2297" s="3">
        <v>3027</v>
      </c>
      <c r="D2297" s="3">
        <v>3035.5</v>
      </c>
      <c r="E2297" s="3">
        <v>2998.2</v>
      </c>
      <c r="F2297" s="3">
        <v>3028.3</v>
      </c>
      <c r="G2297" s="3">
        <v>3006</v>
      </c>
      <c r="H2297" s="3">
        <v>3007.2</v>
      </c>
      <c r="I2297" s="3">
        <v>3011.37</v>
      </c>
      <c r="J2297" s="3">
        <v>4494.8999999999996</v>
      </c>
      <c r="K2297" s="3">
        <v>2866.6</v>
      </c>
      <c r="L2297" s="2">
        <v>2866865</v>
      </c>
      <c r="M2297" s="2">
        <v>8633180149.1000004</v>
      </c>
      <c r="N2297" s="2">
        <v>169572</v>
      </c>
      <c r="O2297" t="s">
        <v>25</v>
      </c>
    </row>
    <row r="2298" spans="1:15" x14ac:dyDescent="0.3">
      <c r="A2298" s="1">
        <v>45940</v>
      </c>
      <c r="B2298" t="s">
        <v>15</v>
      </c>
      <c r="C2298" s="3">
        <v>3050</v>
      </c>
      <c r="D2298" s="3">
        <v>3070</v>
      </c>
      <c r="E2298" s="3">
        <v>3006.9</v>
      </c>
      <c r="F2298" s="3">
        <v>3061.7</v>
      </c>
      <c r="G2298" s="3">
        <v>3028</v>
      </c>
      <c r="H2298" s="3">
        <v>3028.3</v>
      </c>
      <c r="I2298" s="3">
        <v>3032.16</v>
      </c>
      <c r="J2298" s="3">
        <v>4494.8999999999996</v>
      </c>
      <c r="K2298" s="3">
        <v>2866.6</v>
      </c>
      <c r="L2298" s="2">
        <v>8817365</v>
      </c>
      <c r="M2298" s="2">
        <v>26735629672.599998</v>
      </c>
      <c r="N2298" s="2">
        <v>244153</v>
      </c>
      <c r="O2298" t="s">
        <v>25</v>
      </c>
    </row>
    <row r="2299" spans="1:15" x14ac:dyDescent="0.3">
      <c r="A2299" s="1">
        <v>45939</v>
      </c>
      <c r="B2299" t="s">
        <v>15</v>
      </c>
      <c r="C2299" s="3">
        <v>3034</v>
      </c>
      <c r="D2299" s="3">
        <v>3066</v>
      </c>
      <c r="E2299" s="3">
        <v>3020</v>
      </c>
      <c r="F2299" s="3">
        <v>3027.2</v>
      </c>
      <c r="G2299" s="3">
        <v>3060.2</v>
      </c>
      <c r="H2299" s="3">
        <v>3061.7</v>
      </c>
      <c r="I2299" s="3">
        <v>3046.36</v>
      </c>
      <c r="J2299" s="3">
        <v>4494.8999999999996</v>
      </c>
      <c r="K2299" s="3">
        <v>2866.6</v>
      </c>
      <c r="L2299" s="2">
        <v>3211304</v>
      </c>
      <c r="M2299" s="2">
        <v>9782798225.6000004</v>
      </c>
      <c r="N2299" s="2">
        <v>133703</v>
      </c>
      <c r="O2299" t="s">
        <v>25</v>
      </c>
    </row>
    <row r="2300" spans="1:15" x14ac:dyDescent="0.3">
      <c r="A2300" s="1">
        <v>45938</v>
      </c>
      <c r="B2300" t="s">
        <v>15</v>
      </c>
      <c r="C2300" s="3">
        <v>2975</v>
      </c>
      <c r="D2300" s="3">
        <v>3043</v>
      </c>
      <c r="E2300" s="3">
        <v>2968</v>
      </c>
      <c r="F2300" s="3">
        <v>2973.7</v>
      </c>
      <c r="G2300" s="3">
        <v>3031.5</v>
      </c>
      <c r="H2300" s="3">
        <v>3027.2</v>
      </c>
      <c r="I2300" s="3">
        <v>3024.78</v>
      </c>
      <c r="J2300" s="3">
        <v>4494.8999999999996</v>
      </c>
      <c r="K2300" s="3">
        <v>2866.6</v>
      </c>
      <c r="L2300" s="2">
        <v>4121889</v>
      </c>
      <c r="M2300" s="2">
        <v>12467811108.5</v>
      </c>
      <c r="N2300" s="2">
        <v>154336</v>
      </c>
      <c r="O2300" t="s">
        <v>25</v>
      </c>
    </row>
    <row r="2301" spans="1:15" x14ac:dyDescent="0.3">
      <c r="A2301" s="1">
        <v>45937</v>
      </c>
      <c r="B2301" t="s">
        <v>15</v>
      </c>
      <c r="C2301" s="3">
        <v>2995</v>
      </c>
      <c r="D2301" s="3">
        <v>3004.5</v>
      </c>
      <c r="E2301" s="3">
        <v>2955.5</v>
      </c>
      <c r="F2301" s="3">
        <v>2988.4</v>
      </c>
      <c r="G2301" s="3">
        <v>2975</v>
      </c>
      <c r="H2301" s="3">
        <v>2973.7</v>
      </c>
      <c r="I2301" s="3">
        <v>2971.7</v>
      </c>
      <c r="J2301" s="3">
        <v>4494.8999999999996</v>
      </c>
      <c r="K2301" s="3">
        <v>2866.6</v>
      </c>
      <c r="L2301" s="2">
        <v>3062943</v>
      </c>
      <c r="M2301" s="2">
        <v>9102139525.6000004</v>
      </c>
      <c r="N2301" s="2">
        <v>141987</v>
      </c>
      <c r="O2301" t="s">
        <v>25</v>
      </c>
    </row>
    <row r="2302" spans="1:15" x14ac:dyDescent="0.3">
      <c r="A2302" s="1">
        <v>45936</v>
      </c>
      <c r="B2302" t="s">
        <v>15</v>
      </c>
      <c r="C2302" s="3">
        <v>2902</v>
      </c>
      <c r="D2302" s="3">
        <v>2993.6</v>
      </c>
      <c r="E2302" s="3">
        <v>2895.6</v>
      </c>
      <c r="F2302" s="3">
        <v>2901.9</v>
      </c>
      <c r="G2302" s="3">
        <v>2988</v>
      </c>
      <c r="H2302" s="3">
        <v>2988.4</v>
      </c>
      <c r="I2302" s="3">
        <v>2959.88</v>
      </c>
      <c r="J2302" s="3">
        <v>4494.8999999999996</v>
      </c>
      <c r="K2302" s="3">
        <v>2866.6</v>
      </c>
      <c r="L2302" s="2">
        <v>2112774</v>
      </c>
      <c r="M2302" s="2">
        <v>6253556716.3000002</v>
      </c>
      <c r="N2302" s="2">
        <v>100920</v>
      </c>
      <c r="O2302" t="s">
        <v>25</v>
      </c>
    </row>
    <row r="2303" spans="1:15" x14ac:dyDescent="0.3">
      <c r="A2303" s="1">
        <v>45933</v>
      </c>
      <c r="B2303" t="s">
        <v>15</v>
      </c>
      <c r="C2303" s="3">
        <v>2924</v>
      </c>
      <c r="D2303" s="3">
        <v>2924</v>
      </c>
      <c r="E2303" s="3">
        <v>2891.1</v>
      </c>
      <c r="F2303" s="3">
        <v>2914.2</v>
      </c>
      <c r="G2303" s="3">
        <v>2903</v>
      </c>
      <c r="H2303" s="3">
        <v>2901.9</v>
      </c>
      <c r="I2303" s="3">
        <v>2902.27</v>
      </c>
      <c r="J2303" s="3">
        <v>4494.8999999999996</v>
      </c>
      <c r="K2303" s="3">
        <v>2866.6</v>
      </c>
      <c r="L2303" s="2">
        <v>2899519</v>
      </c>
      <c r="M2303" s="2">
        <v>8415175156.1999998</v>
      </c>
      <c r="N2303" s="2">
        <v>156466</v>
      </c>
      <c r="O2303" t="s">
        <v>25</v>
      </c>
    </row>
    <row r="2304" spans="1:15" x14ac:dyDescent="0.3">
      <c r="A2304" s="1">
        <v>45931</v>
      </c>
      <c r="B2304" t="s">
        <v>15</v>
      </c>
      <c r="C2304" s="3">
        <v>2891</v>
      </c>
      <c r="D2304" s="3">
        <v>2924.8</v>
      </c>
      <c r="E2304" s="3">
        <v>2866.6</v>
      </c>
      <c r="F2304" s="3">
        <v>2888.4</v>
      </c>
      <c r="G2304" s="3">
        <v>2915.1</v>
      </c>
      <c r="H2304" s="3">
        <v>2914.2</v>
      </c>
      <c r="I2304" s="3">
        <v>2897.26</v>
      </c>
      <c r="J2304" s="3">
        <v>4494.8999999999996</v>
      </c>
      <c r="K2304" s="3">
        <v>2866.6</v>
      </c>
      <c r="L2304" s="2">
        <v>1952902</v>
      </c>
      <c r="M2304" s="2">
        <v>5658070903</v>
      </c>
      <c r="N2304" s="2">
        <v>124217</v>
      </c>
      <c r="O2304" t="s">
        <v>25</v>
      </c>
    </row>
    <row r="2305" spans="1:15" x14ac:dyDescent="0.3">
      <c r="A2305" s="1">
        <v>45930</v>
      </c>
      <c r="B2305" t="s">
        <v>15</v>
      </c>
      <c r="C2305" s="3">
        <v>2911</v>
      </c>
      <c r="D2305" s="3">
        <v>2915.3</v>
      </c>
      <c r="E2305" s="3">
        <v>2885.1</v>
      </c>
      <c r="F2305" s="3">
        <v>2896.1</v>
      </c>
      <c r="G2305" s="3">
        <v>2891</v>
      </c>
      <c r="H2305" s="3">
        <v>2888.4</v>
      </c>
      <c r="I2305" s="3">
        <v>2895.89</v>
      </c>
      <c r="J2305" s="3">
        <v>4494.8999999999996</v>
      </c>
      <c r="K2305" s="3">
        <v>2885.1</v>
      </c>
      <c r="L2305" s="2">
        <v>2253458</v>
      </c>
      <c r="M2305" s="2">
        <v>6525755380.3999996</v>
      </c>
      <c r="N2305" s="2">
        <v>201510</v>
      </c>
      <c r="O2305" t="s">
        <v>25</v>
      </c>
    </row>
    <row r="2306" spans="1:15" x14ac:dyDescent="0.3">
      <c r="A2306" s="1">
        <v>45929</v>
      </c>
      <c r="B2306" t="s">
        <v>15</v>
      </c>
      <c r="C2306" s="3">
        <v>2916</v>
      </c>
      <c r="D2306" s="3">
        <v>2929.3</v>
      </c>
      <c r="E2306" s="3">
        <v>2894</v>
      </c>
      <c r="F2306" s="3">
        <v>2899.1</v>
      </c>
      <c r="G2306" s="3">
        <v>2904.3</v>
      </c>
      <c r="H2306" s="3">
        <v>2896.1</v>
      </c>
      <c r="I2306" s="3">
        <v>2904.37</v>
      </c>
      <c r="J2306" s="3">
        <v>4494.8999999999996</v>
      </c>
      <c r="K2306" s="3">
        <v>2891.3</v>
      </c>
      <c r="L2306" s="2">
        <v>3110035</v>
      </c>
      <c r="M2306" s="2">
        <v>9032690025.7000008</v>
      </c>
      <c r="N2306" s="2">
        <v>179197</v>
      </c>
      <c r="O2306" t="s">
        <v>25</v>
      </c>
    </row>
    <row r="2307" spans="1:15" x14ac:dyDescent="0.3">
      <c r="A2307" s="1">
        <v>45926</v>
      </c>
      <c r="B2307" t="s">
        <v>15</v>
      </c>
      <c r="C2307" s="3">
        <v>2941</v>
      </c>
      <c r="D2307" s="3">
        <v>2954.8</v>
      </c>
      <c r="E2307" s="3">
        <v>2891.3</v>
      </c>
      <c r="F2307" s="3">
        <v>2957.4</v>
      </c>
      <c r="G2307" s="3">
        <v>2905.4</v>
      </c>
      <c r="H2307" s="3">
        <v>2899.1</v>
      </c>
      <c r="I2307" s="3">
        <v>2915.19</v>
      </c>
      <c r="J2307" s="3">
        <v>4494.8999999999996</v>
      </c>
      <c r="K2307" s="3">
        <v>2891.3</v>
      </c>
      <c r="L2307" s="2">
        <v>3934636</v>
      </c>
      <c r="M2307" s="2">
        <v>11470204570</v>
      </c>
      <c r="N2307" s="2">
        <v>390339</v>
      </c>
      <c r="O2307" t="s">
        <v>25</v>
      </c>
    </row>
    <row r="2308" spans="1:15" x14ac:dyDescent="0.3">
      <c r="A2308" s="1">
        <v>45925</v>
      </c>
      <c r="B2308" t="s">
        <v>15</v>
      </c>
      <c r="C2308" s="3">
        <v>3022</v>
      </c>
      <c r="D2308" s="3">
        <v>3029.6</v>
      </c>
      <c r="E2308" s="3">
        <v>2951</v>
      </c>
      <c r="F2308" s="3">
        <v>3035.4</v>
      </c>
      <c r="G2308" s="3">
        <v>2958</v>
      </c>
      <c r="H2308" s="3">
        <v>2957.4</v>
      </c>
      <c r="I2308" s="3">
        <v>2977.56</v>
      </c>
      <c r="J2308" s="3">
        <v>4494.8999999999996</v>
      </c>
      <c r="K2308" s="3">
        <v>2951</v>
      </c>
      <c r="L2308" s="2">
        <v>4974361</v>
      </c>
      <c r="M2308" s="2">
        <v>14811452426.9</v>
      </c>
      <c r="N2308" s="2">
        <v>418858</v>
      </c>
      <c r="O2308" t="s">
        <v>25</v>
      </c>
    </row>
    <row r="2309" spans="1:15" x14ac:dyDescent="0.3">
      <c r="A2309" s="1">
        <v>45924</v>
      </c>
      <c r="B2309" t="s">
        <v>15</v>
      </c>
      <c r="C2309" s="3">
        <v>3050</v>
      </c>
      <c r="D2309" s="3">
        <v>3057</v>
      </c>
      <c r="E2309" s="3">
        <v>3033</v>
      </c>
      <c r="F2309" s="3">
        <v>3062.4</v>
      </c>
      <c r="G2309" s="3">
        <v>3036.8</v>
      </c>
      <c r="H2309" s="3">
        <v>3035.4</v>
      </c>
      <c r="I2309" s="3">
        <v>3044.04</v>
      </c>
      <c r="J2309" s="3">
        <v>4494.8999999999996</v>
      </c>
      <c r="K2309" s="3">
        <v>2991.6</v>
      </c>
      <c r="L2309" s="2">
        <v>1625714</v>
      </c>
      <c r="M2309" s="2">
        <v>4948746206.6000004</v>
      </c>
      <c r="N2309" s="2">
        <v>101133</v>
      </c>
      <c r="O2309" t="s">
        <v>25</v>
      </c>
    </row>
    <row r="2310" spans="1:15" x14ac:dyDescent="0.3">
      <c r="A2310" s="1">
        <v>45923</v>
      </c>
      <c r="B2310" t="s">
        <v>15</v>
      </c>
      <c r="C2310" s="3">
        <v>3070</v>
      </c>
      <c r="D2310" s="3">
        <v>3080.7</v>
      </c>
      <c r="E2310" s="3">
        <v>3052</v>
      </c>
      <c r="F2310" s="3">
        <v>3073.8</v>
      </c>
      <c r="G2310" s="3">
        <v>3065</v>
      </c>
      <c r="H2310" s="3">
        <v>3062.4</v>
      </c>
      <c r="I2310" s="3">
        <v>3063.85</v>
      </c>
      <c r="J2310" s="3">
        <v>4494.8999999999996</v>
      </c>
      <c r="K2310" s="3">
        <v>2991.6</v>
      </c>
      <c r="L2310" s="2">
        <v>3177741</v>
      </c>
      <c r="M2310" s="2">
        <v>9736121756.2000008</v>
      </c>
      <c r="N2310" s="2">
        <v>141198</v>
      </c>
      <c r="O2310" t="s">
        <v>25</v>
      </c>
    </row>
    <row r="2311" spans="1:15" x14ac:dyDescent="0.3">
      <c r="A2311" s="1">
        <v>45922</v>
      </c>
      <c r="B2311" t="s">
        <v>15</v>
      </c>
      <c r="C2311" s="3">
        <v>3095</v>
      </c>
      <c r="D2311" s="3">
        <v>3106.9</v>
      </c>
      <c r="E2311" s="3">
        <v>3065</v>
      </c>
      <c r="F2311" s="3">
        <v>3169.2</v>
      </c>
      <c r="G2311" s="3">
        <v>3075.5</v>
      </c>
      <c r="H2311" s="3">
        <v>3073.8</v>
      </c>
      <c r="I2311" s="3">
        <v>3082.86</v>
      </c>
      <c r="J2311" s="3">
        <v>4494.8999999999996</v>
      </c>
      <c r="K2311" s="3">
        <v>2991.6</v>
      </c>
      <c r="L2311" s="2">
        <v>3634901</v>
      </c>
      <c r="M2311" s="2">
        <v>11205889441.1</v>
      </c>
      <c r="N2311" s="2">
        <v>321272</v>
      </c>
      <c r="O2311" t="s">
        <v>25</v>
      </c>
    </row>
    <row r="2312" spans="1:15" x14ac:dyDescent="0.3">
      <c r="A2312" s="1">
        <v>45919</v>
      </c>
      <c r="B2312" t="s">
        <v>15</v>
      </c>
      <c r="C2312" s="3">
        <v>3170</v>
      </c>
      <c r="D2312" s="3">
        <v>3180.5</v>
      </c>
      <c r="E2312" s="3">
        <v>3144</v>
      </c>
      <c r="F2312" s="3">
        <v>3176.7</v>
      </c>
      <c r="G2312" s="3">
        <v>3171</v>
      </c>
      <c r="H2312" s="3">
        <v>3169.2</v>
      </c>
      <c r="I2312" s="3">
        <v>3163.36</v>
      </c>
      <c r="J2312" s="3">
        <v>4546.05</v>
      </c>
      <c r="K2312" s="3">
        <v>2991.6</v>
      </c>
      <c r="L2312" s="2">
        <v>4901694</v>
      </c>
      <c r="M2312" s="2">
        <v>15505826514.1</v>
      </c>
      <c r="N2312" s="2">
        <v>109280</v>
      </c>
      <c r="O2312" t="s">
        <v>25</v>
      </c>
    </row>
    <row r="2313" spans="1:15" x14ac:dyDescent="0.3">
      <c r="A2313" s="1">
        <v>45918</v>
      </c>
      <c r="B2313" t="s">
        <v>15</v>
      </c>
      <c r="C2313" s="3">
        <v>3185</v>
      </c>
      <c r="D2313" s="3">
        <v>3203</v>
      </c>
      <c r="E2313" s="3">
        <v>3161.4</v>
      </c>
      <c r="F2313" s="3">
        <v>3172.8</v>
      </c>
      <c r="G2313" s="3">
        <v>3177</v>
      </c>
      <c r="H2313" s="3">
        <v>3176.7</v>
      </c>
      <c r="I2313" s="3">
        <v>3179</v>
      </c>
      <c r="J2313" s="3">
        <v>4546.05</v>
      </c>
      <c r="K2313" s="3">
        <v>2991.6</v>
      </c>
      <c r="L2313" s="2">
        <v>2633138</v>
      </c>
      <c r="M2313" s="2">
        <v>8370738058.3999996</v>
      </c>
      <c r="N2313" s="2">
        <v>147801</v>
      </c>
      <c r="O2313" t="s">
        <v>25</v>
      </c>
    </row>
    <row r="2314" spans="1:15" x14ac:dyDescent="0.3">
      <c r="A2314" s="1">
        <v>45917</v>
      </c>
      <c r="B2314" t="s">
        <v>15</v>
      </c>
      <c r="C2314" s="3">
        <v>3152</v>
      </c>
      <c r="D2314" s="3">
        <v>3182.4</v>
      </c>
      <c r="E2314" s="3">
        <v>3142.4</v>
      </c>
      <c r="F2314" s="3">
        <v>3145.7</v>
      </c>
      <c r="G2314" s="3">
        <v>3175</v>
      </c>
      <c r="H2314" s="3">
        <v>3172.8</v>
      </c>
      <c r="I2314" s="3">
        <v>3170.19</v>
      </c>
      <c r="J2314" s="3">
        <v>4546.05</v>
      </c>
      <c r="K2314" s="3">
        <v>2991.6</v>
      </c>
      <c r="L2314" s="2">
        <v>2418271</v>
      </c>
      <c r="M2314" s="2">
        <v>7666388043.1999998</v>
      </c>
      <c r="N2314" s="2">
        <v>100973</v>
      </c>
      <c r="O2314" t="s">
        <v>25</v>
      </c>
    </row>
    <row r="2315" spans="1:15" x14ac:dyDescent="0.3">
      <c r="A2315" s="1">
        <v>45916</v>
      </c>
      <c r="B2315" t="s">
        <v>15</v>
      </c>
      <c r="C2315" s="3">
        <v>3128</v>
      </c>
      <c r="D2315" s="3">
        <v>3150</v>
      </c>
      <c r="E2315" s="3">
        <v>3109.1</v>
      </c>
      <c r="F2315" s="3">
        <v>3111.9</v>
      </c>
      <c r="G2315" s="3">
        <v>3147.9</v>
      </c>
      <c r="H2315" s="3">
        <v>3145.7</v>
      </c>
      <c r="I2315" s="3">
        <v>3132.7</v>
      </c>
      <c r="J2315" s="3">
        <v>4546.05</v>
      </c>
      <c r="K2315" s="3">
        <v>2991.6</v>
      </c>
      <c r="L2315" s="2">
        <v>2573429</v>
      </c>
      <c r="M2315" s="2">
        <v>8061782019.3000002</v>
      </c>
      <c r="N2315" s="2">
        <v>96675</v>
      </c>
      <c r="O2315" t="s">
        <v>25</v>
      </c>
    </row>
    <row r="2316" spans="1:15" x14ac:dyDescent="0.3">
      <c r="A2316" s="1">
        <v>45915</v>
      </c>
      <c r="B2316" t="s">
        <v>15</v>
      </c>
      <c r="C2316" s="3">
        <v>3134</v>
      </c>
      <c r="D2316" s="3">
        <v>3134</v>
      </c>
      <c r="E2316" s="3">
        <v>3096</v>
      </c>
      <c r="F2316" s="3">
        <v>3133.4</v>
      </c>
      <c r="G2316" s="3">
        <v>3112.5</v>
      </c>
      <c r="H2316" s="3">
        <v>3111.9</v>
      </c>
      <c r="I2316" s="3">
        <v>3108.2</v>
      </c>
      <c r="J2316" s="3">
        <v>4546.05</v>
      </c>
      <c r="K2316" s="3">
        <v>2991.6</v>
      </c>
      <c r="L2316" s="2">
        <v>1732539</v>
      </c>
      <c r="M2316" s="2">
        <v>5385083002.3000002</v>
      </c>
      <c r="N2316" s="2">
        <v>145801</v>
      </c>
      <c r="O2316" t="s">
        <v>25</v>
      </c>
    </row>
    <row r="2317" spans="1:15" x14ac:dyDescent="0.3">
      <c r="A2317" s="1">
        <v>45912</v>
      </c>
      <c r="B2317" t="s">
        <v>15</v>
      </c>
      <c r="C2317" s="3">
        <v>3144</v>
      </c>
      <c r="D2317" s="3">
        <v>3148.7</v>
      </c>
      <c r="E2317" s="3">
        <v>3121</v>
      </c>
      <c r="F2317" s="3">
        <v>3124.2</v>
      </c>
      <c r="G2317" s="3">
        <v>3133</v>
      </c>
      <c r="H2317" s="3">
        <v>3133.4</v>
      </c>
      <c r="I2317" s="3">
        <v>3134.12</v>
      </c>
      <c r="J2317" s="3">
        <v>4549.3500000000004</v>
      </c>
      <c r="K2317" s="3">
        <v>2991.6</v>
      </c>
      <c r="L2317" s="2">
        <v>1447167</v>
      </c>
      <c r="M2317" s="2">
        <v>4535589799.8000002</v>
      </c>
      <c r="N2317" s="2">
        <v>103589</v>
      </c>
      <c r="O2317" t="s">
        <v>25</v>
      </c>
    </row>
    <row r="2318" spans="1:15" x14ac:dyDescent="0.3">
      <c r="A2318" s="1">
        <v>45911</v>
      </c>
      <c r="B2318" t="s">
        <v>15</v>
      </c>
      <c r="C2318" s="3">
        <v>3139</v>
      </c>
      <c r="D2318" s="3">
        <v>3139</v>
      </c>
      <c r="E2318" s="3">
        <v>3110.1</v>
      </c>
      <c r="F2318" s="3">
        <v>3110</v>
      </c>
      <c r="G2318" s="3">
        <v>3125.2</v>
      </c>
      <c r="H2318" s="3">
        <v>3124.2</v>
      </c>
      <c r="I2318" s="3">
        <v>3121.51</v>
      </c>
      <c r="J2318" s="3">
        <v>4549.3500000000004</v>
      </c>
      <c r="K2318" s="3">
        <v>2991.6</v>
      </c>
      <c r="L2318" s="2">
        <v>2263446</v>
      </c>
      <c r="M2318" s="2">
        <v>7065362076.8999996</v>
      </c>
      <c r="N2318" s="2">
        <v>126730</v>
      </c>
      <c r="O2318" t="s">
        <v>25</v>
      </c>
    </row>
    <row r="2319" spans="1:15" x14ac:dyDescent="0.3">
      <c r="A2319" s="1">
        <v>45910</v>
      </c>
      <c r="B2319" t="s">
        <v>15</v>
      </c>
      <c r="C2319" s="3">
        <v>3056.4</v>
      </c>
      <c r="D2319" s="3">
        <v>3122.7</v>
      </c>
      <c r="E2319" s="3">
        <v>3053.4</v>
      </c>
      <c r="F2319" s="3">
        <v>3049.4</v>
      </c>
      <c r="G2319" s="3">
        <v>3110</v>
      </c>
      <c r="H2319" s="3">
        <v>3110</v>
      </c>
      <c r="I2319" s="3">
        <v>3104.63</v>
      </c>
      <c r="J2319" s="3">
        <v>4549.3500000000004</v>
      </c>
      <c r="K2319" s="3">
        <v>2991.6</v>
      </c>
      <c r="L2319" s="2">
        <v>2079428</v>
      </c>
      <c r="M2319" s="2">
        <v>6455861143.6999998</v>
      </c>
      <c r="N2319" s="2">
        <v>127545</v>
      </c>
      <c r="O2319" t="s">
        <v>25</v>
      </c>
    </row>
    <row r="2320" spans="1:15" x14ac:dyDescent="0.3">
      <c r="A2320" s="1">
        <v>45909</v>
      </c>
      <c r="B2320" t="s">
        <v>15</v>
      </c>
      <c r="C2320" s="3">
        <v>3032.1</v>
      </c>
      <c r="D2320" s="3">
        <v>3060</v>
      </c>
      <c r="E2320" s="3">
        <v>3030.8</v>
      </c>
      <c r="F2320" s="3">
        <v>3019</v>
      </c>
      <c r="G2320" s="3">
        <v>3052</v>
      </c>
      <c r="H2320" s="3">
        <v>3049.4</v>
      </c>
      <c r="I2320" s="3">
        <v>3048.62</v>
      </c>
      <c r="J2320" s="3">
        <v>4549.3500000000004</v>
      </c>
      <c r="K2320" s="3">
        <v>2991.6</v>
      </c>
      <c r="L2320" s="2">
        <v>2489301</v>
      </c>
      <c r="M2320" s="2">
        <v>7588929067.8999996</v>
      </c>
      <c r="N2320" s="2">
        <v>164479</v>
      </c>
      <c r="O2320" t="s">
        <v>25</v>
      </c>
    </row>
    <row r="2321" spans="1:15" x14ac:dyDescent="0.3">
      <c r="A2321" s="1">
        <v>45908</v>
      </c>
      <c r="B2321" t="s">
        <v>15</v>
      </c>
      <c r="C2321" s="3">
        <v>3050</v>
      </c>
      <c r="D2321" s="3">
        <v>3064.9</v>
      </c>
      <c r="E2321" s="3">
        <v>3016</v>
      </c>
      <c r="F2321" s="3">
        <v>3048.3</v>
      </c>
      <c r="G2321" s="3">
        <v>3023.2</v>
      </c>
      <c r="H2321" s="3">
        <v>3019</v>
      </c>
      <c r="I2321" s="3">
        <v>3028.84</v>
      </c>
      <c r="J2321" s="3">
        <v>4549.3500000000004</v>
      </c>
      <c r="K2321" s="3">
        <v>2991.6</v>
      </c>
      <c r="L2321" s="2">
        <v>2626187</v>
      </c>
      <c r="M2321" s="2">
        <v>7954291229</v>
      </c>
      <c r="N2321" s="2">
        <v>112429</v>
      </c>
      <c r="O2321" t="s">
        <v>25</v>
      </c>
    </row>
    <row r="2322" spans="1:15" x14ac:dyDescent="0.3">
      <c r="A2322" s="1">
        <v>45905</v>
      </c>
      <c r="B2322" t="s">
        <v>15</v>
      </c>
      <c r="C2322" s="3">
        <v>3097.1</v>
      </c>
      <c r="D2322" s="3">
        <v>3103.4</v>
      </c>
      <c r="E2322" s="3">
        <v>3028.6</v>
      </c>
      <c r="F2322" s="3">
        <v>3095.7</v>
      </c>
      <c r="G2322" s="3">
        <v>3048</v>
      </c>
      <c r="H2322" s="3">
        <v>3048.3</v>
      </c>
      <c r="I2322" s="3">
        <v>3052.1</v>
      </c>
      <c r="J2322" s="3">
        <v>4588</v>
      </c>
      <c r="K2322" s="3">
        <v>2991.6</v>
      </c>
      <c r="L2322" s="2">
        <v>2802055</v>
      </c>
      <c r="M2322" s="2">
        <v>8552162278.6000004</v>
      </c>
      <c r="N2322" s="2">
        <v>203461</v>
      </c>
      <c r="O2322" t="s">
        <v>25</v>
      </c>
    </row>
    <row r="2323" spans="1:15" x14ac:dyDescent="0.3">
      <c r="A2323" s="1">
        <v>45904</v>
      </c>
      <c r="B2323" t="s">
        <v>15</v>
      </c>
      <c r="C2323" s="3">
        <v>3116</v>
      </c>
      <c r="D2323" s="3">
        <v>3118</v>
      </c>
      <c r="E2323" s="3">
        <v>3090.8</v>
      </c>
      <c r="F2323" s="3">
        <v>3097.5</v>
      </c>
      <c r="G2323" s="3">
        <v>3095.8</v>
      </c>
      <c r="H2323" s="3">
        <v>3095.7</v>
      </c>
      <c r="I2323" s="3">
        <v>3101.37</v>
      </c>
      <c r="J2323" s="3">
        <v>4588</v>
      </c>
      <c r="K2323" s="3">
        <v>2991.6</v>
      </c>
      <c r="L2323" s="2">
        <v>1481391</v>
      </c>
      <c r="M2323" s="2">
        <v>4594343759.6000004</v>
      </c>
      <c r="N2323" s="2">
        <v>104731</v>
      </c>
      <c r="O2323" t="s">
        <v>25</v>
      </c>
    </row>
    <row r="2324" spans="1:15" x14ac:dyDescent="0.3">
      <c r="A2324" s="1">
        <v>45903</v>
      </c>
      <c r="B2324" t="s">
        <v>15</v>
      </c>
      <c r="C2324" s="3">
        <v>3129.9</v>
      </c>
      <c r="D2324" s="3">
        <v>3141.9</v>
      </c>
      <c r="E2324" s="3">
        <v>3088</v>
      </c>
      <c r="F2324" s="3">
        <v>3111.5</v>
      </c>
      <c r="G2324" s="3">
        <v>3100</v>
      </c>
      <c r="H2324" s="3">
        <v>3097.5</v>
      </c>
      <c r="I2324" s="3">
        <v>3102.69</v>
      </c>
      <c r="J2324" s="3">
        <v>4588</v>
      </c>
      <c r="K2324" s="3">
        <v>2991.6</v>
      </c>
      <c r="L2324" s="2">
        <v>1799774</v>
      </c>
      <c r="M2324" s="2">
        <v>5584147665.6000004</v>
      </c>
      <c r="N2324" s="2">
        <v>106698</v>
      </c>
      <c r="O2324" t="s">
        <v>25</v>
      </c>
    </row>
    <row r="2325" spans="1:15" x14ac:dyDescent="0.3">
      <c r="A2325" s="1">
        <v>45902</v>
      </c>
      <c r="B2325" t="s">
        <v>15</v>
      </c>
      <c r="C2325" s="3">
        <v>3121.1</v>
      </c>
      <c r="D2325" s="3">
        <v>3155</v>
      </c>
      <c r="E2325" s="3">
        <v>3103.1</v>
      </c>
      <c r="F2325" s="3">
        <v>3112.6</v>
      </c>
      <c r="G2325" s="3">
        <v>3112</v>
      </c>
      <c r="H2325" s="3">
        <v>3111.5</v>
      </c>
      <c r="I2325" s="3">
        <v>3125.54</v>
      </c>
      <c r="J2325" s="3">
        <v>4588</v>
      </c>
      <c r="K2325" s="3">
        <v>2991.6</v>
      </c>
      <c r="L2325" s="2">
        <v>2185229</v>
      </c>
      <c r="M2325" s="2">
        <v>6830018367.8999996</v>
      </c>
      <c r="N2325" s="2">
        <v>154171</v>
      </c>
      <c r="O2325" t="s">
        <v>25</v>
      </c>
    </row>
    <row r="2326" spans="1:15" x14ac:dyDescent="0.3">
      <c r="A2326" s="1">
        <v>45901</v>
      </c>
      <c r="B2326" t="s">
        <v>15</v>
      </c>
      <c r="C2326" s="3">
        <v>3090</v>
      </c>
      <c r="D2326" s="3">
        <v>3131.1</v>
      </c>
      <c r="E2326" s="3">
        <v>3090</v>
      </c>
      <c r="F2326" s="3">
        <v>3084.7</v>
      </c>
      <c r="G2326" s="3">
        <v>3111</v>
      </c>
      <c r="H2326" s="3">
        <v>3112.6</v>
      </c>
      <c r="I2326" s="3">
        <v>3118.12</v>
      </c>
      <c r="J2326" s="3">
        <v>4588</v>
      </c>
      <c r="K2326" s="3">
        <v>2991.6</v>
      </c>
      <c r="L2326" s="2">
        <v>1246862</v>
      </c>
      <c r="M2326" s="2">
        <v>3887860373.5</v>
      </c>
      <c r="N2326" s="2">
        <v>85857</v>
      </c>
      <c r="O2326" t="s">
        <v>25</v>
      </c>
    </row>
    <row r="2327" spans="1:15" x14ac:dyDescent="0.3">
      <c r="A2327" s="1">
        <v>45898</v>
      </c>
      <c r="B2327" t="s">
        <v>15</v>
      </c>
      <c r="C2327" s="3">
        <v>3093</v>
      </c>
      <c r="D2327" s="3">
        <v>3115</v>
      </c>
      <c r="E2327" s="3">
        <v>3077.2</v>
      </c>
      <c r="F2327" s="3">
        <v>3093.7</v>
      </c>
      <c r="G2327" s="3">
        <v>3083.8</v>
      </c>
      <c r="H2327" s="3">
        <v>3084.7</v>
      </c>
      <c r="I2327" s="3">
        <v>3093.86</v>
      </c>
      <c r="J2327" s="3">
        <v>4592.25</v>
      </c>
      <c r="K2327" s="3">
        <v>2991.6</v>
      </c>
      <c r="L2327" s="2">
        <v>2271789</v>
      </c>
      <c r="M2327" s="2">
        <v>7028604709.3000002</v>
      </c>
      <c r="N2327" s="2">
        <v>109782</v>
      </c>
      <c r="O2327" t="s">
        <v>25</v>
      </c>
    </row>
    <row r="2328" spans="1:15" x14ac:dyDescent="0.3">
      <c r="A2328" s="1">
        <v>45897</v>
      </c>
      <c r="B2328" t="s">
        <v>15</v>
      </c>
      <c r="C2328" s="3">
        <v>3145</v>
      </c>
      <c r="D2328" s="3">
        <v>3146.5</v>
      </c>
      <c r="E2328" s="3">
        <v>3086.5</v>
      </c>
      <c r="F2328" s="3">
        <v>3157.2</v>
      </c>
      <c r="G2328" s="3">
        <v>3098</v>
      </c>
      <c r="H2328" s="3">
        <v>3093.7</v>
      </c>
      <c r="I2328" s="3">
        <v>3110.39</v>
      </c>
      <c r="J2328" s="3">
        <v>4592.25</v>
      </c>
      <c r="K2328" s="3">
        <v>2991.6</v>
      </c>
      <c r="L2328" s="2">
        <v>3116051</v>
      </c>
      <c r="M2328" s="2">
        <v>9692121881.2999992</v>
      </c>
      <c r="N2328" s="2">
        <v>204600</v>
      </c>
      <c r="O2328" t="s">
        <v>25</v>
      </c>
    </row>
    <row r="2329" spans="1:15" x14ac:dyDescent="0.3">
      <c r="A2329" s="1">
        <v>45895</v>
      </c>
      <c r="B2329" t="s">
        <v>15</v>
      </c>
      <c r="C2329" s="3">
        <v>3129</v>
      </c>
      <c r="D2329" s="3">
        <v>3162</v>
      </c>
      <c r="E2329" s="3">
        <v>3120</v>
      </c>
      <c r="F2329" s="3">
        <v>3140.6</v>
      </c>
      <c r="G2329" s="3">
        <v>3157</v>
      </c>
      <c r="H2329" s="3">
        <v>3157.2</v>
      </c>
      <c r="I2329" s="3">
        <v>3152.41</v>
      </c>
      <c r="J2329" s="3">
        <v>4592.25</v>
      </c>
      <c r="K2329" s="3">
        <v>2991.6</v>
      </c>
      <c r="L2329" s="2">
        <v>5522097</v>
      </c>
      <c r="M2329" s="2">
        <v>17407935331</v>
      </c>
      <c r="N2329" s="2">
        <v>173962</v>
      </c>
      <c r="O2329" t="s">
        <v>25</v>
      </c>
    </row>
    <row r="2330" spans="1:15" x14ac:dyDescent="0.3">
      <c r="A2330" s="1">
        <v>45894</v>
      </c>
      <c r="B2330" t="s">
        <v>15</v>
      </c>
      <c r="C2330" s="3">
        <v>3087.3</v>
      </c>
      <c r="D2330" s="3">
        <v>3152</v>
      </c>
      <c r="E2330" s="3">
        <v>3077.1</v>
      </c>
      <c r="F2330" s="3">
        <v>3054</v>
      </c>
      <c r="G2330" s="3">
        <v>3142.1</v>
      </c>
      <c r="H2330" s="3">
        <v>3140.6</v>
      </c>
      <c r="I2330" s="3">
        <v>3133.79</v>
      </c>
      <c r="J2330" s="3">
        <v>4592.25</v>
      </c>
      <c r="K2330" s="3">
        <v>2991.6</v>
      </c>
      <c r="L2330" s="2">
        <v>3448370</v>
      </c>
      <c r="M2330" s="2">
        <v>10806464376.700001</v>
      </c>
      <c r="N2330" s="2">
        <v>200973</v>
      </c>
      <c r="O2330" t="s">
        <v>25</v>
      </c>
    </row>
    <row r="2331" spans="1:15" x14ac:dyDescent="0.3">
      <c r="A2331" s="1">
        <v>45891</v>
      </c>
      <c r="B2331" t="s">
        <v>15</v>
      </c>
      <c r="C2331" s="3">
        <v>3086</v>
      </c>
      <c r="D2331" s="3">
        <v>3095.7</v>
      </c>
      <c r="E2331" s="3">
        <v>3050</v>
      </c>
      <c r="F2331" s="3">
        <v>3102.6</v>
      </c>
      <c r="G2331" s="3">
        <v>3054.7</v>
      </c>
      <c r="H2331" s="3">
        <v>3054</v>
      </c>
      <c r="I2331" s="3">
        <v>3068.45</v>
      </c>
      <c r="J2331" s="3">
        <v>4592.25</v>
      </c>
      <c r="K2331" s="3">
        <v>2991.6</v>
      </c>
      <c r="L2331" s="2">
        <v>1593791</v>
      </c>
      <c r="M2331" s="2">
        <v>4890462450.3000002</v>
      </c>
      <c r="N2331" s="2">
        <v>82740</v>
      </c>
      <c r="O2331" t="s">
        <v>25</v>
      </c>
    </row>
    <row r="2332" spans="1:15" x14ac:dyDescent="0.3">
      <c r="A2332" s="1">
        <v>45890</v>
      </c>
      <c r="B2332" t="s">
        <v>15</v>
      </c>
      <c r="C2332" s="3">
        <v>3130</v>
      </c>
      <c r="D2332" s="3">
        <v>3130</v>
      </c>
      <c r="E2332" s="3">
        <v>3083.1</v>
      </c>
      <c r="F2332" s="3">
        <v>3098.6</v>
      </c>
      <c r="G2332" s="3">
        <v>3100</v>
      </c>
      <c r="H2332" s="3">
        <v>3102.6</v>
      </c>
      <c r="I2332" s="3">
        <v>3107.84</v>
      </c>
      <c r="J2332" s="3">
        <v>4592.25</v>
      </c>
      <c r="K2332" s="3">
        <v>2991.6</v>
      </c>
      <c r="L2332" s="2">
        <v>3230726</v>
      </c>
      <c r="M2332" s="2">
        <v>10040586025.700001</v>
      </c>
      <c r="N2332" s="2">
        <v>119697</v>
      </c>
      <c r="O2332" t="s">
        <v>25</v>
      </c>
    </row>
    <row r="2333" spans="1:15" x14ac:dyDescent="0.3">
      <c r="A2333" s="1">
        <v>45889</v>
      </c>
      <c r="B2333" t="s">
        <v>15</v>
      </c>
      <c r="C2333" s="3">
        <v>3010.9</v>
      </c>
      <c r="D2333" s="3">
        <v>3103.4</v>
      </c>
      <c r="E2333" s="3">
        <v>3010.9</v>
      </c>
      <c r="F2333" s="3">
        <v>3016.2</v>
      </c>
      <c r="G2333" s="3">
        <v>3094.8</v>
      </c>
      <c r="H2333" s="3">
        <v>3098.6</v>
      </c>
      <c r="I2333" s="3">
        <v>3078.21</v>
      </c>
      <c r="J2333" s="3">
        <v>4592.25</v>
      </c>
      <c r="K2333" s="3">
        <v>2991.6</v>
      </c>
      <c r="L2333" s="2">
        <v>4952358</v>
      </c>
      <c r="M2333" s="2">
        <v>15244401986.4</v>
      </c>
      <c r="N2333" s="2">
        <v>190110</v>
      </c>
      <c r="O2333" t="s">
        <v>25</v>
      </c>
    </row>
    <row r="2334" spans="1:15" x14ac:dyDescent="0.3">
      <c r="A2334" s="1">
        <v>45888</v>
      </c>
      <c r="B2334" t="s">
        <v>15</v>
      </c>
      <c r="C2334" s="3">
        <v>3011.2</v>
      </c>
      <c r="D2334" s="3">
        <v>3025</v>
      </c>
      <c r="E2334" s="3">
        <v>3011.1</v>
      </c>
      <c r="F2334" s="3">
        <v>3011.2</v>
      </c>
      <c r="G2334" s="3">
        <v>3018</v>
      </c>
      <c r="H2334" s="3">
        <v>3016.2</v>
      </c>
      <c r="I2334" s="3">
        <v>3016.58</v>
      </c>
      <c r="J2334" s="3">
        <v>4592.25</v>
      </c>
      <c r="K2334" s="3">
        <v>2991.6</v>
      </c>
      <c r="L2334" s="2">
        <v>2650784</v>
      </c>
      <c r="M2334" s="2">
        <v>7996291836.8999996</v>
      </c>
      <c r="N2334" s="2">
        <v>119303</v>
      </c>
      <c r="O2334" t="s">
        <v>25</v>
      </c>
    </row>
    <row r="2335" spans="1:15" x14ac:dyDescent="0.3">
      <c r="A2335" s="1">
        <v>45887</v>
      </c>
      <c r="B2335" t="s">
        <v>15</v>
      </c>
      <c r="C2335" s="3">
        <v>3046.5</v>
      </c>
      <c r="D2335" s="3">
        <v>3049</v>
      </c>
      <c r="E2335" s="3">
        <v>3003.4</v>
      </c>
      <c r="F2335" s="3">
        <v>3022.3</v>
      </c>
      <c r="G2335" s="3">
        <v>3013</v>
      </c>
      <c r="H2335" s="3">
        <v>3011.2</v>
      </c>
      <c r="I2335" s="3">
        <v>3015.34</v>
      </c>
      <c r="J2335" s="3">
        <v>4592.25</v>
      </c>
      <c r="K2335" s="3">
        <v>2991.6</v>
      </c>
      <c r="L2335" s="2">
        <v>2945609</v>
      </c>
      <c r="M2335" s="2">
        <v>8882005616.6000004</v>
      </c>
      <c r="N2335" s="2">
        <v>137367</v>
      </c>
      <c r="O2335" t="s">
        <v>25</v>
      </c>
    </row>
    <row r="2336" spans="1:15" x14ac:dyDescent="0.3">
      <c r="A2336" s="1">
        <v>45883</v>
      </c>
      <c r="B2336" t="s">
        <v>15</v>
      </c>
      <c r="C2336" s="3">
        <v>3034</v>
      </c>
      <c r="D2336" s="3">
        <v>3055.9</v>
      </c>
      <c r="E2336" s="3">
        <v>3019.1</v>
      </c>
      <c r="F2336" s="3">
        <v>3036.2</v>
      </c>
      <c r="G2336" s="3">
        <v>3022.5</v>
      </c>
      <c r="H2336" s="3">
        <v>3022.3</v>
      </c>
      <c r="I2336" s="3">
        <v>3032.52</v>
      </c>
      <c r="J2336" s="3">
        <v>4592.25</v>
      </c>
      <c r="K2336" s="3">
        <v>2991.6</v>
      </c>
      <c r="L2336" s="2">
        <v>3342174</v>
      </c>
      <c r="M2336" s="2">
        <v>10135212616.4</v>
      </c>
      <c r="N2336" s="2">
        <v>194661</v>
      </c>
      <c r="O2336" t="s">
        <v>25</v>
      </c>
    </row>
    <row r="2337" spans="1:15" x14ac:dyDescent="0.3">
      <c r="A2337" s="1">
        <v>45882</v>
      </c>
      <c r="B2337" t="s">
        <v>15</v>
      </c>
      <c r="C2337" s="3">
        <v>3036.1</v>
      </c>
      <c r="D2337" s="3">
        <v>3044.4</v>
      </c>
      <c r="E2337" s="3">
        <v>3028.6</v>
      </c>
      <c r="F2337" s="3">
        <v>3035.4</v>
      </c>
      <c r="G2337" s="3">
        <v>3035</v>
      </c>
      <c r="H2337" s="3">
        <v>3036.2</v>
      </c>
      <c r="I2337" s="3">
        <v>3037.72</v>
      </c>
      <c r="J2337" s="3">
        <v>4592.25</v>
      </c>
      <c r="K2337" s="3">
        <v>2991.6</v>
      </c>
      <c r="L2337" s="2">
        <v>2148166</v>
      </c>
      <c r="M2337" s="2">
        <v>6525533464.3000002</v>
      </c>
      <c r="N2337" s="2">
        <v>117340</v>
      </c>
      <c r="O2337" t="s">
        <v>25</v>
      </c>
    </row>
    <row r="2338" spans="1:15" x14ac:dyDescent="0.3">
      <c r="A2338" s="1">
        <v>45881</v>
      </c>
      <c r="B2338" t="s">
        <v>15</v>
      </c>
      <c r="C2338" s="3">
        <v>3041</v>
      </c>
      <c r="D2338" s="3">
        <v>3096.4</v>
      </c>
      <c r="E2338" s="3">
        <v>3026.9</v>
      </c>
      <c r="F2338" s="3">
        <v>3040.8</v>
      </c>
      <c r="G2338" s="3">
        <v>3039.8</v>
      </c>
      <c r="H2338" s="3">
        <v>3035.4</v>
      </c>
      <c r="I2338" s="3">
        <v>3057.38</v>
      </c>
      <c r="J2338" s="3">
        <v>4592.25</v>
      </c>
      <c r="K2338" s="3">
        <v>2991.6</v>
      </c>
      <c r="L2338" s="2">
        <v>3358232</v>
      </c>
      <c r="M2338" s="2">
        <v>10267395734.799999</v>
      </c>
      <c r="N2338" s="2">
        <v>165565</v>
      </c>
      <c r="O2338" t="s">
        <v>25</v>
      </c>
    </row>
    <row r="2339" spans="1:15" x14ac:dyDescent="0.3">
      <c r="A2339" s="1">
        <v>45880</v>
      </c>
      <c r="B2339" t="s">
        <v>15</v>
      </c>
      <c r="C2339" s="3">
        <v>3036.4</v>
      </c>
      <c r="D2339" s="3">
        <v>3049.9</v>
      </c>
      <c r="E2339" s="3">
        <v>3021.3</v>
      </c>
      <c r="F2339" s="3">
        <v>3036.4</v>
      </c>
      <c r="G2339" s="3">
        <v>3042</v>
      </c>
      <c r="H2339" s="3">
        <v>3040.8</v>
      </c>
      <c r="I2339" s="3">
        <v>3040.5</v>
      </c>
      <c r="J2339" s="3">
        <v>4592.25</v>
      </c>
      <c r="K2339" s="3">
        <v>2991.6</v>
      </c>
      <c r="L2339" s="2">
        <v>1884215</v>
      </c>
      <c r="M2339" s="2">
        <v>5728958255.6000004</v>
      </c>
      <c r="N2339" s="2">
        <v>132617</v>
      </c>
      <c r="O2339" t="s">
        <v>25</v>
      </c>
    </row>
    <row r="2340" spans="1:15" x14ac:dyDescent="0.3">
      <c r="A2340" s="1">
        <v>45877</v>
      </c>
      <c r="B2340" t="s">
        <v>15</v>
      </c>
      <c r="C2340" s="3">
        <v>3048.1</v>
      </c>
      <c r="D2340" s="3">
        <v>3059.8</v>
      </c>
      <c r="E2340" s="3">
        <v>3025</v>
      </c>
      <c r="F2340" s="3">
        <v>3047</v>
      </c>
      <c r="G2340" s="3">
        <v>3031.9</v>
      </c>
      <c r="H2340" s="3">
        <v>3036.4</v>
      </c>
      <c r="I2340" s="3">
        <v>3043.58</v>
      </c>
      <c r="J2340" s="3">
        <v>4592.25</v>
      </c>
      <c r="K2340" s="3">
        <v>2991.6</v>
      </c>
      <c r="L2340" s="2">
        <v>2762140</v>
      </c>
      <c r="M2340" s="2">
        <v>8406805181</v>
      </c>
      <c r="N2340" s="2">
        <v>119961</v>
      </c>
      <c r="O2340" t="s">
        <v>25</v>
      </c>
    </row>
    <row r="2341" spans="1:15" x14ac:dyDescent="0.3">
      <c r="A2341" s="1">
        <v>45876</v>
      </c>
      <c r="B2341" t="s">
        <v>15</v>
      </c>
      <c r="C2341" s="3">
        <v>3016</v>
      </c>
      <c r="D2341" s="3">
        <v>3051.6</v>
      </c>
      <c r="E2341" s="3">
        <v>3010.9</v>
      </c>
      <c r="F2341" s="3">
        <v>3032.3</v>
      </c>
      <c r="G2341" s="3">
        <v>3049.1</v>
      </c>
      <c r="H2341" s="3">
        <v>3047</v>
      </c>
      <c r="I2341" s="3">
        <v>3032.09</v>
      </c>
      <c r="J2341" s="3">
        <v>4592.25</v>
      </c>
      <c r="K2341" s="3">
        <v>2991.6</v>
      </c>
      <c r="L2341" s="2">
        <v>2543076</v>
      </c>
      <c r="M2341" s="2">
        <v>7710829083.3000002</v>
      </c>
      <c r="N2341" s="2">
        <v>138156</v>
      </c>
      <c r="O2341" t="s">
        <v>25</v>
      </c>
    </row>
    <row r="2342" spans="1:15" x14ac:dyDescent="0.3">
      <c r="A2342" s="1">
        <v>45875</v>
      </c>
      <c r="B2342" t="s">
        <v>15</v>
      </c>
      <c r="C2342" s="3">
        <v>3063</v>
      </c>
      <c r="D2342" s="3">
        <v>3066.8</v>
      </c>
      <c r="E2342" s="3">
        <v>3026</v>
      </c>
      <c r="F2342" s="3">
        <v>3063.9</v>
      </c>
      <c r="G2342" s="3">
        <v>3031.6</v>
      </c>
      <c r="H2342" s="3">
        <v>3032.3</v>
      </c>
      <c r="I2342" s="3">
        <v>3037.1</v>
      </c>
      <c r="J2342" s="3">
        <v>4592.25</v>
      </c>
      <c r="K2342" s="3">
        <v>2991.6</v>
      </c>
      <c r="L2342" s="2">
        <v>1487081</v>
      </c>
      <c r="M2342" s="2">
        <v>4516412670.5</v>
      </c>
      <c r="N2342" s="2">
        <v>109992</v>
      </c>
      <c r="O2342" t="s">
        <v>25</v>
      </c>
    </row>
    <row r="2343" spans="1:15" x14ac:dyDescent="0.3">
      <c r="A2343" s="1">
        <v>45874</v>
      </c>
      <c r="B2343" t="s">
        <v>15</v>
      </c>
      <c r="C2343" s="3">
        <v>3074.4</v>
      </c>
      <c r="D2343" s="3">
        <v>3077.5</v>
      </c>
      <c r="E2343" s="3">
        <v>3042</v>
      </c>
      <c r="F2343" s="3">
        <v>3074.4</v>
      </c>
      <c r="G2343" s="3">
        <v>3060</v>
      </c>
      <c r="H2343" s="3">
        <v>3063.9</v>
      </c>
      <c r="I2343" s="3">
        <v>3057.96</v>
      </c>
      <c r="J2343" s="3">
        <v>4592.25</v>
      </c>
      <c r="K2343" s="3">
        <v>2991.6</v>
      </c>
      <c r="L2343" s="2">
        <v>1927996</v>
      </c>
      <c r="M2343" s="2">
        <v>5895739286.3000002</v>
      </c>
      <c r="N2343" s="2">
        <v>118848</v>
      </c>
      <c r="O2343" t="s">
        <v>25</v>
      </c>
    </row>
    <row r="2344" spans="1:15" x14ac:dyDescent="0.3">
      <c r="A2344" s="1">
        <v>45873</v>
      </c>
      <c r="B2344" t="s">
        <v>15</v>
      </c>
      <c r="C2344" s="3">
        <v>3009.1</v>
      </c>
      <c r="D2344" s="3">
        <v>3079.4</v>
      </c>
      <c r="E2344" s="3">
        <v>2991.6</v>
      </c>
      <c r="F2344" s="3">
        <v>3003</v>
      </c>
      <c r="G2344" s="3">
        <v>3078.7</v>
      </c>
      <c r="H2344" s="3">
        <v>3074.4</v>
      </c>
      <c r="I2344" s="3">
        <v>3046.24</v>
      </c>
      <c r="J2344" s="3">
        <v>4592.25</v>
      </c>
      <c r="K2344" s="3">
        <v>2991.6</v>
      </c>
      <c r="L2344" s="2">
        <v>2519252</v>
      </c>
      <c r="M2344" s="2">
        <v>7674244863.5</v>
      </c>
      <c r="N2344" s="2">
        <v>154005</v>
      </c>
      <c r="O2344" t="s">
        <v>25</v>
      </c>
    </row>
    <row r="2345" spans="1:15" x14ac:dyDescent="0.3">
      <c r="A2345" s="1">
        <v>45870</v>
      </c>
      <c r="B2345" t="s">
        <v>15</v>
      </c>
      <c r="C2345" s="3">
        <v>3029.9</v>
      </c>
      <c r="D2345" s="3">
        <v>3036.8</v>
      </c>
      <c r="E2345" s="3">
        <v>3000</v>
      </c>
      <c r="F2345" s="3">
        <v>3036.8</v>
      </c>
      <c r="G2345" s="3">
        <v>3001.1</v>
      </c>
      <c r="H2345" s="3">
        <v>3003</v>
      </c>
      <c r="I2345" s="3">
        <v>3013.79</v>
      </c>
      <c r="J2345" s="3">
        <v>4592.25</v>
      </c>
      <c r="K2345" s="3">
        <v>3000</v>
      </c>
      <c r="L2345" s="2">
        <v>2053847</v>
      </c>
      <c r="M2345" s="2">
        <v>6189863144.5</v>
      </c>
      <c r="N2345" s="2">
        <v>154119</v>
      </c>
      <c r="O2345" t="s">
        <v>25</v>
      </c>
    </row>
    <row r="2346" spans="1:15" x14ac:dyDescent="0.3">
      <c r="A2346" s="1">
        <v>45869</v>
      </c>
      <c r="B2346" t="s">
        <v>15</v>
      </c>
      <c r="C2346" s="3">
        <v>3041.7</v>
      </c>
      <c r="D2346" s="3">
        <v>3059.8</v>
      </c>
      <c r="E2346" s="3">
        <v>3015</v>
      </c>
      <c r="F2346" s="3">
        <v>3053.6</v>
      </c>
      <c r="G2346" s="3">
        <v>3033.2</v>
      </c>
      <c r="H2346" s="3">
        <v>3036.8</v>
      </c>
      <c r="I2346" s="3">
        <v>3034.36</v>
      </c>
      <c r="J2346" s="3">
        <v>4592.25</v>
      </c>
      <c r="K2346" s="3">
        <v>3015</v>
      </c>
      <c r="L2346" s="2">
        <v>2968371</v>
      </c>
      <c r="M2346" s="2">
        <v>9007105954.2999992</v>
      </c>
      <c r="N2346" s="2">
        <v>199367</v>
      </c>
      <c r="O2346" t="s">
        <v>25</v>
      </c>
    </row>
    <row r="2347" spans="1:15" x14ac:dyDescent="0.3">
      <c r="A2347" s="1">
        <v>45868</v>
      </c>
      <c r="B2347" t="s">
        <v>15</v>
      </c>
      <c r="C2347" s="3">
        <v>3060</v>
      </c>
      <c r="D2347" s="3">
        <v>3069</v>
      </c>
      <c r="E2347" s="3">
        <v>3047.2</v>
      </c>
      <c r="F2347" s="3">
        <v>3056</v>
      </c>
      <c r="G2347" s="3">
        <v>3052.1</v>
      </c>
      <c r="H2347" s="3">
        <v>3053.6</v>
      </c>
      <c r="I2347" s="3">
        <v>3058.58</v>
      </c>
      <c r="J2347" s="3">
        <v>4592.25</v>
      </c>
      <c r="K2347" s="3">
        <v>3041.2</v>
      </c>
      <c r="L2347" s="2">
        <v>2880121</v>
      </c>
      <c r="M2347" s="2">
        <v>8809078906.7999992</v>
      </c>
      <c r="N2347" s="2">
        <v>127490</v>
      </c>
      <c r="O2347" t="s">
        <v>25</v>
      </c>
    </row>
    <row r="2348" spans="1:15" x14ac:dyDescent="0.3">
      <c r="A2348" s="1">
        <v>45867</v>
      </c>
      <c r="B2348" t="s">
        <v>15</v>
      </c>
      <c r="C2348" s="3">
        <v>3060</v>
      </c>
      <c r="D2348" s="3">
        <v>3074</v>
      </c>
      <c r="E2348" s="3">
        <v>3041.2</v>
      </c>
      <c r="F2348" s="3">
        <v>3079.3</v>
      </c>
      <c r="G2348" s="3">
        <v>3057</v>
      </c>
      <c r="H2348" s="3">
        <v>3056</v>
      </c>
      <c r="I2348" s="3">
        <v>3056.04</v>
      </c>
      <c r="J2348" s="3">
        <v>4592.25</v>
      </c>
      <c r="K2348" s="3">
        <v>3041.2</v>
      </c>
      <c r="L2348" s="2">
        <v>4785312</v>
      </c>
      <c r="M2348" s="2">
        <v>14624090930.700001</v>
      </c>
      <c r="N2348" s="2">
        <v>247039</v>
      </c>
      <c r="O2348" t="s">
        <v>25</v>
      </c>
    </row>
    <row r="2349" spans="1:15" x14ac:dyDescent="0.3">
      <c r="A2349" s="1">
        <v>45866</v>
      </c>
      <c r="B2349" t="s">
        <v>15</v>
      </c>
      <c r="C2349" s="3">
        <v>3110</v>
      </c>
      <c r="D2349" s="3">
        <v>3118</v>
      </c>
      <c r="E2349" s="3">
        <v>3069.9</v>
      </c>
      <c r="F2349" s="3">
        <v>3135.8</v>
      </c>
      <c r="G2349" s="3">
        <v>3085.8</v>
      </c>
      <c r="H2349" s="3">
        <v>3079.3</v>
      </c>
      <c r="I2349" s="3">
        <v>3092.56</v>
      </c>
      <c r="J2349" s="3">
        <v>4592.25</v>
      </c>
      <c r="K2349" s="3">
        <v>3056.05</v>
      </c>
      <c r="L2349" s="2">
        <v>3374473</v>
      </c>
      <c r="M2349" s="2">
        <v>10435752450</v>
      </c>
      <c r="N2349" s="2">
        <v>273133</v>
      </c>
      <c r="O2349" t="s">
        <v>25</v>
      </c>
    </row>
    <row r="2350" spans="1:15" x14ac:dyDescent="0.3">
      <c r="A2350" s="1">
        <v>45863</v>
      </c>
      <c r="B2350" t="s">
        <v>15</v>
      </c>
      <c r="C2350" s="3">
        <v>3140</v>
      </c>
      <c r="D2350" s="3">
        <v>3156.9</v>
      </c>
      <c r="E2350" s="3">
        <v>3125.6</v>
      </c>
      <c r="F2350" s="3">
        <v>3148</v>
      </c>
      <c r="G2350" s="3">
        <v>3140</v>
      </c>
      <c r="H2350" s="3">
        <v>3135.8</v>
      </c>
      <c r="I2350" s="3">
        <v>3140.77</v>
      </c>
      <c r="J2350" s="3">
        <v>4592.25</v>
      </c>
      <c r="K2350" s="3">
        <v>3056.05</v>
      </c>
      <c r="L2350" s="2">
        <v>2568917</v>
      </c>
      <c r="M2350" s="2">
        <v>8068375805.8999996</v>
      </c>
      <c r="N2350" s="2">
        <v>105704</v>
      </c>
      <c r="O2350" t="s">
        <v>25</v>
      </c>
    </row>
    <row r="2351" spans="1:15" x14ac:dyDescent="0.3">
      <c r="A2351" s="1">
        <v>45862</v>
      </c>
      <c r="B2351" t="s">
        <v>15</v>
      </c>
      <c r="C2351" s="3">
        <v>3165.1</v>
      </c>
      <c r="D2351" s="3">
        <v>3173.7</v>
      </c>
      <c r="E2351" s="3">
        <v>3140</v>
      </c>
      <c r="F2351" s="3">
        <v>3179.1</v>
      </c>
      <c r="G2351" s="3">
        <v>3144.9</v>
      </c>
      <c r="H2351" s="3">
        <v>3148</v>
      </c>
      <c r="I2351" s="3">
        <v>3155.37</v>
      </c>
      <c r="J2351" s="3">
        <v>4592.25</v>
      </c>
      <c r="K2351" s="3">
        <v>3056.05</v>
      </c>
      <c r="L2351" s="2">
        <v>2934778</v>
      </c>
      <c r="M2351" s="2">
        <v>9260312011.2999992</v>
      </c>
      <c r="N2351" s="2">
        <v>102612</v>
      </c>
      <c r="O2351" t="s">
        <v>25</v>
      </c>
    </row>
    <row r="2352" spans="1:15" x14ac:dyDescent="0.3">
      <c r="A2352" s="1">
        <v>45861</v>
      </c>
      <c r="B2352" t="s">
        <v>15</v>
      </c>
      <c r="C2352" s="3">
        <v>3159.6</v>
      </c>
      <c r="D2352" s="3">
        <v>3182</v>
      </c>
      <c r="E2352" s="3">
        <v>3157.6</v>
      </c>
      <c r="F2352" s="3">
        <v>3159.6</v>
      </c>
      <c r="G2352" s="3">
        <v>3175</v>
      </c>
      <c r="H2352" s="3">
        <v>3179.1</v>
      </c>
      <c r="I2352" s="3">
        <v>3169.59</v>
      </c>
      <c r="J2352" s="3">
        <v>4592.25</v>
      </c>
      <c r="K2352" s="3">
        <v>3056.05</v>
      </c>
      <c r="L2352" s="2">
        <v>1922875</v>
      </c>
      <c r="M2352" s="2">
        <v>6094730938.8000002</v>
      </c>
      <c r="N2352" s="2">
        <v>96628</v>
      </c>
      <c r="O2352" t="s">
        <v>25</v>
      </c>
    </row>
    <row r="2353" spans="1:15" x14ac:dyDescent="0.3">
      <c r="A2353" s="1">
        <v>45860</v>
      </c>
      <c r="B2353" t="s">
        <v>15</v>
      </c>
      <c r="C2353" s="3">
        <v>3159.6</v>
      </c>
      <c r="D2353" s="3">
        <v>3180.1</v>
      </c>
      <c r="E2353" s="3">
        <v>3154.6</v>
      </c>
      <c r="F2353" s="3">
        <v>3158.2</v>
      </c>
      <c r="G2353" s="3">
        <v>3164.7</v>
      </c>
      <c r="H2353" s="3">
        <v>3159.6</v>
      </c>
      <c r="I2353" s="3">
        <v>3163.54</v>
      </c>
      <c r="J2353" s="3">
        <v>4592.25</v>
      </c>
      <c r="K2353" s="3">
        <v>3056.05</v>
      </c>
      <c r="L2353" s="2">
        <v>3198036</v>
      </c>
      <c r="M2353" s="2">
        <v>10117107299.1</v>
      </c>
      <c r="N2353" s="2">
        <v>138279</v>
      </c>
      <c r="O2353" t="s">
        <v>25</v>
      </c>
    </row>
    <row r="2354" spans="1:15" x14ac:dyDescent="0.3">
      <c r="A2354" s="1">
        <v>45859</v>
      </c>
      <c r="B2354" t="s">
        <v>15</v>
      </c>
      <c r="C2354" s="3">
        <v>3190</v>
      </c>
      <c r="D2354" s="3">
        <v>3197.6</v>
      </c>
      <c r="E2354" s="3">
        <v>3152</v>
      </c>
      <c r="F2354" s="3">
        <v>3189.9</v>
      </c>
      <c r="G2354" s="3">
        <v>3158.9</v>
      </c>
      <c r="H2354" s="3">
        <v>3158.2</v>
      </c>
      <c r="I2354" s="3">
        <v>3162.44</v>
      </c>
      <c r="J2354" s="3">
        <v>4592.25</v>
      </c>
      <c r="K2354" s="3">
        <v>3056.05</v>
      </c>
      <c r="L2354" s="2">
        <v>3844346</v>
      </c>
      <c r="M2354" s="2">
        <v>12157519336.9</v>
      </c>
      <c r="N2354" s="2">
        <v>195683</v>
      </c>
      <c r="O2354" t="s">
        <v>25</v>
      </c>
    </row>
    <row r="2355" spans="1:15" x14ac:dyDescent="0.3">
      <c r="A2355" s="1">
        <v>45856</v>
      </c>
      <c r="B2355" t="s">
        <v>15</v>
      </c>
      <c r="C2355" s="3">
        <v>3225</v>
      </c>
      <c r="D2355" s="3">
        <v>3228.8</v>
      </c>
      <c r="E2355" s="3">
        <v>3187</v>
      </c>
      <c r="F2355" s="3">
        <v>3209.2</v>
      </c>
      <c r="G2355" s="3">
        <v>3189.6</v>
      </c>
      <c r="H2355" s="3">
        <v>3189.9</v>
      </c>
      <c r="I2355" s="3">
        <v>3201.13</v>
      </c>
      <c r="J2355" s="3">
        <v>4592.25</v>
      </c>
      <c r="K2355" s="3">
        <v>3056.05</v>
      </c>
      <c r="L2355" s="2">
        <v>3432645</v>
      </c>
      <c r="M2355" s="2">
        <v>10988348160.4</v>
      </c>
      <c r="N2355" s="2">
        <v>195464</v>
      </c>
      <c r="O2355" t="s">
        <v>25</v>
      </c>
    </row>
    <row r="2356" spans="1:15" x14ac:dyDescent="0.3">
      <c r="A2356" s="1">
        <v>45855</v>
      </c>
      <c r="B2356" t="s">
        <v>15</v>
      </c>
      <c r="C2356" s="3">
        <v>3224.1</v>
      </c>
      <c r="D2356" s="3">
        <v>3242</v>
      </c>
      <c r="E2356" s="3">
        <v>3204.1</v>
      </c>
      <c r="F2356" s="3">
        <v>3233.1</v>
      </c>
      <c r="G2356" s="3">
        <v>3207.7</v>
      </c>
      <c r="H2356" s="3">
        <v>3209.2</v>
      </c>
      <c r="I2356" s="3">
        <v>3220.48</v>
      </c>
      <c r="J2356" s="3">
        <v>4592.25</v>
      </c>
      <c r="K2356" s="3">
        <v>3056.05</v>
      </c>
      <c r="L2356" s="2">
        <v>2947640</v>
      </c>
      <c r="M2356" s="2">
        <v>9492807475.5</v>
      </c>
      <c r="N2356" s="2">
        <v>157207</v>
      </c>
      <c r="O2356" t="s">
        <v>25</v>
      </c>
    </row>
    <row r="2357" spans="1:15" x14ac:dyDescent="0.3">
      <c r="A2357" s="1">
        <v>45854</v>
      </c>
      <c r="B2357" t="s">
        <v>15</v>
      </c>
      <c r="C2357" s="3">
        <v>3227</v>
      </c>
      <c r="D2357" s="3">
        <v>3244.9</v>
      </c>
      <c r="E2357" s="3">
        <v>3220.6</v>
      </c>
      <c r="F2357" s="3">
        <v>3252.3</v>
      </c>
      <c r="G2357" s="3">
        <v>3230.9</v>
      </c>
      <c r="H2357" s="3">
        <v>3233.1</v>
      </c>
      <c r="I2357" s="3">
        <v>3235.91</v>
      </c>
      <c r="J2357" s="3">
        <v>4592.25</v>
      </c>
      <c r="K2357" s="3">
        <v>3056.05</v>
      </c>
      <c r="L2357" s="2">
        <v>2540733</v>
      </c>
      <c r="M2357" s="2">
        <v>8221586412.6000004</v>
      </c>
      <c r="N2357" s="2">
        <v>172998</v>
      </c>
      <c r="O2357" t="s">
        <v>25</v>
      </c>
    </row>
    <row r="2358" spans="1:15" x14ac:dyDescent="0.3">
      <c r="A2358" s="1">
        <v>45853</v>
      </c>
      <c r="B2358" t="s">
        <v>15</v>
      </c>
      <c r="C2358" s="3">
        <v>3206</v>
      </c>
      <c r="D2358" s="3">
        <v>3259.4</v>
      </c>
      <c r="E2358" s="3">
        <v>3206</v>
      </c>
      <c r="F2358" s="3">
        <v>3222.7</v>
      </c>
      <c r="G2358" s="3">
        <v>3252</v>
      </c>
      <c r="H2358" s="3">
        <v>3252.3</v>
      </c>
      <c r="I2358" s="3">
        <v>3243.32</v>
      </c>
      <c r="J2358" s="3">
        <v>4592.25</v>
      </c>
      <c r="K2358" s="3">
        <v>3056.05</v>
      </c>
      <c r="L2358" s="2">
        <v>2590889</v>
      </c>
      <c r="M2358" s="2">
        <v>8403081368.1000004</v>
      </c>
      <c r="N2358" s="2">
        <v>171257</v>
      </c>
      <c r="O2358" t="s">
        <v>25</v>
      </c>
    </row>
    <row r="2359" spans="1:15" x14ac:dyDescent="0.3">
      <c r="A2359" s="1">
        <v>45852</v>
      </c>
      <c r="B2359" t="s">
        <v>15</v>
      </c>
      <c r="C2359" s="3">
        <v>3266</v>
      </c>
      <c r="D2359" s="3">
        <v>3272</v>
      </c>
      <c r="E2359" s="3">
        <v>3200</v>
      </c>
      <c r="F2359" s="3">
        <v>3266</v>
      </c>
      <c r="G2359" s="3">
        <v>3227.5</v>
      </c>
      <c r="H2359" s="3">
        <v>3222.7</v>
      </c>
      <c r="I2359" s="3">
        <v>3224.72</v>
      </c>
      <c r="J2359" s="3">
        <v>4592.25</v>
      </c>
      <c r="K2359" s="3">
        <v>3056.05</v>
      </c>
      <c r="L2359" s="2">
        <v>3924009</v>
      </c>
      <c r="M2359" s="2">
        <v>12653811861.799999</v>
      </c>
      <c r="N2359" s="2">
        <v>396894</v>
      </c>
      <c r="O2359" t="s">
        <v>25</v>
      </c>
    </row>
    <row r="2360" spans="1:15" x14ac:dyDescent="0.3">
      <c r="A2360" s="1">
        <v>45849</v>
      </c>
      <c r="B2360" t="s">
        <v>15</v>
      </c>
      <c r="C2360" s="3">
        <v>3299.9</v>
      </c>
      <c r="D2360" s="3">
        <v>3335</v>
      </c>
      <c r="E2360" s="3">
        <v>3261.1</v>
      </c>
      <c r="F2360" s="3">
        <v>3382</v>
      </c>
      <c r="G2360" s="3">
        <v>3264.5</v>
      </c>
      <c r="H2360" s="3">
        <v>3266</v>
      </c>
      <c r="I2360" s="3">
        <v>3295.45</v>
      </c>
      <c r="J2360" s="3">
        <v>4592.25</v>
      </c>
      <c r="K2360" s="3">
        <v>3056.05</v>
      </c>
      <c r="L2360" s="2">
        <v>7635550</v>
      </c>
      <c r="M2360" s="2">
        <v>25162551686.400002</v>
      </c>
      <c r="N2360" s="2">
        <v>552284</v>
      </c>
      <c r="O2360" t="s">
        <v>25</v>
      </c>
    </row>
    <row r="2361" spans="1:15" x14ac:dyDescent="0.3">
      <c r="A2361" s="1">
        <v>45848</v>
      </c>
      <c r="B2361" t="s">
        <v>15</v>
      </c>
      <c r="C2361" s="3">
        <v>3380</v>
      </c>
      <c r="D2361" s="3">
        <v>3399</v>
      </c>
      <c r="E2361" s="3">
        <v>3356</v>
      </c>
      <c r="F2361" s="3">
        <v>3383.8</v>
      </c>
      <c r="G2361" s="3">
        <v>3395</v>
      </c>
      <c r="H2361" s="3">
        <v>3382</v>
      </c>
      <c r="I2361" s="3">
        <v>3379.02</v>
      </c>
      <c r="J2361" s="3">
        <v>4592.25</v>
      </c>
      <c r="K2361" s="3">
        <v>3056.05</v>
      </c>
      <c r="L2361" s="2">
        <v>3035012</v>
      </c>
      <c r="M2361" s="2">
        <v>10255361029.9</v>
      </c>
      <c r="N2361" s="2">
        <v>176792</v>
      </c>
      <c r="O2361" t="s">
        <v>25</v>
      </c>
    </row>
    <row r="2362" spans="1:15" x14ac:dyDescent="0.3">
      <c r="A2362" s="1">
        <v>45847</v>
      </c>
      <c r="B2362" t="s">
        <v>15</v>
      </c>
      <c r="C2362" s="3">
        <v>3410</v>
      </c>
      <c r="D2362" s="3">
        <v>3414</v>
      </c>
      <c r="E2362" s="3">
        <v>3367</v>
      </c>
      <c r="F2362" s="3">
        <v>3406.2</v>
      </c>
      <c r="G2362" s="3">
        <v>3386</v>
      </c>
      <c r="H2362" s="3">
        <v>3383.8</v>
      </c>
      <c r="I2362" s="3">
        <v>3387.16</v>
      </c>
      <c r="J2362" s="3">
        <v>4592.25</v>
      </c>
      <c r="K2362" s="3">
        <v>3056.05</v>
      </c>
      <c r="L2362" s="2">
        <v>2034938</v>
      </c>
      <c r="M2362" s="2">
        <v>6892661354.3000002</v>
      </c>
      <c r="N2362" s="2">
        <v>191376</v>
      </c>
      <c r="O2362" t="s">
        <v>25</v>
      </c>
    </row>
    <row r="2363" spans="1:15" x14ac:dyDescent="0.3">
      <c r="A2363" s="1">
        <v>45846</v>
      </c>
      <c r="B2363" t="s">
        <v>15</v>
      </c>
      <c r="C2363" s="3">
        <v>3405</v>
      </c>
      <c r="D2363" s="3">
        <v>3425</v>
      </c>
      <c r="E2363" s="3">
        <v>3393.4</v>
      </c>
      <c r="F2363" s="3">
        <v>3411.7</v>
      </c>
      <c r="G2363" s="3">
        <v>3406</v>
      </c>
      <c r="H2363" s="3">
        <v>3406.2</v>
      </c>
      <c r="I2363" s="3">
        <v>3407.01</v>
      </c>
      <c r="J2363" s="3">
        <v>4592.25</v>
      </c>
      <c r="K2363" s="3">
        <v>3056.05</v>
      </c>
      <c r="L2363" s="2">
        <v>2325242</v>
      </c>
      <c r="M2363" s="2">
        <v>7922116743.6999998</v>
      </c>
      <c r="N2363" s="2">
        <v>178045</v>
      </c>
      <c r="O2363" t="s">
        <v>25</v>
      </c>
    </row>
    <row r="2364" spans="1:15" x14ac:dyDescent="0.3">
      <c r="A2364" s="1">
        <v>45845</v>
      </c>
      <c r="B2364" t="s">
        <v>15</v>
      </c>
      <c r="C2364" s="3">
        <v>3418.3</v>
      </c>
      <c r="D2364" s="3">
        <v>3426.1</v>
      </c>
      <c r="E2364" s="3">
        <v>3408.4</v>
      </c>
      <c r="F2364" s="3">
        <v>3419.8</v>
      </c>
      <c r="G2364" s="3">
        <v>3410.6</v>
      </c>
      <c r="H2364" s="3">
        <v>3411.7</v>
      </c>
      <c r="I2364" s="3">
        <v>3417.7</v>
      </c>
      <c r="J2364" s="3">
        <v>4592.25</v>
      </c>
      <c r="K2364" s="3">
        <v>3056.05</v>
      </c>
      <c r="L2364" s="2">
        <v>1639174</v>
      </c>
      <c r="M2364" s="2">
        <v>5602206127.8000002</v>
      </c>
      <c r="N2364" s="2">
        <v>73810</v>
      </c>
      <c r="O2364" t="s">
        <v>25</v>
      </c>
    </row>
    <row r="2365" spans="1:15" x14ac:dyDescent="0.3">
      <c r="A2365" s="1">
        <v>45842</v>
      </c>
      <c r="B2365" t="s">
        <v>15</v>
      </c>
      <c r="C2365" s="3">
        <v>3408</v>
      </c>
      <c r="D2365" s="3">
        <v>3427</v>
      </c>
      <c r="E2365" s="3">
        <v>3390.1</v>
      </c>
      <c r="F2365" s="3">
        <v>3400.8</v>
      </c>
      <c r="G2365" s="3">
        <v>3420</v>
      </c>
      <c r="H2365" s="3">
        <v>3419.8</v>
      </c>
      <c r="I2365" s="3">
        <v>3413.91</v>
      </c>
      <c r="J2365" s="3">
        <v>4592.25</v>
      </c>
      <c r="K2365" s="3">
        <v>3056.05</v>
      </c>
      <c r="L2365" s="2">
        <v>1109320</v>
      </c>
      <c r="M2365" s="2">
        <v>3787117009.9000001</v>
      </c>
      <c r="N2365" s="2">
        <v>87593</v>
      </c>
      <c r="O2365" t="s">
        <v>25</v>
      </c>
    </row>
    <row r="2366" spans="1:15" x14ac:dyDescent="0.3">
      <c r="A2366" s="1">
        <v>45841</v>
      </c>
      <c r="B2366" t="s">
        <v>15</v>
      </c>
      <c r="C2366" s="3">
        <v>3430</v>
      </c>
      <c r="D2366" s="3">
        <v>3435.3</v>
      </c>
      <c r="E2366" s="3">
        <v>3397.6</v>
      </c>
      <c r="F2366" s="3">
        <v>3423.3</v>
      </c>
      <c r="G2366" s="3">
        <v>3400</v>
      </c>
      <c r="H2366" s="3">
        <v>3400.8</v>
      </c>
      <c r="I2366" s="3">
        <v>3414.55</v>
      </c>
      <c r="J2366" s="3">
        <v>4592.25</v>
      </c>
      <c r="K2366" s="3">
        <v>3056.05</v>
      </c>
      <c r="L2366" s="2">
        <v>2531870</v>
      </c>
      <c r="M2366" s="2">
        <v>8645207975.3999996</v>
      </c>
      <c r="N2366" s="2">
        <v>131370</v>
      </c>
      <c r="O2366" t="s">
        <v>25</v>
      </c>
    </row>
    <row r="2367" spans="1:15" x14ac:dyDescent="0.3">
      <c r="A2367" s="1">
        <v>45840</v>
      </c>
      <c r="B2367" t="s">
        <v>15</v>
      </c>
      <c r="C2367" s="3">
        <v>3487.2</v>
      </c>
      <c r="D2367" s="3">
        <v>3489.9</v>
      </c>
      <c r="E2367" s="3">
        <v>3420</v>
      </c>
      <c r="F2367" s="3">
        <v>3429.7</v>
      </c>
      <c r="G2367" s="3">
        <v>3423.5</v>
      </c>
      <c r="H2367" s="3">
        <v>3423.3</v>
      </c>
      <c r="I2367" s="3">
        <v>3445.44</v>
      </c>
      <c r="J2367" s="3">
        <v>4592.25</v>
      </c>
      <c r="K2367" s="3">
        <v>3056.05</v>
      </c>
      <c r="L2367" s="2">
        <v>3090585</v>
      </c>
      <c r="M2367" s="2">
        <v>10648436048.1</v>
      </c>
      <c r="N2367" s="2">
        <v>111947</v>
      </c>
      <c r="O2367" t="s">
        <v>25</v>
      </c>
    </row>
    <row r="2368" spans="1:15" x14ac:dyDescent="0.3">
      <c r="A2368" s="1">
        <v>45839</v>
      </c>
      <c r="B2368" t="s">
        <v>15</v>
      </c>
      <c r="C2368" s="3">
        <v>3455</v>
      </c>
      <c r="D2368" s="3">
        <v>3485</v>
      </c>
      <c r="E2368" s="3">
        <v>3413.5</v>
      </c>
      <c r="F2368" s="3">
        <v>3462</v>
      </c>
      <c r="G2368" s="3">
        <v>3430</v>
      </c>
      <c r="H2368" s="3">
        <v>3429.7</v>
      </c>
      <c r="I2368" s="3">
        <v>3439.04</v>
      </c>
      <c r="J2368" s="3">
        <v>4592.25</v>
      </c>
      <c r="K2368" s="3">
        <v>3056.05</v>
      </c>
      <c r="L2368" s="2">
        <v>2375183</v>
      </c>
      <c r="M2368" s="2">
        <v>8168354151</v>
      </c>
      <c r="N2368" s="2">
        <v>125874</v>
      </c>
      <c r="O2368" t="s">
        <v>25</v>
      </c>
    </row>
    <row r="2369" spans="1:15" x14ac:dyDescent="0.3">
      <c r="A2369" s="1">
        <v>45838</v>
      </c>
      <c r="B2369" t="s">
        <v>15</v>
      </c>
      <c r="C2369" s="3">
        <v>3439.9</v>
      </c>
      <c r="D2369" s="3">
        <v>3464.9</v>
      </c>
      <c r="E2369" s="3">
        <v>3430</v>
      </c>
      <c r="F2369" s="3">
        <v>3441.1</v>
      </c>
      <c r="G2369" s="3">
        <v>3460</v>
      </c>
      <c r="H2369" s="3">
        <v>3462</v>
      </c>
      <c r="I2369" s="3">
        <v>3452.05</v>
      </c>
      <c r="J2369" s="3">
        <v>4592.25</v>
      </c>
      <c r="K2369" s="3">
        <v>3056.05</v>
      </c>
      <c r="L2369" s="2">
        <v>1468351</v>
      </c>
      <c r="M2369" s="2">
        <v>5068827379.1999998</v>
      </c>
      <c r="N2369" s="2">
        <v>130938</v>
      </c>
      <c r="O2369" t="s">
        <v>25</v>
      </c>
    </row>
    <row r="2370" spans="1:15" x14ac:dyDescent="0.3">
      <c r="A2370" s="1">
        <v>45835</v>
      </c>
      <c r="B2370" t="s">
        <v>15</v>
      </c>
      <c r="C2370" s="3">
        <v>3455</v>
      </c>
      <c r="D2370" s="3">
        <v>3466.4</v>
      </c>
      <c r="E2370" s="3">
        <v>3431</v>
      </c>
      <c r="F2370" s="3">
        <v>3441.8</v>
      </c>
      <c r="G2370" s="3">
        <v>3445</v>
      </c>
      <c r="H2370" s="3">
        <v>3441.1</v>
      </c>
      <c r="I2370" s="3">
        <v>3445.16</v>
      </c>
      <c r="J2370" s="3">
        <v>4592.25</v>
      </c>
      <c r="K2370" s="3">
        <v>3056.05</v>
      </c>
      <c r="L2370" s="2">
        <v>1778433</v>
      </c>
      <c r="M2370" s="2">
        <v>6126978962.5</v>
      </c>
      <c r="N2370" s="2">
        <v>122369</v>
      </c>
      <c r="O2370" t="s">
        <v>25</v>
      </c>
    </row>
    <row r="2371" spans="1:15" x14ac:dyDescent="0.3">
      <c r="A2371" s="1">
        <v>45834</v>
      </c>
      <c r="B2371" t="s">
        <v>15</v>
      </c>
      <c r="C2371" s="3">
        <v>3444.8</v>
      </c>
      <c r="D2371" s="3">
        <v>3451.4</v>
      </c>
      <c r="E2371" s="3">
        <v>3415.3</v>
      </c>
      <c r="F2371" s="3">
        <v>3444.8</v>
      </c>
      <c r="G2371" s="3">
        <v>3443</v>
      </c>
      <c r="H2371" s="3">
        <v>3441.8</v>
      </c>
      <c r="I2371" s="3">
        <v>3437.7</v>
      </c>
      <c r="J2371" s="3">
        <v>4592.25</v>
      </c>
      <c r="K2371" s="3">
        <v>3056.05</v>
      </c>
      <c r="L2371" s="2">
        <v>2879106</v>
      </c>
      <c r="M2371" s="2">
        <v>9897501153.8999996</v>
      </c>
      <c r="N2371" s="2">
        <v>143687</v>
      </c>
      <c r="O2371" t="s">
        <v>25</v>
      </c>
    </row>
    <row r="2372" spans="1:15" x14ac:dyDescent="0.3">
      <c r="A2372" s="1">
        <v>45833</v>
      </c>
      <c r="B2372" t="s">
        <v>15</v>
      </c>
      <c r="C2372" s="3">
        <v>3407.3</v>
      </c>
      <c r="D2372" s="3">
        <v>3450</v>
      </c>
      <c r="E2372" s="3">
        <v>3400</v>
      </c>
      <c r="F2372" s="3">
        <v>3390.4</v>
      </c>
      <c r="G2372" s="3">
        <v>3443</v>
      </c>
      <c r="H2372" s="3">
        <v>3444.8</v>
      </c>
      <c r="I2372" s="3">
        <v>3422.33</v>
      </c>
      <c r="J2372" s="3">
        <v>4592.25</v>
      </c>
      <c r="K2372" s="3">
        <v>3056.05</v>
      </c>
      <c r="L2372" s="2">
        <v>1757699</v>
      </c>
      <c r="M2372" s="2">
        <v>6015421913</v>
      </c>
      <c r="N2372" s="2">
        <v>101280</v>
      </c>
      <c r="O2372" t="s">
        <v>25</v>
      </c>
    </row>
    <row r="2373" spans="1:15" x14ac:dyDescent="0.3">
      <c r="A2373" s="1">
        <v>45832</v>
      </c>
      <c r="B2373" t="s">
        <v>15</v>
      </c>
      <c r="C2373" s="3">
        <v>3434.6</v>
      </c>
      <c r="D2373" s="3">
        <v>3442.1</v>
      </c>
      <c r="E2373" s="3">
        <v>3382</v>
      </c>
      <c r="F2373" s="3">
        <v>3393.6</v>
      </c>
      <c r="G2373" s="3">
        <v>3392</v>
      </c>
      <c r="H2373" s="3">
        <v>3390.4</v>
      </c>
      <c r="I2373" s="3">
        <v>3408.47</v>
      </c>
      <c r="J2373" s="3">
        <v>4592.25</v>
      </c>
      <c r="K2373" s="3">
        <v>3056.05</v>
      </c>
      <c r="L2373" s="2">
        <v>3403048</v>
      </c>
      <c r="M2373" s="2">
        <v>11599175864.4</v>
      </c>
      <c r="N2373" s="2">
        <v>178183</v>
      </c>
      <c r="O2373" t="s">
        <v>25</v>
      </c>
    </row>
    <row r="2374" spans="1:15" x14ac:dyDescent="0.3">
      <c r="A2374" s="1">
        <v>45831</v>
      </c>
      <c r="B2374" t="s">
        <v>15</v>
      </c>
      <c r="C2374" s="3">
        <v>3415</v>
      </c>
      <c r="D2374" s="3">
        <v>3425</v>
      </c>
      <c r="E2374" s="3">
        <v>3370</v>
      </c>
      <c r="F2374" s="3">
        <v>3435.7</v>
      </c>
      <c r="G2374" s="3">
        <v>3392</v>
      </c>
      <c r="H2374" s="3">
        <v>3393.6</v>
      </c>
      <c r="I2374" s="3">
        <v>3392.2</v>
      </c>
      <c r="J2374" s="3">
        <v>4592.25</v>
      </c>
      <c r="K2374" s="3">
        <v>3056.05</v>
      </c>
      <c r="L2374" s="2">
        <v>3123421</v>
      </c>
      <c r="M2374" s="2">
        <v>10595271627.799999</v>
      </c>
      <c r="N2374" s="2">
        <v>153401</v>
      </c>
      <c r="O2374" t="s">
        <v>25</v>
      </c>
    </row>
    <row r="2375" spans="1:15" x14ac:dyDescent="0.3">
      <c r="A2375" s="1">
        <v>45828</v>
      </c>
      <c r="B2375" t="s">
        <v>15</v>
      </c>
      <c r="C2375" s="3">
        <v>3425</v>
      </c>
      <c r="D2375" s="3">
        <v>3446.3</v>
      </c>
      <c r="E2375" s="3">
        <v>3410.9</v>
      </c>
      <c r="F2375" s="3">
        <v>3424</v>
      </c>
      <c r="G2375" s="3">
        <v>3429.1</v>
      </c>
      <c r="H2375" s="3">
        <v>3435.7</v>
      </c>
      <c r="I2375" s="3">
        <v>3432.16</v>
      </c>
      <c r="J2375" s="3">
        <v>4592.25</v>
      </c>
      <c r="K2375" s="3">
        <v>3056.05</v>
      </c>
      <c r="L2375" s="2">
        <v>2351248</v>
      </c>
      <c r="M2375" s="2">
        <v>8069855528.6999998</v>
      </c>
      <c r="N2375" s="2">
        <v>100374</v>
      </c>
      <c r="O2375" t="s">
        <v>25</v>
      </c>
    </row>
    <row r="2376" spans="1:15" x14ac:dyDescent="0.3">
      <c r="A2376" s="1">
        <v>45827</v>
      </c>
      <c r="B2376" t="s">
        <v>15</v>
      </c>
      <c r="C2376" s="3">
        <v>3450</v>
      </c>
      <c r="D2376" s="3">
        <v>3451</v>
      </c>
      <c r="E2376" s="3">
        <v>3413</v>
      </c>
      <c r="F2376" s="3">
        <v>3451.4</v>
      </c>
      <c r="G2376" s="3">
        <v>3420</v>
      </c>
      <c r="H2376" s="3">
        <v>3424</v>
      </c>
      <c r="I2376" s="3">
        <v>3426.54</v>
      </c>
      <c r="J2376" s="3">
        <v>4592.25</v>
      </c>
      <c r="K2376" s="3">
        <v>3056.05</v>
      </c>
      <c r="L2376" s="2">
        <v>2672768</v>
      </c>
      <c r="M2376" s="2">
        <v>9158351862.5</v>
      </c>
      <c r="N2376" s="2">
        <v>125292</v>
      </c>
      <c r="O2376" t="s">
        <v>25</v>
      </c>
    </row>
    <row r="2377" spans="1:15" x14ac:dyDescent="0.3">
      <c r="A2377" s="1">
        <v>45826</v>
      </c>
      <c r="B2377" t="s">
        <v>15</v>
      </c>
      <c r="C2377" s="3">
        <v>3519.1</v>
      </c>
      <c r="D2377" s="3">
        <v>3538</v>
      </c>
      <c r="E2377" s="3">
        <v>3443.1</v>
      </c>
      <c r="F2377" s="3">
        <v>3515.3</v>
      </c>
      <c r="G2377" s="3">
        <v>3455</v>
      </c>
      <c r="H2377" s="3">
        <v>3451.4</v>
      </c>
      <c r="I2377" s="3">
        <v>3483.78</v>
      </c>
      <c r="J2377" s="3">
        <v>4592.25</v>
      </c>
      <c r="K2377" s="3">
        <v>3056.05</v>
      </c>
      <c r="L2377" s="2">
        <v>2696327</v>
      </c>
      <c r="M2377" s="2">
        <v>9393397237.6000004</v>
      </c>
      <c r="N2377" s="2">
        <v>103359</v>
      </c>
      <c r="O2377" t="s">
        <v>25</v>
      </c>
    </row>
    <row r="2378" spans="1:15" x14ac:dyDescent="0.3">
      <c r="A2378" s="1">
        <v>45825</v>
      </c>
      <c r="B2378" t="s">
        <v>15</v>
      </c>
      <c r="C2378" s="3">
        <v>3510</v>
      </c>
      <c r="D2378" s="3">
        <v>3520</v>
      </c>
      <c r="E2378" s="3">
        <v>3488.1</v>
      </c>
      <c r="F2378" s="3">
        <v>3496.3</v>
      </c>
      <c r="G2378" s="3">
        <v>3512</v>
      </c>
      <c r="H2378" s="3">
        <v>3515.3</v>
      </c>
      <c r="I2378" s="3">
        <v>3511.25</v>
      </c>
      <c r="J2378" s="3">
        <v>4592.25</v>
      </c>
      <c r="K2378" s="3">
        <v>3056.05</v>
      </c>
      <c r="L2378" s="2">
        <v>2111940</v>
      </c>
      <c r="M2378" s="2">
        <v>7415551942.1999998</v>
      </c>
      <c r="N2378" s="2">
        <v>145498</v>
      </c>
      <c r="O2378" t="s">
        <v>25</v>
      </c>
    </row>
    <row r="2379" spans="1:15" x14ac:dyDescent="0.3">
      <c r="A2379" s="1">
        <v>45824</v>
      </c>
      <c r="B2379" t="s">
        <v>15</v>
      </c>
      <c r="C2379" s="3">
        <v>3440</v>
      </c>
      <c r="D2379" s="3">
        <v>3509</v>
      </c>
      <c r="E2379" s="3">
        <v>3426.2</v>
      </c>
      <c r="F2379" s="3">
        <v>3445.7</v>
      </c>
      <c r="G2379" s="3">
        <v>3496.2</v>
      </c>
      <c r="H2379" s="3">
        <v>3496.3</v>
      </c>
      <c r="I2379" s="3">
        <v>3493.01</v>
      </c>
      <c r="J2379" s="3">
        <v>4592.25</v>
      </c>
      <c r="K2379" s="3">
        <v>3056.05</v>
      </c>
      <c r="L2379" s="2">
        <v>1934088</v>
      </c>
      <c r="M2379" s="2">
        <v>6755788711.1999998</v>
      </c>
      <c r="N2379" s="2">
        <v>109847</v>
      </c>
      <c r="O2379" t="s">
        <v>25</v>
      </c>
    </row>
    <row r="2380" spans="1:15" x14ac:dyDescent="0.3">
      <c r="A2380" s="1">
        <v>45821</v>
      </c>
      <c r="B2380" t="s">
        <v>15</v>
      </c>
      <c r="C2380" s="3">
        <v>3393.2</v>
      </c>
      <c r="D2380" s="3">
        <v>3450.5</v>
      </c>
      <c r="E2380" s="3">
        <v>3393.2</v>
      </c>
      <c r="F2380" s="3">
        <v>3434.2</v>
      </c>
      <c r="G2380" s="3">
        <v>3447.4</v>
      </c>
      <c r="H2380" s="3">
        <v>3445.7</v>
      </c>
      <c r="I2380" s="3">
        <v>3436.18</v>
      </c>
      <c r="J2380" s="3">
        <v>4592.25</v>
      </c>
      <c r="K2380" s="3">
        <v>3056.05</v>
      </c>
      <c r="L2380" s="2">
        <v>2178493</v>
      </c>
      <c r="M2380" s="2">
        <v>7485689915.8999996</v>
      </c>
      <c r="N2380" s="2">
        <v>140820</v>
      </c>
      <c r="O2380" t="s">
        <v>25</v>
      </c>
    </row>
    <row r="2381" spans="1:15" x14ac:dyDescent="0.3">
      <c r="A2381" s="1">
        <v>45820</v>
      </c>
      <c r="B2381" t="s">
        <v>15</v>
      </c>
      <c r="C2381" s="3">
        <v>3471.9</v>
      </c>
      <c r="D2381" s="3">
        <v>3474.7</v>
      </c>
      <c r="E2381" s="3">
        <v>3423.2</v>
      </c>
      <c r="F2381" s="3">
        <v>3471.9</v>
      </c>
      <c r="G2381" s="3">
        <v>3432</v>
      </c>
      <c r="H2381" s="3">
        <v>3434.2</v>
      </c>
      <c r="I2381" s="3">
        <v>3447.13</v>
      </c>
      <c r="J2381" s="3">
        <v>4592.25</v>
      </c>
      <c r="K2381" s="3">
        <v>3056.05</v>
      </c>
      <c r="L2381" s="2">
        <v>4060134</v>
      </c>
      <c r="M2381" s="2">
        <v>13995794452.1</v>
      </c>
      <c r="N2381" s="2">
        <v>164333</v>
      </c>
      <c r="O2381" t="s">
        <v>25</v>
      </c>
    </row>
    <row r="2382" spans="1:15" x14ac:dyDescent="0.3">
      <c r="A2382" s="1">
        <v>45819</v>
      </c>
      <c r="B2382" t="s">
        <v>15</v>
      </c>
      <c r="C2382" s="3">
        <v>3470</v>
      </c>
      <c r="D2382" s="3">
        <v>3489</v>
      </c>
      <c r="E2382" s="3">
        <v>3449.1</v>
      </c>
      <c r="F2382" s="3">
        <v>3462.9</v>
      </c>
      <c r="G2382" s="3">
        <v>3470.8</v>
      </c>
      <c r="H2382" s="3">
        <v>3471.9</v>
      </c>
      <c r="I2382" s="3">
        <v>3471.9</v>
      </c>
      <c r="J2382" s="3">
        <v>4592.25</v>
      </c>
      <c r="K2382" s="3">
        <v>3056.05</v>
      </c>
      <c r="L2382" s="2">
        <v>2847013</v>
      </c>
      <c r="M2382" s="2">
        <v>9884549517.8999996</v>
      </c>
      <c r="N2382" s="2">
        <v>163525</v>
      </c>
      <c r="O2382" t="s">
        <v>25</v>
      </c>
    </row>
    <row r="2383" spans="1:15" x14ac:dyDescent="0.3">
      <c r="A2383" s="1">
        <v>45818</v>
      </c>
      <c r="B2383" t="s">
        <v>15</v>
      </c>
      <c r="C2383" s="3">
        <v>3440</v>
      </c>
      <c r="D2383" s="3">
        <v>3485.8</v>
      </c>
      <c r="E2383" s="3">
        <v>3423.2</v>
      </c>
      <c r="F2383" s="3">
        <v>3421.9</v>
      </c>
      <c r="G2383" s="3">
        <v>3461.9</v>
      </c>
      <c r="H2383" s="3">
        <v>3462.9</v>
      </c>
      <c r="I2383" s="3">
        <v>3462.61</v>
      </c>
      <c r="J2383" s="3">
        <v>4592.25</v>
      </c>
      <c r="K2383" s="3">
        <v>3056.05</v>
      </c>
      <c r="L2383" s="2">
        <v>2419874</v>
      </c>
      <c r="M2383" s="2">
        <v>8379090971.3000002</v>
      </c>
      <c r="N2383" s="2">
        <v>109195</v>
      </c>
      <c r="O2383" t="s">
        <v>25</v>
      </c>
    </row>
    <row r="2384" spans="1:15" x14ac:dyDescent="0.3">
      <c r="A2384" s="1">
        <v>45817</v>
      </c>
      <c r="B2384" t="s">
        <v>15</v>
      </c>
      <c r="C2384" s="3">
        <v>3400</v>
      </c>
      <c r="D2384" s="3">
        <v>3434</v>
      </c>
      <c r="E2384" s="3">
        <v>3390.9</v>
      </c>
      <c r="F2384" s="3">
        <v>3384.2</v>
      </c>
      <c r="G2384" s="3">
        <v>3423</v>
      </c>
      <c r="H2384" s="3">
        <v>3421.9</v>
      </c>
      <c r="I2384" s="3">
        <v>3420.68</v>
      </c>
      <c r="J2384" s="3">
        <v>4592.25</v>
      </c>
      <c r="K2384" s="3">
        <v>3056.05</v>
      </c>
      <c r="L2384" s="2">
        <v>1718678</v>
      </c>
      <c r="M2384" s="2">
        <v>5879053289.3999996</v>
      </c>
      <c r="N2384" s="2">
        <v>73412</v>
      </c>
      <c r="O2384" t="s">
        <v>25</v>
      </c>
    </row>
    <row r="2385" spans="1:15" x14ac:dyDescent="0.3">
      <c r="A2385" s="1">
        <v>45814</v>
      </c>
      <c r="B2385" t="s">
        <v>15</v>
      </c>
      <c r="C2385" s="3">
        <v>3371.1</v>
      </c>
      <c r="D2385" s="3">
        <v>3390.9</v>
      </c>
      <c r="E2385" s="3">
        <v>3358.7</v>
      </c>
      <c r="F2385" s="3">
        <v>3371.1</v>
      </c>
      <c r="G2385" s="3">
        <v>3388</v>
      </c>
      <c r="H2385" s="3">
        <v>3384.2</v>
      </c>
      <c r="I2385" s="3">
        <v>3376.59</v>
      </c>
      <c r="J2385" s="3">
        <v>4592.25</v>
      </c>
      <c r="K2385" s="3">
        <v>3056.05</v>
      </c>
      <c r="L2385" s="2">
        <v>2070390</v>
      </c>
      <c r="M2385" s="2">
        <v>6990855288.3999996</v>
      </c>
      <c r="N2385" s="2">
        <v>94941</v>
      </c>
      <c r="O2385" t="s">
        <v>25</v>
      </c>
    </row>
    <row r="2386" spans="1:15" x14ac:dyDescent="0.3">
      <c r="A2386" s="1">
        <v>45813</v>
      </c>
      <c r="B2386" t="s">
        <v>15</v>
      </c>
      <c r="C2386" s="3">
        <v>3409</v>
      </c>
      <c r="D2386" s="3">
        <v>3409</v>
      </c>
      <c r="E2386" s="3">
        <v>3363.7</v>
      </c>
      <c r="F2386" s="3">
        <v>3380.9</v>
      </c>
      <c r="G2386" s="3">
        <v>3374</v>
      </c>
      <c r="H2386" s="3">
        <v>3371.1</v>
      </c>
      <c r="I2386" s="3">
        <v>3380.39</v>
      </c>
      <c r="J2386" s="3">
        <v>4592.25</v>
      </c>
      <c r="K2386" s="3">
        <v>3056.05</v>
      </c>
      <c r="L2386" s="2">
        <v>3584683</v>
      </c>
      <c r="M2386" s="2">
        <v>12117623680</v>
      </c>
      <c r="N2386" s="2">
        <v>129913</v>
      </c>
      <c r="O2386" t="s">
        <v>25</v>
      </c>
    </row>
    <row r="2387" spans="1:15" x14ac:dyDescent="0.3">
      <c r="A2387" s="1">
        <v>45812</v>
      </c>
      <c r="B2387" t="s">
        <v>15</v>
      </c>
      <c r="C2387" s="3">
        <v>3389</v>
      </c>
      <c r="D2387" s="3">
        <v>3394.8</v>
      </c>
      <c r="E2387" s="3">
        <v>3370</v>
      </c>
      <c r="F2387" s="3">
        <v>3405.2</v>
      </c>
      <c r="G2387" s="3">
        <v>3381</v>
      </c>
      <c r="H2387" s="3">
        <v>3380.9</v>
      </c>
      <c r="I2387" s="3">
        <v>3382.86</v>
      </c>
      <c r="J2387" s="3">
        <v>4592.25</v>
      </c>
      <c r="K2387" s="3">
        <v>3056.05</v>
      </c>
      <c r="L2387" s="2">
        <v>2544807</v>
      </c>
      <c r="M2387" s="2">
        <v>8608717239.6000004</v>
      </c>
      <c r="N2387" s="2">
        <v>185107</v>
      </c>
      <c r="O2387" t="s">
        <v>25</v>
      </c>
    </row>
    <row r="2388" spans="1:15" x14ac:dyDescent="0.3">
      <c r="A2388" s="1">
        <v>45811</v>
      </c>
      <c r="B2388" t="s">
        <v>15</v>
      </c>
      <c r="C2388" s="3">
        <v>3446</v>
      </c>
      <c r="D2388" s="3">
        <v>3473.5</v>
      </c>
      <c r="E2388" s="3">
        <v>3400.5</v>
      </c>
      <c r="F2388" s="3">
        <v>3449.8</v>
      </c>
      <c r="G2388" s="3">
        <v>3411.4</v>
      </c>
      <c r="H2388" s="3">
        <v>3405.2</v>
      </c>
      <c r="I2388" s="3">
        <v>3418.44</v>
      </c>
      <c r="J2388" s="3">
        <v>4592.25</v>
      </c>
      <c r="K2388" s="3">
        <v>3056.05</v>
      </c>
      <c r="L2388" s="2">
        <v>2848125</v>
      </c>
      <c r="M2388" s="2">
        <v>9736154029.7999992</v>
      </c>
      <c r="N2388" s="2">
        <v>195278</v>
      </c>
      <c r="O2388" t="s">
        <v>25</v>
      </c>
    </row>
    <row r="2389" spans="1:15" x14ac:dyDescent="0.3">
      <c r="A2389" s="1">
        <v>45810</v>
      </c>
      <c r="B2389" t="s">
        <v>15</v>
      </c>
      <c r="C2389" s="3">
        <v>3450</v>
      </c>
      <c r="D2389" s="3">
        <v>3460</v>
      </c>
      <c r="E2389" s="3">
        <v>3418.6</v>
      </c>
      <c r="F2389" s="3">
        <v>3463.4</v>
      </c>
      <c r="G2389" s="3">
        <v>3445.8</v>
      </c>
      <c r="H2389" s="3">
        <v>3449.8</v>
      </c>
      <c r="I2389" s="3">
        <v>3441.46</v>
      </c>
      <c r="J2389" s="3">
        <v>4592.25</v>
      </c>
      <c r="K2389" s="3">
        <v>3056.05</v>
      </c>
      <c r="L2389" s="2">
        <v>1877585</v>
      </c>
      <c r="M2389" s="2">
        <v>6461635240.3000002</v>
      </c>
      <c r="N2389" s="2">
        <v>105414</v>
      </c>
      <c r="O2389" t="s">
        <v>25</v>
      </c>
    </row>
    <row r="2390" spans="1:15" x14ac:dyDescent="0.3">
      <c r="A2390" s="1">
        <v>45807</v>
      </c>
      <c r="B2390" t="s">
        <v>15</v>
      </c>
      <c r="C2390" s="3">
        <v>3490</v>
      </c>
      <c r="D2390" s="3">
        <v>3506.7</v>
      </c>
      <c r="E2390" s="3">
        <v>3453.1</v>
      </c>
      <c r="F2390" s="3">
        <v>3498.1</v>
      </c>
      <c r="G2390" s="3">
        <v>3460</v>
      </c>
      <c r="H2390" s="3">
        <v>3463.4</v>
      </c>
      <c r="I2390" s="3">
        <v>3473.8</v>
      </c>
      <c r="J2390" s="3">
        <v>4592.25</v>
      </c>
      <c r="K2390" s="3">
        <v>3056.05</v>
      </c>
      <c r="L2390" s="2">
        <v>3404365</v>
      </c>
      <c r="M2390" s="2">
        <v>11826074213.6</v>
      </c>
      <c r="N2390" s="2">
        <v>104081</v>
      </c>
      <c r="O2390" t="s">
        <v>25</v>
      </c>
    </row>
    <row r="2391" spans="1:15" x14ac:dyDescent="0.3">
      <c r="A2391" s="1">
        <v>45806</v>
      </c>
      <c r="B2391" t="s">
        <v>15</v>
      </c>
      <c r="C2391" s="3">
        <v>3504.7</v>
      </c>
      <c r="D2391" s="3">
        <v>3532.5</v>
      </c>
      <c r="E2391" s="3">
        <v>3486.5</v>
      </c>
      <c r="F2391" s="3">
        <v>3497.7</v>
      </c>
      <c r="G2391" s="3">
        <v>3494</v>
      </c>
      <c r="H2391" s="3">
        <v>3498.1</v>
      </c>
      <c r="I2391" s="3">
        <v>3500.24</v>
      </c>
      <c r="J2391" s="3">
        <v>4592.25</v>
      </c>
      <c r="K2391" s="3">
        <v>3056.05</v>
      </c>
      <c r="L2391" s="2">
        <v>3188072</v>
      </c>
      <c r="M2391" s="2">
        <v>11159021439.9</v>
      </c>
      <c r="N2391" s="2">
        <v>146463</v>
      </c>
      <c r="O2391" t="s">
        <v>25</v>
      </c>
    </row>
    <row r="2392" spans="1:15" x14ac:dyDescent="0.3">
      <c r="A2392" s="1">
        <v>45805</v>
      </c>
      <c r="B2392" t="s">
        <v>15</v>
      </c>
      <c r="C2392" s="3">
        <v>3520</v>
      </c>
      <c r="D2392" s="3">
        <v>3529</v>
      </c>
      <c r="E2392" s="3">
        <v>3493</v>
      </c>
      <c r="F2392" s="3">
        <v>3498.7</v>
      </c>
      <c r="G2392" s="3">
        <v>3500.1</v>
      </c>
      <c r="H2392" s="3">
        <v>3497.7</v>
      </c>
      <c r="I2392" s="3">
        <v>3501.32</v>
      </c>
      <c r="J2392" s="3">
        <v>4592.25</v>
      </c>
      <c r="K2392" s="3">
        <v>3056.05</v>
      </c>
      <c r="L2392" s="2">
        <v>1222933</v>
      </c>
      <c r="M2392" s="2">
        <v>4281880586.5999999</v>
      </c>
      <c r="N2392" s="2">
        <v>80594</v>
      </c>
      <c r="O2392" t="s">
        <v>25</v>
      </c>
    </row>
    <row r="2393" spans="1:15" x14ac:dyDescent="0.3">
      <c r="A2393" s="1">
        <v>45804</v>
      </c>
      <c r="B2393" t="s">
        <v>15</v>
      </c>
      <c r="C2393" s="3">
        <v>3532</v>
      </c>
      <c r="D2393" s="3">
        <v>3540</v>
      </c>
      <c r="E2393" s="3">
        <v>3483.1</v>
      </c>
      <c r="F2393" s="3">
        <v>3537.3</v>
      </c>
      <c r="G2393" s="3">
        <v>3501</v>
      </c>
      <c r="H2393" s="3">
        <v>3498.7</v>
      </c>
      <c r="I2393" s="3">
        <v>3500.34</v>
      </c>
      <c r="J2393" s="3">
        <v>4592.25</v>
      </c>
      <c r="K2393" s="3">
        <v>3056.05</v>
      </c>
      <c r="L2393" s="2">
        <v>2467680</v>
      </c>
      <c r="M2393" s="2">
        <v>8637718829.7000008</v>
      </c>
      <c r="N2393" s="2">
        <v>165908</v>
      </c>
      <c r="O2393" t="s">
        <v>25</v>
      </c>
    </row>
    <row r="2394" spans="1:15" x14ac:dyDescent="0.3">
      <c r="A2394" s="1">
        <v>45803</v>
      </c>
      <c r="B2394" t="s">
        <v>15</v>
      </c>
      <c r="C2394" s="3">
        <v>3521</v>
      </c>
      <c r="D2394" s="3">
        <v>3545</v>
      </c>
      <c r="E2394" s="3">
        <v>3510.1</v>
      </c>
      <c r="F2394" s="3">
        <v>3514.6</v>
      </c>
      <c r="G2394" s="3">
        <v>3538</v>
      </c>
      <c r="H2394" s="3">
        <v>3537.3</v>
      </c>
      <c r="I2394" s="3">
        <v>3536.37</v>
      </c>
      <c r="J2394" s="3">
        <v>4592.25</v>
      </c>
      <c r="K2394" s="3">
        <v>3056.05</v>
      </c>
      <c r="L2394" s="2">
        <v>967470</v>
      </c>
      <c r="M2394" s="2">
        <v>3421330419.5</v>
      </c>
      <c r="N2394" s="2">
        <v>67043</v>
      </c>
      <c r="O2394" t="s">
        <v>25</v>
      </c>
    </row>
    <row r="2395" spans="1:15" x14ac:dyDescent="0.3">
      <c r="A2395" s="1">
        <v>45800</v>
      </c>
      <c r="B2395" t="s">
        <v>15</v>
      </c>
      <c r="C2395" s="3">
        <v>3477</v>
      </c>
      <c r="D2395" s="3">
        <v>3535</v>
      </c>
      <c r="E2395" s="3">
        <v>3465.6</v>
      </c>
      <c r="F2395" s="3">
        <v>3477</v>
      </c>
      <c r="G2395" s="3">
        <v>3508</v>
      </c>
      <c r="H2395" s="3">
        <v>3514.6</v>
      </c>
      <c r="I2395" s="3">
        <v>3511.99</v>
      </c>
      <c r="J2395" s="3">
        <v>4592.25</v>
      </c>
      <c r="K2395" s="3">
        <v>3056.05</v>
      </c>
      <c r="L2395" s="2">
        <v>1274331</v>
      </c>
      <c r="M2395" s="2">
        <v>4475440377.3999996</v>
      </c>
      <c r="N2395" s="2">
        <v>71383</v>
      </c>
      <c r="O2395" t="s">
        <v>25</v>
      </c>
    </row>
    <row r="2396" spans="1:15" x14ac:dyDescent="0.3">
      <c r="A2396" s="1">
        <v>45799</v>
      </c>
      <c r="B2396" t="s">
        <v>15</v>
      </c>
      <c r="C2396" s="3">
        <v>3495</v>
      </c>
      <c r="D2396" s="3">
        <v>3497.8</v>
      </c>
      <c r="E2396" s="3">
        <v>3451.3</v>
      </c>
      <c r="F2396" s="3">
        <v>3525.8</v>
      </c>
      <c r="G2396" s="3">
        <v>3483.4</v>
      </c>
      <c r="H2396" s="3">
        <v>3477</v>
      </c>
      <c r="I2396" s="3">
        <v>3473.54</v>
      </c>
      <c r="J2396" s="3">
        <v>4592.25</v>
      </c>
      <c r="K2396" s="3">
        <v>3056.05</v>
      </c>
      <c r="L2396" s="2">
        <v>2034383</v>
      </c>
      <c r="M2396" s="2">
        <v>7066503817.8000002</v>
      </c>
      <c r="N2396" s="2">
        <v>138574</v>
      </c>
      <c r="O2396" t="s">
        <v>25</v>
      </c>
    </row>
    <row r="2397" spans="1:15" x14ac:dyDescent="0.3">
      <c r="A2397" s="1">
        <v>45798</v>
      </c>
      <c r="B2397" t="s">
        <v>15</v>
      </c>
      <c r="C2397" s="3">
        <v>3508</v>
      </c>
      <c r="D2397" s="3">
        <v>3537</v>
      </c>
      <c r="E2397" s="3">
        <v>3498.3</v>
      </c>
      <c r="F2397" s="3">
        <v>3498.3</v>
      </c>
      <c r="G2397" s="3">
        <v>3521.1</v>
      </c>
      <c r="H2397" s="3">
        <v>3525.8</v>
      </c>
      <c r="I2397" s="3">
        <v>3523.98</v>
      </c>
      <c r="J2397" s="3">
        <v>4592.25</v>
      </c>
      <c r="K2397" s="3">
        <v>3056.05</v>
      </c>
      <c r="L2397" s="2">
        <v>1440153</v>
      </c>
      <c r="M2397" s="2">
        <v>5075075089.3000002</v>
      </c>
      <c r="N2397" s="2">
        <v>72782</v>
      </c>
      <c r="O2397" t="s">
        <v>25</v>
      </c>
    </row>
    <row r="2398" spans="1:15" x14ac:dyDescent="0.3">
      <c r="A2398" s="1">
        <v>45797</v>
      </c>
      <c r="B2398" t="s">
        <v>15</v>
      </c>
      <c r="C2398" s="3">
        <v>3531.8</v>
      </c>
      <c r="D2398" s="3">
        <v>3558</v>
      </c>
      <c r="E2398" s="3">
        <v>3494</v>
      </c>
      <c r="F2398" s="3">
        <v>3518.8</v>
      </c>
      <c r="G2398" s="3">
        <v>3503</v>
      </c>
      <c r="H2398" s="3">
        <v>3498.3</v>
      </c>
      <c r="I2398" s="3">
        <v>3515.81</v>
      </c>
      <c r="J2398" s="3">
        <v>4592.25</v>
      </c>
      <c r="K2398" s="3">
        <v>3056.05</v>
      </c>
      <c r="L2398" s="2">
        <v>2038374</v>
      </c>
      <c r="M2398" s="2">
        <v>7166541410.8999996</v>
      </c>
      <c r="N2398" s="2">
        <v>138343</v>
      </c>
      <c r="O2398" t="s">
        <v>25</v>
      </c>
    </row>
    <row r="2399" spans="1:15" x14ac:dyDescent="0.3">
      <c r="A2399" s="1">
        <v>45796</v>
      </c>
      <c r="B2399" t="s">
        <v>15</v>
      </c>
      <c r="C2399" s="3">
        <v>3550</v>
      </c>
      <c r="D2399" s="3">
        <v>3550</v>
      </c>
      <c r="E2399" s="3">
        <v>3503.7</v>
      </c>
      <c r="F2399" s="3">
        <v>3561.3</v>
      </c>
      <c r="G2399" s="3">
        <v>3518</v>
      </c>
      <c r="H2399" s="3">
        <v>3518.8</v>
      </c>
      <c r="I2399" s="3">
        <v>3522.37</v>
      </c>
      <c r="J2399" s="3">
        <v>4592.25</v>
      </c>
      <c r="K2399" s="3">
        <v>3056.05</v>
      </c>
      <c r="L2399" s="2">
        <v>2537377</v>
      </c>
      <c r="M2399" s="2">
        <v>8937585448.7999992</v>
      </c>
      <c r="N2399" s="2">
        <v>129050</v>
      </c>
      <c r="O2399" t="s">
        <v>25</v>
      </c>
    </row>
    <row r="2400" spans="1:15" x14ac:dyDescent="0.3">
      <c r="A2400" s="1">
        <v>45793</v>
      </c>
      <c r="B2400" t="s">
        <v>15</v>
      </c>
      <c r="C2400" s="3">
        <v>3593.9</v>
      </c>
      <c r="D2400" s="3">
        <v>3593.9</v>
      </c>
      <c r="E2400" s="3">
        <v>3546.1</v>
      </c>
      <c r="F2400" s="3">
        <v>3579.9</v>
      </c>
      <c r="G2400" s="3">
        <v>3561.3</v>
      </c>
      <c r="H2400" s="3">
        <v>3561.3</v>
      </c>
      <c r="I2400" s="3">
        <v>3559.81</v>
      </c>
      <c r="J2400" s="3">
        <v>4592.25</v>
      </c>
      <c r="K2400" s="3">
        <v>3056.05</v>
      </c>
      <c r="L2400" s="2">
        <v>1666727</v>
      </c>
      <c r="M2400" s="2">
        <v>5933224873.8000002</v>
      </c>
      <c r="N2400" s="2">
        <v>117749</v>
      </c>
      <c r="O2400" t="s">
        <v>25</v>
      </c>
    </row>
    <row r="2401" spans="1:15" x14ac:dyDescent="0.3">
      <c r="A2401" s="1">
        <v>45792</v>
      </c>
      <c r="B2401" t="s">
        <v>15</v>
      </c>
      <c r="C2401" s="3">
        <v>3564</v>
      </c>
      <c r="D2401" s="3">
        <v>3600</v>
      </c>
      <c r="E2401" s="3">
        <v>3514.1</v>
      </c>
      <c r="F2401" s="3">
        <v>3548.7</v>
      </c>
      <c r="G2401" s="3">
        <v>3576.5</v>
      </c>
      <c r="H2401" s="3">
        <v>3579.9</v>
      </c>
      <c r="I2401" s="3">
        <v>3565.55</v>
      </c>
      <c r="J2401" s="3">
        <v>4592.25</v>
      </c>
      <c r="K2401" s="3">
        <v>3056.05</v>
      </c>
      <c r="L2401" s="2">
        <v>3548330</v>
      </c>
      <c r="M2401" s="2">
        <v>12651735793</v>
      </c>
      <c r="N2401" s="2">
        <v>172937</v>
      </c>
      <c r="O2401" t="s">
        <v>25</v>
      </c>
    </row>
    <row r="2402" spans="1:15" x14ac:dyDescent="0.3">
      <c r="A2402" s="1">
        <v>45791</v>
      </c>
      <c r="B2402" t="s">
        <v>15</v>
      </c>
      <c r="C2402" s="3">
        <v>3521</v>
      </c>
      <c r="D2402" s="3">
        <v>3561</v>
      </c>
      <c r="E2402" s="3">
        <v>3508.6</v>
      </c>
      <c r="F2402" s="3">
        <v>3515</v>
      </c>
      <c r="G2402" s="3">
        <v>3547</v>
      </c>
      <c r="H2402" s="3">
        <v>3548.7</v>
      </c>
      <c r="I2402" s="3">
        <v>3543.04</v>
      </c>
      <c r="J2402" s="3">
        <v>4592.25</v>
      </c>
      <c r="K2402" s="3">
        <v>3056.05</v>
      </c>
      <c r="L2402" s="2">
        <v>2119499</v>
      </c>
      <c r="M2402" s="2">
        <v>7509459955.3000002</v>
      </c>
      <c r="N2402" s="2">
        <v>136543</v>
      </c>
      <c r="O2402" t="s">
        <v>25</v>
      </c>
    </row>
    <row r="2403" spans="1:15" x14ac:dyDescent="0.3">
      <c r="A2403" s="1">
        <v>45790</v>
      </c>
      <c r="B2403" t="s">
        <v>15</v>
      </c>
      <c r="C2403" s="3">
        <v>3620.4</v>
      </c>
      <c r="D2403" s="3">
        <v>3623</v>
      </c>
      <c r="E2403" s="3">
        <v>3510.5</v>
      </c>
      <c r="F2403" s="3">
        <v>3620.4</v>
      </c>
      <c r="G2403" s="3">
        <v>3518</v>
      </c>
      <c r="H2403" s="3">
        <v>3515</v>
      </c>
      <c r="I2403" s="3">
        <v>3541.51</v>
      </c>
      <c r="J2403" s="3">
        <v>4592.25</v>
      </c>
      <c r="K2403" s="3">
        <v>3056.05</v>
      </c>
      <c r="L2403" s="2">
        <v>3062887</v>
      </c>
      <c r="M2403" s="2">
        <v>10847250162.200001</v>
      </c>
      <c r="N2403" s="2">
        <v>221289</v>
      </c>
      <c r="O2403" t="s">
        <v>25</v>
      </c>
    </row>
    <row r="2404" spans="1:15" x14ac:dyDescent="0.3">
      <c r="A2404" s="1">
        <v>45789</v>
      </c>
      <c r="B2404" t="s">
        <v>15</v>
      </c>
      <c r="C2404" s="3">
        <v>3505</v>
      </c>
      <c r="D2404" s="3">
        <v>3630.5</v>
      </c>
      <c r="E2404" s="3">
        <v>3502.2</v>
      </c>
      <c r="F2404" s="3">
        <v>3440.3</v>
      </c>
      <c r="G2404" s="3">
        <v>3626.5</v>
      </c>
      <c r="H2404" s="3">
        <v>3620.4</v>
      </c>
      <c r="I2404" s="3">
        <v>3577.93</v>
      </c>
      <c r="J2404" s="3">
        <v>4592.25</v>
      </c>
      <c r="K2404" s="3">
        <v>3056.05</v>
      </c>
      <c r="L2404" s="2">
        <v>2228678</v>
      </c>
      <c r="M2404" s="2">
        <v>7974051782.1000004</v>
      </c>
      <c r="N2404" s="2">
        <v>146104</v>
      </c>
      <c r="O2404" t="s">
        <v>25</v>
      </c>
    </row>
    <row r="2405" spans="1:15" x14ac:dyDescent="0.3">
      <c r="A2405" s="1">
        <v>45786</v>
      </c>
      <c r="B2405" t="s">
        <v>15</v>
      </c>
      <c r="C2405" s="3">
        <v>3399</v>
      </c>
      <c r="D2405" s="3">
        <v>3446.2</v>
      </c>
      <c r="E2405" s="3">
        <v>3398.1</v>
      </c>
      <c r="F2405" s="3">
        <v>3448.9</v>
      </c>
      <c r="G2405" s="3">
        <v>3439.9</v>
      </c>
      <c r="H2405" s="3">
        <v>3440.3</v>
      </c>
      <c r="I2405" s="3">
        <v>3428.44</v>
      </c>
      <c r="J2405" s="3">
        <v>4592.25</v>
      </c>
      <c r="K2405" s="3">
        <v>3056.05</v>
      </c>
      <c r="L2405" s="2">
        <v>2531757</v>
      </c>
      <c r="M2405" s="2">
        <v>8679986664.6000004</v>
      </c>
      <c r="N2405" s="2">
        <v>151453</v>
      </c>
      <c r="O2405" t="s">
        <v>25</v>
      </c>
    </row>
    <row r="2406" spans="1:15" x14ac:dyDescent="0.3">
      <c r="A2406" s="1">
        <v>45785</v>
      </c>
      <c r="B2406" t="s">
        <v>15</v>
      </c>
      <c r="C2406" s="3">
        <v>3448</v>
      </c>
      <c r="D2406" s="3">
        <v>3477</v>
      </c>
      <c r="E2406" s="3">
        <v>3428.7</v>
      </c>
      <c r="F2406" s="3">
        <v>3445.1</v>
      </c>
      <c r="G2406" s="3">
        <v>3434.2</v>
      </c>
      <c r="H2406" s="3">
        <v>3448.9</v>
      </c>
      <c r="I2406" s="3">
        <v>3451.58</v>
      </c>
      <c r="J2406" s="3">
        <v>4592.25</v>
      </c>
      <c r="K2406" s="3">
        <v>3056.05</v>
      </c>
      <c r="L2406" s="2">
        <v>2543591</v>
      </c>
      <c r="M2406" s="2">
        <v>8779405820.3999996</v>
      </c>
      <c r="N2406" s="2">
        <v>116139</v>
      </c>
      <c r="O2406" t="s">
        <v>25</v>
      </c>
    </row>
    <row r="2407" spans="1:15" x14ac:dyDescent="0.3">
      <c r="A2407" s="1">
        <v>45784</v>
      </c>
      <c r="B2407" t="s">
        <v>15</v>
      </c>
      <c r="C2407" s="3">
        <v>3420.6</v>
      </c>
      <c r="D2407" s="3">
        <v>3459.5</v>
      </c>
      <c r="E2407" s="3">
        <v>3420.6</v>
      </c>
      <c r="F2407" s="3">
        <v>3460</v>
      </c>
      <c r="G2407" s="3">
        <v>3448</v>
      </c>
      <c r="H2407" s="3">
        <v>3445.1</v>
      </c>
      <c r="I2407" s="3">
        <v>3442.07</v>
      </c>
      <c r="J2407" s="3">
        <v>4592.25</v>
      </c>
      <c r="K2407" s="3">
        <v>3056.05</v>
      </c>
      <c r="L2407" s="2">
        <v>1477128</v>
      </c>
      <c r="M2407" s="2">
        <v>5084383270.5</v>
      </c>
      <c r="N2407" s="2">
        <v>89334</v>
      </c>
      <c r="O2407" t="s">
        <v>25</v>
      </c>
    </row>
    <row r="2408" spans="1:15" x14ac:dyDescent="0.3">
      <c r="A2408" s="1">
        <v>45783</v>
      </c>
      <c r="B2408" t="s">
        <v>15</v>
      </c>
      <c r="C2408" s="3">
        <v>3460</v>
      </c>
      <c r="D2408" s="3">
        <v>3473</v>
      </c>
      <c r="E2408" s="3">
        <v>3437</v>
      </c>
      <c r="F2408" s="3">
        <v>3454.3</v>
      </c>
      <c r="G2408" s="3">
        <v>3451.6</v>
      </c>
      <c r="H2408" s="3">
        <v>3460</v>
      </c>
      <c r="I2408" s="3">
        <v>3458.05</v>
      </c>
      <c r="J2408" s="3">
        <v>4592.25</v>
      </c>
      <c r="K2408" s="3">
        <v>3056.05</v>
      </c>
      <c r="L2408" s="2">
        <v>1324763</v>
      </c>
      <c r="M2408" s="2">
        <v>4581101196.3000002</v>
      </c>
      <c r="N2408" s="2">
        <v>65526</v>
      </c>
      <c r="O2408" t="s">
        <v>25</v>
      </c>
    </row>
    <row r="2409" spans="1:15" x14ac:dyDescent="0.3">
      <c r="A2409" s="1">
        <v>45782</v>
      </c>
      <c r="B2409" t="s">
        <v>15</v>
      </c>
      <c r="C2409" s="3">
        <v>3450</v>
      </c>
      <c r="D2409" s="3">
        <v>3504.5</v>
      </c>
      <c r="E2409" s="3">
        <v>3446.4</v>
      </c>
      <c r="F2409" s="3">
        <v>3444.7</v>
      </c>
      <c r="G2409" s="3">
        <v>3454.6</v>
      </c>
      <c r="H2409" s="3">
        <v>3454.3</v>
      </c>
      <c r="I2409" s="3">
        <v>3466.59</v>
      </c>
      <c r="J2409" s="3">
        <v>4592.25</v>
      </c>
      <c r="K2409" s="3">
        <v>3056.05</v>
      </c>
      <c r="L2409" s="2">
        <v>1284443</v>
      </c>
      <c r="M2409" s="2">
        <v>4452637028.6999998</v>
      </c>
      <c r="N2409" s="2">
        <v>96657</v>
      </c>
      <c r="O2409" t="s">
        <v>25</v>
      </c>
    </row>
    <row r="2410" spans="1:15" x14ac:dyDescent="0.3">
      <c r="A2410" s="1">
        <v>45779</v>
      </c>
      <c r="B2410" t="s">
        <v>15</v>
      </c>
      <c r="C2410" s="3">
        <v>3472</v>
      </c>
      <c r="D2410" s="3">
        <v>3491.5</v>
      </c>
      <c r="E2410" s="3">
        <v>3420</v>
      </c>
      <c r="F2410" s="3">
        <v>3453.7</v>
      </c>
      <c r="G2410" s="3">
        <v>3438</v>
      </c>
      <c r="H2410" s="3">
        <v>3444.7</v>
      </c>
      <c r="I2410" s="3">
        <v>3450.76</v>
      </c>
      <c r="J2410" s="3">
        <v>4592.25</v>
      </c>
      <c r="K2410" s="3">
        <v>3056.05</v>
      </c>
      <c r="L2410" s="2">
        <v>2115624</v>
      </c>
      <c r="M2410" s="2">
        <v>7300505304.3000002</v>
      </c>
      <c r="N2410" s="2">
        <v>124212</v>
      </c>
      <c r="O2410" t="s">
        <v>25</v>
      </c>
    </row>
    <row r="2411" spans="1:15" x14ac:dyDescent="0.3">
      <c r="A2411" s="1">
        <v>45777</v>
      </c>
      <c r="B2411" t="s">
        <v>15</v>
      </c>
      <c r="C2411" s="3">
        <v>3472</v>
      </c>
      <c r="D2411" s="3">
        <v>3509.9</v>
      </c>
      <c r="E2411" s="3">
        <v>3366</v>
      </c>
      <c r="F2411" s="3">
        <v>3472.5</v>
      </c>
      <c r="G2411" s="3">
        <v>3431.8</v>
      </c>
      <c r="H2411" s="3">
        <v>3453.7</v>
      </c>
      <c r="I2411" s="3">
        <v>3464.02</v>
      </c>
      <c r="J2411" s="3">
        <v>4592.25</v>
      </c>
      <c r="K2411" s="3">
        <v>3056.05</v>
      </c>
      <c r="L2411" s="2">
        <v>2809332</v>
      </c>
      <c r="M2411" s="2">
        <v>9731586389.2999992</v>
      </c>
      <c r="N2411" s="2">
        <v>129048</v>
      </c>
      <c r="O2411" t="s">
        <v>25</v>
      </c>
    </row>
    <row r="2412" spans="1:15" x14ac:dyDescent="0.3">
      <c r="A2412" s="1">
        <v>45776</v>
      </c>
      <c r="B2412" t="s">
        <v>15</v>
      </c>
      <c r="C2412" s="3">
        <v>3455</v>
      </c>
      <c r="D2412" s="3">
        <v>3495</v>
      </c>
      <c r="E2412" s="3">
        <v>3430.4</v>
      </c>
      <c r="F2412" s="3">
        <v>3443.5</v>
      </c>
      <c r="G2412" s="3">
        <v>3473</v>
      </c>
      <c r="H2412" s="3">
        <v>3472.5</v>
      </c>
      <c r="I2412" s="3">
        <v>3470.18</v>
      </c>
      <c r="J2412" s="3">
        <v>4592.25</v>
      </c>
      <c r="K2412" s="3">
        <v>3056.05</v>
      </c>
      <c r="L2412" s="2">
        <v>1578332</v>
      </c>
      <c r="M2412" s="2">
        <v>5477091995.8000002</v>
      </c>
      <c r="N2412" s="2">
        <v>95060</v>
      </c>
      <c r="O2412" t="s">
        <v>25</v>
      </c>
    </row>
    <row r="2413" spans="1:15" x14ac:dyDescent="0.3">
      <c r="A2413" s="1">
        <v>45775</v>
      </c>
      <c r="B2413" t="s">
        <v>15</v>
      </c>
      <c r="C2413" s="3">
        <v>3435</v>
      </c>
      <c r="D2413" s="3">
        <v>3457.8</v>
      </c>
      <c r="E2413" s="3">
        <v>3405</v>
      </c>
      <c r="F2413" s="3">
        <v>3448</v>
      </c>
      <c r="G2413" s="3">
        <v>3441</v>
      </c>
      <c r="H2413" s="3">
        <v>3443.5</v>
      </c>
      <c r="I2413" s="3">
        <v>3438.58</v>
      </c>
      <c r="J2413" s="3">
        <v>4592.25</v>
      </c>
      <c r="K2413" s="3">
        <v>3056.05</v>
      </c>
      <c r="L2413" s="2">
        <v>1593296</v>
      </c>
      <c r="M2413" s="2">
        <v>5478682188.5</v>
      </c>
      <c r="N2413" s="2">
        <v>94204</v>
      </c>
      <c r="O2413" t="s">
        <v>25</v>
      </c>
    </row>
    <row r="2414" spans="1:15" x14ac:dyDescent="0.3">
      <c r="A2414" s="1">
        <v>45772</v>
      </c>
      <c r="B2414" t="s">
        <v>15</v>
      </c>
      <c r="C2414" s="3">
        <v>3420</v>
      </c>
      <c r="D2414" s="3">
        <v>3477.8</v>
      </c>
      <c r="E2414" s="3">
        <v>3405</v>
      </c>
      <c r="F2414" s="3">
        <v>3401.6</v>
      </c>
      <c r="G2414" s="3">
        <v>3434</v>
      </c>
      <c r="H2414" s="3">
        <v>3448</v>
      </c>
      <c r="I2414" s="3">
        <v>3442.01</v>
      </c>
      <c r="J2414" s="3">
        <v>4592.25</v>
      </c>
      <c r="K2414" s="3">
        <v>3056.05</v>
      </c>
      <c r="L2414" s="2">
        <v>2742991</v>
      </c>
      <c r="M2414" s="2">
        <v>9441414787.6000004</v>
      </c>
      <c r="N2414" s="2">
        <v>151400</v>
      </c>
      <c r="O2414" t="s">
        <v>25</v>
      </c>
    </row>
    <row r="2415" spans="1:15" x14ac:dyDescent="0.3">
      <c r="A2415" s="1">
        <v>45771</v>
      </c>
      <c r="B2415" t="s">
        <v>15</v>
      </c>
      <c r="C2415" s="3">
        <v>3401.1</v>
      </c>
      <c r="D2415" s="3">
        <v>3412.5</v>
      </c>
      <c r="E2415" s="3">
        <v>3387.7</v>
      </c>
      <c r="F2415" s="3">
        <v>3413</v>
      </c>
      <c r="G2415" s="3">
        <v>3406</v>
      </c>
      <c r="H2415" s="3">
        <v>3401.6</v>
      </c>
      <c r="I2415" s="3">
        <v>3398.95</v>
      </c>
      <c r="J2415" s="3">
        <v>4592.25</v>
      </c>
      <c r="K2415" s="3">
        <v>3056.05</v>
      </c>
      <c r="L2415" s="2">
        <v>2252175</v>
      </c>
      <c r="M2415" s="2">
        <v>7655036870.6999998</v>
      </c>
      <c r="N2415" s="2">
        <v>158061</v>
      </c>
      <c r="O2415" t="s">
        <v>25</v>
      </c>
    </row>
    <row r="2416" spans="1:15" x14ac:dyDescent="0.3">
      <c r="A2416" s="1">
        <v>45770</v>
      </c>
      <c r="B2416" t="s">
        <v>15</v>
      </c>
      <c r="C2416" s="3">
        <v>3365</v>
      </c>
      <c r="D2416" s="3">
        <v>3420.9</v>
      </c>
      <c r="E2416" s="3">
        <v>3337.3</v>
      </c>
      <c r="F2416" s="3">
        <v>3314.4</v>
      </c>
      <c r="G2416" s="3">
        <v>3405</v>
      </c>
      <c r="H2416" s="3">
        <v>3413</v>
      </c>
      <c r="I2416" s="3">
        <v>3398.75</v>
      </c>
      <c r="J2416" s="3">
        <v>4592.25</v>
      </c>
      <c r="K2416" s="3">
        <v>3056.05</v>
      </c>
      <c r="L2416" s="2">
        <v>3543923</v>
      </c>
      <c r="M2416" s="2">
        <v>12044899557.299999</v>
      </c>
      <c r="N2416" s="2">
        <v>164989</v>
      </c>
      <c r="O2416" t="s">
        <v>25</v>
      </c>
    </row>
    <row r="2417" spans="1:15" x14ac:dyDescent="0.3">
      <c r="A2417" s="1">
        <v>45769</v>
      </c>
      <c r="B2417" t="s">
        <v>15</v>
      </c>
      <c r="C2417" s="3">
        <v>3322.6</v>
      </c>
      <c r="D2417" s="3">
        <v>3333.9</v>
      </c>
      <c r="E2417" s="3">
        <v>3295</v>
      </c>
      <c r="F2417" s="3">
        <v>3321.6</v>
      </c>
      <c r="G2417" s="3">
        <v>3312.5</v>
      </c>
      <c r="H2417" s="3">
        <v>3314.4</v>
      </c>
      <c r="I2417" s="3">
        <v>3315.22</v>
      </c>
      <c r="J2417" s="3">
        <v>4592.25</v>
      </c>
      <c r="K2417" s="3">
        <v>3056.05</v>
      </c>
      <c r="L2417" s="2">
        <v>2710498</v>
      </c>
      <c r="M2417" s="2">
        <v>8985899446.7000008</v>
      </c>
      <c r="N2417" s="2">
        <v>151282</v>
      </c>
      <c r="O2417" t="s">
        <v>25</v>
      </c>
    </row>
    <row r="2418" spans="1:15" x14ac:dyDescent="0.3">
      <c r="A2418" s="1">
        <v>45768</v>
      </c>
      <c r="B2418" t="s">
        <v>15</v>
      </c>
      <c r="C2418" s="3">
        <v>3290.1</v>
      </c>
      <c r="D2418" s="3">
        <v>3354</v>
      </c>
      <c r="E2418" s="3">
        <v>3284.1</v>
      </c>
      <c r="F2418" s="3">
        <v>3298.9</v>
      </c>
      <c r="G2418" s="3">
        <v>3319</v>
      </c>
      <c r="H2418" s="3">
        <v>3321.6</v>
      </c>
      <c r="I2418" s="3">
        <v>3325.96</v>
      </c>
      <c r="J2418" s="3">
        <v>4592.25</v>
      </c>
      <c r="K2418" s="3">
        <v>3056.05</v>
      </c>
      <c r="L2418" s="2">
        <v>2432946</v>
      </c>
      <c r="M2418" s="2">
        <v>8091878392.8000002</v>
      </c>
      <c r="N2418" s="2">
        <v>127748</v>
      </c>
      <c r="O2418" t="s">
        <v>25</v>
      </c>
    </row>
    <row r="2419" spans="1:15" x14ac:dyDescent="0.3">
      <c r="A2419" s="1">
        <v>45764</v>
      </c>
      <c r="B2419" t="s">
        <v>15</v>
      </c>
      <c r="C2419" s="3">
        <v>3245.5</v>
      </c>
      <c r="D2419" s="3">
        <v>3303.6</v>
      </c>
      <c r="E2419" s="3">
        <v>3218</v>
      </c>
      <c r="F2419" s="3">
        <v>3273.8</v>
      </c>
      <c r="G2419" s="3">
        <v>3297.4</v>
      </c>
      <c r="H2419" s="3">
        <v>3298.9</v>
      </c>
      <c r="I2419" s="3">
        <v>3262.86</v>
      </c>
      <c r="J2419" s="3">
        <v>4592.25</v>
      </c>
      <c r="K2419" s="3">
        <v>3056.05</v>
      </c>
      <c r="L2419" s="2">
        <v>2932346</v>
      </c>
      <c r="M2419" s="2">
        <v>9567836127.7000008</v>
      </c>
      <c r="N2419" s="2">
        <v>183984</v>
      </c>
      <c r="O2419" t="s">
        <v>25</v>
      </c>
    </row>
    <row r="2420" spans="1:15" x14ac:dyDescent="0.3">
      <c r="A2420" s="1">
        <v>45763</v>
      </c>
      <c r="B2420" t="s">
        <v>15</v>
      </c>
      <c r="C2420" s="3">
        <v>3248.2</v>
      </c>
      <c r="D2420" s="3">
        <v>3278.1</v>
      </c>
      <c r="E2420" s="3">
        <v>3229</v>
      </c>
      <c r="F2420" s="3">
        <v>3248.2</v>
      </c>
      <c r="G2420" s="3">
        <v>3274</v>
      </c>
      <c r="H2420" s="3">
        <v>3273.8</v>
      </c>
      <c r="I2420" s="3">
        <v>3260.92</v>
      </c>
      <c r="J2420" s="3">
        <v>4592.25</v>
      </c>
      <c r="K2420" s="3">
        <v>3056.05</v>
      </c>
      <c r="L2420" s="2">
        <v>2384391</v>
      </c>
      <c r="M2420" s="2">
        <v>7775304840.8999996</v>
      </c>
      <c r="N2420" s="2">
        <v>131199</v>
      </c>
      <c r="O2420" t="s">
        <v>25</v>
      </c>
    </row>
    <row r="2421" spans="1:15" x14ac:dyDescent="0.3">
      <c r="A2421" s="1">
        <v>45762</v>
      </c>
      <c r="B2421" t="s">
        <v>15</v>
      </c>
      <c r="C2421" s="3">
        <v>3314.4</v>
      </c>
      <c r="D2421" s="3">
        <v>3314.4</v>
      </c>
      <c r="E2421" s="3">
        <v>3238.6</v>
      </c>
      <c r="F2421" s="3">
        <v>3231.5</v>
      </c>
      <c r="G2421" s="3">
        <v>3255</v>
      </c>
      <c r="H2421" s="3">
        <v>3248.2</v>
      </c>
      <c r="I2421" s="3">
        <v>3257.87</v>
      </c>
      <c r="J2421" s="3">
        <v>4592.25</v>
      </c>
      <c r="K2421" s="3">
        <v>3056.05</v>
      </c>
      <c r="L2421" s="2">
        <v>3512160</v>
      </c>
      <c r="M2421" s="2">
        <v>11442174035.700001</v>
      </c>
      <c r="N2421" s="2">
        <v>166106</v>
      </c>
      <c r="O2421" t="s">
        <v>25</v>
      </c>
    </row>
    <row r="2422" spans="1:15" x14ac:dyDescent="0.3">
      <c r="A2422" s="1">
        <v>45758</v>
      </c>
      <c r="B2422" t="s">
        <v>15</v>
      </c>
      <c r="C2422" s="3">
        <v>3289.55</v>
      </c>
      <c r="D2422" s="3">
        <v>3298.95</v>
      </c>
      <c r="E2422" s="3">
        <v>3206</v>
      </c>
      <c r="F2422" s="3">
        <v>3246.6</v>
      </c>
      <c r="G2422" s="3">
        <v>3238</v>
      </c>
      <c r="H2422" s="3">
        <v>3231.5</v>
      </c>
      <c r="I2422" s="3">
        <v>3243.04</v>
      </c>
      <c r="J2422" s="3">
        <v>4592.25</v>
      </c>
      <c r="K2422" s="3">
        <v>3056.05</v>
      </c>
      <c r="L2422" s="2">
        <v>7108961</v>
      </c>
      <c r="M2422" s="2">
        <v>23054618625.450001</v>
      </c>
      <c r="N2422" s="2">
        <v>354463</v>
      </c>
      <c r="O2422" t="s">
        <v>25</v>
      </c>
    </row>
    <row r="2423" spans="1:15" x14ac:dyDescent="0.3">
      <c r="A2423" s="1">
        <v>45756</v>
      </c>
      <c r="B2423" t="s">
        <v>15</v>
      </c>
      <c r="C2423" s="3">
        <v>3260.55</v>
      </c>
      <c r="D2423" s="3">
        <v>3270</v>
      </c>
      <c r="E2423" s="3">
        <v>3212.05</v>
      </c>
      <c r="F2423" s="3">
        <v>3292.95</v>
      </c>
      <c r="G2423" s="3">
        <v>3239</v>
      </c>
      <c r="H2423" s="3">
        <v>3246.6</v>
      </c>
      <c r="I2423" s="3">
        <v>3248.58</v>
      </c>
      <c r="J2423" s="3">
        <v>4592.25</v>
      </c>
      <c r="K2423" s="3">
        <v>3056.05</v>
      </c>
      <c r="L2423" s="2">
        <v>2990265</v>
      </c>
      <c r="M2423" s="2">
        <v>9714105049.5</v>
      </c>
      <c r="N2423" s="2">
        <v>184251</v>
      </c>
      <c r="O2423" t="s">
        <v>25</v>
      </c>
    </row>
    <row r="2424" spans="1:15" x14ac:dyDescent="0.3">
      <c r="A2424" s="1">
        <v>45755</v>
      </c>
      <c r="B2424" t="s">
        <v>15</v>
      </c>
      <c r="C2424" s="3">
        <v>3302.05</v>
      </c>
      <c r="D2424" s="3">
        <v>3349</v>
      </c>
      <c r="E2424" s="3">
        <v>3255.3</v>
      </c>
      <c r="F2424" s="3">
        <v>3274.05</v>
      </c>
      <c r="G2424" s="3">
        <v>3292.8</v>
      </c>
      <c r="H2424" s="3">
        <v>3292.95</v>
      </c>
      <c r="I2424" s="3">
        <v>3296.22</v>
      </c>
      <c r="J2424" s="3">
        <v>4592.25</v>
      </c>
      <c r="K2424" s="3">
        <v>3056.05</v>
      </c>
      <c r="L2424" s="2">
        <v>5557558</v>
      </c>
      <c r="M2424" s="2">
        <v>18318927917.450001</v>
      </c>
      <c r="N2424" s="2">
        <v>236248</v>
      </c>
      <c r="O2424" t="s">
        <v>25</v>
      </c>
    </row>
    <row r="2425" spans="1:15" x14ac:dyDescent="0.3">
      <c r="A2425" s="1">
        <v>45754</v>
      </c>
      <c r="B2425" t="s">
        <v>15</v>
      </c>
      <c r="C2425" s="3">
        <v>3100</v>
      </c>
      <c r="D2425" s="3">
        <v>3291.4</v>
      </c>
      <c r="E2425" s="3">
        <v>3056.05</v>
      </c>
      <c r="F2425" s="3">
        <v>3299.4</v>
      </c>
      <c r="G2425" s="3">
        <v>3285</v>
      </c>
      <c r="H2425" s="3">
        <v>3274.05</v>
      </c>
      <c r="I2425" s="3">
        <v>3167.51</v>
      </c>
      <c r="J2425" s="3">
        <v>4592.25</v>
      </c>
      <c r="K2425" s="3">
        <v>3056.05</v>
      </c>
      <c r="L2425" s="2">
        <v>6623955</v>
      </c>
      <c r="M2425" s="2">
        <v>20981463559.099998</v>
      </c>
      <c r="N2425" s="2">
        <v>386019</v>
      </c>
      <c r="O2425" t="s">
        <v>25</v>
      </c>
    </row>
    <row r="2426" spans="1:15" x14ac:dyDescent="0.3">
      <c r="A2426" s="1">
        <v>45751</v>
      </c>
      <c r="B2426" t="s">
        <v>15</v>
      </c>
      <c r="C2426" s="3">
        <v>3362.6</v>
      </c>
      <c r="D2426" s="3">
        <v>3399.65</v>
      </c>
      <c r="E2426" s="3">
        <v>3295.5</v>
      </c>
      <c r="F2426" s="3">
        <v>3403.15</v>
      </c>
      <c r="G2426" s="3">
        <v>3304.85</v>
      </c>
      <c r="H2426" s="3">
        <v>3299.4</v>
      </c>
      <c r="I2426" s="3">
        <v>3318.1</v>
      </c>
      <c r="J2426" s="3">
        <v>4592.25</v>
      </c>
      <c r="K2426" s="3">
        <v>3295.5</v>
      </c>
      <c r="L2426" s="2">
        <v>5317367</v>
      </c>
      <c r="M2426" s="2">
        <v>17643541008.049999</v>
      </c>
      <c r="N2426" s="2">
        <v>216133</v>
      </c>
      <c r="O2426" t="s">
        <v>25</v>
      </c>
    </row>
    <row r="2427" spans="1:15" x14ac:dyDescent="0.3">
      <c r="A2427" s="1">
        <v>45750</v>
      </c>
      <c r="B2427" t="s">
        <v>15</v>
      </c>
      <c r="C2427" s="3">
        <v>3491</v>
      </c>
      <c r="D2427" s="3">
        <v>3502</v>
      </c>
      <c r="E2427" s="3">
        <v>3396.15</v>
      </c>
      <c r="F2427" s="3">
        <v>3543.95</v>
      </c>
      <c r="G2427" s="3">
        <v>3403.3</v>
      </c>
      <c r="H2427" s="3">
        <v>3403.15</v>
      </c>
      <c r="I2427" s="3">
        <v>3422.75</v>
      </c>
      <c r="J2427" s="3">
        <v>4592.25</v>
      </c>
      <c r="K2427" s="3">
        <v>3396.15</v>
      </c>
      <c r="L2427" s="2">
        <v>4537821</v>
      </c>
      <c r="M2427" s="2">
        <v>15531809156.15</v>
      </c>
      <c r="N2427" s="2">
        <v>248807</v>
      </c>
      <c r="O2427" t="s">
        <v>25</v>
      </c>
    </row>
    <row r="2428" spans="1:15" x14ac:dyDescent="0.3">
      <c r="A2428" s="1">
        <v>45749</v>
      </c>
      <c r="B2428" t="s">
        <v>15</v>
      </c>
      <c r="C2428" s="3">
        <v>3544</v>
      </c>
      <c r="D2428" s="3">
        <v>3564.1</v>
      </c>
      <c r="E2428" s="3">
        <v>3530.05</v>
      </c>
      <c r="F2428" s="3">
        <v>3550.8</v>
      </c>
      <c r="G2428" s="3">
        <v>3545</v>
      </c>
      <c r="H2428" s="3">
        <v>3543.95</v>
      </c>
      <c r="I2428" s="3">
        <v>3547.15</v>
      </c>
      <c r="J2428" s="3">
        <v>4592.25</v>
      </c>
      <c r="K2428" s="3">
        <v>3457</v>
      </c>
      <c r="L2428" s="2">
        <v>1764313</v>
      </c>
      <c r="M2428" s="2">
        <v>6258290323.8000002</v>
      </c>
      <c r="N2428" s="2">
        <v>80651</v>
      </c>
      <c r="O2428" t="s">
        <v>25</v>
      </c>
    </row>
    <row r="2429" spans="1:15" x14ac:dyDescent="0.3">
      <c r="A2429" s="1">
        <v>45748</v>
      </c>
      <c r="B2429" t="s">
        <v>15</v>
      </c>
      <c r="C2429" s="3">
        <v>3572.7</v>
      </c>
      <c r="D2429" s="3">
        <v>3584</v>
      </c>
      <c r="E2429" s="3">
        <v>3525</v>
      </c>
      <c r="F2429" s="3">
        <v>3606.15</v>
      </c>
      <c r="G2429" s="3">
        <v>3556.45</v>
      </c>
      <c r="H2429" s="3">
        <v>3550.8</v>
      </c>
      <c r="I2429" s="3">
        <v>3548.01</v>
      </c>
      <c r="J2429" s="3">
        <v>4592.25</v>
      </c>
      <c r="K2429" s="3">
        <v>3457</v>
      </c>
      <c r="L2429" s="2">
        <v>2618493</v>
      </c>
      <c r="M2429" s="2">
        <v>9290445221.3999996</v>
      </c>
      <c r="N2429" s="2">
        <v>167344</v>
      </c>
      <c r="O2429" t="s">
        <v>25</v>
      </c>
    </row>
    <row r="2430" spans="1:15" x14ac:dyDescent="0.3">
      <c r="A2430" s="1">
        <v>45744</v>
      </c>
      <c r="B2430" t="s">
        <v>15</v>
      </c>
      <c r="C2430" s="3">
        <v>3651</v>
      </c>
      <c r="D2430" s="3">
        <v>3660.95</v>
      </c>
      <c r="E2430" s="3">
        <v>3591.9</v>
      </c>
      <c r="F2430" s="3">
        <v>3651.2</v>
      </c>
      <c r="G2430" s="3">
        <v>3604</v>
      </c>
      <c r="H2430" s="3">
        <v>3606.15</v>
      </c>
      <c r="I2430" s="3">
        <v>3613.75</v>
      </c>
      <c r="J2430" s="3">
        <v>4592.25</v>
      </c>
      <c r="K2430" s="3">
        <v>3457</v>
      </c>
      <c r="L2430" s="2">
        <v>2051919</v>
      </c>
      <c r="M2430" s="2">
        <v>7415124946.3999996</v>
      </c>
      <c r="N2430" s="2">
        <v>129740</v>
      </c>
      <c r="O2430" t="s">
        <v>25</v>
      </c>
    </row>
    <row r="2431" spans="1:15" x14ac:dyDescent="0.3">
      <c r="A2431" s="1">
        <v>45743</v>
      </c>
      <c r="B2431" t="s">
        <v>15</v>
      </c>
      <c r="C2431" s="3">
        <v>3614.85</v>
      </c>
      <c r="D2431" s="3">
        <v>3663</v>
      </c>
      <c r="E2431" s="3">
        <v>3610.5</v>
      </c>
      <c r="F2431" s="3">
        <v>3635.8</v>
      </c>
      <c r="G2431" s="3">
        <v>3645</v>
      </c>
      <c r="H2431" s="3">
        <v>3651.2</v>
      </c>
      <c r="I2431" s="3">
        <v>3649.02</v>
      </c>
      <c r="J2431" s="3">
        <v>4592.25</v>
      </c>
      <c r="K2431" s="3">
        <v>3457</v>
      </c>
      <c r="L2431" s="2">
        <v>2528474</v>
      </c>
      <c r="M2431" s="2">
        <v>9226448354.4500008</v>
      </c>
      <c r="N2431" s="2">
        <v>125080</v>
      </c>
      <c r="O2431" t="s">
        <v>25</v>
      </c>
    </row>
    <row r="2432" spans="1:15" x14ac:dyDescent="0.3">
      <c r="A2432" s="1">
        <v>45742</v>
      </c>
      <c r="B2432" t="s">
        <v>15</v>
      </c>
      <c r="C2432" s="3">
        <v>3647.75</v>
      </c>
      <c r="D2432" s="3">
        <v>3680.5</v>
      </c>
      <c r="E2432" s="3">
        <v>3625.85</v>
      </c>
      <c r="F2432" s="3">
        <v>3657.75</v>
      </c>
      <c r="G2432" s="3">
        <v>3630.55</v>
      </c>
      <c r="H2432" s="3">
        <v>3635.8</v>
      </c>
      <c r="I2432" s="3">
        <v>3656.16</v>
      </c>
      <c r="J2432" s="3">
        <v>4592.25</v>
      </c>
      <c r="K2432" s="3">
        <v>3457</v>
      </c>
      <c r="L2432" s="2">
        <v>1734499</v>
      </c>
      <c r="M2432" s="2">
        <v>6341597992.3999996</v>
      </c>
      <c r="N2432" s="2">
        <v>141204</v>
      </c>
      <c r="O2432" t="s">
        <v>25</v>
      </c>
    </row>
    <row r="2433" spans="1:15" x14ac:dyDescent="0.3">
      <c r="A2433" s="1">
        <v>45741</v>
      </c>
      <c r="B2433" t="s">
        <v>15</v>
      </c>
      <c r="C2433" s="3">
        <v>3645</v>
      </c>
      <c r="D2433" s="3">
        <v>3710</v>
      </c>
      <c r="E2433" s="3">
        <v>3638</v>
      </c>
      <c r="F2433" s="3">
        <v>3628.95</v>
      </c>
      <c r="G2433" s="3">
        <v>3641</v>
      </c>
      <c r="H2433" s="3">
        <v>3657.75</v>
      </c>
      <c r="I2433" s="3">
        <v>3673.54</v>
      </c>
      <c r="J2433" s="3">
        <v>4592.25</v>
      </c>
      <c r="K2433" s="3">
        <v>3457</v>
      </c>
      <c r="L2433" s="2">
        <v>3135390</v>
      </c>
      <c r="M2433" s="2">
        <v>11517985340.799999</v>
      </c>
      <c r="N2433" s="2">
        <v>181313</v>
      </c>
      <c r="O2433" t="s">
        <v>25</v>
      </c>
    </row>
    <row r="2434" spans="1:15" x14ac:dyDescent="0.3">
      <c r="A2434" s="1">
        <v>45740</v>
      </c>
      <c r="B2434" t="s">
        <v>15</v>
      </c>
      <c r="C2434" s="3">
        <v>3600</v>
      </c>
      <c r="D2434" s="3">
        <v>3649.75</v>
      </c>
      <c r="E2434" s="3">
        <v>3566.6</v>
      </c>
      <c r="F2434" s="3">
        <v>3578.1</v>
      </c>
      <c r="G2434" s="3">
        <v>3633</v>
      </c>
      <c r="H2434" s="3">
        <v>3628.95</v>
      </c>
      <c r="I2434" s="3">
        <v>3615.19</v>
      </c>
      <c r="J2434" s="3">
        <v>4592.25</v>
      </c>
      <c r="K2434" s="3">
        <v>3457</v>
      </c>
      <c r="L2434" s="2">
        <v>1834751</v>
      </c>
      <c r="M2434" s="2">
        <v>6632970557.6999998</v>
      </c>
      <c r="N2434" s="2">
        <v>107825</v>
      </c>
      <c r="O2434" t="s">
        <v>25</v>
      </c>
    </row>
    <row r="2435" spans="1:15" x14ac:dyDescent="0.3">
      <c r="A2435" s="1">
        <v>45737</v>
      </c>
      <c r="B2435" t="s">
        <v>15</v>
      </c>
      <c r="C2435" s="3">
        <v>3475</v>
      </c>
      <c r="D2435" s="3">
        <v>3616.25</v>
      </c>
      <c r="E2435" s="3">
        <v>3465</v>
      </c>
      <c r="F2435" s="3">
        <v>3563.15</v>
      </c>
      <c r="G2435" s="3">
        <v>3578</v>
      </c>
      <c r="H2435" s="3">
        <v>3578.1</v>
      </c>
      <c r="I2435" s="3">
        <v>3561.68</v>
      </c>
      <c r="J2435" s="3">
        <v>4592.25</v>
      </c>
      <c r="K2435" s="3">
        <v>3457</v>
      </c>
      <c r="L2435" s="2">
        <v>4161925</v>
      </c>
      <c r="M2435" s="2">
        <v>14823464307.85</v>
      </c>
      <c r="N2435" s="2">
        <v>188951</v>
      </c>
      <c r="O2435" t="s">
        <v>25</v>
      </c>
    </row>
    <row r="2436" spans="1:15" x14ac:dyDescent="0.3">
      <c r="A2436" s="1">
        <v>45736</v>
      </c>
      <c r="B2436" t="s">
        <v>15</v>
      </c>
      <c r="C2436" s="3">
        <v>3512</v>
      </c>
      <c r="D2436" s="3">
        <v>3578.95</v>
      </c>
      <c r="E2436" s="3">
        <v>3512</v>
      </c>
      <c r="F2436" s="3">
        <v>3497.1</v>
      </c>
      <c r="G2436" s="3">
        <v>3556.5</v>
      </c>
      <c r="H2436" s="3">
        <v>3563.15</v>
      </c>
      <c r="I2436" s="3">
        <v>3559.81</v>
      </c>
      <c r="J2436" s="3">
        <v>4592.25</v>
      </c>
      <c r="K2436" s="3">
        <v>3457</v>
      </c>
      <c r="L2436" s="2">
        <v>2845192</v>
      </c>
      <c r="M2436" s="2">
        <v>10128343015.65</v>
      </c>
      <c r="N2436" s="2">
        <v>156792</v>
      </c>
      <c r="O2436" t="s">
        <v>25</v>
      </c>
    </row>
    <row r="2437" spans="1:15" x14ac:dyDescent="0.3">
      <c r="A2437" s="1">
        <v>45735</v>
      </c>
      <c r="B2437" t="s">
        <v>15</v>
      </c>
      <c r="C2437" s="3">
        <v>3547</v>
      </c>
      <c r="D2437" s="3">
        <v>3547</v>
      </c>
      <c r="E2437" s="3">
        <v>3462.75</v>
      </c>
      <c r="F2437" s="3">
        <v>3552.45</v>
      </c>
      <c r="G2437" s="3">
        <v>3505</v>
      </c>
      <c r="H2437" s="3">
        <v>3497.1</v>
      </c>
      <c r="I2437" s="3">
        <v>3484.81</v>
      </c>
      <c r="J2437" s="3">
        <v>4592.25</v>
      </c>
      <c r="K2437" s="3">
        <v>3457</v>
      </c>
      <c r="L2437" s="2">
        <v>3051244</v>
      </c>
      <c r="M2437" s="2">
        <v>10632994898.700001</v>
      </c>
      <c r="N2437" s="2">
        <v>181144</v>
      </c>
      <c r="O2437" t="s">
        <v>25</v>
      </c>
    </row>
    <row r="2438" spans="1:15" x14ac:dyDescent="0.3">
      <c r="A2438" s="1">
        <v>45734</v>
      </c>
      <c r="B2438" t="s">
        <v>15</v>
      </c>
      <c r="C2438" s="3">
        <v>3502.35</v>
      </c>
      <c r="D2438" s="3">
        <v>3556.95</v>
      </c>
      <c r="E2438" s="3">
        <v>3478.45</v>
      </c>
      <c r="F2438" s="3">
        <v>3497.7</v>
      </c>
      <c r="G2438" s="3">
        <v>3545.65</v>
      </c>
      <c r="H2438" s="3">
        <v>3552.45</v>
      </c>
      <c r="I2438" s="3">
        <v>3530.44</v>
      </c>
      <c r="J2438" s="3">
        <v>4592.25</v>
      </c>
      <c r="K2438" s="3">
        <v>3457</v>
      </c>
      <c r="L2438" s="2">
        <v>3069109</v>
      </c>
      <c r="M2438" s="2">
        <v>10835299304.9</v>
      </c>
      <c r="N2438" s="2">
        <v>139204</v>
      </c>
      <c r="O2438" t="s">
        <v>25</v>
      </c>
    </row>
    <row r="2439" spans="1:15" x14ac:dyDescent="0.3">
      <c r="A2439" s="1">
        <v>45733</v>
      </c>
      <c r="B2439" t="s">
        <v>15</v>
      </c>
      <c r="C2439" s="3">
        <v>3489</v>
      </c>
      <c r="D2439" s="3">
        <v>3530.45</v>
      </c>
      <c r="E2439" s="3">
        <v>3477.35</v>
      </c>
      <c r="F2439" s="3">
        <v>3511.05</v>
      </c>
      <c r="G2439" s="3">
        <v>3499.9</v>
      </c>
      <c r="H2439" s="3">
        <v>3497.7</v>
      </c>
      <c r="I2439" s="3">
        <v>3496.62</v>
      </c>
      <c r="J2439" s="3">
        <v>4592.25</v>
      </c>
      <c r="K2439" s="3">
        <v>3457</v>
      </c>
      <c r="L2439" s="2">
        <v>2690906</v>
      </c>
      <c r="M2439" s="2">
        <v>9409068295.75</v>
      </c>
      <c r="N2439" s="2">
        <v>171510</v>
      </c>
      <c r="O2439" t="s">
        <v>25</v>
      </c>
    </row>
    <row r="2440" spans="1:15" x14ac:dyDescent="0.3">
      <c r="A2440" s="1">
        <v>45729</v>
      </c>
      <c r="B2440" t="s">
        <v>15</v>
      </c>
      <c r="C2440" s="3">
        <v>3502.3</v>
      </c>
      <c r="D2440" s="3">
        <v>3524.3</v>
      </c>
      <c r="E2440" s="3">
        <v>3484.1</v>
      </c>
      <c r="F2440" s="3">
        <v>3506.2</v>
      </c>
      <c r="G2440" s="3">
        <v>3509.05</v>
      </c>
      <c r="H2440" s="3">
        <v>3511.05</v>
      </c>
      <c r="I2440" s="3">
        <v>3504.71</v>
      </c>
      <c r="J2440" s="3">
        <v>4592.25</v>
      </c>
      <c r="K2440" s="3">
        <v>3457</v>
      </c>
      <c r="L2440" s="2">
        <v>1693004</v>
      </c>
      <c r="M2440" s="2">
        <v>5933491139.4499998</v>
      </c>
      <c r="N2440" s="2">
        <v>98963</v>
      </c>
      <c r="O2440" t="s">
        <v>25</v>
      </c>
    </row>
    <row r="2441" spans="1:15" x14ac:dyDescent="0.3">
      <c r="A2441" s="1">
        <v>45728</v>
      </c>
      <c r="B2441" t="s">
        <v>15</v>
      </c>
      <c r="C2441" s="3">
        <v>3565</v>
      </c>
      <c r="D2441" s="3">
        <v>3569.25</v>
      </c>
      <c r="E2441" s="3">
        <v>3486.85</v>
      </c>
      <c r="F2441" s="3">
        <v>3575.3</v>
      </c>
      <c r="G2441" s="3">
        <v>3507.8</v>
      </c>
      <c r="H2441" s="3">
        <v>3506.2</v>
      </c>
      <c r="I2441" s="3">
        <v>3504.81</v>
      </c>
      <c r="J2441" s="3">
        <v>4592.25</v>
      </c>
      <c r="K2441" s="3">
        <v>3457</v>
      </c>
      <c r="L2441" s="2">
        <v>3174167</v>
      </c>
      <c r="M2441" s="2">
        <v>11124852701.549999</v>
      </c>
      <c r="N2441" s="2">
        <v>175588</v>
      </c>
      <c r="O2441" t="s">
        <v>25</v>
      </c>
    </row>
    <row r="2442" spans="1:15" x14ac:dyDescent="0.3">
      <c r="A2442" s="1">
        <v>45727</v>
      </c>
      <c r="B2442" t="s">
        <v>15</v>
      </c>
      <c r="C2442" s="3">
        <v>3558</v>
      </c>
      <c r="D2442" s="3">
        <v>3588.75</v>
      </c>
      <c r="E2442" s="3">
        <v>3537.65</v>
      </c>
      <c r="F2442" s="3">
        <v>3589.65</v>
      </c>
      <c r="G2442" s="3">
        <v>3585</v>
      </c>
      <c r="H2442" s="3">
        <v>3575.3</v>
      </c>
      <c r="I2442" s="3">
        <v>3567.93</v>
      </c>
      <c r="J2442" s="3">
        <v>4592.25</v>
      </c>
      <c r="K2442" s="3">
        <v>3457</v>
      </c>
      <c r="L2442" s="2">
        <v>1995450</v>
      </c>
      <c r="M2442" s="2">
        <v>7119617263.5500002</v>
      </c>
      <c r="N2442" s="2">
        <v>142820</v>
      </c>
      <c r="O2442" t="s">
        <v>25</v>
      </c>
    </row>
    <row r="2443" spans="1:15" x14ac:dyDescent="0.3">
      <c r="A2443" s="1">
        <v>45726</v>
      </c>
      <c r="B2443" t="s">
        <v>15</v>
      </c>
      <c r="C2443" s="3">
        <v>3606.5</v>
      </c>
      <c r="D2443" s="3">
        <v>3622.1</v>
      </c>
      <c r="E2443" s="3">
        <v>3582.6</v>
      </c>
      <c r="F2443" s="3">
        <v>3611.2</v>
      </c>
      <c r="G2443" s="3">
        <v>3589</v>
      </c>
      <c r="H2443" s="3">
        <v>3589.65</v>
      </c>
      <c r="I2443" s="3">
        <v>3602.11</v>
      </c>
      <c r="J2443" s="3">
        <v>4592.25</v>
      </c>
      <c r="K2443" s="3">
        <v>3457</v>
      </c>
      <c r="L2443" s="2">
        <v>1004626</v>
      </c>
      <c r="M2443" s="2">
        <v>3618776661.3000002</v>
      </c>
      <c r="N2443" s="2">
        <v>75981</v>
      </c>
      <c r="O2443" t="s">
        <v>25</v>
      </c>
    </row>
    <row r="2444" spans="1:15" x14ac:dyDescent="0.3">
      <c r="A2444" s="1">
        <v>45723</v>
      </c>
      <c r="B2444" t="s">
        <v>15</v>
      </c>
      <c r="C2444" s="3">
        <v>3600</v>
      </c>
      <c r="D2444" s="3">
        <v>3625</v>
      </c>
      <c r="E2444" s="3">
        <v>3574.4</v>
      </c>
      <c r="F2444" s="3">
        <v>3601.6</v>
      </c>
      <c r="G2444" s="3">
        <v>3602</v>
      </c>
      <c r="H2444" s="3">
        <v>3611.2</v>
      </c>
      <c r="I2444" s="3">
        <v>3605.34</v>
      </c>
      <c r="J2444" s="3">
        <v>4592.25</v>
      </c>
      <c r="K2444" s="3">
        <v>3457</v>
      </c>
      <c r="L2444" s="2">
        <v>2051315</v>
      </c>
      <c r="M2444" s="2">
        <v>7395690221.3500004</v>
      </c>
      <c r="N2444" s="2">
        <v>131372</v>
      </c>
      <c r="O2444" t="s">
        <v>25</v>
      </c>
    </row>
    <row r="2445" spans="1:15" x14ac:dyDescent="0.3">
      <c r="A2445" s="1">
        <v>45722</v>
      </c>
      <c r="B2445" t="s">
        <v>15</v>
      </c>
      <c r="C2445" s="3">
        <v>3557</v>
      </c>
      <c r="D2445" s="3">
        <v>3609.45</v>
      </c>
      <c r="E2445" s="3">
        <v>3536.1</v>
      </c>
      <c r="F2445" s="3">
        <v>3547.05</v>
      </c>
      <c r="G2445" s="3">
        <v>3592.1</v>
      </c>
      <c r="H2445" s="3">
        <v>3601.6</v>
      </c>
      <c r="I2445" s="3">
        <v>3571.61</v>
      </c>
      <c r="J2445" s="3">
        <v>4592.25</v>
      </c>
      <c r="K2445" s="3">
        <v>3457</v>
      </c>
      <c r="L2445" s="2">
        <v>2786513</v>
      </c>
      <c r="M2445" s="2">
        <v>9952339476.2000008</v>
      </c>
      <c r="N2445" s="2">
        <v>201910</v>
      </c>
      <c r="O2445" t="s">
        <v>25</v>
      </c>
    </row>
    <row r="2446" spans="1:15" x14ac:dyDescent="0.3">
      <c r="A2446" s="1">
        <v>45721</v>
      </c>
      <c r="B2446" t="s">
        <v>15</v>
      </c>
      <c r="C2446" s="3">
        <v>3520.85</v>
      </c>
      <c r="D2446" s="3">
        <v>3600.35</v>
      </c>
      <c r="E2446" s="3">
        <v>3520.85</v>
      </c>
      <c r="F2446" s="3">
        <v>3532.05</v>
      </c>
      <c r="G2446" s="3">
        <v>3557</v>
      </c>
      <c r="H2446" s="3">
        <v>3547.05</v>
      </c>
      <c r="I2446" s="3">
        <v>3561.68</v>
      </c>
      <c r="J2446" s="3">
        <v>4592.25</v>
      </c>
      <c r="K2446" s="3">
        <v>3457</v>
      </c>
      <c r="L2446" s="2">
        <v>2501894</v>
      </c>
      <c r="M2446" s="2">
        <v>8910937236.5499992</v>
      </c>
      <c r="N2446" s="2">
        <v>145336</v>
      </c>
      <c r="O2446" t="s">
        <v>25</v>
      </c>
    </row>
    <row r="2447" spans="1:15" x14ac:dyDescent="0.3">
      <c r="A2447" s="1">
        <v>45720</v>
      </c>
      <c r="B2447" t="s">
        <v>15</v>
      </c>
      <c r="C2447" s="3">
        <v>3474</v>
      </c>
      <c r="D2447" s="3">
        <v>3551</v>
      </c>
      <c r="E2447" s="3">
        <v>3464.3</v>
      </c>
      <c r="F2447" s="3">
        <v>3493.05</v>
      </c>
      <c r="G2447" s="3">
        <v>3533</v>
      </c>
      <c r="H2447" s="3">
        <v>3532.05</v>
      </c>
      <c r="I2447" s="3">
        <v>3518.16</v>
      </c>
      <c r="J2447" s="3">
        <v>4592.25</v>
      </c>
      <c r="K2447" s="3">
        <v>3457</v>
      </c>
      <c r="L2447" s="2">
        <v>2797737</v>
      </c>
      <c r="M2447" s="2">
        <v>9842880030.2999992</v>
      </c>
      <c r="N2447" s="2">
        <v>157084</v>
      </c>
      <c r="O2447" t="s">
        <v>25</v>
      </c>
    </row>
    <row r="2448" spans="1:15" x14ac:dyDescent="0.3">
      <c r="A2448" s="1">
        <v>45719</v>
      </c>
      <c r="B2448" t="s">
        <v>15</v>
      </c>
      <c r="C2448" s="3">
        <v>3485</v>
      </c>
      <c r="D2448" s="3">
        <v>3523.25</v>
      </c>
      <c r="E2448" s="3">
        <v>3476.15</v>
      </c>
      <c r="F2448" s="3">
        <v>3483.25</v>
      </c>
      <c r="G2448" s="3">
        <v>3506</v>
      </c>
      <c r="H2448" s="3">
        <v>3493.05</v>
      </c>
      <c r="I2448" s="3">
        <v>3497.97</v>
      </c>
      <c r="J2448" s="3">
        <v>4592.25</v>
      </c>
      <c r="K2448" s="3">
        <v>3457</v>
      </c>
      <c r="L2448" s="2">
        <v>4990439</v>
      </c>
      <c r="M2448" s="2">
        <v>17456399246.200001</v>
      </c>
      <c r="N2448" s="2">
        <v>248034</v>
      </c>
      <c r="O2448" t="s">
        <v>25</v>
      </c>
    </row>
    <row r="2449" spans="1:15" x14ac:dyDescent="0.3">
      <c r="A2449" s="1">
        <v>45716</v>
      </c>
      <c r="B2449" t="s">
        <v>15</v>
      </c>
      <c r="C2449" s="3">
        <v>3584.95</v>
      </c>
      <c r="D2449" s="3">
        <v>3600</v>
      </c>
      <c r="E2449" s="3">
        <v>3457</v>
      </c>
      <c r="F2449" s="3">
        <v>3612.55</v>
      </c>
      <c r="G2449" s="3">
        <v>3478</v>
      </c>
      <c r="H2449" s="3">
        <v>3483.25</v>
      </c>
      <c r="I2449" s="3">
        <v>3491.8</v>
      </c>
      <c r="J2449" s="3">
        <v>4592.25</v>
      </c>
      <c r="K2449" s="3">
        <v>3457</v>
      </c>
      <c r="L2449" s="2">
        <v>7085018</v>
      </c>
      <c r="M2449" s="2">
        <v>24739464379.849998</v>
      </c>
      <c r="N2449" s="2">
        <v>340110</v>
      </c>
      <c r="O2449" t="s">
        <v>25</v>
      </c>
    </row>
    <row r="2450" spans="1:15" x14ac:dyDescent="0.3">
      <c r="A2450" s="1">
        <v>45715</v>
      </c>
      <c r="B2450" t="s">
        <v>15</v>
      </c>
      <c r="C2450" s="3">
        <v>3611.7</v>
      </c>
      <c r="D2450" s="3">
        <v>3638</v>
      </c>
      <c r="E2450" s="3">
        <v>3600.7</v>
      </c>
      <c r="F2450" s="3">
        <v>3629.55</v>
      </c>
      <c r="G2450" s="3">
        <v>3608.05</v>
      </c>
      <c r="H2450" s="3">
        <v>3612.55</v>
      </c>
      <c r="I2450" s="3">
        <v>3613.5</v>
      </c>
      <c r="J2450" s="3">
        <v>4592.25</v>
      </c>
      <c r="K2450" s="3">
        <v>3591.5</v>
      </c>
      <c r="L2450" s="2">
        <v>3823856</v>
      </c>
      <c r="M2450" s="2">
        <v>13817496735.799999</v>
      </c>
      <c r="N2450" s="2">
        <v>212465</v>
      </c>
      <c r="O2450" t="s">
        <v>25</v>
      </c>
    </row>
    <row r="2451" spans="1:15" x14ac:dyDescent="0.3">
      <c r="A2451" s="1">
        <v>45713</v>
      </c>
      <c r="B2451" t="s">
        <v>15</v>
      </c>
      <c r="C2451" s="3">
        <v>3625</v>
      </c>
      <c r="D2451" s="3">
        <v>3658</v>
      </c>
      <c r="E2451" s="3">
        <v>3621.25</v>
      </c>
      <c r="F2451" s="3">
        <v>3675.6</v>
      </c>
      <c r="G2451" s="3">
        <v>3627</v>
      </c>
      <c r="H2451" s="3">
        <v>3629.55</v>
      </c>
      <c r="I2451" s="3">
        <v>3638.67</v>
      </c>
      <c r="J2451" s="3">
        <v>4592.25</v>
      </c>
      <c r="K2451" s="3">
        <v>3591.5</v>
      </c>
      <c r="L2451" s="2">
        <v>4101954</v>
      </c>
      <c r="M2451" s="2">
        <v>14925647967.549999</v>
      </c>
      <c r="N2451" s="2">
        <v>198489</v>
      </c>
      <c r="O2451" t="s">
        <v>25</v>
      </c>
    </row>
    <row r="2452" spans="1:15" x14ac:dyDescent="0.3">
      <c r="A2452" s="1">
        <v>45712</v>
      </c>
      <c r="B2452" t="s">
        <v>15</v>
      </c>
      <c r="C2452" s="3">
        <v>3743.15</v>
      </c>
      <c r="D2452" s="3">
        <v>3763.2</v>
      </c>
      <c r="E2452" s="3">
        <v>3670</v>
      </c>
      <c r="F2452" s="3">
        <v>3786</v>
      </c>
      <c r="G2452" s="3">
        <v>3671</v>
      </c>
      <c r="H2452" s="3">
        <v>3675.6</v>
      </c>
      <c r="I2452" s="3">
        <v>3701.2</v>
      </c>
      <c r="J2452" s="3">
        <v>4592.25</v>
      </c>
      <c r="K2452" s="3">
        <v>3591.5</v>
      </c>
      <c r="L2452" s="2">
        <v>2508516</v>
      </c>
      <c r="M2452" s="2">
        <v>9284523845.2000008</v>
      </c>
      <c r="N2452" s="2">
        <v>172279</v>
      </c>
      <c r="O2452" t="s">
        <v>25</v>
      </c>
    </row>
    <row r="2453" spans="1:15" x14ac:dyDescent="0.3">
      <c r="A2453" s="1">
        <v>45709</v>
      </c>
      <c r="B2453" t="s">
        <v>15</v>
      </c>
      <c r="C2453" s="3">
        <v>3776.1</v>
      </c>
      <c r="D2453" s="3">
        <v>3817</v>
      </c>
      <c r="E2453" s="3">
        <v>3775</v>
      </c>
      <c r="F2453" s="3">
        <v>3779.4</v>
      </c>
      <c r="G2453" s="3">
        <v>3789.9</v>
      </c>
      <c r="H2453" s="3">
        <v>3786</v>
      </c>
      <c r="I2453" s="3">
        <v>3792.04</v>
      </c>
      <c r="J2453" s="3">
        <v>4592.25</v>
      </c>
      <c r="K2453" s="3">
        <v>3591.5</v>
      </c>
      <c r="L2453" s="2">
        <v>1833931</v>
      </c>
      <c r="M2453" s="2">
        <v>6954338537.8000002</v>
      </c>
      <c r="N2453" s="2">
        <v>125392</v>
      </c>
      <c r="O2453" t="s">
        <v>25</v>
      </c>
    </row>
    <row r="2454" spans="1:15" x14ac:dyDescent="0.3">
      <c r="A2454" s="1">
        <v>45708</v>
      </c>
      <c r="B2454" t="s">
        <v>15</v>
      </c>
      <c r="C2454" s="3">
        <v>3761.5</v>
      </c>
      <c r="D2454" s="3">
        <v>3788</v>
      </c>
      <c r="E2454" s="3">
        <v>3751.3</v>
      </c>
      <c r="F2454" s="3">
        <v>3784.1</v>
      </c>
      <c r="G2454" s="3">
        <v>3788</v>
      </c>
      <c r="H2454" s="3">
        <v>3779.4</v>
      </c>
      <c r="I2454" s="3">
        <v>3772.99</v>
      </c>
      <c r="J2454" s="3">
        <v>4592.25</v>
      </c>
      <c r="K2454" s="3">
        <v>3591.5</v>
      </c>
      <c r="L2454" s="2">
        <v>2888572</v>
      </c>
      <c r="M2454" s="2">
        <v>10898564437.85</v>
      </c>
      <c r="N2454" s="2">
        <v>184053</v>
      </c>
      <c r="O2454" t="s">
        <v>25</v>
      </c>
    </row>
    <row r="2455" spans="1:15" x14ac:dyDescent="0.3">
      <c r="A2455" s="1">
        <v>45707</v>
      </c>
      <c r="B2455" t="s">
        <v>15</v>
      </c>
      <c r="C2455" s="3">
        <v>3872.2</v>
      </c>
      <c r="D2455" s="3">
        <v>3874.95</v>
      </c>
      <c r="E2455" s="3">
        <v>3768.15</v>
      </c>
      <c r="F2455" s="3">
        <v>3873.2</v>
      </c>
      <c r="G2455" s="3">
        <v>3785</v>
      </c>
      <c r="H2455" s="3">
        <v>3784.1</v>
      </c>
      <c r="I2455" s="3">
        <v>3796.48</v>
      </c>
      <c r="J2455" s="3">
        <v>4592.25</v>
      </c>
      <c r="K2455" s="3">
        <v>3591.5</v>
      </c>
      <c r="L2455" s="2">
        <v>4366672</v>
      </c>
      <c r="M2455" s="2">
        <v>16578004180.700001</v>
      </c>
      <c r="N2455" s="2">
        <v>229923</v>
      </c>
      <c r="O2455" t="s">
        <v>25</v>
      </c>
    </row>
    <row r="2456" spans="1:15" x14ac:dyDescent="0.3">
      <c r="A2456" s="1">
        <v>45706</v>
      </c>
      <c r="B2456" t="s">
        <v>15</v>
      </c>
      <c r="C2456" s="3">
        <v>3898.4</v>
      </c>
      <c r="D2456" s="3">
        <v>3924.4</v>
      </c>
      <c r="E2456" s="3">
        <v>3864.5</v>
      </c>
      <c r="F2456" s="3">
        <v>3904.5</v>
      </c>
      <c r="G2456" s="3">
        <v>3873</v>
      </c>
      <c r="H2456" s="3">
        <v>3873.2</v>
      </c>
      <c r="I2456" s="3">
        <v>3891.66</v>
      </c>
      <c r="J2456" s="3">
        <v>4592.25</v>
      </c>
      <c r="K2456" s="3">
        <v>3591.5</v>
      </c>
      <c r="L2456" s="2">
        <v>2149879</v>
      </c>
      <c r="M2456" s="2">
        <v>8366596747.5500002</v>
      </c>
      <c r="N2456" s="2">
        <v>135773</v>
      </c>
      <c r="O2456" t="s">
        <v>25</v>
      </c>
    </row>
    <row r="2457" spans="1:15" x14ac:dyDescent="0.3">
      <c r="A2457" s="1">
        <v>45705</v>
      </c>
      <c r="B2457" t="s">
        <v>15</v>
      </c>
      <c r="C2457" s="3">
        <v>3856.5</v>
      </c>
      <c r="D2457" s="3">
        <v>3934</v>
      </c>
      <c r="E2457" s="3">
        <v>3856.2</v>
      </c>
      <c r="F2457" s="3">
        <v>3934.85</v>
      </c>
      <c r="G2457" s="3">
        <v>3908</v>
      </c>
      <c r="H2457" s="3">
        <v>3904.5</v>
      </c>
      <c r="I2457" s="3">
        <v>3911.78</v>
      </c>
      <c r="J2457" s="3">
        <v>4592.25</v>
      </c>
      <c r="K2457" s="3">
        <v>3591.5</v>
      </c>
      <c r="L2457" s="2">
        <v>1799806</v>
      </c>
      <c r="M2457" s="2">
        <v>7040439519.8000002</v>
      </c>
      <c r="N2457" s="2">
        <v>168626</v>
      </c>
      <c r="O2457" t="s">
        <v>25</v>
      </c>
    </row>
    <row r="2458" spans="1:15" x14ac:dyDescent="0.3">
      <c r="A2458" s="1">
        <v>45702</v>
      </c>
      <c r="B2458" t="s">
        <v>15</v>
      </c>
      <c r="C2458" s="3">
        <v>3925</v>
      </c>
      <c r="D2458" s="3">
        <v>3948</v>
      </c>
      <c r="E2458" s="3">
        <v>3900</v>
      </c>
      <c r="F2458" s="3">
        <v>3910.15</v>
      </c>
      <c r="G2458" s="3">
        <v>3928</v>
      </c>
      <c r="H2458" s="3">
        <v>3934.85</v>
      </c>
      <c r="I2458" s="3">
        <v>3921.57</v>
      </c>
      <c r="J2458" s="3">
        <v>4592.25</v>
      </c>
      <c r="K2458" s="3">
        <v>3591.5</v>
      </c>
      <c r="L2458" s="2">
        <v>1681975</v>
      </c>
      <c r="M2458" s="2">
        <v>6595986554.0500002</v>
      </c>
      <c r="N2458" s="2">
        <v>163805</v>
      </c>
      <c r="O2458" t="s">
        <v>25</v>
      </c>
    </row>
    <row r="2459" spans="1:15" x14ac:dyDescent="0.3">
      <c r="A2459" s="1">
        <v>45701</v>
      </c>
      <c r="B2459" t="s">
        <v>15</v>
      </c>
      <c r="C2459" s="3">
        <v>3968</v>
      </c>
      <c r="D2459" s="3">
        <v>3984.45</v>
      </c>
      <c r="E2459" s="3">
        <v>3902.25</v>
      </c>
      <c r="F2459" s="3">
        <v>3950.15</v>
      </c>
      <c r="G2459" s="3">
        <v>3920</v>
      </c>
      <c r="H2459" s="3">
        <v>3910.15</v>
      </c>
      <c r="I2459" s="3">
        <v>3930.8</v>
      </c>
      <c r="J2459" s="3">
        <v>4592.25</v>
      </c>
      <c r="K2459" s="3">
        <v>3591.5</v>
      </c>
      <c r="L2459" s="2">
        <v>2277310</v>
      </c>
      <c r="M2459" s="2">
        <v>8951639767.6000004</v>
      </c>
      <c r="N2459" s="2">
        <v>163030</v>
      </c>
      <c r="O2459" t="s">
        <v>25</v>
      </c>
    </row>
    <row r="2460" spans="1:15" x14ac:dyDescent="0.3">
      <c r="A2460" s="1">
        <v>45700</v>
      </c>
      <c r="B2460" t="s">
        <v>15</v>
      </c>
      <c r="C2460" s="3">
        <v>3971.1</v>
      </c>
      <c r="D2460" s="3">
        <v>4021.75</v>
      </c>
      <c r="E2460" s="3">
        <v>3940.15</v>
      </c>
      <c r="F2460" s="3">
        <v>3963.55</v>
      </c>
      <c r="G2460" s="3">
        <v>3956.25</v>
      </c>
      <c r="H2460" s="3">
        <v>3950.15</v>
      </c>
      <c r="I2460" s="3">
        <v>3978.32</v>
      </c>
      <c r="J2460" s="3">
        <v>4592.25</v>
      </c>
      <c r="K2460" s="3">
        <v>3591.5</v>
      </c>
      <c r="L2460" s="2">
        <v>1678002</v>
      </c>
      <c r="M2460" s="2">
        <v>6675628781.9499998</v>
      </c>
      <c r="N2460" s="2">
        <v>128576</v>
      </c>
      <c r="O2460" t="s">
        <v>25</v>
      </c>
    </row>
    <row r="2461" spans="1:15" x14ac:dyDescent="0.3">
      <c r="A2461" s="1">
        <v>45699</v>
      </c>
      <c r="B2461" t="s">
        <v>15</v>
      </c>
      <c r="C2461" s="3">
        <v>4018.4</v>
      </c>
      <c r="D2461" s="3">
        <v>4040</v>
      </c>
      <c r="E2461" s="3">
        <v>3955</v>
      </c>
      <c r="F2461" s="3">
        <v>4036.95</v>
      </c>
      <c r="G2461" s="3">
        <v>3967</v>
      </c>
      <c r="H2461" s="3">
        <v>3963.55</v>
      </c>
      <c r="I2461" s="3">
        <v>3989.58</v>
      </c>
      <c r="J2461" s="3">
        <v>4592.25</v>
      </c>
      <c r="K2461" s="3">
        <v>3591.5</v>
      </c>
      <c r="L2461" s="2">
        <v>1810908</v>
      </c>
      <c r="M2461" s="2">
        <v>7224758107.0500002</v>
      </c>
      <c r="N2461" s="2">
        <v>121478</v>
      </c>
      <c r="O2461" t="s">
        <v>25</v>
      </c>
    </row>
    <row r="2462" spans="1:15" x14ac:dyDescent="0.3">
      <c r="A2462" s="1">
        <v>45698</v>
      </c>
      <c r="B2462" t="s">
        <v>15</v>
      </c>
      <c r="C2462" s="3">
        <v>4040</v>
      </c>
      <c r="D2462" s="3">
        <v>4052</v>
      </c>
      <c r="E2462" s="3">
        <v>4014.35</v>
      </c>
      <c r="F2462" s="3">
        <v>4029.4</v>
      </c>
      <c r="G2462" s="3">
        <v>4034</v>
      </c>
      <c r="H2462" s="3">
        <v>4036.95</v>
      </c>
      <c r="I2462" s="3">
        <v>4035.26</v>
      </c>
      <c r="J2462" s="3">
        <v>4592.25</v>
      </c>
      <c r="K2462" s="3">
        <v>3591.5</v>
      </c>
      <c r="L2462" s="2">
        <v>1339511</v>
      </c>
      <c r="M2462" s="2">
        <v>5405279190.4499998</v>
      </c>
      <c r="N2462" s="2">
        <v>133697</v>
      </c>
      <c r="O2462" t="s">
        <v>25</v>
      </c>
    </row>
    <row r="2463" spans="1:15" x14ac:dyDescent="0.3">
      <c r="A2463" s="1">
        <v>45695</v>
      </c>
      <c r="B2463" t="s">
        <v>15</v>
      </c>
      <c r="C2463" s="3">
        <v>4090</v>
      </c>
      <c r="D2463" s="3">
        <v>4090</v>
      </c>
      <c r="E2463" s="3">
        <v>4008</v>
      </c>
      <c r="F2463" s="3">
        <v>4082.75</v>
      </c>
      <c r="G2463" s="3">
        <v>4032</v>
      </c>
      <c r="H2463" s="3">
        <v>4029.4</v>
      </c>
      <c r="I2463" s="3">
        <v>4033.06</v>
      </c>
      <c r="J2463" s="3">
        <v>4592.25</v>
      </c>
      <c r="K2463" s="3">
        <v>3591.5</v>
      </c>
      <c r="L2463" s="2">
        <v>1548940</v>
      </c>
      <c r="M2463" s="2">
        <v>6246965406.3999996</v>
      </c>
      <c r="N2463" s="2">
        <v>177110</v>
      </c>
      <c r="O2463" t="s">
        <v>25</v>
      </c>
    </row>
    <row r="2464" spans="1:15" x14ac:dyDescent="0.3">
      <c r="A2464" s="1">
        <v>45694</v>
      </c>
      <c r="B2464" t="s">
        <v>15</v>
      </c>
      <c r="C2464" s="3">
        <v>4105.3999999999996</v>
      </c>
      <c r="D2464" s="3">
        <v>4139.5</v>
      </c>
      <c r="E2464" s="3">
        <v>4051.55</v>
      </c>
      <c r="F2464" s="3">
        <v>4091.1</v>
      </c>
      <c r="G2464" s="3">
        <v>4087</v>
      </c>
      <c r="H2464" s="3">
        <v>4082.75</v>
      </c>
      <c r="I2464" s="3">
        <v>4080.65</v>
      </c>
      <c r="J2464" s="3">
        <v>4592.25</v>
      </c>
      <c r="K2464" s="3">
        <v>3591.5</v>
      </c>
      <c r="L2464" s="2">
        <v>2284536</v>
      </c>
      <c r="M2464" s="2">
        <v>9322389842.5</v>
      </c>
      <c r="N2464" s="2">
        <v>183903</v>
      </c>
      <c r="O2464" t="s">
        <v>25</v>
      </c>
    </row>
    <row r="2465" spans="1:15" x14ac:dyDescent="0.3">
      <c r="A2465" s="1">
        <v>45693</v>
      </c>
      <c r="B2465" t="s">
        <v>15</v>
      </c>
      <c r="C2465" s="3">
        <v>4150</v>
      </c>
      <c r="D2465" s="3">
        <v>4150</v>
      </c>
      <c r="E2465" s="3">
        <v>4076</v>
      </c>
      <c r="F2465" s="3">
        <v>4107.05</v>
      </c>
      <c r="G2465" s="3">
        <v>4086</v>
      </c>
      <c r="H2465" s="3">
        <v>4091.1</v>
      </c>
      <c r="I2465" s="3">
        <v>4096.29</v>
      </c>
      <c r="J2465" s="3">
        <v>4592.25</v>
      </c>
      <c r="K2465" s="3">
        <v>3591.5</v>
      </c>
      <c r="L2465" s="2">
        <v>1693912</v>
      </c>
      <c r="M2465" s="2">
        <v>6938752665.75</v>
      </c>
      <c r="N2465" s="2">
        <v>130235</v>
      </c>
      <c r="O2465" t="s">
        <v>25</v>
      </c>
    </row>
    <row r="2466" spans="1:15" x14ac:dyDescent="0.3">
      <c r="A2466" s="1">
        <v>45692</v>
      </c>
      <c r="B2466" t="s">
        <v>15</v>
      </c>
      <c r="C2466" s="3">
        <v>4083.7</v>
      </c>
      <c r="D2466" s="3">
        <v>4118.8500000000004</v>
      </c>
      <c r="E2466" s="3">
        <v>4066.05</v>
      </c>
      <c r="F2466" s="3">
        <v>4068.65</v>
      </c>
      <c r="G2466" s="3">
        <v>4105.1499999999996</v>
      </c>
      <c r="H2466" s="3">
        <v>4107.05</v>
      </c>
      <c r="I2466" s="3">
        <v>4098</v>
      </c>
      <c r="J2466" s="3">
        <v>4592.25</v>
      </c>
      <c r="K2466" s="3">
        <v>3591.5</v>
      </c>
      <c r="L2466" s="2">
        <v>2547132</v>
      </c>
      <c r="M2466" s="2">
        <v>10438141551.799999</v>
      </c>
      <c r="N2466" s="2">
        <v>141942</v>
      </c>
      <c r="O2466" t="s">
        <v>25</v>
      </c>
    </row>
    <row r="2467" spans="1:15" x14ac:dyDescent="0.3">
      <c r="A2467" s="1">
        <v>45691</v>
      </c>
      <c r="B2467" t="s">
        <v>15</v>
      </c>
      <c r="C2467" s="3">
        <v>4030.9</v>
      </c>
      <c r="D2467" s="3">
        <v>4077</v>
      </c>
      <c r="E2467" s="3">
        <v>3998.7</v>
      </c>
      <c r="F2467" s="3">
        <v>4073.15</v>
      </c>
      <c r="G2467" s="3">
        <v>4064</v>
      </c>
      <c r="H2467" s="3">
        <v>4068.65</v>
      </c>
      <c r="I2467" s="3">
        <v>4045.97</v>
      </c>
      <c r="J2467" s="3">
        <v>4592.25</v>
      </c>
      <c r="K2467" s="3">
        <v>3591.5</v>
      </c>
      <c r="L2467" s="2">
        <v>1265713</v>
      </c>
      <c r="M2467" s="2">
        <v>5121041211</v>
      </c>
      <c r="N2467" s="2">
        <v>155134</v>
      </c>
      <c r="O2467" t="s">
        <v>25</v>
      </c>
    </row>
    <row r="2468" spans="1:15" x14ac:dyDescent="0.3">
      <c r="A2468" s="1">
        <v>45689</v>
      </c>
      <c r="B2468" t="s">
        <v>15</v>
      </c>
      <c r="C2468" s="3">
        <v>4113</v>
      </c>
      <c r="D2468" s="3">
        <v>4135.8999999999996</v>
      </c>
      <c r="E2468" s="3">
        <v>4056</v>
      </c>
      <c r="F2468" s="3">
        <v>4112.3999999999996</v>
      </c>
      <c r="G2468" s="3">
        <v>4073</v>
      </c>
      <c r="H2468" s="3">
        <v>4073.15</v>
      </c>
      <c r="I2468" s="3">
        <v>4082.48</v>
      </c>
      <c r="J2468" s="3">
        <v>4592.25</v>
      </c>
      <c r="K2468" s="3">
        <v>3591.5</v>
      </c>
      <c r="L2468" s="2">
        <v>437172</v>
      </c>
      <c r="M2468" s="2">
        <v>1784747121.0999999</v>
      </c>
      <c r="N2468" s="2">
        <v>49186</v>
      </c>
      <c r="O2468" t="s">
        <v>25</v>
      </c>
    </row>
    <row r="2469" spans="1:15" x14ac:dyDescent="0.3">
      <c r="A2469" s="1">
        <v>45688</v>
      </c>
      <c r="B2469" t="s">
        <v>15</v>
      </c>
      <c r="C2469" s="3">
        <v>4110</v>
      </c>
      <c r="D2469" s="3">
        <v>4128.45</v>
      </c>
      <c r="E2469" s="3">
        <v>4085.25</v>
      </c>
      <c r="F2469" s="3">
        <v>4100.05</v>
      </c>
      <c r="G2469" s="3">
        <v>4114.1499999999996</v>
      </c>
      <c r="H2469" s="3">
        <v>4112.3999999999996</v>
      </c>
      <c r="I2469" s="3">
        <v>4106.05</v>
      </c>
      <c r="J2469" s="3">
        <v>4592.25</v>
      </c>
      <c r="K2469" s="3">
        <v>3591.5</v>
      </c>
      <c r="L2469" s="2">
        <v>1492943</v>
      </c>
      <c r="M2469" s="2">
        <v>6130103902.1999998</v>
      </c>
      <c r="N2469" s="2">
        <v>121858</v>
      </c>
      <c r="O2469" t="s">
        <v>25</v>
      </c>
    </row>
    <row r="2470" spans="1:15" x14ac:dyDescent="0.3">
      <c r="A2470" s="1">
        <v>45687</v>
      </c>
      <c r="B2470" t="s">
        <v>15</v>
      </c>
      <c r="C2470" s="3">
        <v>4099.8999999999996</v>
      </c>
      <c r="D2470" s="3">
        <v>4129.8999999999996</v>
      </c>
      <c r="E2470" s="3">
        <v>4058.5</v>
      </c>
      <c r="F2470" s="3">
        <v>4099.8</v>
      </c>
      <c r="G2470" s="3">
        <v>4100</v>
      </c>
      <c r="H2470" s="3">
        <v>4100.05</v>
      </c>
      <c r="I2470" s="3">
        <v>4098.87</v>
      </c>
      <c r="J2470" s="3">
        <v>4592.25</v>
      </c>
      <c r="K2470" s="3">
        <v>3591.5</v>
      </c>
      <c r="L2470" s="2">
        <v>1531251</v>
      </c>
      <c r="M2470" s="2">
        <v>6276404777.8999996</v>
      </c>
      <c r="N2470" s="2">
        <v>97767</v>
      </c>
      <c r="O2470" t="s">
        <v>25</v>
      </c>
    </row>
    <row r="2471" spans="1:15" x14ac:dyDescent="0.3">
      <c r="A2471" s="1">
        <v>45686</v>
      </c>
      <c r="B2471" t="s">
        <v>15</v>
      </c>
      <c r="C2471" s="3">
        <v>4054</v>
      </c>
      <c r="D2471" s="3">
        <v>4107.8500000000004</v>
      </c>
      <c r="E2471" s="3">
        <v>4054</v>
      </c>
      <c r="F2471" s="3">
        <v>4040.3</v>
      </c>
      <c r="G2471" s="3">
        <v>4105</v>
      </c>
      <c r="H2471" s="3">
        <v>4099.8</v>
      </c>
      <c r="I2471" s="3">
        <v>4091.12</v>
      </c>
      <c r="J2471" s="3">
        <v>4592.25</v>
      </c>
      <c r="K2471" s="3">
        <v>3591.5</v>
      </c>
      <c r="L2471" s="2">
        <v>1217089</v>
      </c>
      <c r="M2471" s="2">
        <v>4979253773</v>
      </c>
      <c r="N2471" s="2">
        <v>108284</v>
      </c>
      <c r="O2471" t="s">
        <v>25</v>
      </c>
    </row>
    <row r="2472" spans="1:15" x14ac:dyDescent="0.3">
      <c r="A2472" s="1">
        <v>45685</v>
      </c>
      <c r="B2472" t="s">
        <v>15</v>
      </c>
      <c r="C2472" s="3">
        <v>4070.8</v>
      </c>
      <c r="D2472" s="3">
        <v>4102</v>
      </c>
      <c r="E2472" s="3">
        <v>4028.3</v>
      </c>
      <c r="F2472" s="3">
        <v>4065.15</v>
      </c>
      <c r="G2472" s="3">
        <v>4040</v>
      </c>
      <c r="H2472" s="3">
        <v>4040.3</v>
      </c>
      <c r="I2472" s="3">
        <v>4057.3</v>
      </c>
      <c r="J2472" s="3">
        <v>4592.25</v>
      </c>
      <c r="K2472" s="3">
        <v>3591.5</v>
      </c>
      <c r="L2472" s="2">
        <v>2468272</v>
      </c>
      <c r="M2472" s="2">
        <v>10014514674.15</v>
      </c>
      <c r="N2472" s="2">
        <v>150121</v>
      </c>
      <c r="O2472" t="s">
        <v>25</v>
      </c>
    </row>
    <row r="2473" spans="1:15" x14ac:dyDescent="0.3">
      <c r="A2473" s="1">
        <v>45684</v>
      </c>
      <c r="B2473" t="s">
        <v>15</v>
      </c>
      <c r="C2473" s="3">
        <v>4102</v>
      </c>
      <c r="D2473" s="3">
        <v>4156.3500000000004</v>
      </c>
      <c r="E2473" s="3">
        <v>4041.05</v>
      </c>
      <c r="F2473" s="3">
        <v>4152.3500000000004</v>
      </c>
      <c r="G2473" s="3">
        <v>4067</v>
      </c>
      <c r="H2473" s="3">
        <v>4065.15</v>
      </c>
      <c r="I2473" s="3">
        <v>4088.62</v>
      </c>
      <c r="J2473" s="3">
        <v>4592.25</v>
      </c>
      <c r="K2473" s="3">
        <v>3591.5</v>
      </c>
      <c r="L2473" s="2">
        <v>1551782</v>
      </c>
      <c r="M2473" s="2">
        <v>6344644149.25</v>
      </c>
      <c r="N2473" s="2">
        <v>143859</v>
      </c>
      <c r="O2473" t="s">
        <v>25</v>
      </c>
    </row>
    <row r="2474" spans="1:15" x14ac:dyDescent="0.3">
      <c r="A2474" s="1">
        <v>45681</v>
      </c>
      <c r="B2474" t="s">
        <v>15</v>
      </c>
      <c r="C2474" s="3">
        <v>4104</v>
      </c>
      <c r="D2474" s="3">
        <v>4178</v>
      </c>
      <c r="E2474" s="3">
        <v>4104</v>
      </c>
      <c r="F2474" s="3">
        <v>4145.45</v>
      </c>
      <c r="G2474" s="3">
        <v>4153.1000000000004</v>
      </c>
      <c r="H2474" s="3">
        <v>4152.3500000000004</v>
      </c>
      <c r="I2474" s="3">
        <v>4155.62</v>
      </c>
      <c r="J2474" s="3">
        <v>4592.25</v>
      </c>
      <c r="K2474" s="3">
        <v>3591.5</v>
      </c>
      <c r="L2474" s="2">
        <v>1910099</v>
      </c>
      <c r="M2474" s="2">
        <v>7937640859.1999998</v>
      </c>
      <c r="N2474" s="2">
        <v>99760</v>
      </c>
      <c r="O2474" t="s">
        <v>25</v>
      </c>
    </row>
    <row r="2475" spans="1:15" x14ac:dyDescent="0.3">
      <c r="A2475" s="1">
        <v>45680</v>
      </c>
      <c r="B2475" t="s">
        <v>15</v>
      </c>
      <c r="C2475" s="3">
        <v>4168</v>
      </c>
      <c r="D2475" s="3">
        <v>4191.3500000000004</v>
      </c>
      <c r="E2475" s="3">
        <v>4140.05</v>
      </c>
      <c r="F2475" s="3">
        <v>4156.6000000000004</v>
      </c>
      <c r="G2475" s="3">
        <v>4148</v>
      </c>
      <c r="H2475" s="3">
        <v>4145.45</v>
      </c>
      <c r="I2475" s="3">
        <v>4161.12</v>
      </c>
      <c r="J2475" s="3">
        <v>4592.25</v>
      </c>
      <c r="K2475" s="3">
        <v>3591.5</v>
      </c>
      <c r="L2475" s="2">
        <v>1822998</v>
      </c>
      <c r="M2475" s="2">
        <v>7585718475.3999996</v>
      </c>
      <c r="N2475" s="2">
        <v>139860</v>
      </c>
      <c r="O2475" t="s">
        <v>25</v>
      </c>
    </row>
    <row r="2476" spans="1:15" x14ac:dyDescent="0.3">
      <c r="A2476" s="1">
        <v>45679</v>
      </c>
      <c r="B2476" t="s">
        <v>15</v>
      </c>
      <c r="C2476" s="3">
        <v>4050</v>
      </c>
      <c r="D2476" s="3">
        <v>4163.1499999999996</v>
      </c>
      <c r="E2476" s="3">
        <v>4044.2</v>
      </c>
      <c r="F2476" s="3">
        <v>4035.85</v>
      </c>
      <c r="G2476" s="3">
        <v>4152</v>
      </c>
      <c r="H2476" s="3">
        <v>4156.6000000000004</v>
      </c>
      <c r="I2476" s="3">
        <v>4132.4799999999996</v>
      </c>
      <c r="J2476" s="3">
        <v>4592.25</v>
      </c>
      <c r="K2476" s="3">
        <v>3591.5</v>
      </c>
      <c r="L2476" s="2">
        <v>2409223</v>
      </c>
      <c r="M2476" s="2">
        <v>9956065096.7000008</v>
      </c>
      <c r="N2476" s="2">
        <v>153702</v>
      </c>
      <c r="O2476" t="s">
        <v>25</v>
      </c>
    </row>
    <row r="2477" spans="1:15" x14ac:dyDescent="0.3">
      <c r="A2477" s="1">
        <v>45678</v>
      </c>
      <c r="B2477" t="s">
        <v>15</v>
      </c>
      <c r="C2477" s="3">
        <v>4095.3</v>
      </c>
      <c r="D2477" s="3">
        <v>4111</v>
      </c>
      <c r="E2477" s="3">
        <v>4030</v>
      </c>
      <c r="F2477" s="3">
        <v>4077.8</v>
      </c>
      <c r="G2477" s="3">
        <v>4038</v>
      </c>
      <c r="H2477" s="3">
        <v>4035.85</v>
      </c>
      <c r="I2477" s="3">
        <v>4065.27</v>
      </c>
      <c r="J2477" s="3">
        <v>4592.25</v>
      </c>
      <c r="K2477" s="3">
        <v>3591.5</v>
      </c>
      <c r="L2477" s="2">
        <v>1971591</v>
      </c>
      <c r="M2477" s="2">
        <v>8015045148</v>
      </c>
      <c r="N2477" s="2">
        <v>148666</v>
      </c>
      <c r="O2477" t="s">
        <v>25</v>
      </c>
    </row>
    <row r="2478" spans="1:15" x14ac:dyDescent="0.3">
      <c r="A2478" s="1">
        <v>45677</v>
      </c>
      <c r="B2478" t="s">
        <v>15</v>
      </c>
      <c r="C2478" s="3">
        <v>4145.8</v>
      </c>
      <c r="D2478" s="3">
        <v>4145.8</v>
      </c>
      <c r="E2478" s="3">
        <v>4068.1</v>
      </c>
      <c r="F2478" s="3">
        <v>4124.3</v>
      </c>
      <c r="G2478" s="3">
        <v>4080</v>
      </c>
      <c r="H2478" s="3">
        <v>4077.8</v>
      </c>
      <c r="I2478" s="3">
        <v>4085.51</v>
      </c>
      <c r="J2478" s="3">
        <v>4592.25</v>
      </c>
      <c r="K2478" s="3">
        <v>3591.5</v>
      </c>
      <c r="L2478" s="2">
        <v>1287799</v>
      </c>
      <c r="M2478" s="2">
        <v>5261320398.8000002</v>
      </c>
      <c r="N2478" s="2">
        <v>148489</v>
      </c>
      <c r="O2478" t="s">
        <v>25</v>
      </c>
    </row>
    <row r="2479" spans="1:15" x14ac:dyDescent="0.3">
      <c r="A2479" s="1">
        <v>45674</v>
      </c>
      <c r="B2479" t="s">
        <v>15</v>
      </c>
      <c r="C2479" s="3">
        <v>4159.8999999999996</v>
      </c>
      <c r="D2479" s="3">
        <v>4160.6000000000004</v>
      </c>
      <c r="E2479" s="3">
        <v>4100.05</v>
      </c>
      <c r="F2479" s="3">
        <v>4206.3</v>
      </c>
      <c r="G2479" s="3">
        <v>4130</v>
      </c>
      <c r="H2479" s="3">
        <v>4124.3</v>
      </c>
      <c r="I2479" s="3">
        <v>4132.6000000000004</v>
      </c>
      <c r="J2479" s="3">
        <v>4592.25</v>
      </c>
      <c r="K2479" s="3">
        <v>3591.5</v>
      </c>
      <c r="L2479" s="2">
        <v>1761466</v>
      </c>
      <c r="M2479" s="2">
        <v>7279436408.25</v>
      </c>
      <c r="N2479" s="2">
        <v>157671</v>
      </c>
      <c r="O2479" t="s">
        <v>25</v>
      </c>
    </row>
    <row r="2480" spans="1:15" x14ac:dyDescent="0.3">
      <c r="A2480" s="1">
        <v>45673</v>
      </c>
      <c r="B2480" t="s">
        <v>15</v>
      </c>
      <c r="C2480" s="3">
        <v>4260</v>
      </c>
      <c r="D2480" s="3">
        <v>4294</v>
      </c>
      <c r="E2480" s="3">
        <v>4191.8500000000004</v>
      </c>
      <c r="F2480" s="3">
        <v>4249.6000000000004</v>
      </c>
      <c r="G2480" s="3">
        <v>4215</v>
      </c>
      <c r="H2480" s="3">
        <v>4206.3</v>
      </c>
      <c r="I2480" s="3">
        <v>4212.91</v>
      </c>
      <c r="J2480" s="3">
        <v>4592.25</v>
      </c>
      <c r="K2480" s="3">
        <v>3591.5</v>
      </c>
      <c r="L2480" s="2">
        <v>2637705</v>
      </c>
      <c r="M2480" s="2">
        <v>11112418871.4</v>
      </c>
      <c r="N2480" s="2">
        <v>176306</v>
      </c>
      <c r="O2480" t="s">
        <v>25</v>
      </c>
    </row>
    <row r="2481" spans="1:15" x14ac:dyDescent="0.3">
      <c r="A2481" s="1">
        <v>45672</v>
      </c>
      <c r="B2481" t="s">
        <v>15</v>
      </c>
      <c r="C2481" s="3">
        <v>4218</v>
      </c>
      <c r="D2481" s="3">
        <v>4256.45</v>
      </c>
      <c r="E2481" s="3">
        <v>4207.45</v>
      </c>
      <c r="F2481" s="3">
        <v>4233.05</v>
      </c>
      <c r="G2481" s="3">
        <v>4255.3999999999996</v>
      </c>
      <c r="H2481" s="3">
        <v>4249.6000000000004</v>
      </c>
      <c r="I2481" s="3">
        <v>4229.68</v>
      </c>
      <c r="J2481" s="3">
        <v>4592.25</v>
      </c>
      <c r="K2481" s="3">
        <v>3591.5</v>
      </c>
      <c r="L2481" s="2">
        <v>1653474</v>
      </c>
      <c r="M2481" s="2">
        <v>6993667215.6000004</v>
      </c>
      <c r="N2481" s="2">
        <v>130857</v>
      </c>
      <c r="O2481" t="s">
        <v>25</v>
      </c>
    </row>
    <row r="2482" spans="1:15" x14ac:dyDescent="0.3">
      <c r="A2482" s="1">
        <v>45671</v>
      </c>
      <c r="B2482" t="s">
        <v>15</v>
      </c>
      <c r="C2482" s="3">
        <v>4302</v>
      </c>
      <c r="D2482" s="3">
        <v>4313.8999999999996</v>
      </c>
      <c r="E2482" s="3">
        <v>4219.05</v>
      </c>
      <c r="F2482" s="3">
        <v>4291.1000000000004</v>
      </c>
      <c r="G2482" s="3">
        <v>4241.1499999999996</v>
      </c>
      <c r="H2482" s="3">
        <v>4233.05</v>
      </c>
      <c r="I2482" s="3">
        <v>4252.0600000000004</v>
      </c>
      <c r="J2482" s="3">
        <v>4592.25</v>
      </c>
      <c r="K2482" s="3">
        <v>3591.5</v>
      </c>
      <c r="L2482" s="2">
        <v>3441709</v>
      </c>
      <c r="M2482" s="2">
        <v>14634369218.5</v>
      </c>
      <c r="N2482" s="2">
        <v>180842</v>
      </c>
      <c r="O2482" t="s">
        <v>25</v>
      </c>
    </row>
    <row r="2483" spans="1:15" x14ac:dyDescent="0.3">
      <c r="A2483" s="1">
        <v>45670</v>
      </c>
      <c r="B2483" t="s">
        <v>15</v>
      </c>
      <c r="C2483" s="3">
        <v>4245</v>
      </c>
      <c r="D2483" s="3">
        <v>4322.95</v>
      </c>
      <c r="E2483" s="3">
        <v>4227.3999999999996</v>
      </c>
      <c r="F2483" s="3">
        <v>4265.6499999999996</v>
      </c>
      <c r="G2483" s="3">
        <v>4299</v>
      </c>
      <c r="H2483" s="3">
        <v>4291.1000000000004</v>
      </c>
      <c r="I2483" s="3">
        <v>4294.04</v>
      </c>
      <c r="J2483" s="3">
        <v>4592.25</v>
      </c>
      <c r="K2483" s="3">
        <v>3591.5</v>
      </c>
      <c r="L2483" s="2">
        <v>4003771</v>
      </c>
      <c r="M2483" s="2">
        <v>17192353666.25</v>
      </c>
      <c r="N2483" s="2">
        <v>270932</v>
      </c>
      <c r="O2483" t="s">
        <v>25</v>
      </c>
    </row>
    <row r="2484" spans="1:15" x14ac:dyDescent="0.3">
      <c r="A2484" s="1">
        <v>45667</v>
      </c>
      <c r="B2484" t="s">
        <v>15</v>
      </c>
      <c r="C2484" s="3">
        <v>4200</v>
      </c>
      <c r="D2484" s="3">
        <v>4297</v>
      </c>
      <c r="E2484" s="3">
        <v>4170</v>
      </c>
      <c r="F2484" s="3">
        <v>4038.85</v>
      </c>
      <c r="G2484" s="3">
        <v>4265</v>
      </c>
      <c r="H2484" s="3">
        <v>4265.6499999999996</v>
      </c>
      <c r="I2484" s="3">
        <v>4240.63</v>
      </c>
      <c r="J2484" s="3">
        <v>4592.25</v>
      </c>
      <c r="K2484" s="3">
        <v>3591.5</v>
      </c>
      <c r="L2484" s="2">
        <v>7894300</v>
      </c>
      <c r="M2484" s="2">
        <v>33476809439.650002</v>
      </c>
      <c r="N2484" s="2">
        <v>436975</v>
      </c>
      <c r="O2484" t="s">
        <v>25</v>
      </c>
    </row>
    <row r="2485" spans="1:15" x14ac:dyDescent="0.3">
      <c r="A2485" s="1">
        <v>45666</v>
      </c>
      <c r="B2485" t="s">
        <v>15</v>
      </c>
      <c r="C2485" s="3">
        <v>4101</v>
      </c>
      <c r="D2485" s="3">
        <v>4137.75</v>
      </c>
      <c r="E2485" s="3">
        <v>4025.3</v>
      </c>
      <c r="F2485" s="3">
        <v>4108.3999999999996</v>
      </c>
      <c r="G2485" s="3">
        <v>4044</v>
      </c>
      <c r="H2485" s="3">
        <v>4038.85</v>
      </c>
      <c r="I2485" s="3">
        <v>4073.67</v>
      </c>
      <c r="J2485" s="3">
        <v>4592.25</v>
      </c>
      <c r="K2485" s="3">
        <v>3591.5</v>
      </c>
      <c r="L2485" s="2">
        <v>2392472</v>
      </c>
      <c r="M2485" s="2">
        <v>9746149398.3500004</v>
      </c>
      <c r="N2485" s="2">
        <v>183446</v>
      </c>
      <c r="O2485" t="s">
        <v>25</v>
      </c>
    </row>
    <row r="2486" spans="1:15" x14ac:dyDescent="0.3">
      <c r="A2486" s="1">
        <v>45665</v>
      </c>
      <c r="B2486" t="s">
        <v>15</v>
      </c>
      <c r="C2486" s="3">
        <v>4034.9</v>
      </c>
      <c r="D2486" s="3">
        <v>4126</v>
      </c>
      <c r="E2486" s="3">
        <v>4017.75</v>
      </c>
      <c r="F2486" s="3">
        <v>4028.3</v>
      </c>
      <c r="G2486" s="3">
        <v>4095.05</v>
      </c>
      <c r="H2486" s="3">
        <v>4108.3999999999996</v>
      </c>
      <c r="I2486" s="3">
        <v>4056.18</v>
      </c>
      <c r="J2486" s="3">
        <v>4592.25</v>
      </c>
      <c r="K2486" s="3">
        <v>3591.5</v>
      </c>
      <c r="L2486" s="2">
        <v>2181277</v>
      </c>
      <c r="M2486" s="2">
        <v>8847652251.5</v>
      </c>
      <c r="N2486" s="2">
        <v>180073</v>
      </c>
      <c r="O2486" t="s">
        <v>25</v>
      </c>
    </row>
    <row r="2487" spans="1:15" x14ac:dyDescent="0.3">
      <c r="A2487" s="1">
        <v>45664</v>
      </c>
      <c r="B2487" t="s">
        <v>15</v>
      </c>
      <c r="C2487" s="3">
        <v>4114.95</v>
      </c>
      <c r="D2487" s="3">
        <v>4140.3500000000004</v>
      </c>
      <c r="E2487" s="3">
        <v>4011.55</v>
      </c>
      <c r="F2487" s="3">
        <v>4095</v>
      </c>
      <c r="G2487" s="3">
        <v>4031</v>
      </c>
      <c r="H2487" s="3">
        <v>4028.3</v>
      </c>
      <c r="I2487" s="3">
        <v>4045.86</v>
      </c>
      <c r="J2487" s="3">
        <v>4592.25</v>
      </c>
      <c r="K2487" s="3">
        <v>3591.5</v>
      </c>
      <c r="L2487" s="2">
        <v>2669054</v>
      </c>
      <c r="M2487" s="2">
        <v>10798629271.200001</v>
      </c>
      <c r="N2487" s="2">
        <v>177825</v>
      </c>
      <c r="O2487" t="s">
        <v>25</v>
      </c>
    </row>
    <row r="2488" spans="1:15" x14ac:dyDescent="0.3">
      <c r="A2488" s="1">
        <v>45663</v>
      </c>
      <c r="B2488" t="s">
        <v>15</v>
      </c>
      <c r="C2488" s="3">
        <v>4105.5</v>
      </c>
      <c r="D2488" s="3">
        <v>4149.6499999999996</v>
      </c>
      <c r="E2488" s="3">
        <v>4066.4</v>
      </c>
      <c r="F2488" s="3">
        <v>4099.8999999999996</v>
      </c>
      <c r="G2488" s="3">
        <v>4090</v>
      </c>
      <c r="H2488" s="3">
        <v>4095</v>
      </c>
      <c r="I2488" s="3">
        <v>4107.1400000000003</v>
      </c>
      <c r="J2488" s="3">
        <v>4592.25</v>
      </c>
      <c r="K2488" s="3">
        <v>3591.5</v>
      </c>
      <c r="L2488" s="2">
        <v>2085593</v>
      </c>
      <c r="M2488" s="2">
        <v>8565822653.6999998</v>
      </c>
      <c r="N2488" s="2">
        <v>158660</v>
      </c>
      <c r="O2488" t="s">
        <v>25</v>
      </c>
    </row>
    <row r="2489" spans="1:15" x14ac:dyDescent="0.3">
      <c r="A2489" s="1">
        <v>45660</v>
      </c>
      <c r="B2489" t="s">
        <v>15</v>
      </c>
      <c r="C2489" s="3">
        <v>4179.95</v>
      </c>
      <c r="D2489" s="3">
        <v>4179.95</v>
      </c>
      <c r="E2489" s="3">
        <v>4092.3</v>
      </c>
      <c r="F2489" s="3">
        <v>4175.75</v>
      </c>
      <c r="G2489" s="3">
        <v>4097</v>
      </c>
      <c r="H2489" s="3">
        <v>4099.8999999999996</v>
      </c>
      <c r="I2489" s="3">
        <v>4114.17</v>
      </c>
      <c r="J2489" s="3">
        <v>4592.25</v>
      </c>
      <c r="K2489" s="3">
        <v>3591.5</v>
      </c>
      <c r="L2489" s="2">
        <v>1791953</v>
      </c>
      <c r="M2489" s="2">
        <v>7372404407.8500004</v>
      </c>
      <c r="N2489" s="2">
        <v>125354</v>
      </c>
      <c r="O2489" t="s">
        <v>25</v>
      </c>
    </row>
    <row r="2490" spans="1:15" x14ac:dyDescent="0.3">
      <c r="A2490" s="1">
        <v>45659</v>
      </c>
      <c r="B2490" t="s">
        <v>15</v>
      </c>
      <c r="C2490" s="3">
        <v>4120</v>
      </c>
      <c r="D2490" s="3">
        <v>4183</v>
      </c>
      <c r="E2490" s="3">
        <v>4096.95</v>
      </c>
      <c r="F2490" s="3">
        <v>4112.45</v>
      </c>
      <c r="G2490" s="3">
        <v>4166</v>
      </c>
      <c r="H2490" s="3">
        <v>4175.75</v>
      </c>
      <c r="I2490" s="3">
        <v>4159.7700000000004</v>
      </c>
      <c r="J2490" s="3">
        <v>4592.25</v>
      </c>
      <c r="K2490" s="3">
        <v>3591.5</v>
      </c>
      <c r="L2490" s="2">
        <v>1720835</v>
      </c>
      <c r="M2490" s="2">
        <v>7158273705.25</v>
      </c>
      <c r="N2490" s="2">
        <v>124549</v>
      </c>
      <c r="O2490" t="s">
        <v>25</v>
      </c>
    </row>
    <row r="2491" spans="1:15" x14ac:dyDescent="0.3">
      <c r="A2491" s="1">
        <v>45658</v>
      </c>
      <c r="B2491" t="s">
        <v>15</v>
      </c>
      <c r="C2491" s="3">
        <v>4094.4</v>
      </c>
      <c r="D2491" s="3">
        <v>4134</v>
      </c>
      <c r="E2491" s="3">
        <v>4085.45</v>
      </c>
      <c r="F2491" s="3">
        <v>4094.8</v>
      </c>
      <c r="G2491" s="3">
        <v>4112</v>
      </c>
      <c r="H2491" s="3">
        <v>4112.45</v>
      </c>
      <c r="I2491" s="3">
        <v>4112.75</v>
      </c>
      <c r="J2491" s="3">
        <v>4592.25</v>
      </c>
      <c r="K2491" s="3">
        <v>3591.5</v>
      </c>
      <c r="L2491" s="2">
        <v>763161</v>
      </c>
      <c r="M2491" s="2">
        <v>3138692117.1500001</v>
      </c>
      <c r="N2491" s="2">
        <v>99498</v>
      </c>
      <c r="O2491"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367A-22CB-4B5A-B14E-036457EF9A56}">
  <dimension ref="A1:T2491"/>
  <sheetViews>
    <sheetView topLeftCell="D2465" workbookViewId="0">
      <selection sqref="A1:T2491"/>
    </sheetView>
  </sheetViews>
  <sheetFormatPr defaultRowHeight="14.4" x14ac:dyDescent="0.3"/>
  <cols>
    <col min="1" max="1" width="10.33203125" style="1" bestFit="1" customWidth="1"/>
    <col min="3" max="5" width="10.109375" style="3" bestFit="1" customWidth="1"/>
    <col min="6" max="6" width="12.44140625" style="3" bestFit="1" customWidth="1"/>
    <col min="7" max="11" width="10.109375" style="3" bestFit="1" customWidth="1"/>
    <col min="12" max="12" width="12.5546875" style="2" bestFit="1" customWidth="1"/>
    <col min="13" max="13" width="15.6640625" style="2" bestFit="1" customWidth="1"/>
    <col min="14" max="14" width="14.109375" style="2" bestFit="1" customWidth="1"/>
    <col min="15" max="15" width="12.44140625" bestFit="1" customWidth="1"/>
    <col min="16" max="16" width="11.6640625" bestFit="1" customWidth="1"/>
    <col min="17" max="17" width="10.5546875" bestFit="1" customWidth="1"/>
    <col min="18" max="18" width="10.6640625" bestFit="1" customWidth="1"/>
    <col min="19" max="19" width="11.6640625" bestFit="1" customWidth="1"/>
    <col min="20" max="20" width="17.5546875" style="9" bestFit="1" customWidth="1"/>
  </cols>
  <sheetData>
    <row r="1" spans="1:20" x14ac:dyDescent="0.3">
      <c r="A1" s="1" t="s">
        <v>0</v>
      </c>
      <c r="B1" t="s">
        <v>1</v>
      </c>
      <c r="C1" s="3" t="s">
        <v>2</v>
      </c>
      <c r="D1" s="3" t="s">
        <v>3</v>
      </c>
      <c r="E1" s="3" t="s">
        <v>4</v>
      </c>
      <c r="F1" s="3" t="s">
        <v>11</v>
      </c>
      <c r="G1" s="3" t="s">
        <v>5</v>
      </c>
      <c r="H1" s="3" t="s">
        <v>6</v>
      </c>
      <c r="I1" s="3" t="s">
        <v>7</v>
      </c>
      <c r="J1" s="3" t="s">
        <v>12</v>
      </c>
      <c r="K1" s="3" t="s">
        <v>13</v>
      </c>
      <c r="L1" s="2" t="s">
        <v>8</v>
      </c>
      <c r="M1" s="2" t="s">
        <v>9</v>
      </c>
      <c r="N1" s="2" t="s">
        <v>14</v>
      </c>
      <c r="O1" t="s">
        <v>10</v>
      </c>
      <c r="P1" s="2" t="s">
        <v>26</v>
      </c>
      <c r="Q1" s="2" t="s">
        <v>34</v>
      </c>
      <c r="R1" t="s">
        <v>35</v>
      </c>
      <c r="S1" t="s">
        <v>36</v>
      </c>
      <c r="T1" s="9" t="s">
        <v>43</v>
      </c>
    </row>
    <row r="2" spans="1:20" x14ac:dyDescent="0.3">
      <c r="A2" s="1">
        <v>46022</v>
      </c>
      <c r="B2" t="s">
        <v>15</v>
      </c>
      <c r="C2" s="3">
        <v>2096</v>
      </c>
      <c r="D2" s="3">
        <v>2121</v>
      </c>
      <c r="E2" s="3">
        <v>2090.1</v>
      </c>
      <c r="F2" s="3">
        <v>2099.8000000000002</v>
      </c>
      <c r="G2" s="3">
        <v>2107</v>
      </c>
      <c r="H2" s="3">
        <v>2105.6</v>
      </c>
      <c r="I2" s="3">
        <v>2105.46</v>
      </c>
      <c r="J2" s="3">
        <v>2174.5</v>
      </c>
      <c r="K2" s="3">
        <v>1559.5</v>
      </c>
      <c r="L2" s="2">
        <v>2991434</v>
      </c>
      <c r="M2" s="2">
        <v>6298336696.3000002</v>
      </c>
      <c r="N2" s="2">
        <v>129671</v>
      </c>
      <c r="O2" t="s">
        <v>16</v>
      </c>
      <c r="P2" s="8">
        <f>F2-C2</f>
        <v>3.8000000000001819</v>
      </c>
      <c r="Q2" t="s">
        <v>37</v>
      </c>
      <c r="R2">
        <f>MONTH(A2)</f>
        <v>12</v>
      </c>
      <c r="S2" t="str">
        <f>TEXT(A2,"mmm")</f>
        <v>Dec</v>
      </c>
      <c r="T2" s="9">
        <f>VLOOKUP(O2, Annual_Summary!A:B, 2, 0)</f>
        <v>0.31954628062919088</v>
      </c>
    </row>
    <row r="3" spans="1:20" x14ac:dyDescent="0.3">
      <c r="A3" s="1">
        <v>46021</v>
      </c>
      <c r="B3" t="s">
        <v>15</v>
      </c>
      <c r="C3" s="3">
        <v>2077</v>
      </c>
      <c r="D3" s="3">
        <v>2102.8000000000002</v>
      </c>
      <c r="E3" s="3">
        <v>2071.6</v>
      </c>
      <c r="F3" s="3">
        <v>2081.6</v>
      </c>
      <c r="G3" s="3">
        <v>2099.4</v>
      </c>
      <c r="H3" s="3">
        <v>2099.8000000000002</v>
      </c>
      <c r="I3" s="3">
        <v>2098.35</v>
      </c>
      <c r="J3" s="3">
        <v>2174.5</v>
      </c>
      <c r="K3" s="3">
        <v>1559.5</v>
      </c>
      <c r="L3" s="2">
        <v>6983390</v>
      </c>
      <c r="M3" s="2">
        <v>14653574322.6</v>
      </c>
      <c r="N3" s="2">
        <v>173712</v>
      </c>
      <c r="O3" t="s">
        <v>16</v>
      </c>
      <c r="P3" s="8">
        <f t="shared" ref="P3:P66" si="0">F3-C3</f>
        <v>4.5999999999999091</v>
      </c>
      <c r="Q3" t="s">
        <v>37</v>
      </c>
      <c r="R3">
        <f t="shared" ref="R3:R66" si="1">MONTH(A3)</f>
        <v>12</v>
      </c>
      <c r="S3" t="str">
        <f t="shared" ref="S3:S66" si="2">TEXT(A3,"mmm")</f>
        <v>Dec</v>
      </c>
      <c r="T3" s="9">
        <f>VLOOKUP(O3, Annual_Summary!A:B, 2, 0)</f>
        <v>0.31954628062919088</v>
      </c>
    </row>
    <row r="4" spans="1:20" x14ac:dyDescent="0.3">
      <c r="A4" s="1">
        <v>46020</v>
      </c>
      <c r="B4" t="s">
        <v>15</v>
      </c>
      <c r="C4" s="3">
        <v>2105.4</v>
      </c>
      <c r="D4" s="3">
        <v>2112.6999999999998</v>
      </c>
      <c r="E4" s="3">
        <v>2079.4</v>
      </c>
      <c r="F4" s="3">
        <v>2105.4</v>
      </c>
      <c r="G4" s="3">
        <v>2081.4</v>
      </c>
      <c r="H4" s="3">
        <v>2081.6</v>
      </c>
      <c r="I4" s="3">
        <v>2089.02</v>
      </c>
      <c r="J4" s="3">
        <v>2174.5</v>
      </c>
      <c r="K4" s="3">
        <v>1559.5</v>
      </c>
      <c r="L4" s="2">
        <v>2371034</v>
      </c>
      <c r="M4" s="2">
        <v>4953136389.3999996</v>
      </c>
      <c r="N4" s="2">
        <v>129894</v>
      </c>
      <c r="O4" t="s">
        <v>16</v>
      </c>
      <c r="P4" s="8">
        <f t="shared" si="0"/>
        <v>0</v>
      </c>
      <c r="Q4" t="s">
        <v>37</v>
      </c>
      <c r="R4">
        <f t="shared" si="1"/>
        <v>12</v>
      </c>
      <c r="S4" t="str">
        <f t="shared" si="2"/>
        <v>Dec</v>
      </c>
      <c r="T4" s="9">
        <f>VLOOKUP(O4, Annual_Summary!A:B, 2, 0)</f>
        <v>0.31954628062919088</v>
      </c>
    </row>
    <row r="5" spans="1:20" x14ac:dyDescent="0.3">
      <c r="A5" s="1">
        <v>46017</v>
      </c>
      <c r="B5" t="s">
        <v>15</v>
      </c>
      <c r="C5" s="3">
        <v>2123</v>
      </c>
      <c r="D5" s="3">
        <v>2123</v>
      </c>
      <c r="E5" s="3">
        <v>2101.8000000000002</v>
      </c>
      <c r="F5" s="3">
        <v>2123.6999999999998</v>
      </c>
      <c r="G5" s="3">
        <v>2106</v>
      </c>
      <c r="H5" s="3">
        <v>2105.4</v>
      </c>
      <c r="I5" s="3">
        <v>2108.17</v>
      </c>
      <c r="J5" s="3">
        <v>2174.5</v>
      </c>
      <c r="K5" s="3">
        <v>1559.5</v>
      </c>
      <c r="L5" s="2">
        <v>1297870</v>
      </c>
      <c r="M5" s="2">
        <v>2736129285.1999998</v>
      </c>
      <c r="N5" s="2">
        <v>82211</v>
      </c>
      <c r="O5" t="s">
        <v>16</v>
      </c>
      <c r="P5" s="8">
        <f t="shared" si="0"/>
        <v>0.6999999999998181</v>
      </c>
      <c r="Q5" t="s">
        <v>37</v>
      </c>
      <c r="R5">
        <f t="shared" si="1"/>
        <v>12</v>
      </c>
      <c r="S5" t="str">
        <f t="shared" si="2"/>
        <v>Dec</v>
      </c>
      <c r="T5" s="9">
        <f>VLOOKUP(O5, Annual_Summary!A:B, 2, 0)</f>
        <v>0.31954628062919088</v>
      </c>
    </row>
    <row r="6" spans="1:20" x14ac:dyDescent="0.3">
      <c r="A6" s="1">
        <v>46015</v>
      </c>
      <c r="B6" t="s">
        <v>15</v>
      </c>
      <c r="C6" s="3">
        <v>2111</v>
      </c>
      <c r="D6" s="3">
        <v>2137.1999999999998</v>
      </c>
      <c r="E6" s="3">
        <v>2111</v>
      </c>
      <c r="F6" s="3">
        <v>2122.9</v>
      </c>
      <c r="G6" s="3">
        <v>2123.5</v>
      </c>
      <c r="H6" s="3">
        <v>2123.6999999999998</v>
      </c>
      <c r="I6" s="3">
        <v>2127.5</v>
      </c>
      <c r="J6" s="3">
        <v>2174.5</v>
      </c>
      <c r="K6" s="3">
        <v>1559.5</v>
      </c>
      <c r="L6" s="2">
        <v>3145464</v>
      </c>
      <c r="M6" s="2">
        <v>6691975445.3999996</v>
      </c>
      <c r="N6" s="2">
        <v>98425</v>
      </c>
      <c r="O6" t="s">
        <v>16</v>
      </c>
      <c r="P6" s="8">
        <f t="shared" si="0"/>
        <v>11.900000000000091</v>
      </c>
      <c r="Q6" t="s">
        <v>37</v>
      </c>
      <c r="R6">
        <f t="shared" si="1"/>
        <v>12</v>
      </c>
      <c r="S6" t="str">
        <f t="shared" si="2"/>
        <v>Dec</v>
      </c>
      <c r="T6" s="9">
        <f>VLOOKUP(O6, Annual_Summary!A:B, 2, 0)</f>
        <v>0.31954628062919088</v>
      </c>
    </row>
    <row r="7" spans="1:20" x14ac:dyDescent="0.3">
      <c r="A7" s="1">
        <v>46014</v>
      </c>
      <c r="B7" t="s">
        <v>15</v>
      </c>
      <c r="C7" s="3">
        <v>2157</v>
      </c>
      <c r="D7" s="3">
        <v>2164</v>
      </c>
      <c r="E7" s="3">
        <v>2119.1999999999998</v>
      </c>
      <c r="F7" s="3">
        <v>2147.6</v>
      </c>
      <c r="G7" s="3">
        <v>2123</v>
      </c>
      <c r="H7" s="3">
        <v>2122.9</v>
      </c>
      <c r="I7" s="3">
        <v>2128.23</v>
      </c>
      <c r="J7" s="3">
        <v>2174.5</v>
      </c>
      <c r="K7" s="3">
        <v>1559.5</v>
      </c>
      <c r="L7" s="2">
        <v>4110853</v>
      </c>
      <c r="M7" s="2">
        <v>8748834353.7999992</v>
      </c>
      <c r="N7" s="2">
        <v>154127</v>
      </c>
      <c r="O7" t="s">
        <v>16</v>
      </c>
      <c r="P7" s="8">
        <f t="shared" si="0"/>
        <v>-9.4000000000000909</v>
      </c>
      <c r="Q7" t="s">
        <v>37</v>
      </c>
      <c r="R7">
        <f t="shared" si="1"/>
        <v>12</v>
      </c>
      <c r="S7" t="str">
        <f t="shared" si="2"/>
        <v>Dec</v>
      </c>
      <c r="T7" s="9">
        <f>VLOOKUP(O7, Annual_Summary!A:B, 2, 0)</f>
        <v>0.31954628062919088</v>
      </c>
    </row>
    <row r="8" spans="1:20" x14ac:dyDescent="0.3">
      <c r="A8" s="1">
        <v>46013</v>
      </c>
      <c r="B8" t="s">
        <v>15</v>
      </c>
      <c r="C8" s="3">
        <v>2118</v>
      </c>
      <c r="D8" s="3">
        <v>2151.6999999999998</v>
      </c>
      <c r="E8" s="3">
        <v>2101.6999999999998</v>
      </c>
      <c r="F8" s="3">
        <v>2097.6999999999998</v>
      </c>
      <c r="G8" s="3">
        <v>2141.5</v>
      </c>
      <c r="H8" s="3">
        <v>2147.6</v>
      </c>
      <c r="I8" s="3">
        <v>2137.59</v>
      </c>
      <c r="J8" s="3">
        <v>2174.5</v>
      </c>
      <c r="K8" s="3">
        <v>1559.5</v>
      </c>
      <c r="L8" s="2">
        <v>7670853</v>
      </c>
      <c r="M8" s="2">
        <v>16397170359.700001</v>
      </c>
      <c r="N8" s="2">
        <v>236708</v>
      </c>
      <c r="O8" t="s">
        <v>16</v>
      </c>
      <c r="P8" s="8">
        <f t="shared" si="0"/>
        <v>-20.300000000000182</v>
      </c>
      <c r="Q8" t="s">
        <v>37</v>
      </c>
      <c r="R8">
        <f t="shared" si="1"/>
        <v>12</v>
      </c>
      <c r="S8" t="str">
        <f t="shared" si="2"/>
        <v>Dec</v>
      </c>
      <c r="T8" s="9">
        <f>VLOOKUP(O8, Annual_Summary!A:B, 2, 0)</f>
        <v>0.31954628062919088</v>
      </c>
    </row>
    <row r="9" spans="1:20" x14ac:dyDescent="0.3">
      <c r="A9" s="1">
        <v>46010</v>
      </c>
      <c r="B9" t="s">
        <v>15</v>
      </c>
      <c r="C9" s="3">
        <v>2113.9</v>
      </c>
      <c r="D9" s="3">
        <v>2115</v>
      </c>
      <c r="E9" s="3">
        <v>2082</v>
      </c>
      <c r="F9" s="3">
        <v>2092</v>
      </c>
      <c r="G9" s="3">
        <v>2090.9</v>
      </c>
      <c r="H9" s="3">
        <v>2097.6999999999998</v>
      </c>
      <c r="I9" s="3">
        <v>2095.2800000000002</v>
      </c>
      <c r="J9" s="3">
        <v>2174.5</v>
      </c>
      <c r="K9" s="3">
        <v>1559.5</v>
      </c>
      <c r="L9" s="2">
        <v>10127415</v>
      </c>
      <c r="M9" s="2">
        <v>21219798389.700001</v>
      </c>
      <c r="N9" s="2">
        <v>644521</v>
      </c>
      <c r="O9" t="s">
        <v>16</v>
      </c>
      <c r="P9" s="8">
        <f t="shared" si="0"/>
        <v>-21.900000000000091</v>
      </c>
      <c r="Q9" t="s">
        <v>37</v>
      </c>
      <c r="R9">
        <f t="shared" si="1"/>
        <v>12</v>
      </c>
      <c r="S9" t="str">
        <f t="shared" si="2"/>
        <v>Dec</v>
      </c>
      <c r="T9" s="9">
        <f>VLOOKUP(O9, Annual_Summary!A:B, 2, 0)</f>
        <v>0.31954628062919088</v>
      </c>
    </row>
    <row r="10" spans="1:20" x14ac:dyDescent="0.3">
      <c r="A10" s="1">
        <v>46009</v>
      </c>
      <c r="B10" t="s">
        <v>15</v>
      </c>
      <c r="C10" s="3">
        <v>2099</v>
      </c>
      <c r="D10" s="3">
        <v>2116.6</v>
      </c>
      <c r="E10" s="3">
        <v>2088.1</v>
      </c>
      <c r="F10" s="3">
        <v>2108</v>
      </c>
      <c r="G10" s="3">
        <v>2098.3000000000002</v>
      </c>
      <c r="H10" s="3">
        <v>2092</v>
      </c>
      <c r="I10" s="3">
        <v>2100.4899999999998</v>
      </c>
      <c r="J10" s="3">
        <v>2174.5</v>
      </c>
      <c r="K10" s="3">
        <v>1559.5</v>
      </c>
      <c r="L10" s="2">
        <v>3760341</v>
      </c>
      <c r="M10" s="2">
        <v>7898569012.8999996</v>
      </c>
      <c r="N10" s="2">
        <v>177440</v>
      </c>
      <c r="O10" t="s">
        <v>16</v>
      </c>
      <c r="P10" s="8">
        <f t="shared" si="0"/>
        <v>9</v>
      </c>
      <c r="Q10" t="s">
        <v>37</v>
      </c>
      <c r="R10">
        <f t="shared" si="1"/>
        <v>12</v>
      </c>
      <c r="S10" t="str">
        <f t="shared" si="2"/>
        <v>Dec</v>
      </c>
      <c r="T10" s="9">
        <f>VLOOKUP(O10, Annual_Summary!A:B, 2, 0)</f>
        <v>0.31954628062919088</v>
      </c>
    </row>
    <row r="11" spans="1:20" x14ac:dyDescent="0.3">
      <c r="A11" s="1">
        <v>46008</v>
      </c>
      <c r="B11" t="s">
        <v>15</v>
      </c>
      <c r="C11" s="3">
        <v>2117.6</v>
      </c>
      <c r="D11" s="3">
        <v>2128</v>
      </c>
      <c r="E11" s="3">
        <v>2096.4</v>
      </c>
      <c r="F11" s="3">
        <v>2102</v>
      </c>
      <c r="G11" s="3">
        <v>2109</v>
      </c>
      <c r="H11" s="3">
        <v>2108</v>
      </c>
      <c r="I11" s="3">
        <v>2106.48</v>
      </c>
      <c r="J11" s="3">
        <v>2174.5</v>
      </c>
      <c r="K11" s="3">
        <v>1559.5</v>
      </c>
      <c r="L11" s="2">
        <v>6412516</v>
      </c>
      <c r="M11" s="2">
        <v>13507842168</v>
      </c>
      <c r="N11" s="2">
        <v>176177</v>
      </c>
      <c r="O11" t="s">
        <v>16</v>
      </c>
      <c r="P11" s="8">
        <f t="shared" si="0"/>
        <v>-15.599999999999909</v>
      </c>
      <c r="Q11" t="s">
        <v>37</v>
      </c>
      <c r="R11">
        <f t="shared" si="1"/>
        <v>12</v>
      </c>
      <c r="S11" t="str">
        <f t="shared" si="2"/>
        <v>Dec</v>
      </c>
      <c r="T11" s="9">
        <f>VLOOKUP(O11, Annual_Summary!A:B, 2, 0)</f>
        <v>0.31954628062919088</v>
      </c>
    </row>
    <row r="12" spans="1:20" x14ac:dyDescent="0.3">
      <c r="A12" s="1">
        <v>46007</v>
      </c>
      <c r="B12" t="s">
        <v>15</v>
      </c>
      <c r="C12" s="3">
        <v>2070.1</v>
      </c>
      <c r="D12" s="3">
        <v>2106.6</v>
      </c>
      <c r="E12" s="3">
        <v>2070.1</v>
      </c>
      <c r="F12" s="3">
        <v>2069.6999999999998</v>
      </c>
      <c r="G12" s="3">
        <v>2104.9</v>
      </c>
      <c r="H12" s="3">
        <v>2102</v>
      </c>
      <c r="I12" s="3">
        <v>2097.67</v>
      </c>
      <c r="J12" s="3">
        <v>2174.5</v>
      </c>
      <c r="K12" s="3">
        <v>1559.5</v>
      </c>
      <c r="L12" s="2">
        <v>5756692</v>
      </c>
      <c r="M12" s="2">
        <v>12075653201.700001</v>
      </c>
      <c r="N12" s="2">
        <v>214465</v>
      </c>
      <c r="O12" t="s">
        <v>16</v>
      </c>
      <c r="P12" s="8">
        <f t="shared" si="0"/>
        <v>-0.40000000000009095</v>
      </c>
      <c r="Q12" t="s">
        <v>37</v>
      </c>
      <c r="R12">
        <f t="shared" si="1"/>
        <v>12</v>
      </c>
      <c r="S12" t="str">
        <f t="shared" si="2"/>
        <v>Dec</v>
      </c>
      <c r="T12" s="9">
        <f>VLOOKUP(O12, Annual_Summary!A:B, 2, 0)</f>
        <v>0.31954628062919088</v>
      </c>
    </row>
    <row r="13" spans="1:20" x14ac:dyDescent="0.3">
      <c r="A13" s="1">
        <v>46006</v>
      </c>
      <c r="B13" t="s">
        <v>15</v>
      </c>
      <c r="C13" s="3">
        <v>2070.1</v>
      </c>
      <c r="D13" s="3">
        <v>2078.9</v>
      </c>
      <c r="E13" s="3">
        <v>2061.5</v>
      </c>
      <c r="F13" s="3">
        <v>2083.4</v>
      </c>
      <c r="G13" s="3">
        <v>2072</v>
      </c>
      <c r="H13" s="3">
        <v>2069.6999999999998</v>
      </c>
      <c r="I13" s="3">
        <v>2071.2199999999998</v>
      </c>
      <c r="J13" s="3">
        <v>2174.5</v>
      </c>
      <c r="K13" s="3">
        <v>1559.5</v>
      </c>
      <c r="L13" s="2">
        <v>3233614</v>
      </c>
      <c r="M13" s="2">
        <v>6697521715.6000004</v>
      </c>
      <c r="N13" s="2">
        <v>176973</v>
      </c>
      <c r="O13" t="s">
        <v>16</v>
      </c>
      <c r="P13" s="8">
        <f t="shared" si="0"/>
        <v>13.300000000000182</v>
      </c>
      <c r="Q13" t="s">
        <v>37</v>
      </c>
      <c r="R13">
        <f t="shared" si="1"/>
        <v>12</v>
      </c>
      <c r="S13" t="str">
        <f t="shared" si="2"/>
        <v>Dec</v>
      </c>
      <c r="T13" s="9">
        <f>VLOOKUP(O13, Annual_Summary!A:B, 2, 0)</f>
        <v>0.31954628062919088</v>
      </c>
    </row>
    <row r="14" spans="1:20" x14ac:dyDescent="0.3">
      <c r="A14" s="1">
        <v>46003</v>
      </c>
      <c r="B14" t="s">
        <v>15</v>
      </c>
      <c r="C14" s="3">
        <v>2053.1</v>
      </c>
      <c r="D14" s="3">
        <v>2087.1</v>
      </c>
      <c r="E14" s="3">
        <v>2050.6</v>
      </c>
      <c r="F14" s="3">
        <v>2053.1999999999998</v>
      </c>
      <c r="G14" s="3">
        <v>2082.1</v>
      </c>
      <c r="H14" s="3">
        <v>2083.4</v>
      </c>
      <c r="I14" s="3">
        <v>2074.23</v>
      </c>
      <c r="J14" s="3">
        <v>2174.5</v>
      </c>
      <c r="K14" s="3">
        <v>1559.5</v>
      </c>
      <c r="L14" s="2">
        <v>2706420</v>
      </c>
      <c r="M14" s="2">
        <v>5613747141.8999996</v>
      </c>
      <c r="N14" s="2">
        <v>100209</v>
      </c>
      <c r="O14" t="s">
        <v>16</v>
      </c>
      <c r="P14" s="8">
        <f t="shared" si="0"/>
        <v>9.9999999999909051E-2</v>
      </c>
      <c r="Q14" t="s">
        <v>37</v>
      </c>
      <c r="R14">
        <f t="shared" si="1"/>
        <v>12</v>
      </c>
      <c r="S14" t="str">
        <f t="shared" si="2"/>
        <v>Dec</v>
      </c>
      <c r="T14" s="9">
        <f>VLOOKUP(O14, Annual_Summary!A:B, 2, 0)</f>
        <v>0.31954628062919088</v>
      </c>
    </row>
    <row r="15" spans="1:20" x14ac:dyDescent="0.3">
      <c r="A15" s="1">
        <v>46002</v>
      </c>
      <c r="B15" t="s">
        <v>15</v>
      </c>
      <c r="C15" s="3">
        <v>2066</v>
      </c>
      <c r="D15" s="3">
        <v>2069.1999999999998</v>
      </c>
      <c r="E15" s="3">
        <v>2038</v>
      </c>
      <c r="F15" s="3">
        <v>2067</v>
      </c>
      <c r="G15" s="3">
        <v>2054</v>
      </c>
      <c r="H15" s="3">
        <v>2053.1999999999998</v>
      </c>
      <c r="I15" s="3">
        <v>2051.1</v>
      </c>
      <c r="J15" s="3">
        <v>2174.5</v>
      </c>
      <c r="K15" s="3">
        <v>1559.5</v>
      </c>
      <c r="L15" s="2">
        <v>3254850</v>
      </c>
      <c r="M15" s="2">
        <v>6676036622.1999998</v>
      </c>
      <c r="N15" s="2">
        <v>127700</v>
      </c>
      <c r="O15" t="s">
        <v>16</v>
      </c>
      <c r="P15" s="8">
        <f t="shared" si="0"/>
        <v>1</v>
      </c>
      <c r="Q15" t="s">
        <v>37</v>
      </c>
      <c r="R15">
        <f t="shared" si="1"/>
        <v>12</v>
      </c>
      <c r="S15" t="str">
        <f t="shared" si="2"/>
        <v>Dec</v>
      </c>
      <c r="T15" s="9">
        <f>VLOOKUP(O15, Annual_Summary!A:B, 2, 0)</f>
        <v>0.31954628062919088</v>
      </c>
    </row>
    <row r="16" spans="1:20" x14ac:dyDescent="0.3">
      <c r="A16" s="1">
        <v>46001</v>
      </c>
      <c r="B16" t="s">
        <v>15</v>
      </c>
      <c r="C16" s="3">
        <v>2072</v>
      </c>
      <c r="D16" s="3">
        <v>2096.9</v>
      </c>
      <c r="E16" s="3">
        <v>2062.1999999999998</v>
      </c>
      <c r="F16" s="3">
        <v>2089.6999999999998</v>
      </c>
      <c r="G16" s="3">
        <v>2063</v>
      </c>
      <c r="H16" s="3">
        <v>2067</v>
      </c>
      <c r="I16" s="3">
        <v>2076.41</v>
      </c>
      <c r="J16" s="3">
        <v>2174.5</v>
      </c>
      <c r="K16" s="3">
        <v>1559.5</v>
      </c>
      <c r="L16" s="2">
        <v>3987451</v>
      </c>
      <c r="M16" s="2">
        <v>8279599352.8999996</v>
      </c>
      <c r="N16" s="2">
        <v>123385</v>
      </c>
      <c r="O16" t="s">
        <v>16</v>
      </c>
      <c r="P16" s="8">
        <f t="shared" si="0"/>
        <v>17.699999999999818</v>
      </c>
      <c r="Q16" t="s">
        <v>37</v>
      </c>
      <c r="R16">
        <f t="shared" si="1"/>
        <v>12</v>
      </c>
      <c r="S16" t="str">
        <f t="shared" si="2"/>
        <v>Dec</v>
      </c>
      <c r="T16" s="9">
        <f>VLOOKUP(O16, Annual_Summary!A:B, 2, 0)</f>
        <v>0.31954628062919088</v>
      </c>
    </row>
    <row r="17" spans="1:20" x14ac:dyDescent="0.3">
      <c r="A17" s="1">
        <v>46000</v>
      </c>
      <c r="B17" t="s">
        <v>15</v>
      </c>
      <c r="C17" s="3">
        <v>2086.8000000000002</v>
      </c>
      <c r="D17" s="3">
        <v>2100.4</v>
      </c>
      <c r="E17" s="3">
        <v>2080.4</v>
      </c>
      <c r="F17" s="3">
        <v>2086.1999999999998</v>
      </c>
      <c r="G17" s="3">
        <v>2087.1</v>
      </c>
      <c r="H17" s="3">
        <v>2089.6999999999998</v>
      </c>
      <c r="I17" s="3">
        <v>2088.41</v>
      </c>
      <c r="J17" s="3">
        <v>2174.5</v>
      </c>
      <c r="K17" s="3">
        <v>1559.5</v>
      </c>
      <c r="L17" s="2">
        <v>5139229</v>
      </c>
      <c r="M17" s="2">
        <v>10732805998.5</v>
      </c>
      <c r="N17" s="2">
        <v>160953</v>
      </c>
      <c r="O17" t="s">
        <v>16</v>
      </c>
      <c r="P17" s="8">
        <f t="shared" si="0"/>
        <v>-0.6000000000003638</v>
      </c>
      <c r="Q17" t="s">
        <v>37</v>
      </c>
      <c r="R17">
        <f t="shared" si="1"/>
        <v>12</v>
      </c>
      <c r="S17" t="str">
        <f t="shared" si="2"/>
        <v>Dec</v>
      </c>
      <c r="T17" s="9">
        <f>VLOOKUP(O17, Annual_Summary!A:B, 2, 0)</f>
        <v>0.31954628062919088</v>
      </c>
    </row>
    <row r="18" spans="1:20" x14ac:dyDescent="0.3">
      <c r="A18" s="1">
        <v>45999</v>
      </c>
      <c r="B18" t="s">
        <v>15</v>
      </c>
      <c r="C18" s="3">
        <v>2114.4</v>
      </c>
      <c r="D18" s="3">
        <v>2114.4</v>
      </c>
      <c r="E18" s="3">
        <v>2078.9</v>
      </c>
      <c r="F18" s="3">
        <v>2108.8000000000002</v>
      </c>
      <c r="G18" s="3">
        <v>2087</v>
      </c>
      <c r="H18" s="3">
        <v>2086.1999999999998</v>
      </c>
      <c r="I18" s="3">
        <v>2090.5100000000002</v>
      </c>
      <c r="J18" s="3">
        <v>2174.5</v>
      </c>
      <c r="K18" s="3">
        <v>1559.5</v>
      </c>
      <c r="L18" s="2">
        <v>4327091</v>
      </c>
      <c r="M18" s="2">
        <v>9045832820.7000008</v>
      </c>
      <c r="N18" s="2">
        <v>172189</v>
      </c>
      <c r="O18" t="s">
        <v>16</v>
      </c>
      <c r="P18" s="8">
        <f t="shared" si="0"/>
        <v>-5.5999999999999091</v>
      </c>
      <c r="Q18" t="s">
        <v>37</v>
      </c>
      <c r="R18">
        <f t="shared" si="1"/>
        <v>12</v>
      </c>
      <c r="S18" t="str">
        <f t="shared" si="2"/>
        <v>Dec</v>
      </c>
      <c r="T18" s="9">
        <f>VLOOKUP(O18, Annual_Summary!A:B, 2, 0)</f>
        <v>0.31954628062919088</v>
      </c>
    </row>
    <row r="19" spans="1:20" x14ac:dyDescent="0.3">
      <c r="A19" s="1">
        <v>45996</v>
      </c>
      <c r="B19" t="s">
        <v>15</v>
      </c>
      <c r="C19" s="3">
        <v>2092.6</v>
      </c>
      <c r="D19" s="3">
        <v>2111.9</v>
      </c>
      <c r="E19" s="3">
        <v>2090</v>
      </c>
      <c r="F19" s="3">
        <v>2103.8000000000002</v>
      </c>
      <c r="G19" s="3">
        <v>2109.8000000000002</v>
      </c>
      <c r="H19" s="3">
        <v>2108.8000000000002</v>
      </c>
      <c r="I19" s="3">
        <v>2101.34</v>
      </c>
      <c r="J19" s="3">
        <v>2174.5</v>
      </c>
      <c r="K19" s="3">
        <v>1559.5</v>
      </c>
      <c r="L19" s="2">
        <v>2938290</v>
      </c>
      <c r="M19" s="2">
        <v>6174337765</v>
      </c>
      <c r="N19" s="2">
        <v>109731</v>
      </c>
      <c r="O19" t="s">
        <v>16</v>
      </c>
      <c r="P19" s="8">
        <f t="shared" si="0"/>
        <v>11.200000000000273</v>
      </c>
      <c r="Q19" t="s">
        <v>37</v>
      </c>
      <c r="R19">
        <f t="shared" si="1"/>
        <v>12</v>
      </c>
      <c r="S19" t="str">
        <f t="shared" si="2"/>
        <v>Dec</v>
      </c>
      <c r="T19" s="9">
        <f>VLOOKUP(O19, Annual_Summary!A:B, 2, 0)</f>
        <v>0.31954628062919088</v>
      </c>
    </row>
    <row r="20" spans="1:20" x14ac:dyDescent="0.3">
      <c r="A20" s="1">
        <v>45995</v>
      </c>
      <c r="B20" t="s">
        <v>15</v>
      </c>
      <c r="C20" s="3">
        <v>2094.8000000000002</v>
      </c>
      <c r="D20" s="3">
        <v>2108.5</v>
      </c>
      <c r="E20" s="3">
        <v>2074.1</v>
      </c>
      <c r="F20" s="3">
        <v>2086</v>
      </c>
      <c r="G20" s="3">
        <v>2103</v>
      </c>
      <c r="H20" s="3">
        <v>2103.8000000000002</v>
      </c>
      <c r="I20" s="3">
        <v>2090.4699999999998</v>
      </c>
      <c r="J20" s="3">
        <v>2174.5</v>
      </c>
      <c r="K20" s="3">
        <v>1559.5</v>
      </c>
      <c r="L20" s="2">
        <v>4611819</v>
      </c>
      <c r="M20" s="2">
        <v>9640866601.1000004</v>
      </c>
      <c r="N20" s="2">
        <v>168962</v>
      </c>
      <c r="O20" t="s">
        <v>16</v>
      </c>
      <c r="P20" s="8">
        <f t="shared" si="0"/>
        <v>-8.8000000000001819</v>
      </c>
      <c r="Q20" t="s">
        <v>37</v>
      </c>
      <c r="R20">
        <f t="shared" si="1"/>
        <v>12</v>
      </c>
      <c r="S20" t="str">
        <f t="shared" si="2"/>
        <v>Dec</v>
      </c>
      <c r="T20" s="9">
        <f>VLOOKUP(O20, Annual_Summary!A:B, 2, 0)</f>
        <v>0.31954628062919088</v>
      </c>
    </row>
    <row r="21" spans="1:20" x14ac:dyDescent="0.3">
      <c r="A21" s="1">
        <v>45994</v>
      </c>
      <c r="B21" t="s">
        <v>15</v>
      </c>
      <c r="C21" s="3">
        <v>2100.1</v>
      </c>
      <c r="D21" s="3">
        <v>2109.9</v>
      </c>
      <c r="E21" s="3">
        <v>2081.6</v>
      </c>
      <c r="F21" s="3">
        <v>2104</v>
      </c>
      <c r="G21" s="3">
        <v>2087</v>
      </c>
      <c r="H21" s="3">
        <v>2086</v>
      </c>
      <c r="I21" s="3">
        <v>2088.46</v>
      </c>
      <c r="J21" s="3">
        <v>2174.5</v>
      </c>
      <c r="K21" s="3">
        <v>1559.5</v>
      </c>
      <c r="L21" s="2">
        <v>4357641</v>
      </c>
      <c r="M21" s="2">
        <v>9100769632.7999992</v>
      </c>
      <c r="N21" s="2">
        <v>206107</v>
      </c>
      <c r="O21" t="s">
        <v>16</v>
      </c>
      <c r="P21" s="8">
        <f t="shared" si="0"/>
        <v>3.9000000000000909</v>
      </c>
      <c r="Q21" t="s">
        <v>37</v>
      </c>
      <c r="R21">
        <f t="shared" si="1"/>
        <v>12</v>
      </c>
      <c r="S21" t="str">
        <f t="shared" si="2"/>
        <v>Dec</v>
      </c>
      <c r="T21" s="9">
        <f>VLOOKUP(O21, Annual_Summary!A:B, 2, 0)</f>
        <v>0.31954628062919088</v>
      </c>
    </row>
    <row r="22" spans="1:20" x14ac:dyDescent="0.3">
      <c r="A22" s="1">
        <v>45993</v>
      </c>
      <c r="B22" t="s">
        <v>15</v>
      </c>
      <c r="C22" s="3">
        <v>2089.8000000000002</v>
      </c>
      <c r="D22" s="3">
        <v>2114.8000000000002</v>
      </c>
      <c r="E22" s="3">
        <v>2087.1</v>
      </c>
      <c r="F22" s="3">
        <v>2089.6999999999998</v>
      </c>
      <c r="G22" s="3">
        <v>2107.8000000000002</v>
      </c>
      <c r="H22" s="3">
        <v>2104</v>
      </c>
      <c r="I22" s="3">
        <v>2102.8200000000002</v>
      </c>
      <c r="J22" s="3">
        <v>2174.5</v>
      </c>
      <c r="K22" s="3">
        <v>1559.5</v>
      </c>
      <c r="L22" s="2">
        <v>6591396</v>
      </c>
      <c r="M22" s="2">
        <v>13860529208.799999</v>
      </c>
      <c r="N22" s="2">
        <v>266344</v>
      </c>
      <c r="O22" t="s">
        <v>16</v>
      </c>
      <c r="P22" s="8">
        <f t="shared" si="0"/>
        <v>-0.1000000000003638</v>
      </c>
      <c r="Q22" t="s">
        <v>37</v>
      </c>
      <c r="R22">
        <f t="shared" si="1"/>
        <v>12</v>
      </c>
      <c r="S22" t="str">
        <f t="shared" si="2"/>
        <v>Dec</v>
      </c>
      <c r="T22" s="9">
        <f>VLOOKUP(O22, Annual_Summary!A:B, 2, 0)</f>
        <v>0.31954628062919088</v>
      </c>
    </row>
    <row r="23" spans="1:20" x14ac:dyDescent="0.3">
      <c r="A23" s="1">
        <v>45992</v>
      </c>
      <c r="B23" t="s">
        <v>15</v>
      </c>
      <c r="C23" s="3">
        <v>2114.6999999999998</v>
      </c>
      <c r="D23" s="3">
        <v>2119</v>
      </c>
      <c r="E23" s="3">
        <v>2083.1</v>
      </c>
      <c r="F23" s="3">
        <v>2101.6</v>
      </c>
      <c r="G23" s="3">
        <v>2090.5</v>
      </c>
      <c r="H23" s="3">
        <v>2089.6999999999998</v>
      </c>
      <c r="I23" s="3">
        <v>2095.86</v>
      </c>
      <c r="J23" s="3">
        <v>2174.5</v>
      </c>
      <c r="K23" s="3">
        <v>1559.5</v>
      </c>
      <c r="L23" s="2">
        <v>5058900</v>
      </c>
      <c r="M23" s="2">
        <v>10602749697.700001</v>
      </c>
      <c r="N23" s="2">
        <v>232889</v>
      </c>
      <c r="O23" t="s">
        <v>16</v>
      </c>
      <c r="P23" s="8">
        <f t="shared" si="0"/>
        <v>-13.099999999999909</v>
      </c>
      <c r="Q23" t="s">
        <v>37</v>
      </c>
      <c r="R23">
        <f t="shared" si="1"/>
        <v>12</v>
      </c>
      <c r="S23" t="str">
        <f t="shared" si="2"/>
        <v>Dec</v>
      </c>
      <c r="T23" s="9">
        <f>VLOOKUP(O23, Annual_Summary!A:B, 2, 0)</f>
        <v>0.31954628062919088</v>
      </c>
    </row>
    <row r="24" spans="1:20" x14ac:dyDescent="0.3">
      <c r="A24" s="1">
        <v>45989</v>
      </c>
      <c r="B24" t="s">
        <v>15</v>
      </c>
      <c r="C24" s="3">
        <v>2118</v>
      </c>
      <c r="D24" s="3">
        <v>2129.5</v>
      </c>
      <c r="E24" s="3">
        <v>2096.4</v>
      </c>
      <c r="F24" s="3">
        <v>2115.6</v>
      </c>
      <c r="G24" s="3">
        <v>2100</v>
      </c>
      <c r="H24" s="3">
        <v>2101.6</v>
      </c>
      <c r="I24" s="3">
        <v>2105.61</v>
      </c>
      <c r="J24" s="3">
        <v>2174.5</v>
      </c>
      <c r="K24" s="3">
        <v>1551.15</v>
      </c>
      <c r="L24" s="2">
        <v>6263457</v>
      </c>
      <c r="M24" s="2">
        <v>13188376119</v>
      </c>
      <c r="N24" s="2">
        <v>150812</v>
      </c>
      <c r="O24" t="s">
        <v>16</v>
      </c>
      <c r="P24" s="8">
        <f t="shared" si="0"/>
        <v>-2.4000000000000909</v>
      </c>
      <c r="Q24" t="s">
        <v>37</v>
      </c>
      <c r="R24">
        <f t="shared" si="1"/>
        <v>11</v>
      </c>
      <c r="S24" t="str">
        <f t="shared" si="2"/>
        <v>Nov</v>
      </c>
      <c r="T24" s="9">
        <f>VLOOKUP(O24, Annual_Summary!A:B, 2, 0)</f>
        <v>0.31954628062919088</v>
      </c>
    </row>
    <row r="25" spans="1:20" x14ac:dyDescent="0.3">
      <c r="A25" s="1">
        <v>45988</v>
      </c>
      <c r="B25" t="s">
        <v>15</v>
      </c>
      <c r="C25" s="3">
        <v>2132</v>
      </c>
      <c r="D25" s="3">
        <v>2136.9</v>
      </c>
      <c r="E25" s="3">
        <v>2103.8000000000002</v>
      </c>
      <c r="F25" s="3">
        <v>2126.8000000000002</v>
      </c>
      <c r="G25" s="3">
        <v>2118</v>
      </c>
      <c r="H25" s="3">
        <v>2115.6</v>
      </c>
      <c r="I25" s="3">
        <v>2116.63</v>
      </c>
      <c r="J25" s="3">
        <v>2174.5</v>
      </c>
      <c r="K25" s="3">
        <v>1551.15</v>
      </c>
      <c r="L25" s="2">
        <v>4444877</v>
      </c>
      <c r="M25" s="2">
        <v>9408157935.7000008</v>
      </c>
      <c r="N25" s="2">
        <v>154239</v>
      </c>
      <c r="O25" t="s">
        <v>16</v>
      </c>
      <c r="P25" s="8">
        <f t="shared" si="0"/>
        <v>-5.1999999999998181</v>
      </c>
      <c r="Q25" t="s">
        <v>37</v>
      </c>
      <c r="R25">
        <f t="shared" si="1"/>
        <v>11</v>
      </c>
      <c r="S25" t="str">
        <f t="shared" si="2"/>
        <v>Nov</v>
      </c>
      <c r="T25" s="9">
        <f>VLOOKUP(O25, Annual_Summary!A:B, 2, 0)</f>
        <v>0.31954628062919088</v>
      </c>
    </row>
    <row r="26" spans="1:20" x14ac:dyDescent="0.3">
      <c r="A26" s="1">
        <v>45987</v>
      </c>
      <c r="B26" t="s">
        <v>15</v>
      </c>
      <c r="C26" s="3">
        <v>2104</v>
      </c>
      <c r="D26" s="3">
        <v>2134.9</v>
      </c>
      <c r="E26" s="3">
        <v>2097.5</v>
      </c>
      <c r="F26" s="3">
        <v>2161.6</v>
      </c>
      <c r="G26" s="3">
        <v>2127</v>
      </c>
      <c r="H26" s="3">
        <v>2126.8000000000002</v>
      </c>
      <c r="I26" s="3">
        <v>2102.4299999999998</v>
      </c>
      <c r="J26" s="3">
        <v>2174.5</v>
      </c>
      <c r="K26" s="3">
        <v>1551.15</v>
      </c>
      <c r="L26" s="2">
        <v>43174047</v>
      </c>
      <c r="M26" s="2">
        <v>90770524452.100006</v>
      </c>
      <c r="N26" s="2">
        <v>217044</v>
      </c>
      <c r="O26" t="s">
        <v>16</v>
      </c>
      <c r="P26" s="8">
        <f t="shared" si="0"/>
        <v>57.599999999999909</v>
      </c>
      <c r="Q26" t="s">
        <v>37</v>
      </c>
      <c r="R26">
        <f t="shared" si="1"/>
        <v>11</v>
      </c>
      <c r="S26" t="str">
        <f t="shared" si="2"/>
        <v>Nov</v>
      </c>
      <c r="T26" s="9">
        <f>VLOOKUP(O26, Annual_Summary!A:B, 2, 0)</f>
        <v>0.31954628062919088</v>
      </c>
    </row>
    <row r="27" spans="1:20" x14ac:dyDescent="0.3">
      <c r="A27" s="1">
        <v>45986</v>
      </c>
      <c r="B27" t="s">
        <v>15</v>
      </c>
      <c r="C27" s="3">
        <v>2159</v>
      </c>
      <c r="D27" s="3">
        <v>2170.6999999999998</v>
      </c>
      <c r="E27" s="3">
        <v>2138.6999999999998</v>
      </c>
      <c r="F27" s="3">
        <v>2152.1</v>
      </c>
      <c r="G27" s="3">
        <v>2156.6</v>
      </c>
      <c r="H27" s="3">
        <v>2161.6</v>
      </c>
      <c r="I27" s="3">
        <v>2159.81</v>
      </c>
      <c r="J27" s="3">
        <v>2174.5</v>
      </c>
      <c r="K27" s="3">
        <v>1551.15</v>
      </c>
      <c r="L27" s="2">
        <v>7102592</v>
      </c>
      <c r="M27" s="2">
        <v>15340216596.700001</v>
      </c>
      <c r="N27" s="2">
        <v>172471</v>
      </c>
      <c r="O27" t="s">
        <v>16</v>
      </c>
      <c r="P27" s="8">
        <f t="shared" si="0"/>
        <v>-6.9000000000000909</v>
      </c>
      <c r="Q27" t="s">
        <v>37</v>
      </c>
      <c r="R27">
        <f t="shared" si="1"/>
        <v>11</v>
      </c>
      <c r="S27" t="str">
        <f t="shared" si="2"/>
        <v>Nov</v>
      </c>
      <c r="T27" s="9">
        <f>VLOOKUP(O27, Annual_Summary!A:B, 2, 0)</f>
        <v>0.31954628062919088</v>
      </c>
    </row>
    <row r="28" spans="1:20" x14ac:dyDescent="0.3">
      <c r="A28" s="1">
        <v>45985</v>
      </c>
      <c r="B28" t="s">
        <v>15</v>
      </c>
      <c r="C28" s="3">
        <v>2162.1</v>
      </c>
      <c r="D28" s="3">
        <v>2165.8000000000002</v>
      </c>
      <c r="E28" s="3">
        <v>2140.4</v>
      </c>
      <c r="F28" s="3">
        <v>2162.6999999999998</v>
      </c>
      <c r="G28" s="3">
        <v>2145</v>
      </c>
      <c r="H28" s="3">
        <v>2152.1</v>
      </c>
      <c r="I28" s="3">
        <v>2154.46</v>
      </c>
      <c r="J28" s="3">
        <v>2174.5</v>
      </c>
      <c r="K28" s="3">
        <v>1551.15</v>
      </c>
      <c r="L28" s="2">
        <v>9686848</v>
      </c>
      <c r="M28" s="2">
        <v>20869887058.200001</v>
      </c>
      <c r="N28" s="2">
        <v>140722</v>
      </c>
      <c r="O28" t="s">
        <v>16</v>
      </c>
      <c r="P28" s="8">
        <f t="shared" si="0"/>
        <v>0.59999999999990905</v>
      </c>
      <c r="Q28" t="s">
        <v>37</v>
      </c>
      <c r="R28">
        <f t="shared" si="1"/>
        <v>11</v>
      </c>
      <c r="S28" t="str">
        <f t="shared" si="2"/>
        <v>Nov</v>
      </c>
      <c r="T28" s="9">
        <f>VLOOKUP(O28, Annual_Summary!A:B, 2, 0)</f>
        <v>0.31954628062919088</v>
      </c>
    </row>
    <row r="29" spans="1:20" x14ac:dyDescent="0.3">
      <c r="A29" s="1">
        <v>45982</v>
      </c>
      <c r="B29" t="s">
        <v>15</v>
      </c>
      <c r="C29" s="3">
        <v>2150.1</v>
      </c>
      <c r="D29" s="3">
        <v>2174.5</v>
      </c>
      <c r="E29" s="3">
        <v>2148.6</v>
      </c>
      <c r="F29" s="3">
        <v>2158.3000000000002</v>
      </c>
      <c r="G29" s="3">
        <v>2165</v>
      </c>
      <c r="H29" s="3">
        <v>2162.6999999999998</v>
      </c>
      <c r="I29" s="3">
        <v>2162.63</v>
      </c>
      <c r="J29" s="3">
        <v>2174.5</v>
      </c>
      <c r="K29" s="3">
        <v>1511</v>
      </c>
      <c r="L29" s="2">
        <v>6720938</v>
      </c>
      <c r="M29" s="2">
        <v>14534905632.6</v>
      </c>
      <c r="N29" s="2">
        <v>141397</v>
      </c>
      <c r="O29" t="s">
        <v>16</v>
      </c>
      <c r="P29" s="8">
        <f t="shared" si="0"/>
        <v>8.2000000000002728</v>
      </c>
      <c r="Q29" t="s">
        <v>37</v>
      </c>
      <c r="R29">
        <f t="shared" si="1"/>
        <v>11</v>
      </c>
      <c r="S29" t="str">
        <f t="shared" si="2"/>
        <v>Nov</v>
      </c>
      <c r="T29" s="9">
        <f>VLOOKUP(O29, Annual_Summary!A:B, 2, 0)</f>
        <v>0.31954628062919088</v>
      </c>
    </row>
    <row r="30" spans="1:20" x14ac:dyDescent="0.3">
      <c r="A30" s="1">
        <v>45981</v>
      </c>
      <c r="B30" t="s">
        <v>15</v>
      </c>
      <c r="C30" s="3">
        <v>2153.1</v>
      </c>
      <c r="D30" s="3">
        <v>2169.3000000000002</v>
      </c>
      <c r="E30" s="3">
        <v>2149.9</v>
      </c>
      <c r="F30" s="3">
        <v>2159.8000000000002</v>
      </c>
      <c r="G30" s="3">
        <v>2160</v>
      </c>
      <c r="H30" s="3">
        <v>2158.3000000000002</v>
      </c>
      <c r="I30" s="3">
        <v>2158.31</v>
      </c>
      <c r="J30" s="3">
        <v>2169.3000000000002</v>
      </c>
      <c r="K30" s="3">
        <v>1511</v>
      </c>
      <c r="L30" s="2">
        <v>7452899</v>
      </c>
      <c r="M30" s="2">
        <v>16085671565.6</v>
      </c>
      <c r="N30" s="2">
        <v>151163</v>
      </c>
      <c r="O30" t="s">
        <v>16</v>
      </c>
      <c r="P30" s="8">
        <f t="shared" si="0"/>
        <v>6.7000000000002728</v>
      </c>
      <c r="Q30" t="s">
        <v>37</v>
      </c>
      <c r="R30">
        <f t="shared" si="1"/>
        <v>11</v>
      </c>
      <c r="S30" t="str">
        <f t="shared" si="2"/>
        <v>Nov</v>
      </c>
      <c r="T30" s="9">
        <f>VLOOKUP(O30, Annual_Summary!A:B, 2, 0)</f>
        <v>0.31954628062919088</v>
      </c>
    </row>
    <row r="31" spans="1:20" x14ac:dyDescent="0.3">
      <c r="A31" s="1">
        <v>45980</v>
      </c>
      <c r="B31" t="s">
        <v>15</v>
      </c>
      <c r="C31" s="3">
        <v>2155</v>
      </c>
      <c r="D31" s="3">
        <v>2166.1999999999998</v>
      </c>
      <c r="E31" s="3">
        <v>2146.6999999999998</v>
      </c>
      <c r="F31" s="3">
        <v>2149.1999999999998</v>
      </c>
      <c r="G31" s="3">
        <v>2160</v>
      </c>
      <c r="H31" s="3">
        <v>2159.8000000000002</v>
      </c>
      <c r="I31" s="3">
        <v>2152.67</v>
      </c>
      <c r="J31" s="3">
        <v>2166.1999999999998</v>
      </c>
      <c r="K31" s="3">
        <v>1511</v>
      </c>
      <c r="L31" s="2">
        <v>7419461</v>
      </c>
      <c r="M31" s="2">
        <v>15971622748.6</v>
      </c>
      <c r="N31" s="2">
        <v>151296</v>
      </c>
      <c r="O31" t="s">
        <v>16</v>
      </c>
      <c r="P31" s="8">
        <f t="shared" si="0"/>
        <v>-5.8000000000001819</v>
      </c>
      <c r="Q31" t="s">
        <v>37</v>
      </c>
      <c r="R31">
        <f t="shared" si="1"/>
        <v>11</v>
      </c>
      <c r="S31" t="str">
        <f t="shared" si="2"/>
        <v>Nov</v>
      </c>
      <c r="T31" s="9">
        <f>VLOOKUP(O31, Annual_Summary!A:B, 2, 0)</f>
        <v>0.31954628062919088</v>
      </c>
    </row>
    <row r="32" spans="1:20" x14ac:dyDescent="0.3">
      <c r="A32" s="1">
        <v>45979</v>
      </c>
      <c r="B32" t="s">
        <v>15</v>
      </c>
      <c r="C32" s="3">
        <v>2122</v>
      </c>
      <c r="D32" s="3">
        <v>2159</v>
      </c>
      <c r="E32" s="3">
        <v>2110.3000000000002</v>
      </c>
      <c r="F32" s="3">
        <v>2112.1999999999998</v>
      </c>
      <c r="G32" s="3">
        <v>2146.1</v>
      </c>
      <c r="H32" s="3">
        <v>2149.1999999999998</v>
      </c>
      <c r="I32" s="3">
        <v>2144.35</v>
      </c>
      <c r="J32" s="3">
        <v>2159</v>
      </c>
      <c r="K32" s="3">
        <v>1511</v>
      </c>
      <c r="L32" s="2">
        <v>10972556</v>
      </c>
      <c r="M32" s="2">
        <v>23528990860.400002</v>
      </c>
      <c r="N32" s="2">
        <v>213187</v>
      </c>
      <c r="O32" t="s">
        <v>16</v>
      </c>
      <c r="P32" s="8">
        <f t="shared" si="0"/>
        <v>-9.8000000000001819</v>
      </c>
      <c r="Q32" t="s">
        <v>37</v>
      </c>
      <c r="R32">
        <f t="shared" si="1"/>
        <v>11</v>
      </c>
      <c r="S32" t="str">
        <f t="shared" si="2"/>
        <v>Nov</v>
      </c>
      <c r="T32" s="9">
        <f>VLOOKUP(O32, Annual_Summary!A:B, 2, 0)</f>
        <v>0.31954628062919088</v>
      </c>
    </row>
    <row r="33" spans="1:20" x14ac:dyDescent="0.3">
      <c r="A33" s="1">
        <v>45978</v>
      </c>
      <c r="B33" t="s">
        <v>15</v>
      </c>
      <c r="C33" s="3">
        <v>2112</v>
      </c>
      <c r="D33" s="3">
        <v>2122</v>
      </c>
      <c r="E33" s="3">
        <v>2100.9</v>
      </c>
      <c r="F33" s="3">
        <v>2100.6999999999998</v>
      </c>
      <c r="G33" s="3">
        <v>2111.3000000000002</v>
      </c>
      <c r="H33" s="3">
        <v>2112.1999999999998</v>
      </c>
      <c r="I33" s="3">
        <v>2113.15</v>
      </c>
      <c r="J33" s="3">
        <v>2135.6</v>
      </c>
      <c r="K33" s="3">
        <v>1511</v>
      </c>
      <c r="L33" s="2">
        <v>5998770</v>
      </c>
      <c r="M33" s="2">
        <v>12676321842.4</v>
      </c>
      <c r="N33" s="2">
        <v>138351</v>
      </c>
      <c r="O33" t="s">
        <v>16</v>
      </c>
      <c r="P33" s="8">
        <f t="shared" si="0"/>
        <v>-11.300000000000182</v>
      </c>
      <c r="Q33" t="s">
        <v>37</v>
      </c>
      <c r="R33">
        <f t="shared" si="1"/>
        <v>11</v>
      </c>
      <c r="S33" t="str">
        <f t="shared" si="2"/>
        <v>Nov</v>
      </c>
      <c r="T33" s="9">
        <f>VLOOKUP(O33, Annual_Summary!A:B, 2, 0)</f>
        <v>0.31954628062919088</v>
      </c>
    </row>
    <row r="34" spans="1:20" x14ac:dyDescent="0.3">
      <c r="A34" s="1">
        <v>45975</v>
      </c>
      <c r="B34" t="s">
        <v>15</v>
      </c>
      <c r="C34" s="3">
        <v>2090</v>
      </c>
      <c r="D34" s="3">
        <v>2107.9</v>
      </c>
      <c r="E34" s="3">
        <v>2081.9</v>
      </c>
      <c r="F34" s="3">
        <v>2091.8000000000002</v>
      </c>
      <c r="G34" s="3">
        <v>2096.8000000000002</v>
      </c>
      <c r="H34" s="3">
        <v>2100.6999999999998</v>
      </c>
      <c r="I34" s="3">
        <v>2090.0700000000002</v>
      </c>
      <c r="J34" s="3">
        <v>2135.6</v>
      </c>
      <c r="K34" s="3">
        <v>1511</v>
      </c>
      <c r="L34" s="2">
        <v>6312655</v>
      </c>
      <c r="M34" s="2">
        <v>13193910899.9</v>
      </c>
      <c r="N34" s="2">
        <v>209996</v>
      </c>
      <c r="O34" t="s">
        <v>16</v>
      </c>
      <c r="P34" s="8">
        <f t="shared" si="0"/>
        <v>1.8000000000001819</v>
      </c>
      <c r="Q34" t="s">
        <v>37</v>
      </c>
      <c r="R34">
        <f t="shared" si="1"/>
        <v>11</v>
      </c>
      <c r="S34" t="str">
        <f t="shared" si="2"/>
        <v>Nov</v>
      </c>
      <c r="T34" s="9">
        <f>VLOOKUP(O34, Annual_Summary!A:B, 2, 0)</f>
        <v>0.31954628062919088</v>
      </c>
    </row>
    <row r="35" spans="1:20" x14ac:dyDescent="0.3">
      <c r="A35" s="1">
        <v>45974</v>
      </c>
      <c r="B35" t="s">
        <v>15</v>
      </c>
      <c r="C35" s="3">
        <v>2099.9</v>
      </c>
      <c r="D35" s="3">
        <v>2107</v>
      </c>
      <c r="E35" s="3">
        <v>2079</v>
      </c>
      <c r="F35" s="3">
        <v>2073.8000000000002</v>
      </c>
      <c r="G35" s="3">
        <v>2093</v>
      </c>
      <c r="H35" s="3">
        <v>2091.8000000000002</v>
      </c>
      <c r="I35" s="3">
        <v>2093.54</v>
      </c>
      <c r="J35" s="3">
        <v>2135.6</v>
      </c>
      <c r="K35" s="3">
        <v>1511</v>
      </c>
      <c r="L35" s="2">
        <v>5958875</v>
      </c>
      <c r="M35" s="2">
        <v>12475113933.4</v>
      </c>
      <c r="N35" s="2">
        <v>167057</v>
      </c>
      <c r="O35" t="s">
        <v>16</v>
      </c>
      <c r="P35" s="8">
        <f t="shared" si="0"/>
        <v>-26.099999999999909</v>
      </c>
      <c r="Q35" t="s">
        <v>37</v>
      </c>
      <c r="R35">
        <f t="shared" si="1"/>
        <v>11</v>
      </c>
      <c r="S35" t="str">
        <f t="shared" si="2"/>
        <v>Nov</v>
      </c>
      <c r="T35" s="9">
        <f>VLOOKUP(O35, Annual_Summary!A:B, 2, 0)</f>
        <v>0.31954628062919088</v>
      </c>
    </row>
    <row r="36" spans="1:20" x14ac:dyDescent="0.3">
      <c r="A36" s="1">
        <v>45973</v>
      </c>
      <c r="B36" t="s">
        <v>15</v>
      </c>
      <c r="C36" s="3">
        <v>2060</v>
      </c>
      <c r="D36" s="3">
        <v>2079.8000000000002</v>
      </c>
      <c r="E36" s="3">
        <v>2054.9</v>
      </c>
      <c r="F36" s="3">
        <v>2042.3</v>
      </c>
      <c r="G36" s="3">
        <v>2077.9</v>
      </c>
      <c r="H36" s="3">
        <v>2073.8000000000002</v>
      </c>
      <c r="I36" s="3">
        <v>2070.4</v>
      </c>
      <c r="J36" s="3">
        <v>2135.6</v>
      </c>
      <c r="K36" s="3">
        <v>1511</v>
      </c>
      <c r="L36" s="2">
        <v>8210277</v>
      </c>
      <c r="M36" s="2">
        <v>16998543806.700001</v>
      </c>
      <c r="N36" s="2">
        <v>196315</v>
      </c>
      <c r="O36" t="s">
        <v>16</v>
      </c>
      <c r="P36" s="8">
        <f t="shared" si="0"/>
        <v>-17.700000000000045</v>
      </c>
      <c r="Q36" t="s">
        <v>37</v>
      </c>
      <c r="R36">
        <f t="shared" si="1"/>
        <v>11</v>
      </c>
      <c r="S36" t="str">
        <f t="shared" si="2"/>
        <v>Nov</v>
      </c>
      <c r="T36" s="9">
        <f>VLOOKUP(O36, Annual_Summary!A:B, 2, 0)</f>
        <v>0.31954628062919088</v>
      </c>
    </row>
    <row r="37" spans="1:20" x14ac:dyDescent="0.3">
      <c r="A37" s="1">
        <v>45972</v>
      </c>
      <c r="B37" t="s">
        <v>15</v>
      </c>
      <c r="C37" s="3">
        <v>2020.1</v>
      </c>
      <c r="D37" s="3">
        <v>2056.9</v>
      </c>
      <c r="E37" s="3">
        <v>2017.4</v>
      </c>
      <c r="F37" s="3">
        <v>2019.8</v>
      </c>
      <c r="G37" s="3">
        <v>2044.5</v>
      </c>
      <c r="H37" s="3">
        <v>2042.3</v>
      </c>
      <c r="I37" s="3">
        <v>2043.06</v>
      </c>
      <c r="J37" s="3">
        <v>2135.6</v>
      </c>
      <c r="K37" s="3">
        <v>1511</v>
      </c>
      <c r="L37" s="2">
        <v>14825625</v>
      </c>
      <c r="M37" s="2">
        <v>30289652182.700001</v>
      </c>
      <c r="N37" s="2">
        <v>314436</v>
      </c>
      <c r="O37" t="s">
        <v>16</v>
      </c>
      <c r="P37" s="8">
        <f t="shared" si="0"/>
        <v>-0.29999999999995453</v>
      </c>
      <c r="Q37" t="s">
        <v>37</v>
      </c>
      <c r="R37">
        <f t="shared" si="1"/>
        <v>11</v>
      </c>
      <c r="S37" t="str">
        <f t="shared" si="2"/>
        <v>Nov</v>
      </c>
      <c r="T37" s="9">
        <f>VLOOKUP(O37, Annual_Summary!A:B, 2, 0)</f>
        <v>0.31954628062919088</v>
      </c>
    </row>
    <row r="38" spans="1:20" x14ac:dyDescent="0.3">
      <c r="A38" s="1">
        <v>45971</v>
      </c>
      <c r="B38" t="s">
        <v>15</v>
      </c>
      <c r="C38" s="3">
        <v>1995</v>
      </c>
      <c r="D38" s="3">
        <v>2028.8</v>
      </c>
      <c r="E38" s="3">
        <v>1992.2</v>
      </c>
      <c r="F38" s="3">
        <v>2001.2</v>
      </c>
      <c r="G38" s="3">
        <v>2020.5</v>
      </c>
      <c r="H38" s="3">
        <v>2019.8</v>
      </c>
      <c r="I38" s="3">
        <v>2017.05</v>
      </c>
      <c r="J38" s="3">
        <v>2135.6</v>
      </c>
      <c r="K38" s="3">
        <v>1511</v>
      </c>
      <c r="L38" s="2">
        <v>7457061</v>
      </c>
      <c r="M38" s="2">
        <v>15041281563.9</v>
      </c>
      <c r="N38" s="2">
        <v>158704</v>
      </c>
      <c r="O38" t="s">
        <v>16</v>
      </c>
      <c r="P38" s="8">
        <f t="shared" si="0"/>
        <v>6.2000000000000455</v>
      </c>
      <c r="Q38" t="s">
        <v>37</v>
      </c>
      <c r="R38">
        <f t="shared" si="1"/>
        <v>11</v>
      </c>
      <c r="S38" t="str">
        <f t="shared" si="2"/>
        <v>Nov</v>
      </c>
      <c r="T38" s="9">
        <f>VLOOKUP(O38, Annual_Summary!A:B, 2, 0)</f>
        <v>0.31954628062919088</v>
      </c>
    </row>
    <row r="39" spans="1:20" x14ac:dyDescent="0.3">
      <c r="A39" s="1">
        <v>45968</v>
      </c>
      <c r="B39" t="s">
        <v>15</v>
      </c>
      <c r="C39" s="3">
        <v>2048</v>
      </c>
      <c r="D39" s="3">
        <v>2048</v>
      </c>
      <c r="E39" s="3">
        <v>1995.6</v>
      </c>
      <c r="F39" s="3">
        <v>2094.9</v>
      </c>
      <c r="G39" s="3">
        <v>2001.5</v>
      </c>
      <c r="H39" s="3">
        <v>2001.2</v>
      </c>
      <c r="I39" s="3">
        <v>2025.7</v>
      </c>
      <c r="J39" s="3">
        <v>2135.6</v>
      </c>
      <c r="K39" s="3">
        <v>1511</v>
      </c>
      <c r="L39" s="2">
        <v>70392750</v>
      </c>
      <c r="M39" s="2">
        <v>142594915349.89999</v>
      </c>
      <c r="N39" s="2">
        <v>260133</v>
      </c>
      <c r="O39" t="s">
        <v>16</v>
      </c>
      <c r="P39" s="8">
        <f t="shared" si="0"/>
        <v>46.900000000000091</v>
      </c>
      <c r="Q39" t="s">
        <v>37</v>
      </c>
      <c r="R39">
        <f t="shared" si="1"/>
        <v>11</v>
      </c>
      <c r="S39" t="str">
        <f t="shared" si="2"/>
        <v>Nov</v>
      </c>
      <c r="T39" s="9">
        <f>VLOOKUP(O39, Annual_Summary!A:B, 2, 0)</f>
        <v>0.31954628062919088</v>
      </c>
    </row>
    <row r="40" spans="1:20" x14ac:dyDescent="0.3">
      <c r="A40" s="1">
        <v>45967</v>
      </c>
      <c r="B40" t="s">
        <v>15</v>
      </c>
      <c r="C40" s="3">
        <v>2115</v>
      </c>
      <c r="D40" s="3">
        <v>2123.3000000000002</v>
      </c>
      <c r="E40" s="3">
        <v>2080.5</v>
      </c>
      <c r="F40" s="3">
        <v>2113.3000000000002</v>
      </c>
      <c r="G40" s="3">
        <v>2095</v>
      </c>
      <c r="H40" s="3">
        <v>2094.9</v>
      </c>
      <c r="I40" s="3">
        <v>2103.02</v>
      </c>
      <c r="J40" s="3">
        <v>2135.6</v>
      </c>
      <c r="K40" s="3">
        <v>1511</v>
      </c>
      <c r="L40" s="2">
        <v>9546299</v>
      </c>
      <c r="M40" s="2">
        <v>20076041845.400002</v>
      </c>
      <c r="N40" s="2">
        <v>327497</v>
      </c>
      <c r="O40" t="s">
        <v>16</v>
      </c>
      <c r="P40" s="8">
        <f t="shared" si="0"/>
        <v>-1.6999999999998181</v>
      </c>
      <c r="Q40" t="s">
        <v>37</v>
      </c>
      <c r="R40">
        <f t="shared" si="1"/>
        <v>11</v>
      </c>
      <c r="S40" t="str">
        <f t="shared" si="2"/>
        <v>Nov</v>
      </c>
      <c r="T40" s="9">
        <f>VLOOKUP(O40, Annual_Summary!A:B, 2, 0)</f>
        <v>0.31954628062919088</v>
      </c>
    </row>
    <row r="41" spans="1:20" x14ac:dyDescent="0.3">
      <c r="A41" s="1">
        <v>45965</v>
      </c>
      <c r="B41" t="s">
        <v>15</v>
      </c>
      <c r="C41" s="3">
        <v>2107</v>
      </c>
      <c r="D41" s="3">
        <v>2135.6</v>
      </c>
      <c r="E41" s="3">
        <v>2103.5</v>
      </c>
      <c r="F41" s="3">
        <v>2074</v>
      </c>
      <c r="G41" s="3">
        <v>2110</v>
      </c>
      <c r="H41" s="3">
        <v>2113.3000000000002</v>
      </c>
      <c r="I41" s="3">
        <v>2118.36</v>
      </c>
      <c r="J41" s="3">
        <v>2135.6</v>
      </c>
      <c r="K41" s="3">
        <v>1511</v>
      </c>
      <c r="L41" s="2">
        <v>12263078</v>
      </c>
      <c r="M41" s="2">
        <v>25977570895.900002</v>
      </c>
      <c r="N41" s="2">
        <v>316732</v>
      </c>
      <c r="O41" t="s">
        <v>16</v>
      </c>
      <c r="P41" s="8">
        <f t="shared" si="0"/>
        <v>-33</v>
      </c>
      <c r="Q41" t="s">
        <v>37</v>
      </c>
      <c r="R41">
        <f t="shared" si="1"/>
        <v>11</v>
      </c>
      <c r="S41" t="str">
        <f t="shared" si="2"/>
        <v>Nov</v>
      </c>
      <c r="T41" s="9">
        <f>VLOOKUP(O41, Annual_Summary!A:B, 2, 0)</f>
        <v>0.31954628062919088</v>
      </c>
    </row>
    <row r="42" spans="1:20" x14ac:dyDescent="0.3">
      <c r="A42" s="1">
        <v>45964</v>
      </c>
      <c r="B42" t="s">
        <v>15</v>
      </c>
      <c r="C42" s="3">
        <v>2055</v>
      </c>
      <c r="D42" s="3">
        <v>2081</v>
      </c>
      <c r="E42" s="3">
        <v>2047.2</v>
      </c>
      <c r="F42" s="3">
        <v>2054.5</v>
      </c>
      <c r="G42" s="3">
        <v>2077</v>
      </c>
      <c r="H42" s="3">
        <v>2074</v>
      </c>
      <c r="I42" s="3">
        <v>2063.7399999999998</v>
      </c>
      <c r="J42" s="3">
        <v>2110.4</v>
      </c>
      <c r="K42" s="3">
        <v>1511</v>
      </c>
      <c r="L42" s="2">
        <v>2979629</v>
      </c>
      <c r="M42" s="2">
        <v>6149184487.3000002</v>
      </c>
      <c r="N42" s="2">
        <v>137662</v>
      </c>
      <c r="O42" t="s">
        <v>16</v>
      </c>
      <c r="P42" s="8">
        <f t="shared" si="0"/>
        <v>-0.5</v>
      </c>
      <c r="Q42" t="s">
        <v>37</v>
      </c>
      <c r="R42">
        <f t="shared" si="1"/>
        <v>11</v>
      </c>
      <c r="S42" t="str">
        <f t="shared" si="2"/>
        <v>Nov</v>
      </c>
      <c r="T42" s="9">
        <f>VLOOKUP(O42, Annual_Summary!A:B, 2, 0)</f>
        <v>0.31954628062919088</v>
      </c>
    </row>
    <row r="43" spans="1:20" x14ac:dyDescent="0.3">
      <c r="A43" s="1">
        <v>45961</v>
      </c>
      <c r="B43" t="s">
        <v>15</v>
      </c>
      <c r="C43" s="3">
        <v>2056</v>
      </c>
      <c r="D43" s="3">
        <v>2073.8000000000002</v>
      </c>
      <c r="E43" s="3">
        <v>2051.6999999999998</v>
      </c>
      <c r="F43" s="3">
        <v>2066.3000000000002</v>
      </c>
      <c r="G43" s="3">
        <v>2061.3000000000002</v>
      </c>
      <c r="H43" s="3">
        <v>2054.5</v>
      </c>
      <c r="I43" s="3">
        <v>2059.64</v>
      </c>
      <c r="J43" s="3">
        <v>2110.4</v>
      </c>
      <c r="K43" s="3">
        <v>1511</v>
      </c>
      <c r="L43" s="2">
        <v>4659723</v>
      </c>
      <c r="M43" s="2">
        <v>9597365272.2999992</v>
      </c>
      <c r="N43" s="2">
        <v>168898</v>
      </c>
      <c r="O43" t="s">
        <v>16</v>
      </c>
      <c r="P43" s="8">
        <f t="shared" si="0"/>
        <v>10.300000000000182</v>
      </c>
      <c r="Q43" t="s">
        <v>37</v>
      </c>
      <c r="R43">
        <f t="shared" si="1"/>
        <v>10</v>
      </c>
      <c r="S43" t="str">
        <f t="shared" si="2"/>
        <v>Oct</v>
      </c>
      <c r="T43" s="9">
        <f>VLOOKUP(O43, Annual_Summary!A:B, 2, 0)</f>
        <v>0.31954628062919088</v>
      </c>
    </row>
    <row r="44" spans="1:20" x14ac:dyDescent="0.3">
      <c r="A44" s="1">
        <v>45960</v>
      </c>
      <c r="B44" t="s">
        <v>15</v>
      </c>
      <c r="C44" s="3">
        <v>2070</v>
      </c>
      <c r="D44" s="3">
        <v>2088</v>
      </c>
      <c r="E44" s="3">
        <v>2058.6</v>
      </c>
      <c r="F44" s="3">
        <v>2100.6</v>
      </c>
      <c r="G44" s="3">
        <v>2069</v>
      </c>
      <c r="H44" s="3">
        <v>2066.3000000000002</v>
      </c>
      <c r="I44" s="3">
        <v>2066.87</v>
      </c>
      <c r="J44" s="3">
        <v>2110.4</v>
      </c>
      <c r="K44" s="3">
        <v>1511</v>
      </c>
      <c r="L44" s="2">
        <v>4222189</v>
      </c>
      <c r="M44" s="2">
        <v>8726723356.2000008</v>
      </c>
      <c r="N44" s="2">
        <v>228047</v>
      </c>
      <c r="O44" t="s">
        <v>16</v>
      </c>
      <c r="P44" s="8">
        <f t="shared" si="0"/>
        <v>30.599999999999909</v>
      </c>
      <c r="Q44" t="s">
        <v>37</v>
      </c>
      <c r="R44">
        <f t="shared" si="1"/>
        <v>10</v>
      </c>
      <c r="S44" t="str">
        <f t="shared" si="2"/>
        <v>Oct</v>
      </c>
      <c r="T44" s="9">
        <f>VLOOKUP(O44, Annual_Summary!A:B, 2, 0)</f>
        <v>0.31954628062919088</v>
      </c>
    </row>
    <row r="45" spans="1:20" x14ac:dyDescent="0.3">
      <c r="A45" s="1">
        <v>45959</v>
      </c>
      <c r="B45" t="s">
        <v>15</v>
      </c>
      <c r="C45" s="3">
        <v>2083</v>
      </c>
      <c r="D45" s="3">
        <v>2110.4</v>
      </c>
      <c r="E45" s="3">
        <v>2081.6</v>
      </c>
      <c r="F45" s="3">
        <v>2090.1999999999998</v>
      </c>
      <c r="G45" s="3">
        <v>2100</v>
      </c>
      <c r="H45" s="3">
        <v>2100.6</v>
      </c>
      <c r="I45" s="3">
        <v>2098.48</v>
      </c>
      <c r="J45" s="3">
        <v>2110.4</v>
      </c>
      <c r="K45" s="3">
        <v>1511</v>
      </c>
      <c r="L45" s="2">
        <v>2742750</v>
      </c>
      <c r="M45" s="2">
        <v>5755608868</v>
      </c>
      <c r="N45" s="2">
        <v>137123</v>
      </c>
      <c r="O45" t="s">
        <v>16</v>
      </c>
      <c r="P45" s="8">
        <f t="shared" si="0"/>
        <v>7.1999999999998181</v>
      </c>
      <c r="Q45" t="s">
        <v>37</v>
      </c>
      <c r="R45">
        <f t="shared" si="1"/>
        <v>10</v>
      </c>
      <c r="S45" t="str">
        <f t="shared" si="2"/>
        <v>Oct</v>
      </c>
      <c r="T45" s="9">
        <f>VLOOKUP(O45, Annual_Summary!A:B, 2, 0)</f>
        <v>0.31954628062919088</v>
      </c>
    </row>
    <row r="46" spans="1:20" x14ac:dyDescent="0.3">
      <c r="A46" s="1">
        <v>45958</v>
      </c>
      <c r="B46" t="s">
        <v>15</v>
      </c>
      <c r="C46" s="3">
        <v>2092</v>
      </c>
      <c r="D46" s="3">
        <v>2102.6</v>
      </c>
      <c r="E46" s="3">
        <v>2071.6999999999998</v>
      </c>
      <c r="F46" s="3">
        <v>2080.1</v>
      </c>
      <c r="G46" s="3">
        <v>2088</v>
      </c>
      <c r="H46" s="3">
        <v>2090.1999999999998</v>
      </c>
      <c r="I46" s="3">
        <v>2089.7199999999998</v>
      </c>
      <c r="J46" s="3">
        <v>2102.6</v>
      </c>
      <c r="K46" s="3">
        <v>1511</v>
      </c>
      <c r="L46" s="2">
        <v>9891522</v>
      </c>
      <c r="M46" s="2">
        <v>20670514955.200001</v>
      </c>
      <c r="N46" s="2">
        <v>262444</v>
      </c>
      <c r="O46" t="s">
        <v>16</v>
      </c>
      <c r="P46" s="8">
        <f t="shared" si="0"/>
        <v>-11.900000000000091</v>
      </c>
      <c r="Q46" t="s">
        <v>37</v>
      </c>
      <c r="R46">
        <f t="shared" si="1"/>
        <v>10</v>
      </c>
      <c r="S46" t="str">
        <f t="shared" si="2"/>
        <v>Oct</v>
      </c>
      <c r="T46" s="9">
        <f>VLOOKUP(O46, Annual_Summary!A:B, 2, 0)</f>
        <v>0.31954628062919088</v>
      </c>
    </row>
    <row r="47" spans="1:20" x14ac:dyDescent="0.3">
      <c r="A47" s="1">
        <v>45957</v>
      </c>
      <c r="B47" t="s">
        <v>15</v>
      </c>
      <c r="C47" s="3">
        <v>2030</v>
      </c>
      <c r="D47" s="3">
        <v>2094</v>
      </c>
      <c r="E47" s="3">
        <v>2030</v>
      </c>
      <c r="F47" s="3">
        <v>2029.3</v>
      </c>
      <c r="G47" s="3">
        <v>2083</v>
      </c>
      <c r="H47" s="3">
        <v>2080.1</v>
      </c>
      <c r="I47" s="3">
        <v>2078.5300000000002</v>
      </c>
      <c r="J47" s="3">
        <v>2094</v>
      </c>
      <c r="K47" s="3">
        <v>1511</v>
      </c>
      <c r="L47" s="2">
        <v>5796831</v>
      </c>
      <c r="M47" s="2">
        <v>12048905188.6</v>
      </c>
      <c r="N47" s="2">
        <v>187130</v>
      </c>
      <c r="O47" t="s">
        <v>16</v>
      </c>
      <c r="P47" s="8">
        <f t="shared" si="0"/>
        <v>-0.70000000000004547</v>
      </c>
      <c r="Q47" t="s">
        <v>37</v>
      </c>
      <c r="R47">
        <f t="shared" si="1"/>
        <v>10</v>
      </c>
      <c r="S47" t="str">
        <f t="shared" si="2"/>
        <v>Oct</v>
      </c>
      <c r="T47" s="9">
        <f>VLOOKUP(O47, Annual_Summary!A:B, 2, 0)</f>
        <v>0.31954628062919088</v>
      </c>
    </row>
    <row r="48" spans="1:20" x14ac:dyDescent="0.3">
      <c r="A48" s="1">
        <v>45954</v>
      </c>
      <c r="B48" t="s">
        <v>15</v>
      </c>
      <c r="C48" s="3">
        <v>2008</v>
      </c>
      <c r="D48" s="3">
        <v>2033</v>
      </c>
      <c r="E48" s="3">
        <v>2006.9</v>
      </c>
      <c r="F48" s="3">
        <v>2007.9</v>
      </c>
      <c r="G48" s="3">
        <v>2028</v>
      </c>
      <c r="H48" s="3">
        <v>2029.3</v>
      </c>
      <c r="I48" s="3">
        <v>2024.56</v>
      </c>
      <c r="J48" s="3">
        <v>2067</v>
      </c>
      <c r="K48" s="3">
        <v>1511</v>
      </c>
      <c r="L48" s="2">
        <v>3236799</v>
      </c>
      <c r="M48" s="2">
        <v>6553106604.6000004</v>
      </c>
      <c r="N48" s="2">
        <v>166105</v>
      </c>
      <c r="O48" t="s">
        <v>16</v>
      </c>
      <c r="P48" s="8">
        <f t="shared" si="0"/>
        <v>-9.9999999999909051E-2</v>
      </c>
      <c r="Q48" t="s">
        <v>37</v>
      </c>
      <c r="R48">
        <f t="shared" si="1"/>
        <v>10</v>
      </c>
      <c r="S48" t="str">
        <f t="shared" si="2"/>
        <v>Oct</v>
      </c>
      <c r="T48" s="9">
        <f>VLOOKUP(O48, Annual_Summary!A:B, 2, 0)</f>
        <v>0.31954628062919088</v>
      </c>
    </row>
    <row r="49" spans="1:20" x14ac:dyDescent="0.3">
      <c r="A49" s="1">
        <v>45953</v>
      </c>
      <c r="B49" t="s">
        <v>15</v>
      </c>
      <c r="C49" s="3">
        <v>2063.9</v>
      </c>
      <c r="D49" s="3">
        <v>2067</v>
      </c>
      <c r="E49" s="3">
        <v>2003.6</v>
      </c>
      <c r="F49" s="3">
        <v>2043.5</v>
      </c>
      <c r="G49" s="3">
        <v>2009.9</v>
      </c>
      <c r="H49" s="3">
        <v>2007.9</v>
      </c>
      <c r="I49" s="3">
        <v>2023.86</v>
      </c>
      <c r="J49" s="3">
        <v>2067</v>
      </c>
      <c r="K49" s="3">
        <v>1511</v>
      </c>
      <c r="L49" s="2">
        <v>8790128</v>
      </c>
      <c r="M49" s="2">
        <v>17789960867.900002</v>
      </c>
      <c r="N49" s="2">
        <v>296341</v>
      </c>
      <c r="O49" t="s">
        <v>16</v>
      </c>
      <c r="P49" s="8">
        <f t="shared" si="0"/>
        <v>-20.400000000000091</v>
      </c>
      <c r="Q49" t="s">
        <v>37</v>
      </c>
      <c r="R49">
        <f t="shared" si="1"/>
        <v>10</v>
      </c>
      <c r="S49" t="str">
        <f t="shared" si="2"/>
        <v>Oct</v>
      </c>
      <c r="T49" s="9">
        <f>VLOOKUP(O49, Annual_Summary!A:B, 2, 0)</f>
        <v>0.31954628062919088</v>
      </c>
    </row>
    <row r="50" spans="1:20" x14ac:dyDescent="0.3">
      <c r="A50" s="1">
        <v>45951</v>
      </c>
      <c r="B50" t="s">
        <v>15</v>
      </c>
      <c r="C50" s="3">
        <v>2051.8000000000002</v>
      </c>
      <c r="D50" s="3">
        <v>2058.5</v>
      </c>
      <c r="E50" s="3">
        <v>2038.5</v>
      </c>
      <c r="F50" s="3">
        <v>2051.5</v>
      </c>
      <c r="G50" s="3">
        <v>2041.6</v>
      </c>
      <c r="H50" s="3">
        <v>2043.5</v>
      </c>
      <c r="I50" s="3">
        <v>2045.3</v>
      </c>
      <c r="J50" s="3">
        <v>2058.5</v>
      </c>
      <c r="K50" s="3">
        <v>1511</v>
      </c>
      <c r="L50" s="2">
        <v>240850</v>
      </c>
      <c r="M50" s="2">
        <v>492610681.5</v>
      </c>
      <c r="N50" s="2">
        <v>21615</v>
      </c>
      <c r="O50" t="s">
        <v>16</v>
      </c>
      <c r="P50" s="8">
        <f t="shared" si="0"/>
        <v>-0.3000000000001819</v>
      </c>
      <c r="Q50" t="s">
        <v>37</v>
      </c>
      <c r="R50">
        <f t="shared" si="1"/>
        <v>10</v>
      </c>
      <c r="S50" t="str">
        <f t="shared" si="2"/>
        <v>Oct</v>
      </c>
      <c r="T50" s="9">
        <f>VLOOKUP(O50, Annual_Summary!A:B, 2, 0)</f>
        <v>0.31954628062919088</v>
      </c>
    </row>
    <row r="51" spans="1:20" x14ac:dyDescent="0.3">
      <c r="A51" s="1">
        <v>45950</v>
      </c>
      <c r="B51" t="s">
        <v>15</v>
      </c>
      <c r="C51" s="3">
        <v>2026</v>
      </c>
      <c r="D51" s="3">
        <v>2057</v>
      </c>
      <c r="E51" s="3">
        <v>2019.7</v>
      </c>
      <c r="F51" s="3">
        <v>2012</v>
      </c>
      <c r="G51" s="3">
        <v>2050</v>
      </c>
      <c r="H51" s="3">
        <v>2051.5</v>
      </c>
      <c r="I51" s="3">
        <v>2042.87</v>
      </c>
      <c r="J51" s="3">
        <v>2057</v>
      </c>
      <c r="K51" s="3">
        <v>1511</v>
      </c>
      <c r="L51" s="2">
        <v>7387180</v>
      </c>
      <c r="M51" s="2">
        <v>15091064288.200001</v>
      </c>
      <c r="N51" s="2">
        <v>225566</v>
      </c>
      <c r="O51" t="s">
        <v>16</v>
      </c>
      <c r="P51" s="8">
        <f t="shared" si="0"/>
        <v>-14</v>
      </c>
      <c r="Q51" t="s">
        <v>37</v>
      </c>
      <c r="R51">
        <f t="shared" si="1"/>
        <v>10</v>
      </c>
      <c r="S51" t="str">
        <f t="shared" si="2"/>
        <v>Oct</v>
      </c>
      <c r="T51" s="9">
        <f>VLOOKUP(O51, Annual_Summary!A:B, 2, 0)</f>
        <v>0.31954628062919088</v>
      </c>
    </row>
    <row r="52" spans="1:20" x14ac:dyDescent="0.3">
      <c r="A52" s="1">
        <v>45947</v>
      </c>
      <c r="B52" t="s">
        <v>15</v>
      </c>
      <c r="C52" s="3">
        <v>1973.6</v>
      </c>
      <c r="D52" s="3">
        <v>2034.3</v>
      </c>
      <c r="E52" s="3">
        <v>1970.3</v>
      </c>
      <c r="F52" s="3">
        <v>1967.4</v>
      </c>
      <c r="G52" s="3">
        <v>2012.9</v>
      </c>
      <c r="H52" s="3">
        <v>2012</v>
      </c>
      <c r="I52" s="3">
        <v>2013.74</v>
      </c>
      <c r="J52" s="3">
        <v>2045.8</v>
      </c>
      <c r="K52" s="3">
        <v>1511</v>
      </c>
      <c r="L52" s="2">
        <v>6743801</v>
      </c>
      <c r="M52" s="2">
        <v>13580290074.700001</v>
      </c>
      <c r="N52" s="2">
        <v>202098</v>
      </c>
      <c r="O52" t="s">
        <v>16</v>
      </c>
      <c r="P52" s="8">
        <f t="shared" si="0"/>
        <v>-6.1999999999998181</v>
      </c>
      <c r="Q52" t="s">
        <v>37</v>
      </c>
      <c r="R52">
        <f t="shared" si="1"/>
        <v>10</v>
      </c>
      <c r="S52" t="str">
        <f t="shared" si="2"/>
        <v>Oct</v>
      </c>
      <c r="T52" s="9">
        <f>VLOOKUP(O52, Annual_Summary!A:B, 2, 0)</f>
        <v>0.31954628062919088</v>
      </c>
    </row>
    <row r="53" spans="1:20" x14ac:dyDescent="0.3">
      <c r="A53" s="1">
        <v>45946</v>
      </c>
      <c r="B53" t="s">
        <v>15</v>
      </c>
      <c r="C53" s="3">
        <v>1962.3</v>
      </c>
      <c r="D53" s="3">
        <v>1986.9</v>
      </c>
      <c r="E53" s="3">
        <v>1962</v>
      </c>
      <c r="F53" s="3">
        <v>1968.5</v>
      </c>
      <c r="G53" s="3">
        <v>1970.2</v>
      </c>
      <c r="H53" s="3">
        <v>1967.4</v>
      </c>
      <c r="I53" s="3">
        <v>1973.83</v>
      </c>
      <c r="J53" s="3">
        <v>2045.8</v>
      </c>
      <c r="K53" s="3">
        <v>1511</v>
      </c>
      <c r="L53" s="2">
        <v>3700674</v>
      </c>
      <c r="M53" s="2">
        <v>7304500778.6999998</v>
      </c>
      <c r="N53" s="2">
        <v>246779</v>
      </c>
      <c r="O53" t="s">
        <v>16</v>
      </c>
      <c r="P53" s="8">
        <f t="shared" si="0"/>
        <v>6.2000000000000455</v>
      </c>
      <c r="Q53" t="s">
        <v>37</v>
      </c>
      <c r="R53">
        <f t="shared" si="1"/>
        <v>10</v>
      </c>
      <c r="S53" t="str">
        <f t="shared" si="2"/>
        <v>Oct</v>
      </c>
      <c r="T53" s="9">
        <f>VLOOKUP(O53, Annual_Summary!A:B, 2, 0)</f>
        <v>0.31954628062919088</v>
      </c>
    </row>
    <row r="54" spans="1:20" x14ac:dyDescent="0.3">
      <c r="A54" s="1">
        <v>45945</v>
      </c>
      <c r="B54" t="s">
        <v>15</v>
      </c>
      <c r="C54" s="3">
        <v>1957.2</v>
      </c>
      <c r="D54" s="3">
        <v>1976</v>
      </c>
      <c r="E54" s="3">
        <v>1951.6</v>
      </c>
      <c r="F54" s="3">
        <v>1946.6</v>
      </c>
      <c r="G54" s="3">
        <v>1967</v>
      </c>
      <c r="H54" s="3">
        <v>1968.5</v>
      </c>
      <c r="I54" s="3">
        <v>1965.08</v>
      </c>
      <c r="J54" s="3">
        <v>2045.8</v>
      </c>
      <c r="K54" s="3">
        <v>1511</v>
      </c>
      <c r="L54" s="2">
        <v>3447352</v>
      </c>
      <c r="M54" s="2">
        <v>6774313245.8000002</v>
      </c>
      <c r="N54" s="2">
        <v>132066</v>
      </c>
      <c r="O54" t="s">
        <v>16</v>
      </c>
      <c r="P54" s="8">
        <f t="shared" si="0"/>
        <v>-10.600000000000136</v>
      </c>
      <c r="Q54" t="s">
        <v>37</v>
      </c>
      <c r="R54">
        <f t="shared" si="1"/>
        <v>10</v>
      </c>
      <c r="S54" t="str">
        <f t="shared" si="2"/>
        <v>Oct</v>
      </c>
      <c r="T54" s="9">
        <f>VLOOKUP(O54, Annual_Summary!A:B, 2, 0)</f>
        <v>0.31954628062919088</v>
      </c>
    </row>
    <row r="55" spans="1:20" x14ac:dyDescent="0.3">
      <c r="A55" s="1">
        <v>45944</v>
      </c>
      <c r="B55" t="s">
        <v>15</v>
      </c>
      <c r="C55" s="3">
        <v>1964</v>
      </c>
      <c r="D55" s="3">
        <v>1964</v>
      </c>
      <c r="E55" s="3">
        <v>1939.2</v>
      </c>
      <c r="F55" s="3">
        <v>1954.9</v>
      </c>
      <c r="G55" s="3">
        <v>1948.2</v>
      </c>
      <c r="H55" s="3">
        <v>1946.6</v>
      </c>
      <c r="I55" s="3">
        <v>1948.36</v>
      </c>
      <c r="J55" s="3">
        <v>2045.8</v>
      </c>
      <c r="K55" s="3">
        <v>1511</v>
      </c>
      <c r="L55" s="2">
        <v>4454239</v>
      </c>
      <c r="M55" s="2">
        <v>8678447974.6000004</v>
      </c>
      <c r="N55" s="2">
        <v>115211</v>
      </c>
      <c r="O55" t="s">
        <v>16</v>
      </c>
      <c r="P55" s="8">
        <f t="shared" si="0"/>
        <v>-9.0999999999999091</v>
      </c>
      <c r="Q55" t="s">
        <v>37</v>
      </c>
      <c r="R55">
        <f t="shared" si="1"/>
        <v>10</v>
      </c>
      <c r="S55" t="str">
        <f t="shared" si="2"/>
        <v>Oct</v>
      </c>
      <c r="T55" s="9">
        <f>VLOOKUP(O55, Annual_Summary!A:B, 2, 0)</f>
        <v>0.31954628062919088</v>
      </c>
    </row>
    <row r="56" spans="1:20" x14ac:dyDescent="0.3">
      <c r="A56" s="1">
        <v>45943</v>
      </c>
      <c r="B56" t="s">
        <v>15</v>
      </c>
      <c r="C56" s="3">
        <v>1937.9</v>
      </c>
      <c r="D56" s="3">
        <v>1965.9</v>
      </c>
      <c r="E56" s="3">
        <v>1936</v>
      </c>
      <c r="F56" s="3">
        <v>1939.9</v>
      </c>
      <c r="G56" s="3">
        <v>1955</v>
      </c>
      <c r="H56" s="3">
        <v>1954.9</v>
      </c>
      <c r="I56" s="3">
        <v>1955.22</v>
      </c>
      <c r="J56" s="3">
        <v>2045.8</v>
      </c>
      <c r="K56" s="3">
        <v>1511</v>
      </c>
      <c r="L56" s="2">
        <v>3672419</v>
      </c>
      <c r="M56" s="2">
        <v>7180372108.1000004</v>
      </c>
      <c r="N56" s="2">
        <v>134124</v>
      </c>
      <c r="O56" t="s">
        <v>16</v>
      </c>
      <c r="P56" s="8">
        <f t="shared" si="0"/>
        <v>2</v>
      </c>
      <c r="Q56" t="s">
        <v>37</v>
      </c>
      <c r="R56">
        <f t="shared" si="1"/>
        <v>10</v>
      </c>
      <c r="S56" t="str">
        <f t="shared" si="2"/>
        <v>Oct</v>
      </c>
      <c r="T56" s="9">
        <f>VLOOKUP(O56, Annual_Summary!A:B, 2, 0)</f>
        <v>0.31954628062919088</v>
      </c>
    </row>
    <row r="57" spans="1:20" x14ac:dyDescent="0.3">
      <c r="A57" s="1">
        <v>45940</v>
      </c>
      <c r="B57" t="s">
        <v>15</v>
      </c>
      <c r="C57" s="3">
        <v>1937</v>
      </c>
      <c r="D57" s="3">
        <v>1947.6</v>
      </c>
      <c r="E57" s="3">
        <v>1935.4</v>
      </c>
      <c r="F57" s="3">
        <v>1942</v>
      </c>
      <c r="G57" s="3">
        <v>1940</v>
      </c>
      <c r="H57" s="3">
        <v>1939.9</v>
      </c>
      <c r="I57" s="3">
        <v>1940.42</v>
      </c>
      <c r="J57" s="3">
        <v>2045.8</v>
      </c>
      <c r="K57" s="3">
        <v>1511</v>
      </c>
      <c r="L57" s="2">
        <v>2512581</v>
      </c>
      <c r="M57" s="2">
        <v>4875455292.6000004</v>
      </c>
      <c r="N57" s="2">
        <v>100319</v>
      </c>
      <c r="O57" t="s">
        <v>16</v>
      </c>
      <c r="P57" s="8">
        <f t="shared" si="0"/>
        <v>5</v>
      </c>
      <c r="Q57" t="s">
        <v>37</v>
      </c>
      <c r="R57">
        <f t="shared" si="1"/>
        <v>10</v>
      </c>
      <c r="S57" t="str">
        <f t="shared" si="2"/>
        <v>Oct</v>
      </c>
      <c r="T57" s="9">
        <f>VLOOKUP(O57, Annual_Summary!A:B, 2, 0)</f>
        <v>0.31954628062919088</v>
      </c>
    </row>
    <row r="58" spans="1:20" x14ac:dyDescent="0.3">
      <c r="A58" s="1">
        <v>45939</v>
      </c>
      <c r="B58" t="s">
        <v>15</v>
      </c>
      <c r="C58" s="3">
        <v>1945</v>
      </c>
      <c r="D58" s="3">
        <v>1948.8</v>
      </c>
      <c r="E58" s="3">
        <v>1931.3</v>
      </c>
      <c r="F58" s="3">
        <v>1943.5</v>
      </c>
      <c r="G58" s="3">
        <v>1941</v>
      </c>
      <c r="H58" s="3">
        <v>1942</v>
      </c>
      <c r="I58" s="3">
        <v>1940.57</v>
      </c>
      <c r="J58" s="3">
        <v>2045.8</v>
      </c>
      <c r="K58" s="3">
        <v>1511</v>
      </c>
      <c r="L58" s="2">
        <v>3945737</v>
      </c>
      <c r="M58" s="2">
        <v>7656969690.1999998</v>
      </c>
      <c r="N58" s="2">
        <v>123955</v>
      </c>
      <c r="O58" t="s">
        <v>16</v>
      </c>
      <c r="P58" s="8">
        <f t="shared" si="0"/>
        <v>-1.5</v>
      </c>
      <c r="Q58" t="s">
        <v>37</v>
      </c>
      <c r="R58">
        <f t="shared" si="1"/>
        <v>10</v>
      </c>
      <c r="S58" t="str">
        <f t="shared" si="2"/>
        <v>Oct</v>
      </c>
      <c r="T58" s="9">
        <f>VLOOKUP(O58, Annual_Summary!A:B, 2, 0)</f>
        <v>0.31954628062919088</v>
      </c>
    </row>
    <row r="59" spans="1:20" x14ac:dyDescent="0.3">
      <c r="A59" s="1">
        <v>45938</v>
      </c>
      <c r="B59" t="s">
        <v>15</v>
      </c>
      <c r="C59" s="3">
        <v>1929</v>
      </c>
      <c r="D59" s="3">
        <v>1962.6</v>
      </c>
      <c r="E59" s="3">
        <v>1927.6</v>
      </c>
      <c r="F59" s="3">
        <v>1929</v>
      </c>
      <c r="G59" s="3">
        <v>1939</v>
      </c>
      <c r="H59" s="3">
        <v>1943.5</v>
      </c>
      <c r="I59" s="3">
        <v>1945.68</v>
      </c>
      <c r="J59" s="3">
        <v>2045.8</v>
      </c>
      <c r="K59" s="3">
        <v>1511</v>
      </c>
      <c r="L59" s="2">
        <v>4957406</v>
      </c>
      <c r="M59" s="2">
        <v>9645507545.2000008</v>
      </c>
      <c r="N59" s="2">
        <v>189526</v>
      </c>
      <c r="O59" t="s">
        <v>16</v>
      </c>
      <c r="P59" s="8">
        <f t="shared" si="0"/>
        <v>0</v>
      </c>
      <c r="Q59" t="s">
        <v>37</v>
      </c>
      <c r="R59">
        <f t="shared" si="1"/>
        <v>10</v>
      </c>
      <c r="S59" t="str">
        <f t="shared" si="2"/>
        <v>Oct</v>
      </c>
      <c r="T59" s="9">
        <f>VLOOKUP(O59, Annual_Summary!A:B, 2, 0)</f>
        <v>0.31954628062919088</v>
      </c>
    </row>
    <row r="60" spans="1:20" x14ac:dyDescent="0.3">
      <c r="A60" s="1">
        <v>45937</v>
      </c>
      <c r="B60" t="s">
        <v>15</v>
      </c>
      <c r="C60" s="3">
        <v>1900</v>
      </c>
      <c r="D60" s="3">
        <v>1946</v>
      </c>
      <c r="E60" s="3">
        <v>1900</v>
      </c>
      <c r="F60" s="3">
        <v>1903.1</v>
      </c>
      <c r="G60" s="3">
        <v>1928.8</v>
      </c>
      <c r="H60" s="3">
        <v>1929</v>
      </c>
      <c r="I60" s="3">
        <v>1928.23</v>
      </c>
      <c r="J60" s="3">
        <v>2045.8</v>
      </c>
      <c r="K60" s="3">
        <v>1511</v>
      </c>
      <c r="L60" s="2">
        <v>5713060</v>
      </c>
      <c r="M60" s="2">
        <v>11016084010</v>
      </c>
      <c r="N60" s="2">
        <v>176001</v>
      </c>
      <c r="O60" t="s">
        <v>16</v>
      </c>
      <c r="P60" s="8">
        <f t="shared" si="0"/>
        <v>3.0999999999999091</v>
      </c>
      <c r="Q60" t="s">
        <v>37</v>
      </c>
      <c r="R60">
        <f t="shared" si="1"/>
        <v>10</v>
      </c>
      <c r="S60" t="str">
        <f t="shared" si="2"/>
        <v>Oct</v>
      </c>
      <c r="T60" s="9">
        <f>VLOOKUP(O60, Annual_Summary!A:B, 2, 0)</f>
        <v>0.31954628062919088</v>
      </c>
    </row>
    <row r="61" spans="1:20" x14ac:dyDescent="0.3">
      <c r="A61" s="1">
        <v>45936</v>
      </c>
      <c r="B61" t="s">
        <v>15</v>
      </c>
      <c r="C61" s="3">
        <v>1892.6</v>
      </c>
      <c r="D61" s="3">
        <v>1907</v>
      </c>
      <c r="E61" s="3">
        <v>1887.5</v>
      </c>
      <c r="F61" s="3">
        <v>1896.7</v>
      </c>
      <c r="G61" s="3">
        <v>1901.9</v>
      </c>
      <c r="H61" s="3">
        <v>1903.1</v>
      </c>
      <c r="I61" s="3">
        <v>1898.12</v>
      </c>
      <c r="J61" s="3">
        <v>2045.8</v>
      </c>
      <c r="K61" s="3">
        <v>1511</v>
      </c>
      <c r="L61" s="2">
        <v>2809218</v>
      </c>
      <c r="M61" s="2">
        <v>5332230593.8999996</v>
      </c>
      <c r="N61" s="2">
        <v>125866</v>
      </c>
      <c r="O61" t="s">
        <v>16</v>
      </c>
      <c r="P61" s="8">
        <f t="shared" si="0"/>
        <v>4.1000000000001364</v>
      </c>
      <c r="Q61" t="s">
        <v>37</v>
      </c>
      <c r="R61">
        <f t="shared" si="1"/>
        <v>10</v>
      </c>
      <c r="S61" t="str">
        <f t="shared" si="2"/>
        <v>Oct</v>
      </c>
      <c r="T61" s="9">
        <f>VLOOKUP(O61, Annual_Summary!A:B, 2, 0)</f>
        <v>0.31954628062919088</v>
      </c>
    </row>
    <row r="62" spans="1:20" x14ac:dyDescent="0.3">
      <c r="A62" s="1">
        <v>45933</v>
      </c>
      <c r="B62" t="s">
        <v>15</v>
      </c>
      <c r="C62" s="3">
        <v>1851.2</v>
      </c>
      <c r="D62" s="3">
        <v>1900.3</v>
      </c>
      <c r="E62" s="3">
        <v>1848.1</v>
      </c>
      <c r="F62" s="3">
        <v>1867.6</v>
      </c>
      <c r="G62" s="3">
        <v>1896.9</v>
      </c>
      <c r="H62" s="3">
        <v>1896.7</v>
      </c>
      <c r="I62" s="3">
        <v>1880.95</v>
      </c>
      <c r="J62" s="3">
        <v>2045.8</v>
      </c>
      <c r="K62" s="3">
        <v>1511</v>
      </c>
      <c r="L62" s="2">
        <v>5828332</v>
      </c>
      <c r="M62" s="2">
        <v>10962776533</v>
      </c>
      <c r="N62" s="2">
        <v>177774</v>
      </c>
      <c r="O62" t="s">
        <v>16</v>
      </c>
      <c r="P62" s="8">
        <f t="shared" si="0"/>
        <v>16.399999999999864</v>
      </c>
      <c r="Q62" t="s">
        <v>37</v>
      </c>
      <c r="R62">
        <f t="shared" si="1"/>
        <v>10</v>
      </c>
      <c r="S62" t="str">
        <f t="shared" si="2"/>
        <v>Oct</v>
      </c>
      <c r="T62" s="9">
        <f>VLOOKUP(O62, Annual_Summary!A:B, 2, 0)</f>
        <v>0.31954628062919088</v>
      </c>
    </row>
    <row r="63" spans="1:20" x14ac:dyDescent="0.3">
      <c r="A63" s="1">
        <v>45931</v>
      </c>
      <c r="B63" t="s">
        <v>15</v>
      </c>
      <c r="C63" s="3">
        <v>1868</v>
      </c>
      <c r="D63" s="3">
        <v>1877</v>
      </c>
      <c r="E63" s="3">
        <v>1855.9</v>
      </c>
      <c r="F63" s="3">
        <v>1878.4</v>
      </c>
      <c r="G63" s="3">
        <v>1869.5</v>
      </c>
      <c r="H63" s="3">
        <v>1867.6</v>
      </c>
      <c r="I63" s="3">
        <v>1866.91</v>
      </c>
      <c r="J63" s="3">
        <v>2045.8</v>
      </c>
      <c r="K63" s="3">
        <v>1511</v>
      </c>
      <c r="L63" s="2">
        <v>5675393</v>
      </c>
      <c r="M63" s="2">
        <v>10595421987.799999</v>
      </c>
      <c r="N63" s="2">
        <v>158923</v>
      </c>
      <c r="O63" t="s">
        <v>16</v>
      </c>
      <c r="P63" s="8">
        <f t="shared" si="0"/>
        <v>10.400000000000091</v>
      </c>
      <c r="Q63" t="s">
        <v>37</v>
      </c>
      <c r="R63">
        <f t="shared" si="1"/>
        <v>10</v>
      </c>
      <c r="S63" t="str">
        <f t="shared" si="2"/>
        <v>Oct</v>
      </c>
      <c r="T63" s="9">
        <f>VLOOKUP(O63, Annual_Summary!A:B, 2, 0)</f>
        <v>0.31954628062919088</v>
      </c>
    </row>
    <row r="64" spans="1:20" x14ac:dyDescent="0.3">
      <c r="A64" s="1">
        <v>45930</v>
      </c>
      <c r="B64" t="s">
        <v>15</v>
      </c>
      <c r="C64" s="3">
        <v>1896</v>
      </c>
      <c r="D64" s="3">
        <v>1907.6</v>
      </c>
      <c r="E64" s="3">
        <v>1875.2</v>
      </c>
      <c r="F64" s="3">
        <v>1902.2</v>
      </c>
      <c r="G64" s="3">
        <v>1883</v>
      </c>
      <c r="H64" s="3">
        <v>1878.4</v>
      </c>
      <c r="I64" s="3">
        <v>1886.43</v>
      </c>
      <c r="J64" s="3">
        <v>2045.8</v>
      </c>
      <c r="K64" s="3">
        <v>1511</v>
      </c>
      <c r="L64" s="2">
        <v>5945625</v>
      </c>
      <c r="M64" s="2">
        <v>11216008469.799999</v>
      </c>
      <c r="N64" s="2">
        <v>191554</v>
      </c>
      <c r="O64" t="s">
        <v>16</v>
      </c>
      <c r="P64" s="8">
        <f t="shared" si="0"/>
        <v>6.2000000000000455</v>
      </c>
      <c r="Q64" t="s">
        <v>37</v>
      </c>
      <c r="R64">
        <f t="shared" si="1"/>
        <v>9</v>
      </c>
      <c r="S64" t="str">
        <f t="shared" si="2"/>
        <v>Sep</v>
      </c>
      <c r="T64" s="9">
        <f>VLOOKUP(O64, Annual_Summary!A:B, 2, 0)</f>
        <v>0.31954628062919088</v>
      </c>
    </row>
    <row r="65" spans="1:20" x14ac:dyDescent="0.3">
      <c r="A65" s="1">
        <v>45929</v>
      </c>
      <c r="B65" t="s">
        <v>15</v>
      </c>
      <c r="C65" s="3">
        <v>1928</v>
      </c>
      <c r="D65" s="3">
        <v>1928</v>
      </c>
      <c r="E65" s="3">
        <v>1897.5</v>
      </c>
      <c r="F65" s="3">
        <v>1916.6</v>
      </c>
      <c r="G65" s="3">
        <v>1906.5</v>
      </c>
      <c r="H65" s="3">
        <v>1902.2</v>
      </c>
      <c r="I65" s="3">
        <v>1908.52</v>
      </c>
      <c r="J65" s="3">
        <v>2045.8</v>
      </c>
      <c r="K65" s="3">
        <v>1511</v>
      </c>
      <c r="L65" s="2">
        <v>5072608</v>
      </c>
      <c r="M65" s="2">
        <v>9681198593.5</v>
      </c>
      <c r="N65" s="2">
        <v>152642</v>
      </c>
      <c r="O65" t="s">
        <v>16</v>
      </c>
      <c r="P65" s="8">
        <f t="shared" si="0"/>
        <v>-11.400000000000091</v>
      </c>
      <c r="Q65" t="s">
        <v>37</v>
      </c>
      <c r="R65">
        <f t="shared" si="1"/>
        <v>9</v>
      </c>
      <c r="S65" t="str">
        <f t="shared" si="2"/>
        <v>Sep</v>
      </c>
      <c r="T65" s="9">
        <f>VLOOKUP(O65, Annual_Summary!A:B, 2, 0)</f>
        <v>0.31954628062919088</v>
      </c>
    </row>
    <row r="66" spans="1:20" x14ac:dyDescent="0.3">
      <c r="A66" s="1">
        <v>45926</v>
      </c>
      <c r="B66" t="s">
        <v>15</v>
      </c>
      <c r="C66" s="3">
        <v>1931.1</v>
      </c>
      <c r="D66" s="3">
        <v>1944.7</v>
      </c>
      <c r="E66" s="3">
        <v>1911.9</v>
      </c>
      <c r="F66" s="3">
        <v>1935.6</v>
      </c>
      <c r="G66" s="3">
        <v>1915.4</v>
      </c>
      <c r="H66" s="3">
        <v>1916.6</v>
      </c>
      <c r="I66" s="3">
        <v>1922.81</v>
      </c>
      <c r="J66" s="3">
        <v>2045.8</v>
      </c>
      <c r="K66" s="3">
        <v>1511</v>
      </c>
      <c r="L66" s="2">
        <v>3239306</v>
      </c>
      <c r="M66" s="2">
        <v>6228584260.6999998</v>
      </c>
      <c r="N66" s="2">
        <v>139233</v>
      </c>
      <c r="O66" t="s">
        <v>16</v>
      </c>
      <c r="P66" s="8">
        <f t="shared" si="0"/>
        <v>4.5</v>
      </c>
      <c r="Q66" t="s">
        <v>37</v>
      </c>
      <c r="R66">
        <f t="shared" si="1"/>
        <v>9</v>
      </c>
      <c r="S66" t="str">
        <f t="shared" si="2"/>
        <v>Sep</v>
      </c>
      <c r="T66" s="9">
        <f>VLOOKUP(O66, Annual_Summary!A:B, 2, 0)</f>
        <v>0.31954628062919088</v>
      </c>
    </row>
    <row r="67" spans="1:20" x14ac:dyDescent="0.3">
      <c r="A67" s="1">
        <v>45925</v>
      </c>
      <c r="B67" t="s">
        <v>15</v>
      </c>
      <c r="C67" s="3">
        <v>1930</v>
      </c>
      <c r="D67" s="3">
        <v>1950</v>
      </c>
      <c r="E67" s="3">
        <v>1928.8</v>
      </c>
      <c r="F67" s="3">
        <v>1931.1</v>
      </c>
      <c r="G67" s="3">
        <v>1935</v>
      </c>
      <c r="H67" s="3">
        <v>1935.6</v>
      </c>
      <c r="I67" s="3">
        <v>1940.12</v>
      </c>
      <c r="J67" s="3">
        <v>2045.8</v>
      </c>
      <c r="K67" s="3">
        <v>1511</v>
      </c>
      <c r="L67" s="2">
        <v>7133365</v>
      </c>
      <c r="M67" s="2">
        <v>13839559461.200001</v>
      </c>
      <c r="N67" s="2">
        <v>157177</v>
      </c>
      <c r="O67" t="s">
        <v>16</v>
      </c>
      <c r="P67" s="8">
        <f t="shared" ref="P67:P130" si="3">F67-C67</f>
        <v>1.0999999999999091</v>
      </c>
      <c r="Q67" t="s">
        <v>37</v>
      </c>
      <c r="R67">
        <f t="shared" ref="R67:R130" si="4">MONTH(A67)</f>
        <v>9</v>
      </c>
      <c r="S67" t="str">
        <f t="shared" ref="S67:S130" si="5">TEXT(A67,"mmm")</f>
        <v>Sep</v>
      </c>
      <c r="T67" s="9">
        <f>VLOOKUP(O67, Annual_Summary!A:B, 2, 0)</f>
        <v>0.31954628062919088</v>
      </c>
    </row>
    <row r="68" spans="1:20" x14ac:dyDescent="0.3">
      <c r="A68" s="1">
        <v>45924</v>
      </c>
      <c r="B68" t="s">
        <v>15</v>
      </c>
      <c r="C68" s="3">
        <v>1926</v>
      </c>
      <c r="D68" s="3">
        <v>1937.3</v>
      </c>
      <c r="E68" s="3">
        <v>1918.8</v>
      </c>
      <c r="F68" s="3">
        <v>1938.7</v>
      </c>
      <c r="G68" s="3">
        <v>1936</v>
      </c>
      <c r="H68" s="3">
        <v>1931.1</v>
      </c>
      <c r="I68" s="3">
        <v>1927.43</v>
      </c>
      <c r="J68" s="3">
        <v>2045.8</v>
      </c>
      <c r="K68" s="3">
        <v>1511</v>
      </c>
      <c r="L68" s="2">
        <v>5237977</v>
      </c>
      <c r="M68" s="2">
        <v>10095835192.1</v>
      </c>
      <c r="N68" s="2">
        <v>117702</v>
      </c>
      <c r="O68" t="s">
        <v>16</v>
      </c>
      <c r="P68" s="8">
        <f t="shared" si="3"/>
        <v>12.700000000000045</v>
      </c>
      <c r="Q68" t="s">
        <v>37</v>
      </c>
      <c r="R68">
        <f t="shared" si="4"/>
        <v>9</v>
      </c>
      <c r="S68" t="str">
        <f t="shared" si="5"/>
        <v>Sep</v>
      </c>
      <c r="T68" s="9">
        <f>VLOOKUP(O68, Annual_Summary!A:B, 2, 0)</f>
        <v>0.31954628062919088</v>
      </c>
    </row>
    <row r="69" spans="1:20" x14ac:dyDescent="0.3">
      <c r="A69" s="1">
        <v>45923</v>
      </c>
      <c r="B69" t="s">
        <v>15</v>
      </c>
      <c r="C69" s="3">
        <v>1950</v>
      </c>
      <c r="D69" s="3">
        <v>1955</v>
      </c>
      <c r="E69" s="3">
        <v>1930.1</v>
      </c>
      <c r="F69" s="3">
        <v>1956.2</v>
      </c>
      <c r="G69" s="3">
        <v>1939.5</v>
      </c>
      <c r="H69" s="3">
        <v>1938.7</v>
      </c>
      <c r="I69" s="3">
        <v>1941.04</v>
      </c>
      <c r="J69" s="3">
        <v>2045.8</v>
      </c>
      <c r="K69" s="3">
        <v>1511</v>
      </c>
      <c r="L69" s="2">
        <v>4348633</v>
      </c>
      <c r="M69" s="2">
        <v>8440872959.3999996</v>
      </c>
      <c r="N69" s="2">
        <v>112057</v>
      </c>
      <c r="O69" t="s">
        <v>16</v>
      </c>
      <c r="P69" s="8">
        <f t="shared" si="3"/>
        <v>6.2000000000000455</v>
      </c>
      <c r="Q69" t="s">
        <v>37</v>
      </c>
      <c r="R69">
        <f t="shared" si="4"/>
        <v>9</v>
      </c>
      <c r="S69" t="str">
        <f t="shared" si="5"/>
        <v>Sep</v>
      </c>
      <c r="T69" s="9">
        <f>VLOOKUP(O69, Annual_Summary!A:B, 2, 0)</f>
        <v>0.31954628062919088</v>
      </c>
    </row>
    <row r="70" spans="1:20" x14ac:dyDescent="0.3">
      <c r="A70" s="1">
        <v>45922</v>
      </c>
      <c r="B70" t="s">
        <v>15</v>
      </c>
      <c r="C70" s="3">
        <v>1954</v>
      </c>
      <c r="D70" s="3">
        <v>1966</v>
      </c>
      <c r="E70" s="3">
        <v>1944</v>
      </c>
      <c r="F70" s="3">
        <v>1962.4</v>
      </c>
      <c r="G70" s="3">
        <v>1956</v>
      </c>
      <c r="H70" s="3">
        <v>1956.2</v>
      </c>
      <c r="I70" s="3">
        <v>1956.29</v>
      </c>
      <c r="J70" s="3">
        <v>2045.8</v>
      </c>
      <c r="K70" s="3">
        <v>1511</v>
      </c>
      <c r="L70" s="2">
        <v>4469137</v>
      </c>
      <c r="M70" s="2">
        <v>8742910725.5</v>
      </c>
      <c r="N70" s="2">
        <v>112539</v>
      </c>
      <c r="O70" t="s">
        <v>16</v>
      </c>
      <c r="P70" s="8">
        <f t="shared" si="3"/>
        <v>8.4000000000000909</v>
      </c>
      <c r="Q70" t="s">
        <v>37</v>
      </c>
      <c r="R70">
        <f t="shared" si="4"/>
        <v>9</v>
      </c>
      <c r="S70" t="str">
        <f t="shared" si="5"/>
        <v>Sep</v>
      </c>
      <c r="T70" s="9">
        <f>VLOOKUP(O70, Annual_Summary!A:B, 2, 0)</f>
        <v>0.31954628062919088</v>
      </c>
    </row>
    <row r="71" spans="1:20" x14ac:dyDescent="0.3">
      <c r="A71" s="1">
        <v>45919</v>
      </c>
      <c r="B71" t="s">
        <v>15</v>
      </c>
      <c r="C71" s="3">
        <v>1930.2</v>
      </c>
      <c r="D71" s="3">
        <v>1976.8</v>
      </c>
      <c r="E71" s="3">
        <v>1927.8</v>
      </c>
      <c r="F71" s="3">
        <v>1941.1</v>
      </c>
      <c r="G71" s="3">
        <v>1959.9</v>
      </c>
      <c r="H71" s="3">
        <v>1962.4</v>
      </c>
      <c r="I71" s="3">
        <v>1954.25</v>
      </c>
      <c r="J71" s="3">
        <v>2045.8</v>
      </c>
      <c r="K71" s="3">
        <v>1511</v>
      </c>
      <c r="L71" s="2">
        <v>11287603</v>
      </c>
      <c r="M71" s="2">
        <v>22058814337.5</v>
      </c>
      <c r="N71" s="2">
        <v>152101</v>
      </c>
      <c r="O71" t="s">
        <v>16</v>
      </c>
      <c r="P71" s="8">
        <f t="shared" si="3"/>
        <v>10.899999999999864</v>
      </c>
      <c r="Q71" t="s">
        <v>37</v>
      </c>
      <c r="R71">
        <f t="shared" si="4"/>
        <v>9</v>
      </c>
      <c r="S71" t="str">
        <f t="shared" si="5"/>
        <v>Sep</v>
      </c>
      <c r="T71" s="9">
        <f>VLOOKUP(O71, Annual_Summary!A:B, 2, 0)</f>
        <v>0.31954628062919088</v>
      </c>
    </row>
    <row r="72" spans="1:20" x14ac:dyDescent="0.3">
      <c r="A72" s="1">
        <v>45918</v>
      </c>
      <c r="B72" t="s">
        <v>15</v>
      </c>
      <c r="C72" s="3">
        <v>1944.5</v>
      </c>
      <c r="D72" s="3">
        <v>1949.8</v>
      </c>
      <c r="E72" s="3">
        <v>1920.5</v>
      </c>
      <c r="F72" s="3">
        <v>1941.3</v>
      </c>
      <c r="G72" s="3">
        <v>1938.1</v>
      </c>
      <c r="H72" s="3">
        <v>1941.1</v>
      </c>
      <c r="I72" s="3">
        <v>1937.97</v>
      </c>
      <c r="J72" s="3">
        <v>2045.8</v>
      </c>
      <c r="K72" s="3">
        <v>1511</v>
      </c>
      <c r="L72" s="2">
        <v>5080814</v>
      </c>
      <c r="M72" s="2">
        <v>9846443250.2000008</v>
      </c>
      <c r="N72" s="2">
        <v>194124</v>
      </c>
      <c r="O72" t="s">
        <v>16</v>
      </c>
      <c r="P72" s="8">
        <f t="shared" si="3"/>
        <v>-3.2000000000000455</v>
      </c>
      <c r="Q72" t="s">
        <v>37</v>
      </c>
      <c r="R72">
        <f t="shared" si="4"/>
        <v>9</v>
      </c>
      <c r="S72" t="str">
        <f t="shared" si="5"/>
        <v>Sep</v>
      </c>
      <c r="T72" s="9">
        <f>VLOOKUP(O72, Annual_Summary!A:B, 2, 0)</f>
        <v>0.31954628062919088</v>
      </c>
    </row>
    <row r="73" spans="1:20" x14ac:dyDescent="0.3">
      <c r="A73" s="1">
        <v>45917</v>
      </c>
      <c r="B73" t="s">
        <v>15</v>
      </c>
      <c r="C73" s="3">
        <v>1938.1</v>
      </c>
      <c r="D73" s="3">
        <v>1950.1</v>
      </c>
      <c r="E73" s="3">
        <v>1932.6</v>
      </c>
      <c r="F73" s="3">
        <v>1939.5</v>
      </c>
      <c r="G73" s="3">
        <v>1940.5</v>
      </c>
      <c r="H73" s="3">
        <v>1941.3</v>
      </c>
      <c r="I73" s="3">
        <v>1943.07</v>
      </c>
      <c r="J73" s="3">
        <v>2045.8</v>
      </c>
      <c r="K73" s="3">
        <v>1511</v>
      </c>
      <c r="L73" s="2">
        <v>4234637</v>
      </c>
      <c r="M73" s="2">
        <v>8228211139.5</v>
      </c>
      <c r="N73" s="2">
        <v>137019</v>
      </c>
      <c r="O73" t="s">
        <v>16</v>
      </c>
      <c r="P73" s="8">
        <f t="shared" si="3"/>
        <v>1.4000000000000909</v>
      </c>
      <c r="Q73" t="s">
        <v>37</v>
      </c>
      <c r="R73">
        <f t="shared" si="4"/>
        <v>9</v>
      </c>
      <c r="S73" t="str">
        <f t="shared" si="5"/>
        <v>Sep</v>
      </c>
      <c r="T73" s="9">
        <f>VLOOKUP(O73, Annual_Summary!A:B, 2, 0)</f>
        <v>0.31954628062919088</v>
      </c>
    </row>
    <row r="74" spans="1:20" x14ac:dyDescent="0.3">
      <c r="A74" s="1">
        <v>45916</v>
      </c>
      <c r="B74" t="s">
        <v>15</v>
      </c>
      <c r="C74" s="3">
        <v>1903.3</v>
      </c>
      <c r="D74" s="3">
        <v>1942</v>
      </c>
      <c r="E74" s="3">
        <v>1902.5</v>
      </c>
      <c r="F74" s="3">
        <v>1904.5</v>
      </c>
      <c r="G74" s="3">
        <v>1942</v>
      </c>
      <c r="H74" s="3">
        <v>1939.5</v>
      </c>
      <c r="I74" s="3">
        <v>1929.77</v>
      </c>
      <c r="J74" s="3">
        <v>2045.8</v>
      </c>
      <c r="K74" s="3">
        <v>1511</v>
      </c>
      <c r="L74" s="2">
        <v>5427586</v>
      </c>
      <c r="M74" s="2">
        <v>10473975256.4</v>
      </c>
      <c r="N74" s="2">
        <v>121211</v>
      </c>
      <c r="O74" t="s">
        <v>16</v>
      </c>
      <c r="P74" s="8">
        <f t="shared" si="3"/>
        <v>1.2000000000000455</v>
      </c>
      <c r="Q74" t="s">
        <v>37</v>
      </c>
      <c r="R74">
        <f t="shared" si="4"/>
        <v>9</v>
      </c>
      <c r="S74" t="str">
        <f t="shared" si="5"/>
        <v>Sep</v>
      </c>
      <c r="T74" s="9">
        <f>VLOOKUP(O74, Annual_Summary!A:B, 2, 0)</f>
        <v>0.31954628062919088</v>
      </c>
    </row>
    <row r="75" spans="1:20" x14ac:dyDescent="0.3">
      <c r="A75" s="1">
        <v>45915</v>
      </c>
      <c r="B75" t="s">
        <v>15</v>
      </c>
      <c r="C75" s="3">
        <v>1904</v>
      </c>
      <c r="D75" s="3">
        <v>1913</v>
      </c>
      <c r="E75" s="3">
        <v>1898.4</v>
      </c>
      <c r="F75" s="3">
        <v>1902.6</v>
      </c>
      <c r="G75" s="3">
        <v>1907.4</v>
      </c>
      <c r="H75" s="3">
        <v>1904.5</v>
      </c>
      <c r="I75" s="3">
        <v>1904.17</v>
      </c>
      <c r="J75" s="3">
        <v>2045.8</v>
      </c>
      <c r="K75" s="3">
        <v>1511</v>
      </c>
      <c r="L75" s="2">
        <v>3553258</v>
      </c>
      <c r="M75" s="2">
        <v>6766007905</v>
      </c>
      <c r="N75" s="2">
        <v>132537</v>
      </c>
      <c r="O75" t="s">
        <v>16</v>
      </c>
      <c r="P75" s="8">
        <f t="shared" si="3"/>
        <v>-1.4000000000000909</v>
      </c>
      <c r="Q75" t="s">
        <v>37</v>
      </c>
      <c r="R75">
        <f t="shared" si="4"/>
        <v>9</v>
      </c>
      <c r="S75" t="str">
        <f t="shared" si="5"/>
        <v>Sep</v>
      </c>
      <c r="T75" s="9">
        <f>VLOOKUP(O75, Annual_Summary!A:B, 2, 0)</f>
        <v>0.31954628062919088</v>
      </c>
    </row>
    <row r="76" spans="1:20" x14ac:dyDescent="0.3">
      <c r="A76" s="1">
        <v>45912</v>
      </c>
      <c r="B76" t="s">
        <v>15</v>
      </c>
      <c r="C76" s="3">
        <v>1925</v>
      </c>
      <c r="D76" s="3">
        <v>1925</v>
      </c>
      <c r="E76" s="3">
        <v>1901.6</v>
      </c>
      <c r="F76" s="3">
        <v>1913</v>
      </c>
      <c r="G76" s="3">
        <v>1903.7</v>
      </c>
      <c r="H76" s="3">
        <v>1902.6</v>
      </c>
      <c r="I76" s="3">
        <v>1911.24</v>
      </c>
      <c r="J76" s="3">
        <v>2045.8</v>
      </c>
      <c r="K76" s="3">
        <v>1511</v>
      </c>
      <c r="L76" s="2">
        <v>3192824</v>
      </c>
      <c r="M76" s="2">
        <v>6102258824.1000004</v>
      </c>
      <c r="N76" s="2">
        <v>93480</v>
      </c>
      <c r="O76" t="s">
        <v>16</v>
      </c>
      <c r="P76" s="8">
        <f t="shared" si="3"/>
        <v>-12</v>
      </c>
      <c r="Q76" t="s">
        <v>37</v>
      </c>
      <c r="R76">
        <f t="shared" si="4"/>
        <v>9</v>
      </c>
      <c r="S76" t="str">
        <f t="shared" si="5"/>
        <v>Sep</v>
      </c>
      <c r="T76" s="9">
        <f>VLOOKUP(O76, Annual_Summary!A:B, 2, 0)</f>
        <v>0.31954628062919088</v>
      </c>
    </row>
    <row r="77" spans="1:20" x14ac:dyDescent="0.3">
      <c r="A77" s="1">
        <v>45911</v>
      </c>
      <c r="B77" t="s">
        <v>15</v>
      </c>
      <c r="C77" s="3">
        <v>1884</v>
      </c>
      <c r="D77" s="3">
        <v>1916</v>
      </c>
      <c r="E77" s="3">
        <v>1882.1</v>
      </c>
      <c r="F77" s="3">
        <v>1891.4</v>
      </c>
      <c r="G77" s="3">
        <v>1914.2</v>
      </c>
      <c r="H77" s="3">
        <v>1913</v>
      </c>
      <c r="I77" s="3">
        <v>1903.7</v>
      </c>
      <c r="J77" s="3">
        <v>2045.8</v>
      </c>
      <c r="K77" s="3">
        <v>1511</v>
      </c>
      <c r="L77" s="2">
        <v>4718266</v>
      </c>
      <c r="M77" s="2">
        <v>8982164743.1000004</v>
      </c>
      <c r="N77" s="2">
        <v>146936</v>
      </c>
      <c r="O77" t="s">
        <v>16</v>
      </c>
      <c r="P77" s="8">
        <f t="shared" si="3"/>
        <v>7.4000000000000909</v>
      </c>
      <c r="Q77" t="s">
        <v>37</v>
      </c>
      <c r="R77">
        <f t="shared" si="4"/>
        <v>9</v>
      </c>
      <c r="S77" t="str">
        <f t="shared" si="5"/>
        <v>Sep</v>
      </c>
      <c r="T77" s="9">
        <f>VLOOKUP(O77, Annual_Summary!A:B, 2, 0)</f>
        <v>0.31954628062919088</v>
      </c>
    </row>
    <row r="78" spans="1:20" x14ac:dyDescent="0.3">
      <c r="A78" s="1">
        <v>45910</v>
      </c>
      <c r="B78" t="s">
        <v>15</v>
      </c>
      <c r="C78" s="3">
        <v>1904</v>
      </c>
      <c r="D78" s="3">
        <v>1905</v>
      </c>
      <c r="E78" s="3">
        <v>1883</v>
      </c>
      <c r="F78" s="3">
        <v>1893.7</v>
      </c>
      <c r="G78" s="3">
        <v>1893.9</v>
      </c>
      <c r="H78" s="3">
        <v>1891.4</v>
      </c>
      <c r="I78" s="3">
        <v>1892.22</v>
      </c>
      <c r="J78" s="3">
        <v>2045.8</v>
      </c>
      <c r="K78" s="3">
        <v>1511</v>
      </c>
      <c r="L78" s="2">
        <v>3566139</v>
      </c>
      <c r="M78" s="2">
        <v>6747922521.3999996</v>
      </c>
      <c r="N78" s="2">
        <v>132980</v>
      </c>
      <c r="O78" t="s">
        <v>16</v>
      </c>
      <c r="P78" s="8">
        <f t="shared" si="3"/>
        <v>-10.299999999999955</v>
      </c>
      <c r="Q78" t="s">
        <v>37</v>
      </c>
      <c r="R78">
        <f t="shared" si="4"/>
        <v>9</v>
      </c>
      <c r="S78" t="str">
        <f t="shared" si="5"/>
        <v>Sep</v>
      </c>
      <c r="T78" s="9">
        <f>VLOOKUP(O78, Annual_Summary!A:B, 2, 0)</f>
        <v>0.31954628062919088</v>
      </c>
    </row>
    <row r="79" spans="1:20" x14ac:dyDescent="0.3">
      <c r="A79" s="1">
        <v>45909</v>
      </c>
      <c r="B79" t="s">
        <v>15</v>
      </c>
      <c r="C79" s="3">
        <v>1892</v>
      </c>
      <c r="D79" s="3">
        <v>1904</v>
      </c>
      <c r="E79" s="3">
        <v>1883</v>
      </c>
      <c r="F79" s="3">
        <v>1887.7</v>
      </c>
      <c r="G79" s="3">
        <v>1893</v>
      </c>
      <c r="H79" s="3">
        <v>1893.7</v>
      </c>
      <c r="I79" s="3">
        <v>1893.29</v>
      </c>
      <c r="J79" s="3">
        <v>2045.8</v>
      </c>
      <c r="K79" s="3">
        <v>1511</v>
      </c>
      <c r="L79" s="2">
        <v>4517793</v>
      </c>
      <c r="M79" s="2">
        <v>8553498311.1999998</v>
      </c>
      <c r="N79" s="2">
        <v>135596</v>
      </c>
      <c r="O79" t="s">
        <v>16</v>
      </c>
      <c r="P79" s="8">
        <f t="shared" si="3"/>
        <v>-4.2999999999999545</v>
      </c>
      <c r="Q79" t="s">
        <v>37</v>
      </c>
      <c r="R79">
        <f t="shared" si="4"/>
        <v>9</v>
      </c>
      <c r="S79" t="str">
        <f t="shared" si="5"/>
        <v>Sep</v>
      </c>
      <c r="T79" s="9">
        <f>VLOOKUP(O79, Annual_Summary!A:B, 2, 0)</f>
        <v>0.31954628062919088</v>
      </c>
    </row>
    <row r="80" spans="1:20" x14ac:dyDescent="0.3">
      <c r="A80" s="1">
        <v>45908</v>
      </c>
      <c r="B80" t="s">
        <v>15</v>
      </c>
      <c r="C80" s="3">
        <v>1898</v>
      </c>
      <c r="D80" s="3">
        <v>1899</v>
      </c>
      <c r="E80" s="3">
        <v>1884.1</v>
      </c>
      <c r="F80" s="3">
        <v>1895.3</v>
      </c>
      <c r="G80" s="3">
        <v>1886</v>
      </c>
      <c r="H80" s="3">
        <v>1887.7</v>
      </c>
      <c r="I80" s="3">
        <v>1890.94</v>
      </c>
      <c r="J80" s="3">
        <v>2045.8</v>
      </c>
      <c r="K80" s="3">
        <v>1511</v>
      </c>
      <c r="L80" s="2">
        <v>2547552</v>
      </c>
      <c r="M80" s="2">
        <v>4817259823.5</v>
      </c>
      <c r="N80" s="2">
        <v>97251</v>
      </c>
      <c r="O80" t="s">
        <v>16</v>
      </c>
      <c r="P80" s="8">
        <f t="shared" si="3"/>
        <v>-2.7000000000000455</v>
      </c>
      <c r="Q80" t="s">
        <v>37</v>
      </c>
      <c r="R80">
        <f t="shared" si="4"/>
        <v>9</v>
      </c>
      <c r="S80" t="str">
        <f t="shared" si="5"/>
        <v>Sep</v>
      </c>
      <c r="T80" s="9">
        <f>VLOOKUP(O80, Annual_Summary!A:B, 2, 0)</f>
        <v>0.31954628062919088</v>
      </c>
    </row>
    <row r="81" spans="1:20" x14ac:dyDescent="0.3">
      <c r="A81" s="1">
        <v>45905</v>
      </c>
      <c r="B81" t="s">
        <v>15</v>
      </c>
      <c r="C81" s="3">
        <v>1887</v>
      </c>
      <c r="D81" s="3">
        <v>1910.7</v>
      </c>
      <c r="E81" s="3">
        <v>1875.7</v>
      </c>
      <c r="F81" s="3">
        <v>1880.4</v>
      </c>
      <c r="G81" s="3">
        <v>1894</v>
      </c>
      <c r="H81" s="3">
        <v>1895.3</v>
      </c>
      <c r="I81" s="3">
        <v>1893.4</v>
      </c>
      <c r="J81" s="3">
        <v>2045.8</v>
      </c>
      <c r="K81" s="3">
        <v>1511</v>
      </c>
      <c r="L81" s="2">
        <v>2620140</v>
      </c>
      <c r="M81" s="2">
        <v>4960971727.3000002</v>
      </c>
      <c r="N81" s="2">
        <v>87681</v>
      </c>
      <c r="O81" t="s">
        <v>16</v>
      </c>
      <c r="P81" s="8">
        <f t="shared" si="3"/>
        <v>-6.5999999999999091</v>
      </c>
      <c r="Q81" t="s">
        <v>37</v>
      </c>
      <c r="R81">
        <f t="shared" si="4"/>
        <v>9</v>
      </c>
      <c r="S81" t="str">
        <f t="shared" si="5"/>
        <v>Sep</v>
      </c>
      <c r="T81" s="9">
        <f>VLOOKUP(O81, Annual_Summary!A:B, 2, 0)</f>
        <v>0.31954628062919088</v>
      </c>
    </row>
    <row r="82" spans="1:20" x14ac:dyDescent="0.3">
      <c r="A82" s="1">
        <v>45904</v>
      </c>
      <c r="B82" t="s">
        <v>15</v>
      </c>
      <c r="C82" s="3">
        <v>1899</v>
      </c>
      <c r="D82" s="3">
        <v>1903.5</v>
      </c>
      <c r="E82" s="3">
        <v>1876.6</v>
      </c>
      <c r="F82" s="3">
        <v>1883.9</v>
      </c>
      <c r="G82" s="3">
        <v>1879.8</v>
      </c>
      <c r="H82" s="3">
        <v>1880.4</v>
      </c>
      <c r="I82" s="3">
        <v>1883.68</v>
      </c>
      <c r="J82" s="3">
        <v>2045.8</v>
      </c>
      <c r="K82" s="3">
        <v>1511</v>
      </c>
      <c r="L82" s="2">
        <v>5205333</v>
      </c>
      <c r="M82" s="2">
        <v>9805202617.5</v>
      </c>
      <c r="N82" s="2">
        <v>142962</v>
      </c>
      <c r="O82" t="s">
        <v>16</v>
      </c>
      <c r="P82" s="8">
        <f t="shared" si="3"/>
        <v>-15.099999999999909</v>
      </c>
      <c r="Q82" t="s">
        <v>37</v>
      </c>
      <c r="R82">
        <f t="shared" si="4"/>
        <v>9</v>
      </c>
      <c r="S82" t="str">
        <f t="shared" si="5"/>
        <v>Sep</v>
      </c>
      <c r="T82" s="9">
        <f>VLOOKUP(O82, Annual_Summary!A:B, 2, 0)</f>
        <v>0.31954628062919088</v>
      </c>
    </row>
    <row r="83" spans="1:20" x14ac:dyDescent="0.3">
      <c r="A83" s="1">
        <v>45903</v>
      </c>
      <c r="B83" t="s">
        <v>15</v>
      </c>
      <c r="C83" s="3">
        <v>1891</v>
      </c>
      <c r="D83" s="3">
        <v>1892.1</v>
      </c>
      <c r="E83" s="3">
        <v>1870</v>
      </c>
      <c r="F83" s="3">
        <v>1887.2</v>
      </c>
      <c r="G83" s="3">
        <v>1882.8</v>
      </c>
      <c r="H83" s="3">
        <v>1883.9</v>
      </c>
      <c r="I83" s="3">
        <v>1880.41</v>
      </c>
      <c r="J83" s="3">
        <v>2045.8</v>
      </c>
      <c r="K83" s="3">
        <v>1511</v>
      </c>
      <c r="L83" s="2">
        <v>3803044</v>
      </c>
      <c r="M83" s="2">
        <v>7151267254.5</v>
      </c>
      <c r="N83" s="2">
        <v>179727</v>
      </c>
      <c r="O83" t="s">
        <v>16</v>
      </c>
      <c r="P83" s="8">
        <f t="shared" si="3"/>
        <v>-3.7999999999999545</v>
      </c>
      <c r="Q83" t="s">
        <v>37</v>
      </c>
      <c r="R83">
        <f t="shared" si="4"/>
        <v>9</v>
      </c>
      <c r="S83" t="str">
        <f t="shared" si="5"/>
        <v>Sep</v>
      </c>
      <c r="T83" s="9">
        <f>VLOOKUP(O83, Annual_Summary!A:B, 2, 0)</f>
        <v>0.31954628062919088</v>
      </c>
    </row>
    <row r="84" spans="1:20" x14ac:dyDescent="0.3">
      <c r="A84" s="1">
        <v>45902</v>
      </c>
      <c r="B84" t="s">
        <v>15</v>
      </c>
      <c r="C84" s="3">
        <v>1904.5</v>
      </c>
      <c r="D84" s="3">
        <v>1917.5</v>
      </c>
      <c r="E84" s="3">
        <v>1878</v>
      </c>
      <c r="F84" s="3">
        <v>1900.6</v>
      </c>
      <c r="G84" s="3">
        <v>1888.7</v>
      </c>
      <c r="H84" s="3">
        <v>1887.2</v>
      </c>
      <c r="I84" s="3">
        <v>1894.19</v>
      </c>
      <c r="J84" s="3">
        <v>2045.8</v>
      </c>
      <c r="K84" s="3">
        <v>1511</v>
      </c>
      <c r="L84" s="2">
        <v>4423049</v>
      </c>
      <c r="M84" s="2">
        <v>8378097503.1999998</v>
      </c>
      <c r="N84" s="2">
        <v>168727</v>
      </c>
      <c r="O84" t="s">
        <v>16</v>
      </c>
      <c r="P84" s="8">
        <f t="shared" si="3"/>
        <v>-3.9000000000000909</v>
      </c>
      <c r="Q84" t="s">
        <v>37</v>
      </c>
      <c r="R84">
        <f t="shared" si="4"/>
        <v>9</v>
      </c>
      <c r="S84" t="str">
        <f t="shared" si="5"/>
        <v>Sep</v>
      </c>
      <c r="T84" s="9">
        <f>VLOOKUP(O84, Annual_Summary!A:B, 2, 0)</f>
        <v>0.31954628062919088</v>
      </c>
    </row>
    <row r="85" spans="1:20" x14ac:dyDescent="0.3">
      <c r="A85" s="1">
        <v>45901</v>
      </c>
      <c r="B85" t="s">
        <v>15</v>
      </c>
      <c r="C85" s="3">
        <v>1889</v>
      </c>
      <c r="D85" s="3">
        <v>1904.8</v>
      </c>
      <c r="E85" s="3">
        <v>1884.2</v>
      </c>
      <c r="F85" s="3">
        <v>1888.8</v>
      </c>
      <c r="G85" s="3">
        <v>1900.5</v>
      </c>
      <c r="H85" s="3">
        <v>1900.6</v>
      </c>
      <c r="I85" s="3">
        <v>1896.74</v>
      </c>
      <c r="J85" s="3">
        <v>2045.8</v>
      </c>
      <c r="K85" s="3">
        <v>1511</v>
      </c>
      <c r="L85" s="2">
        <v>3421488</v>
      </c>
      <c r="M85" s="2">
        <v>6489678664.8000002</v>
      </c>
      <c r="N85" s="2">
        <v>174084</v>
      </c>
      <c r="O85" t="s">
        <v>16</v>
      </c>
      <c r="P85" s="8">
        <f t="shared" si="3"/>
        <v>-0.20000000000004547</v>
      </c>
      <c r="Q85" t="s">
        <v>37</v>
      </c>
      <c r="R85">
        <f t="shared" si="4"/>
        <v>9</v>
      </c>
      <c r="S85" t="str">
        <f t="shared" si="5"/>
        <v>Sep</v>
      </c>
      <c r="T85" s="9">
        <f>VLOOKUP(O85, Annual_Summary!A:B, 2, 0)</f>
        <v>0.31954628062919088</v>
      </c>
    </row>
    <row r="86" spans="1:20" x14ac:dyDescent="0.3">
      <c r="A86" s="1">
        <v>45898</v>
      </c>
      <c r="B86" t="s">
        <v>15</v>
      </c>
      <c r="C86" s="3">
        <v>1872.5</v>
      </c>
      <c r="D86" s="3">
        <v>1900.1</v>
      </c>
      <c r="E86" s="3">
        <v>1872.5</v>
      </c>
      <c r="F86" s="3">
        <v>1881.1</v>
      </c>
      <c r="G86" s="3">
        <v>1888.2</v>
      </c>
      <c r="H86" s="3">
        <v>1888.8</v>
      </c>
      <c r="I86" s="3">
        <v>1887.35</v>
      </c>
      <c r="J86" s="3">
        <v>2045.8</v>
      </c>
      <c r="K86" s="3">
        <v>1502</v>
      </c>
      <c r="L86" s="2">
        <v>4339042</v>
      </c>
      <c r="M86" s="2">
        <v>8189312163.6000004</v>
      </c>
      <c r="N86" s="2">
        <v>137051</v>
      </c>
      <c r="O86" t="s">
        <v>16</v>
      </c>
      <c r="P86" s="8">
        <f t="shared" si="3"/>
        <v>8.5999999999999091</v>
      </c>
      <c r="Q86" t="s">
        <v>37</v>
      </c>
      <c r="R86">
        <f t="shared" si="4"/>
        <v>8</v>
      </c>
      <c r="S86" t="str">
        <f t="shared" si="5"/>
        <v>Aug</v>
      </c>
      <c r="T86" s="9">
        <f>VLOOKUP(O86, Annual_Summary!A:B, 2, 0)</f>
        <v>0.31954628062919088</v>
      </c>
    </row>
    <row r="87" spans="1:20" x14ac:dyDescent="0.3">
      <c r="A87" s="1">
        <v>45897</v>
      </c>
      <c r="B87" t="s">
        <v>15</v>
      </c>
      <c r="C87" s="3">
        <v>1893</v>
      </c>
      <c r="D87" s="3">
        <v>1899.8</v>
      </c>
      <c r="E87" s="3">
        <v>1878.2</v>
      </c>
      <c r="F87" s="3">
        <v>1904.7</v>
      </c>
      <c r="G87" s="3">
        <v>1888</v>
      </c>
      <c r="H87" s="3">
        <v>1881.1</v>
      </c>
      <c r="I87" s="3">
        <v>1887.96</v>
      </c>
      <c r="J87" s="3">
        <v>2045.8</v>
      </c>
      <c r="K87" s="3">
        <v>1502</v>
      </c>
      <c r="L87" s="2">
        <v>5494113</v>
      </c>
      <c r="M87" s="2">
        <v>10372670054.700001</v>
      </c>
      <c r="N87" s="2">
        <v>192234</v>
      </c>
      <c r="O87" t="s">
        <v>16</v>
      </c>
      <c r="P87" s="8">
        <f t="shared" si="3"/>
        <v>11.700000000000045</v>
      </c>
      <c r="Q87" t="s">
        <v>37</v>
      </c>
      <c r="R87">
        <f t="shared" si="4"/>
        <v>8</v>
      </c>
      <c r="S87" t="str">
        <f t="shared" si="5"/>
        <v>Aug</v>
      </c>
      <c r="T87" s="9">
        <f>VLOOKUP(O87, Annual_Summary!A:B, 2, 0)</f>
        <v>0.31954628062919088</v>
      </c>
    </row>
    <row r="88" spans="1:20" x14ac:dyDescent="0.3">
      <c r="A88" s="1">
        <v>45895</v>
      </c>
      <c r="B88" t="s">
        <v>15</v>
      </c>
      <c r="C88" s="3">
        <v>1922.1</v>
      </c>
      <c r="D88" s="3">
        <v>1925.8</v>
      </c>
      <c r="E88" s="3">
        <v>1896.2</v>
      </c>
      <c r="F88" s="3">
        <v>1930.7</v>
      </c>
      <c r="G88" s="3">
        <v>1903.7</v>
      </c>
      <c r="H88" s="3">
        <v>1904.7</v>
      </c>
      <c r="I88" s="3">
        <v>1907.89</v>
      </c>
      <c r="J88" s="3">
        <v>2045.8</v>
      </c>
      <c r="K88" s="3">
        <v>1502</v>
      </c>
      <c r="L88" s="2">
        <v>5984656</v>
      </c>
      <c r="M88" s="2">
        <v>11418074402.1</v>
      </c>
      <c r="N88" s="2">
        <v>171371</v>
      </c>
      <c r="O88" t="s">
        <v>16</v>
      </c>
      <c r="P88" s="8">
        <f t="shared" si="3"/>
        <v>8.6000000000001364</v>
      </c>
      <c r="Q88" t="s">
        <v>37</v>
      </c>
      <c r="R88">
        <f t="shared" si="4"/>
        <v>8</v>
      </c>
      <c r="S88" t="str">
        <f t="shared" si="5"/>
        <v>Aug</v>
      </c>
      <c r="T88" s="9">
        <f>VLOOKUP(O88, Annual_Summary!A:B, 2, 0)</f>
        <v>0.31954628062919088</v>
      </c>
    </row>
    <row r="89" spans="1:20" x14ac:dyDescent="0.3">
      <c r="A89" s="1">
        <v>45894</v>
      </c>
      <c r="B89" t="s">
        <v>15</v>
      </c>
      <c r="C89" s="3">
        <v>1940</v>
      </c>
      <c r="D89" s="3">
        <v>1940.1</v>
      </c>
      <c r="E89" s="3">
        <v>1913.2</v>
      </c>
      <c r="F89" s="3">
        <v>1933.3</v>
      </c>
      <c r="G89" s="3">
        <v>1928.9</v>
      </c>
      <c r="H89" s="3">
        <v>1930.7</v>
      </c>
      <c r="I89" s="3">
        <v>1927.45</v>
      </c>
      <c r="J89" s="3">
        <v>2045.8</v>
      </c>
      <c r="K89" s="3">
        <v>1502</v>
      </c>
      <c r="L89" s="2">
        <v>2451388</v>
      </c>
      <c r="M89" s="2">
        <v>4724917353.1000004</v>
      </c>
      <c r="N89" s="2">
        <v>88027</v>
      </c>
      <c r="O89" t="s">
        <v>16</v>
      </c>
      <c r="P89" s="8">
        <f t="shared" si="3"/>
        <v>-6.7000000000000455</v>
      </c>
      <c r="Q89" t="s">
        <v>37</v>
      </c>
      <c r="R89">
        <f t="shared" si="4"/>
        <v>8</v>
      </c>
      <c r="S89" t="str">
        <f t="shared" si="5"/>
        <v>Aug</v>
      </c>
      <c r="T89" s="9">
        <f>VLOOKUP(O89, Annual_Summary!A:B, 2, 0)</f>
        <v>0.31954628062919088</v>
      </c>
    </row>
    <row r="90" spans="1:20" x14ac:dyDescent="0.3">
      <c r="A90" s="1">
        <v>45891</v>
      </c>
      <c r="B90" t="s">
        <v>15</v>
      </c>
      <c r="C90" s="3">
        <v>1934</v>
      </c>
      <c r="D90" s="3">
        <v>1947.7</v>
      </c>
      <c r="E90" s="3">
        <v>1917.4</v>
      </c>
      <c r="F90" s="3">
        <v>1929.9</v>
      </c>
      <c r="G90" s="3">
        <v>1933</v>
      </c>
      <c r="H90" s="3">
        <v>1933.3</v>
      </c>
      <c r="I90" s="3">
        <v>1931.22</v>
      </c>
      <c r="J90" s="3">
        <v>2045.8</v>
      </c>
      <c r="K90" s="3">
        <v>1446.5</v>
      </c>
      <c r="L90" s="2">
        <v>3271920</v>
      </c>
      <c r="M90" s="2">
        <v>6318796024.8000002</v>
      </c>
      <c r="N90" s="2">
        <v>112848</v>
      </c>
      <c r="O90" t="s">
        <v>16</v>
      </c>
      <c r="P90" s="8">
        <f t="shared" si="3"/>
        <v>-4.0999999999999091</v>
      </c>
      <c r="Q90" t="s">
        <v>37</v>
      </c>
      <c r="R90">
        <f t="shared" si="4"/>
        <v>8</v>
      </c>
      <c r="S90" t="str">
        <f t="shared" si="5"/>
        <v>Aug</v>
      </c>
      <c r="T90" s="9">
        <f>VLOOKUP(O90, Annual_Summary!A:B, 2, 0)</f>
        <v>0.31954628062919088</v>
      </c>
    </row>
    <row r="91" spans="1:20" x14ac:dyDescent="0.3">
      <c r="A91" s="1">
        <v>45890</v>
      </c>
      <c r="B91" t="s">
        <v>15</v>
      </c>
      <c r="C91" s="3">
        <v>1930</v>
      </c>
      <c r="D91" s="3">
        <v>1940.9</v>
      </c>
      <c r="E91" s="3">
        <v>1927.7</v>
      </c>
      <c r="F91" s="3">
        <v>1928.4</v>
      </c>
      <c r="G91" s="3">
        <v>1930.1</v>
      </c>
      <c r="H91" s="3">
        <v>1929.9</v>
      </c>
      <c r="I91" s="3">
        <v>1932.63</v>
      </c>
      <c r="J91" s="3">
        <v>2045.8</v>
      </c>
      <c r="K91" s="3">
        <v>1446.5</v>
      </c>
      <c r="L91" s="2">
        <v>3376913</v>
      </c>
      <c r="M91" s="2">
        <v>6526315351.1000004</v>
      </c>
      <c r="N91" s="2">
        <v>122995</v>
      </c>
      <c r="O91" t="s">
        <v>16</v>
      </c>
      <c r="P91" s="8">
        <f t="shared" si="3"/>
        <v>-1.5999999999999091</v>
      </c>
      <c r="Q91" t="s">
        <v>37</v>
      </c>
      <c r="R91">
        <f t="shared" si="4"/>
        <v>8</v>
      </c>
      <c r="S91" t="str">
        <f t="shared" si="5"/>
        <v>Aug</v>
      </c>
      <c r="T91" s="9">
        <f>VLOOKUP(O91, Annual_Summary!A:B, 2, 0)</f>
        <v>0.31954628062919088</v>
      </c>
    </row>
    <row r="92" spans="1:20" x14ac:dyDescent="0.3">
      <c r="A92" s="1">
        <v>45889</v>
      </c>
      <c r="B92" t="s">
        <v>15</v>
      </c>
      <c r="C92" s="3">
        <v>1937</v>
      </c>
      <c r="D92" s="3">
        <v>1952</v>
      </c>
      <c r="E92" s="3">
        <v>1926</v>
      </c>
      <c r="F92" s="3">
        <v>1909.7</v>
      </c>
      <c r="G92" s="3">
        <v>1930</v>
      </c>
      <c r="H92" s="3">
        <v>1928.4</v>
      </c>
      <c r="I92" s="3">
        <v>1935.01</v>
      </c>
      <c r="J92" s="3">
        <v>2045.8</v>
      </c>
      <c r="K92" s="3">
        <v>1446.5</v>
      </c>
      <c r="L92" s="2">
        <v>6962619</v>
      </c>
      <c r="M92" s="2">
        <v>13472715684.799999</v>
      </c>
      <c r="N92" s="2">
        <v>158774</v>
      </c>
      <c r="O92" t="s">
        <v>16</v>
      </c>
      <c r="P92" s="8">
        <f t="shared" si="3"/>
        <v>-27.299999999999955</v>
      </c>
      <c r="Q92" t="s">
        <v>37</v>
      </c>
      <c r="R92">
        <f t="shared" si="4"/>
        <v>8</v>
      </c>
      <c r="S92" t="str">
        <f t="shared" si="5"/>
        <v>Aug</v>
      </c>
      <c r="T92" s="9">
        <f>VLOOKUP(O92, Annual_Summary!A:B, 2, 0)</f>
        <v>0.31954628062919088</v>
      </c>
    </row>
    <row r="93" spans="1:20" x14ac:dyDescent="0.3">
      <c r="A93" s="1">
        <v>45888</v>
      </c>
      <c r="B93" t="s">
        <v>15</v>
      </c>
      <c r="C93" s="3">
        <v>1901.1</v>
      </c>
      <c r="D93" s="3">
        <v>1931.8</v>
      </c>
      <c r="E93" s="3">
        <v>1900</v>
      </c>
      <c r="F93" s="3">
        <v>1892.3</v>
      </c>
      <c r="G93" s="3">
        <v>1912.9</v>
      </c>
      <c r="H93" s="3">
        <v>1909.7</v>
      </c>
      <c r="I93" s="3">
        <v>1916.53</v>
      </c>
      <c r="J93" s="3">
        <v>2045.8</v>
      </c>
      <c r="K93" s="3">
        <v>1446.5</v>
      </c>
      <c r="L93" s="2">
        <v>5706265</v>
      </c>
      <c r="M93" s="2">
        <v>10936227739.1</v>
      </c>
      <c r="N93" s="2">
        <v>206298</v>
      </c>
      <c r="O93" t="s">
        <v>16</v>
      </c>
      <c r="P93" s="8">
        <f t="shared" si="3"/>
        <v>-8.7999999999999545</v>
      </c>
      <c r="Q93" t="s">
        <v>37</v>
      </c>
      <c r="R93">
        <f t="shared" si="4"/>
        <v>8</v>
      </c>
      <c r="S93" t="str">
        <f t="shared" si="5"/>
        <v>Aug</v>
      </c>
      <c r="T93" s="9">
        <f>VLOOKUP(O93, Annual_Summary!A:B, 2, 0)</f>
        <v>0.31954628062919088</v>
      </c>
    </row>
    <row r="94" spans="1:20" x14ac:dyDescent="0.3">
      <c r="A94" s="1">
        <v>45887</v>
      </c>
      <c r="B94" t="s">
        <v>15</v>
      </c>
      <c r="C94" s="3">
        <v>1892.5</v>
      </c>
      <c r="D94" s="3">
        <v>1912.6</v>
      </c>
      <c r="E94" s="3">
        <v>1870.3</v>
      </c>
      <c r="F94" s="3">
        <v>1873.8</v>
      </c>
      <c r="G94" s="3">
        <v>1892.9</v>
      </c>
      <c r="H94" s="3">
        <v>1892.3</v>
      </c>
      <c r="I94" s="3">
        <v>1896.44</v>
      </c>
      <c r="J94" s="3">
        <v>2045.8</v>
      </c>
      <c r="K94" s="3">
        <v>1446.5</v>
      </c>
      <c r="L94" s="2">
        <v>7146376</v>
      </c>
      <c r="M94" s="2">
        <v>13552663053.700001</v>
      </c>
      <c r="N94" s="2">
        <v>168732</v>
      </c>
      <c r="O94" t="s">
        <v>16</v>
      </c>
      <c r="P94" s="8">
        <f t="shared" si="3"/>
        <v>-18.700000000000045</v>
      </c>
      <c r="Q94" t="s">
        <v>37</v>
      </c>
      <c r="R94">
        <f t="shared" si="4"/>
        <v>8</v>
      </c>
      <c r="S94" t="str">
        <f t="shared" si="5"/>
        <v>Aug</v>
      </c>
      <c r="T94" s="9">
        <f>VLOOKUP(O94, Annual_Summary!A:B, 2, 0)</f>
        <v>0.31954628062919088</v>
      </c>
    </row>
    <row r="95" spans="1:20" x14ac:dyDescent="0.3">
      <c r="A95" s="1">
        <v>45883</v>
      </c>
      <c r="B95" t="s">
        <v>15</v>
      </c>
      <c r="C95" s="3">
        <v>1873</v>
      </c>
      <c r="D95" s="3">
        <v>1883</v>
      </c>
      <c r="E95" s="3">
        <v>1866.8</v>
      </c>
      <c r="F95" s="3">
        <v>1867.4</v>
      </c>
      <c r="G95" s="3">
        <v>1871</v>
      </c>
      <c r="H95" s="3">
        <v>1873.8</v>
      </c>
      <c r="I95" s="3">
        <v>1875.27</v>
      </c>
      <c r="J95" s="3">
        <v>2045.8</v>
      </c>
      <c r="K95" s="3">
        <v>1445</v>
      </c>
      <c r="L95" s="2">
        <v>3958631</v>
      </c>
      <c r="M95" s="2">
        <v>7423516081</v>
      </c>
      <c r="N95" s="2">
        <v>94415</v>
      </c>
      <c r="O95" t="s">
        <v>16</v>
      </c>
      <c r="P95" s="8">
        <f t="shared" si="3"/>
        <v>-5.5999999999999091</v>
      </c>
      <c r="Q95" t="s">
        <v>37</v>
      </c>
      <c r="R95">
        <f t="shared" si="4"/>
        <v>8</v>
      </c>
      <c r="S95" t="str">
        <f t="shared" si="5"/>
        <v>Aug</v>
      </c>
      <c r="T95" s="9">
        <f>VLOOKUP(O95, Annual_Summary!A:B, 2, 0)</f>
        <v>0.31954628062919088</v>
      </c>
    </row>
    <row r="96" spans="1:20" x14ac:dyDescent="0.3">
      <c r="A96" s="1">
        <v>45882</v>
      </c>
      <c r="B96" t="s">
        <v>15</v>
      </c>
      <c r="C96" s="3">
        <v>1853</v>
      </c>
      <c r="D96" s="3">
        <v>1872.5</v>
      </c>
      <c r="E96" s="3">
        <v>1851.8</v>
      </c>
      <c r="F96" s="3">
        <v>1850.3</v>
      </c>
      <c r="G96" s="3">
        <v>1870.9</v>
      </c>
      <c r="H96" s="3">
        <v>1867.4</v>
      </c>
      <c r="I96" s="3">
        <v>1864.4</v>
      </c>
      <c r="J96" s="3">
        <v>2045.8</v>
      </c>
      <c r="K96" s="3">
        <v>1445</v>
      </c>
      <c r="L96" s="2">
        <v>6697206</v>
      </c>
      <c r="M96" s="2">
        <v>12486297813.4</v>
      </c>
      <c r="N96" s="2">
        <v>156856</v>
      </c>
      <c r="O96" t="s">
        <v>16</v>
      </c>
      <c r="P96" s="8">
        <f t="shared" si="3"/>
        <v>-2.7000000000000455</v>
      </c>
      <c r="Q96" t="s">
        <v>37</v>
      </c>
      <c r="R96">
        <f t="shared" si="4"/>
        <v>8</v>
      </c>
      <c r="S96" t="str">
        <f t="shared" si="5"/>
        <v>Aug</v>
      </c>
      <c r="T96" s="9">
        <f>VLOOKUP(O96, Annual_Summary!A:B, 2, 0)</f>
        <v>0.31954628062919088</v>
      </c>
    </row>
    <row r="97" spans="1:20" x14ac:dyDescent="0.3">
      <c r="A97" s="1">
        <v>45881</v>
      </c>
      <c r="B97" t="s">
        <v>15</v>
      </c>
      <c r="C97" s="3">
        <v>1857.4</v>
      </c>
      <c r="D97" s="3">
        <v>1865</v>
      </c>
      <c r="E97" s="3">
        <v>1847.1</v>
      </c>
      <c r="F97" s="3">
        <v>1857.4</v>
      </c>
      <c r="G97" s="3">
        <v>1850.2</v>
      </c>
      <c r="H97" s="3">
        <v>1850.3</v>
      </c>
      <c r="I97" s="3">
        <v>1853.8</v>
      </c>
      <c r="J97" s="3">
        <v>2045.8</v>
      </c>
      <c r="K97" s="3">
        <v>1445</v>
      </c>
      <c r="L97" s="2">
        <v>4645011</v>
      </c>
      <c r="M97" s="2">
        <v>8610901523.1000004</v>
      </c>
      <c r="N97" s="2">
        <v>128549</v>
      </c>
      <c r="O97" t="s">
        <v>16</v>
      </c>
      <c r="P97" s="8">
        <f t="shared" si="3"/>
        <v>0</v>
      </c>
      <c r="Q97" t="s">
        <v>37</v>
      </c>
      <c r="R97">
        <f t="shared" si="4"/>
        <v>8</v>
      </c>
      <c r="S97" t="str">
        <f t="shared" si="5"/>
        <v>Aug</v>
      </c>
      <c r="T97" s="9">
        <f>VLOOKUP(O97, Annual_Summary!A:B, 2, 0)</f>
        <v>0.31954628062919088</v>
      </c>
    </row>
    <row r="98" spans="1:20" x14ac:dyDescent="0.3">
      <c r="A98" s="1">
        <v>45880</v>
      </c>
      <c r="B98" t="s">
        <v>15</v>
      </c>
      <c r="C98" s="3">
        <v>1863</v>
      </c>
      <c r="D98" s="3">
        <v>1866</v>
      </c>
      <c r="E98" s="3">
        <v>1845.7</v>
      </c>
      <c r="F98" s="3">
        <v>1858.6</v>
      </c>
      <c r="G98" s="3">
        <v>1855.3</v>
      </c>
      <c r="H98" s="3">
        <v>1857.4</v>
      </c>
      <c r="I98" s="3">
        <v>1857.65</v>
      </c>
      <c r="J98" s="3">
        <v>2045.8</v>
      </c>
      <c r="K98" s="3">
        <v>1445</v>
      </c>
      <c r="L98" s="2">
        <v>5266532</v>
      </c>
      <c r="M98" s="2">
        <v>9783347103</v>
      </c>
      <c r="N98" s="2">
        <v>182542</v>
      </c>
      <c r="O98" t="s">
        <v>16</v>
      </c>
      <c r="P98" s="8">
        <f t="shared" si="3"/>
        <v>-4.4000000000000909</v>
      </c>
      <c r="Q98" t="s">
        <v>37</v>
      </c>
      <c r="R98">
        <f t="shared" si="4"/>
        <v>8</v>
      </c>
      <c r="S98" t="str">
        <f t="shared" si="5"/>
        <v>Aug</v>
      </c>
      <c r="T98" s="9">
        <f>VLOOKUP(O98, Annual_Summary!A:B, 2, 0)</f>
        <v>0.31954628062919088</v>
      </c>
    </row>
    <row r="99" spans="1:20" x14ac:dyDescent="0.3">
      <c r="A99" s="1">
        <v>45877</v>
      </c>
      <c r="B99" t="s">
        <v>15</v>
      </c>
      <c r="C99" s="3">
        <v>1886.3</v>
      </c>
      <c r="D99" s="3">
        <v>1893.8</v>
      </c>
      <c r="E99" s="3">
        <v>1856</v>
      </c>
      <c r="F99" s="3">
        <v>1922.6</v>
      </c>
      <c r="G99" s="3">
        <v>1859.5</v>
      </c>
      <c r="H99" s="3">
        <v>1858.6</v>
      </c>
      <c r="I99" s="3">
        <v>1871.02</v>
      </c>
      <c r="J99" s="3">
        <v>2045.8</v>
      </c>
      <c r="K99" s="3">
        <v>1422.6</v>
      </c>
      <c r="L99" s="2">
        <v>93801105</v>
      </c>
      <c r="M99" s="2">
        <v>175503711662.10001</v>
      </c>
      <c r="N99" s="2">
        <v>247592</v>
      </c>
      <c r="O99" t="s">
        <v>16</v>
      </c>
      <c r="P99" s="8">
        <f t="shared" si="3"/>
        <v>36.299999999999955</v>
      </c>
      <c r="Q99" t="s">
        <v>37</v>
      </c>
      <c r="R99">
        <f t="shared" si="4"/>
        <v>8</v>
      </c>
      <c r="S99" t="str">
        <f t="shared" si="5"/>
        <v>Aug</v>
      </c>
      <c r="T99" s="9">
        <f>VLOOKUP(O99, Annual_Summary!A:B, 2, 0)</f>
        <v>0.31954628062919088</v>
      </c>
    </row>
    <row r="100" spans="1:20" x14ac:dyDescent="0.3">
      <c r="A100" s="1">
        <v>45876</v>
      </c>
      <c r="B100" t="s">
        <v>15</v>
      </c>
      <c r="C100" s="3">
        <v>1928.1</v>
      </c>
      <c r="D100" s="3">
        <v>1933.3</v>
      </c>
      <c r="E100" s="3">
        <v>1909.1</v>
      </c>
      <c r="F100" s="3">
        <v>1929.7</v>
      </c>
      <c r="G100" s="3">
        <v>1920.1</v>
      </c>
      <c r="H100" s="3">
        <v>1922.6</v>
      </c>
      <c r="I100" s="3">
        <v>1919.15</v>
      </c>
      <c r="J100" s="3">
        <v>2045.8</v>
      </c>
      <c r="K100" s="3">
        <v>1422.6</v>
      </c>
      <c r="L100" s="2">
        <v>4268534</v>
      </c>
      <c r="M100" s="2">
        <v>8191939056.3000002</v>
      </c>
      <c r="N100" s="2">
        <v>117390</v>
      </c>
      <c r="O100" t="s">
        <v>16</v>
      </c>
      <c r="P100" s="8">
        <f t="shared" si="3"/>
        <v>1.6000000000001364</v>
      </c>
      <c r="Q100" t="s">
        <v>37</v>
      </c>
      <c r="R100">
        <f t="shared" si="4"/>
        <v>8</v>
      </c>
      <c r="S100" t="str">
        <f t="shared" si="5"/>
        <v>Aug</v>
      </c>
      <c r="T100" s="9">
        <f>VLOOKUP(O100, Annual_Summary!A:B, 2, 0)</f>
        <v>0.31954628062919088</v>
      </c>
    </row>
    <row r="101" spans="1:20" x14ac:dyDescent="0.3">
      <c r="A101" s="1">
        <v>45875</v>
      </c>
      <c r="B101" t="s">
        <v>15</v>
      </c>
      <c r="C101" s="3">
        <v>1930</v>
      </c>
      <c r="D101" s="3">
        <v>1964.8</v>
      </c>
      <c r="E101" s="3">
        <v>1921.6</v>
      </c>
      <c r="F101" s="3">
        <v>1931.8</v>
      </c>
      <c r="G101" s="3">
        <v>1924</v>
      </c>
      <c r="H101" s="3">
        <v>1929.7</v>
      </c>
      <c r="I101" s="3">
        <v>1939.14</v>
      </c>
      <c r="J101" s="3">
        <v>2045.8</v>
      </c>
      <c r="K101" s="3">
        <v>1422.6</v>
      </c>
      <c r="L101" s="2">
        <v>5461349</v>
      </c>
      <c r="M101" s="2">
        <v>10590335524.200001</v>
      </c>
      <c r="N101" s="2">
        <v>198853</v>
      </c>
      <c r="O101" t="s">
        <v>16</v>
      </c>
      <c r="P101" s="8">
        <f t="shared" si="3"/>
        <v>1.7999999999999545</v>
      </c>
      <c r="Q101" t="s">
        <v>37</v>
      </c>
      <c r="R101">
        <f t="shared" si="4"/>
        <v>8</v>
      </c>
      <c r="S101" t="str">
        <f t="shared" si="5"/>
        <v>Aug</v>
      </c>
      <c r="T101" s="9">
        <f>VLOOKUP(O101, Annual_Summary!A:B, 2, 0)</f>
        <v>0.31954628062919088</v>
      </c>
    </row>
    <row r="102" spans="1:20" x14ac:dyDescent="0.3">
      <c r="A102" s="1">
        <v>45874</v>
      </c>
      <c r="B102" t="s">
        <v>15</v>
      </c>
      <c r="C102" s="3">
        <v>1920</v>
      </c>
      <c r="D102" s="3">
        <v>1937.6</v>
      </c>
      <c r="E102" s="3">
        <v>1912.1</v>
      </c>
      <c r="F102" s="3">
        <v>1914.6</v>
      </c>
      <c r="G102" s="3">
        <v>1930.3</v>
      </c>
      <c r="H102" s="3">
        <v>1931.8</v>
      </c>
      <c r="I102" s="3">
        <v>1928.92</v>
      </c>
      <c r="J102" s="3">
        <v>2045.8</v>
      </c>
      <c r="K102" s="3">
        <v>1422.6</v>
      </c>
      <c r="L102" s="2">
        <v>5167672</v>
      </c>
      <c r="M102" s="2">
        <v>9968010970.7000008</v>
      </c>
      <c r="N102" s="2">
        <v>142478</v>
      </c>
      <c r="O102" t="s">
        <v>16</v>
      </c>
      <c r="P102" s="8">
        <f t="shared" si="3"/>
        <v>-5.4000000000000909</v>
      </c>
      <c r="Q102" t="s">
        <v>37</v>
      </c>
      <c r="R102">
        <f t="shared" si="4"/>
        <v>8</v>
      </c>
      <c r="S102" t="str">
        <f t="shared" si="5"/>
        <v>Aug</v>
      </c>
      <c r="T102" s="9">
        <f>VLOOKUP(O102, Annual_Summary!A:B, 2, 0)</f>
        <v>0.31954628062919088</v>
      </c>
    </row>
    <row r="103" spans="1:20" x14ac:dyDescent="0.3">
      <c r="A103" s="1">
        <v>45873</v>
      </c>
      <c r="B103" t="s">
        <v>15</v>
      </c>
      <c r="C103" s="3">
        <v>1892</v>
      </c>
      <c r="D103" s="3">
        <v>1919.9</v>
      </c>
      <c r="E103" s="3">
        <v>1878.5</v>
      </c>
      <c r="F103" s="3">
        <v>1884.4</v>
      </c>
      <c r="G103" s="3">
        <v>1915.1</v>
      </c>
      <c r="H103" s="3">
        <v>1914.6</v>
      </c>
      <c r="I103" s="3">
        <v>1909.5</v>
      </c>
      <c r="J103" s="3">
        <v>2045.8</v>
      </c>
      <c r="K103" s="3">
        <v>1422.6</v>
      </c>
      <c r="L103" s="2">
        <v>3074380</v>
      </c>
      <c r="M103" s="2">
        <v>5870535946.1999998</v>
      </c>
      <c r="N103" s="2">
        <v>103085</v>
      </c>
      <c r="O103" t="s">
        <v>16</v>
      </c>
      <c r="P103" s="8">
        <f t="shared" si="3"/>
        <v>-7.5999999999999091</v>
      </c>
      <c r="Q103" t="s">
        <v>37</v>
      </c>
      <c r="R103">
        <f t="shared" si="4"/>
        <v>8</v>
      </c>
      <c r="S103" t="str">
        <f t="shared" si="5"/>
        <v>Aug</v>
      </c>
      <c r="T103" s="9">
        <f>VLOOKUP(O103, Annual_Summary!A:B, 2, 0)</f>
        <v>0.31954628062919088</v>
      </c>
    </row>
    <row r="104" spans="1:20" x14ac:dyDescent="0.3">
      <c r="A104" s="1">
        <v>45870</v>
      </c>
      <c r="B104" t="s">
        <v>15</v>
      </c>
      <c r="C104" s="3">
        <v>1914</v>
      </c>
      <c r="D104" s="3">
        <v>1919.7</v>
      </c>
      <c r="E104" s="3">
        <v>1878</v>
      </c>
      <c r="F104" s="3">
        <v>1914.3</v>
      </c>
      <c r="G104" s="3">
        <v>1878.1</v>
      </c>
      <c r="H104" s="3">
        <v>1884.4</v>
      </c>
      <c r="I104" s="3">
        <v>1896.46</v>
      </c>
      <c r="J104" s="3">
        <v>2045.8</v>
      </c>
      <c r="K104" s="3">
        <v>1422.6</v>
      </c>
      <c r="L104" s="2">
        <v>5192594</v>
      </c>
      <c r="M104" s="2">
        <v>9847524466.8999996</v>
      </c>
      <c r="N104" s="2">
        <v>112503</v>
      </c>
      <c r="O104" t="s">
        <v>16</v>
      </c>
      <c r="P104" s="8">
        <f t="shared" si="3"/>
        <v>0.29999999999995453</v>
      </c>
      <c r="Q104" t="s">
        <v>37</v>
      </c>
      <c r="R104">
        <f t="shared" si="4"/>
        <v>8</v>
      </c>
      <c r="S104" t="str">
        <f t="shared" si="5"/>
        <v>Aug</v>
      </c>
      <c r="T104" s="9">
        <f>VLOOKUP(O104, Annual_Summary!A:B, 2, 0)</f>
        <v>0.31954628062919088</v>
      </c>
    </row>
    <row r="105" spans="1:20" x14ac:dyDescent="0.3">
      <c r="A105" s="1">
        <v>45869</v>
      </c>
      <c r="B105" t="s">
        <v>15</v>
      </c>
      <c r="C105" s="3">
        <v>1913</v>
      </c>
      <c r="D105" s="3">
        <v>1926.5</v>
      </c>
      <c r="E105" s="3">
        <v>1895.6</v>
      </c>
      <c r="F105" s="3">
        <v>1932.6</v>
      </c>
      <c r="G105" s="3">
        <v>1912</v>
      </c>
      <c r="H105" s="3">
        <v>1914.3</v>
      </c>
      <c r="I105" s="3">
        <v>1914.01</v>
      </c>
      <c r="J105" s="3">
        <v>2045.8</v>
      </c>
      <c r="K105" s="3">
        <v>1422.6</v>
      </c>
      <c r="L105" s="2">
        <v>4674966</v>
      </c>
      <c r="M105" s="2">
        <v>8947909333.1000004</v>
      </c>
      <c r="N105" s="2">
        <v>139087</v>
      </c>
      <c r="O105" t="s">
        <v>16</v>
      </c>
      <c r="P105" s="8">
        <f t="shared" si="3"/>
        <v>19.599999999999909</v>
      </c>
      <c r="Q105" t="s">
        <v>37</v>
      </c>
      <c r="R105">
        <f t="shared" si="4"/>
        <v>7</v>
      </c>
      <c r="S105" t="str">
        <f t="shared" si="5"/>
        <v>Jul</v>
      </c>
      <c r="T105" s="9">
        <f>VLOOKUP(O105, Annual_Summary!A:B, 2, 0)</f>
        <v>0.31954628062919088</v>
      </c>
    </row>
    <row r="106" spans="1:20" x14ac:dyDescent="0.3">
      <c r="A106" s="1">
        <v>45868</v>
      </c>
      <c r="B106" t="s">
        <v>15</v>
      </c>
      <c r="C106" s="3">
        <v>1934</v>
      </c>
      <c r="D106" s="3">
        <v>1939.2</v>
      </c>
      <c r="E106" s="3">
        <v>1922.1</v>
      </c>
      <c r="F106" s="3">
        <v>1918.3</v>
      </c>
      <c r="G106" s="3">
        <v>1930.1</v>
      </c>
      <c r="H106" s="3">
        <v>1932.6</v>
      </c>
      <c r="I106" s="3">
        <v>1931.15</v>
      </c>
      <c r="J106" s="3">
        <v>2045.8</v>
      </c>
      <c r="K106" s="3">
        <v>1422.6</v>
      </c>
      <c r="L106" s="2">
        <v>5044683</v>
      </c>
      <c r="M106" s="2">
        <v>9742040986.2999992</v>
      </c>
      <c r="N106" s="2">
        <v>124036</v>
      </c>
      <c r="O106" t="s">
        <v>16</v>
      </c>
      <c r="P106" s="8">
        <f t="shared" si="3"/>
        <v>-15.700000000000045</v>
      </c>
      <c r="Q106" t="s">
        <v>37</v>
      </c>
      <c r="R106">
        <f t="shared" si="4"/>
        <v>7</v>
      </c>
      <c r="S106" t="str">
        <f t="shared" si="5"/>
        <v>Jul</v>
      </c>
      <c r="T106" s="9">
        <f>VLOOKUP(O106, Annual_Summary!A:B, 2, 0)</f>
        <v>0.31954628062919088</v>
      </c>
    </row>
    <row r="107" spans="1:20" x14ac:dyDescent="0.3">
      <c r="A107" s="1">
        <v>45867</v>
      </c>
      <c r="B107" t="s">
        <v>15</v>
      </c>
      <c r="C107" s="3">
        <v>1880</v>
      </c>
      <c r="D107" s="3">
        <v>1923.6</v>
      </c>
      <c r="E107" s="3">
        <v>1880</v>
      </c>
      <c r="F107" s="3">
        <v>1890.3</v>
      </c>
      <c r="G107" s="3">
        <v>1913.7</v>
      </c>
      <c r="H107" s="3">
        <v>1918.3</v>
      </c>
      <c r="I107" s="3">
        <v>1914.14</v>
      </c>
      <c r="J107" s="3">
        <v>2045.8</v>
      </c>
      <c r="K107" s="3">
        <v>1422.6</v>
      </c>
      <c r="L107" s="2">
        <v>3748040</v>
      </c>
      <c r="M107" s="2">
        <v>7174267314.5</v>
      </c>
      <c r="N107" s="2">
        <v>130565</v>
      </c>
      <c r="O107" t="s">
        <v>16</v>
      </c>
      <c r="P107" s="8">
        <f t="shared" si="3"/>
        <v>10.299999999999955</v>
      </c>
      <c r="Q107" t="s">
        <v>37</v>
      </c>
      <c r="R107">
        <f t="shared" si="4"/>
        <v>7</v>
      </c>
      <c r="S107" t="str">
        <f t="shared" si="5"/>
        <v>Jul</v>
      </c>
      <c r="T107" s="9">
        <f>VLOOKUP(O107, Annual_Summary!A:B, 2, 0)</f>
        <v>0.31954628062919088</v>
      </c>
    </row>
    <row r="108" spans="1:20" x14ac:dyDescent="0.3">
      <c r="A108" s="1">
        <v>45866</v>
      </c>
      <c r="B108" t="s">
        <v>15</v>
      </c>
      <c r="C108" s="3">
        <v>1930</v>
      </c>
      <c r="D108" s="3">
        <v>1930</v>
      </c>
      <c r="E108" s="3">
        <v>1885</v>
      </c>
      <c r="F108" s="3">
        <v>1937.9</v>
      </c>
      <c r="G108" s="3">
        <v>1889.9</v>
      </c>
      <c r="H108" s="3">
        <v>1890.3</v>
      </c>
      <c r="I108" s="3">
        <v>1899.08</v>
      </c>
      <c r="J108" s="3">
        <v>2045.8</v>
      </c>
      <c r="K108" s="3">
        <v>1422.6</v>
      </c>
      <c r="L108" s="2">
        <v>3575044</v>
      </c>
      <c r="M108" s="2">
        <v>6789304593.1000004</v>
      </c>
      <c r="N108" s="2">
        <v>183996</v>
      </c>
      <c r="O108" t="s">
        <v>16</v>
      </c>
      <c r="P108" s="8">
        <f t="shared" si="3"/>
        <v>7.9000000000000909</v>
      </c>
      <c r="Q108" t="s">
        <v>37</v>
      </c>
      <c r="R108">
        <f t="shared" si="4"/>
        <v>7</v>
      </c>
      <c r="S108" t="str">
        <f t="shared" si="5"/>
        <v>Jul</v>
      </c>
      <c r="T108" s="9">
        <f>VLOOKUP(O108, Annual_Summary!A:B, 2, 0)</f>
        <v>0.31954628062919088</v>
      </c>
    </row>
    <row r="109" spans="1:20" x14ac:dyDescent="0.3">
      <c r="A109" s="1">
        <v>45863</v>
      </c>
      <c r="B109" t="s">
        <v>15</v>
      </c>
      <c r="C109" s="3">
        <v>1936.1</v>
      </c>
      <c r="D109" s="3">
        <v>1952.7</v>
      </c>
      <c r="E109" s="3">
        <v>1925</v>
      </c>
      <c r="F109" s="3">
        <v>1936.1</v>
      </c>
      <c r="G109" s="3">
        <v>1928</v>
      </c>
      <c r="H109" s="3">
        <v>1937.9</v>
      </c>
      <c r="I109" s="3">
        <v>1938.43</v>
      </c>
      <c r="J109" s="3">
        <v>2045.8</v>
      </c>
      <c r="K109" s="3">
        <v>1422.6</v>
      </c>
      <c r="L109" s="2">
        <v>3896884</v>
      </c>
      <c r="M109" s="2">
        <v>7553854412.8000002</v>
      </c>
      <c r="N109" s="2">
        <v>150394</v>
      </c>
      <c r="O109" t="s">
        <v>16</v>
      </c>
      <c r="P109" s="8">
        <f t="shared" si="3"/>
        <v>0</v>
      </c>
      <c r="Q109" t="s">
        <v>37</v>
      </c>
      <c r="R109">
        <f t="shared" si="4"/>
        <v>7</v>
      </c>
      <c r="S109" t="str">
        <f t="shared" si="5"/>
        <v>Jul</v>
      </c>
      <c r="T109" s="9">
        <f>VLOOKUP(O109, Annual_Summary!A:B, 2, 0)</f>
        <v>0.31954628062919088</v>
      </c>
    </row>
    <row r="110" spans="1:20" x14ac:dyDescent="0.3">
      <c r="A110" s="1">
        <v>45862</v>
      </c>
      <c r="B110" t="s">
        <v>15</v>
      </c>
      <c r="C110" s="3">
        <v>1943.8</v>
      </c>
      <c r="D110" s="3">
        <v>1970.4</v>
      </c>
      <c r="E110" s="3">
        <v>1933.7</v>
      </c>
      <c r="F110" s="3">
        <v>1943.8</v>
      </c>
      <c r="G110" s="3">
        <v>1937.2</v>
      </c>
      <c r="H110" s="3">
        <v>1936.1</v>
      </c>
      <c r="I110" s="3">
        <v>1949.7</v>
      </c>
      <c r="J110" s="3">
        <v>2045.8</v>
      </c>
      <c r="K110" s="3">
        <v>1422.6</v>
      </c>
      <c r="L110" s="2">
        <v>4150685</v>
      </c>
      <c r="M110" s="2">
        <v>8092572461</v>
      </c>
      <c r="N110" s="2">
        <v>121583</v>
      </c>
      <c r="O110" t="s">
        <v>16</v>
      </c>
      <c r="P110" s="8">
        <f t="shared" si="3"/>
        <v>0</v>
      </c>
      <c r="Q110" t="s">
        <v>37</v>
      </c>
      <c r="R110">
        <f t="shared" si="4"/>
        <v>7</v>
      </c>
      <c r="S110" t="str">
        <f t="shared" si="5"/>
        <v>Jul</v>
      </c>
      <c r="T110" s="9">
        <f>VLOOKUP(O110, Annual_Summary!A:B, 2, 0)</f>
        <v>0.31954628062919088</v>
      </c>
    </row>
    <row r="111" spans="1:20" x14ac:dyDescent="0.3">
      <c r="A111" s="1">
        <v>45861</v>
      </c>
      <c r="B111" t="s">
        <v>15</v>
      </c>
      <c r="C111" s="3">
        <v>1920</v>
      </c>
      <c r="D111" s="3">
        <v>1949</v>
      </c>
      <c r="E111" s="3">
        <v>1907.3</v>
      </c>
      <c r="F111" s="3">
        <v>1906.8</v>
      </c>
      <c r="G111" s="3">
        <v>1948.7</v>
      </c>
      <c r="H111" s="3">
        <v>1943.8</v>
      </c>
      <c r="I111" s="3">
        <v>1931.92</v>
      </c>
      <c r="J111" s="3">
        <v>2045.8</v>
      </c>
      <c r="K111" s="3">
        <v>1422.6</v>
      </c>
      <c r="L111" s="2">
        <v>5194282</v>
      </c>
      <c r="M111" s="2">
        <v>10034958569.700001</v>
      </c>
      <c r="N111" s="2">
        <v>181713</v>
      </c>
      <c r="O111" t="s">
        <v>16</v>
      </c>
      <c r="P111" s="8">
        <f t="shared" si="3"/>
        <v>-13.200000000000045</v>
      </c>
      <c r="Q111" t="s">
        <v>37</v>
      </c>
      <c r="R111">
        <f t="shared" si="4"/>
        <v>7</v>
      </c>
      <c r="S111" t="str">
        <f t="shared" si="5"/>
        <v>Jul</v>
      </c>
      <c r="T111" s="9">
        <f>VLOOKUP(O111, Annual_Summary!A:B, 2, 0)</f>
        <v>0.31954628062919088</v>
      </c>
    </row>
    <row r="112" spans="1:20" x14ac:dyDescent="0.3">
      <c r="A112" s="1">
        <v>45860</v>
      </c>
      <c r="B112" t="s">
        <v>15</v>
      </c>
      <c r="C112" s="3">
        <v>1909.2</v>
      </c>
      <c r="D112" s="3">
        <v>1911.3</v>
      </c>
      <c r="E112" s="3">
        <v>1883</v>
      </c>
      <c r="F112" s="3">
        <v>1909.2</v>
      </c>
      <c r="G112" s="3">
        <v>1906.5</v>
      </c>
      <c r="H112" s="3">
        <v>1906.8</v>
      </c>
      <c r="I112" s="3">
        <v>1900.14</v>
      </c>
      <c r="J112" s="3">
        <v>2045.8</v>
      </c>
      <c r="K112" s="3">
        <v>1422.6</v>
      </c>
      <c r="L112" s="2">
        <v>4513541</v>
      </c>
      <c r="M112" s="2">
        <v>8576375988.6999998</v>
      </c>
      <c r="N112" s="2">
        <v>187488</v>
      </c>
      <c r="O112" t="s">
        <v>16</v>
      </c>
      <c r="P112" s="8">
        <f t="shared" si="3"/>
        <v>0</v>
      </c>
      <c r="Q112" t="s">
        <v>37</v>
      </c>
      <c r="R112">
        <f t="shared" si="4"/>
        <v>7</v>
      </c>
      <c r="S112" t="str">
        <f t="shared" si="5"/>
        <v>Jul</v>
      </c>
      <c r="T112" s="9">
        <f>VLOOKUP(O112, Annual_Summary!A:B, 2, 0)</f>
        <v>0.31954628062919088</v>
      </c>
    </row>
    <row r="113" spans="1:20" x14ac:dyDescent="0.3">
      <c r="A113" s="1">
        <v>45859</v>
      </c>
      <c r="B113" t="s">
        <v>15</v>
      </c>
      <c r="C113" s="3">
        <v>1894.8</v>
      </c>
      <c r="D113" s="3">
        <v>1919.9</v>
      </c>
      <c r="E113" s="3">
        <v>1892.6</v>
      </c>
      <c r="F113" s="3">
        <v>1901</v>
      </c>
      <c r="G113" s="3">
        <v>1907.3</v>
      </c>
      <c r="H113" s="3">
        <v>1909.2</v>
      </c>
      <c r="I113" s="3">
        <v>1907.42</v>
      </c>
      <c r="J113" s="3">
        <v>2045.8</v>
      </c>
      <c r="K113" s="3">
        <v>1422.6</v>
      </c>
      <c r="L113" s="2">
        <v>5109654</v>
      </c>
      <c r="M113" s="2">
        <v>9746237253</v>
      </c>
      <c r="N113" s="2">
        <v>106175</v>
      </c>
      <c r="O113" t="s">
        <v>16</v>
      </c>
      <c r="P113" s="8">
        <f t="shared" si="3"/>
        <v>6.2000000000000455</v>
      </c>
      <c r="Q113" t="s">
        <v>37</v>
      </c>
      <c r="R113">
        <f t="shared" si="4"/>
        <v>7</v>
      </c>
      <c r="S113" t="str">
        <f t="shared" si="5"/>
        <v>Jul</v>
      </c>
      <c r="T113" s="9">
        <f>VLOOKUP(O113, Annual_Summary!A:B, 2, 0)</f>
        <v>0.31954628062919088</v>
      </c>
    </row>
    <row r="114" spans="1:20" x14ac:dyDescent="0.3">
      <c r="A114" s="1">
        <v>45856</v>
      </c>
      <c r="B114" t="s">
        <v>15</v>
      </c>
      <c r="C114" s="3">
        <v>1915.1</v>
      </c>
      <c r="D114" s="3">
        <v>1916</v>
      </c>
      <c r="E114" s="3">
        <v>1891.8</v>
      </c>
      <c r="F114" s="3">
        <v>1929.9</v>
      </c>
      <c r="G114" s="3">
        <v>1902</v>
      </c>
      <c r="H114" s="3">
        <v>1901</v>
      </c>
      <c r="I114" s="3">
        <v>1900.4</v>
      </c>
      <c r="J114" s="3">
        <v>2045.8</v>
      </c>
      <c r="K114" s="3">
        <v>1422.6</v>
      </c>
      <c r="L114" s="2">
        <v>4643961</v>
      </c>
      <c r="M114" s="2">
        <v>8825370372.2999992</v>
      </c>
      <c r="N114" s="2">
        <v>153436</v>
      </c>
      <c r="O114" t="s">
        <v>16</v>
      </c>
      <c r="P114" s="8">
        <f t="shared" si="3"/>
        <v>14.800000000000182</v>
      </c>
      <c r="Q114" t="s">
        <v>37</v>
      </c>
      <c r="R114">
        <f t="shared" si="4"/>
        <v>7</v>
      </c>
      <c r="S114" t="str">
        <f t="shared" si="5"/>
        <v>Jul</v>
      </c>
      <c r="T114" s="9">
        <f>VLOOKUP(O114, Annual_Summary!A:B, 2, 0)</f>
        <v>0.31954628062919088</v>
      </c>
    </row>
    <row r="115" spans="1:20" x14ac:dyDescent="0.3">
      <c r="A115" s="1">
        <v>45855</v>
      </c>
      <c r="B115" t="s">
        <v>15</v>
      </c>
      <c r="C115" s="3">
        <v>1943.7</v>
      </c>
      <c r="D115" s="3">
        <v>1944.9</v>
      </c>
      <c r="E115" s="3">
        <v>1927.6</v>
      </c>
      <c r="F115" s="3">
        <v>1936.6</v>
      </c>
      <c r="G115" s="3">
        <v>1929.3</v>
      </c>
      <c r="H115" s="3">
        <v>1929.9</v>
      </c>
      <c r="I115" s="3">
        <v>1934.04</v>
      </c>
      <c r="J115" s="3">
        <v>2045.8</v>
      </c>
      <c r="K115" s="3">
        <v>1422.6</v>
      </c>
      <c r="L115" s="2">
        <v>6256455</v>
      </c>
      <c r="M115" s="2">
        <v>12100262832.1</v>
      </c>
      <c r="N115" s="2">
        <v>117865</v>
      </c>
      <c r="O115" t="s">
        <v>16</v>
      </c>
      <c r="P115" s="8">
        <f t="shared" si="3"/>
        <v>-7.1000000000001364</v>
      </c>
      <c r="Q115" t="s">
        <v>37</v>
      </c>
      <c r="R115">
        <f t="shared" si="4"/>
        <v>7</v>
      </c>
      <c r="S115" t="str">
        <f t="shared" si="5"/>
        <v>Jul</v>
      </c>
      <c r="T115" s="9">
        <f>VLOOKUP(O115, Annual_Summary!A:B, 2, 0)</f>
        <v>0.31954628062919088</v>
      </c>
    </row>
    <row r="116" spans="1:20" x14ac:dyDescent="0.3">
      <c r="A116" s="1">
        <v>45854</v>
      </c>
      <c r="B116" t="s">
        <v>15</v>
      </c>
      <c r="C116" s="3">
        <v>1944</v>
      </c>
      <c r="D116" s="3">
        <v>1944</v>
      </c>
      <c r="E116" s="3">
        <v>1928.8</v>
      </c>
      <c r="F116" s="3">
        <v>1934.2</v>
      </c>
      <c r="G116" s="3">
        <v>1932.1</v>
      </c>
      <c r="H116" s="3">
        <v>1936.6</v>
      </c>
      <c r="I116" s="3">
        <v>1937.89</v>
      </c>
      <c r="J116" s="3">
        <v>2045.8</v>
      </c>
      <c r="K116" s="3">
        <v>1422.6</v>
      </c>
      <c r="L116" s="2">
        <v>4211258</v>
      </c>
      <c r="M116" s="2">
        <v>8160962898</v>
      </c>
      <c r="N116" s="2">
        <v>155828</v>
      </c>
      <c r="O116" t="s">
        <v>16</v>
      </c>
      <c r="P116" s="8">
        <f t="shared" si="3"/>
        <v>-9.7999999999999545</v>
      </c>
      <c r="Q116" t="s">
        <v>37</v>
      </c>
      <c r="R116">
        <f t="shared" si="4"/>
        <v>7</v>
      </c>
      <c r="S116" t="str">
        <f t="shared" si="5"/>
        <v>Jul</v>
      </c>
      <c r="T116" s="9">
        <f>VLOOKUP(O116, Annual_Summary!A:B, 2, 0)</f>
        <v>0.31954628062919088</v>
      </c>
    </row>
    <row r="117" spans="1:20" x14ac:dyDescent="0.3">
      <c r="A117" s="1">
        <v>45853</v>
      </c>
      <c r="B117" t="s">
        <v>15</v>
      </c>
      <c r="C117" s="3">
        <v>1924.8</v>
      </c>
      <c r="D117" s="3">
        <v>1943</v>
      </c>
      <c r="E117" s="3">
        <v>1923.2</v>
      </c>
      <c r="F117" s="3">
        <v>1920.9</v>
      </c>
      <c r="G117" s="3">
        <v>1934.9</v>
      </c>
      <c r="H117" s="3">
        <v>1934.2</v>
      </c>
      <c r="I117" s="3">
        <v>1933.42</v>
      </c>
      <c r="J117" s="3">
        <v>2045.8</v>
      </c>
      <c r="K117" s="3">
        <v>1422.6</v>
      </c>
      <c r="L117" s="2">
        <v>4163140</v>
      </c>
      <c r="M117" s="2">
        <v>8049106906.8999996</v>
      </c>
      <c r="N117" s="2">
        <v>173130</v>
      </c>
      <c r="O117" t="s">
        <v>16</v>
      </c>
      <c r="P117" s="8">
        <f t="shared" si="3"/>
        <v>-3.8999999999998636</v>
      </c>
      <c r="Q117" t="s">
        <v>37</v>
      </c>
      <c r="R117">
        <f t="shared" si="4"/>
        <v>7</v>
      </c>
      <c r="S117" t="str">
        <f t="shared" si="5"/>
        <v>Jul</v>
      </c>
      <c r="T117" s="9">
        <f>VLOOKUP(O117, Annual_Summary!A:B, 2, 0)</f>
        <v>0.31954628062919088</v>
      </c>
    </row>
    <row r="118" spans="1:20" x14ac:dyDescent="0.3">
      <c r="A118" s="1">
        <v>45852</v>
      </c>
      <c r="B118" t="s">
        <v>15</v>
      </c>
      <c r="C118" s="3">
        <v>1915</v>
      </c>
      <c r="D118" s="3">
        <v>1927.5</v>
      </c>
      <c r="E118" s="3">
        <v>1900.2</v>
      </c>
      <c r="F118" s="3">
        <v>1921.9</v>
      </c>
      <c r="G118" s="3">
        <v>1923.1</v>
      </c>
      <c r="H118" s="3">
        <v>1920.9</v>
      </c>
      <c r="I118" s="3">
        <v>1912.33</v>
      </c>
      <c r="J118" s="3">
        <v>2045.8</v>
      </c>
      <c r="K118" s="3">
        <v>1422.6</v>
      </c>
      <c r="L118" s="2">
        <v>5269381</v>
      </c>
      <c r="M118" s="2">
        <v>10076781994</v>
      </c>
      <c r="N118" s="2">
        <v>117745</v>
      </c>
      <c r="O118" t="s">
        <v>16</v>
      </c>
      <c r="P118" s="8">
        <f t="shared" si="3"/>
        <v>6.9000000000000909</v>
      </c>
      <c r="Q118" t="s">
        <v>37</v>
      </c>
      <c r="R118">
        <f t="shared" si="4"/>
        <v>7</v>
      </c>
      <c r="S118" t="str">
        <f t="shared" si="5"/>
        <v>Jul</v>
      </c>
      <c r="T118" s="9">
        <f>VLOOKUP(O118, Annual_Summary!A:B, 2, 0)</f>
        <v>0.31954628062919088</v>
      </c>
    </row>
    <row r="119" spans="1:20" x14ac:dyDescent="0.3">
      <c r="A119" s="1">
        <v>45849</v>
      </c>
      <c r="B119" t="s">
        <v>15</v>
      </c>
      <c r="C119" s="3">
        <v>1942</v>
      </c>
      <c r="D119" s="3">
        <v>1959.1</v>
      </c>
      <c r="E119" s="3">
        <v>1914.2</v>
      </c>
      <c r="F119" s="3">
        <v>1964.5</v>
      </c>
      <c r="G119" s="3">
        <v>1925.7</v>
      </c>
      <c r="H119" s="3">
        <v>1921.9</v>
      </c>
      <c r="I119" s="3">
        <v>1924.82</v>
      </c>
      <c r="J119" s="3">
        <v>2045.8</v>
      </c>
      <c r="K119" s="3">
        <v>1421.45</v>
      </c>
      <c r="L119" s="2">
        <v>13103980</v>
      </c>
      <c r="M119" s="2">
        <v>25222831889.299999</v>
      </c>
      <c r="N119" s="2">
        <v>203449</v>
      </c>
      <c r="O119" t="s">
        <v>16</v>
      </c>
      <c r="P119" s="8">
        <f t="shared" si="3"/>
        <v>22.5</v>
      </c>
      <c r="Q119" t="s">
        <v>37</v>
      </c>
      <c r="R119">
        <f t="shared" si="4"/>
        <v>7</v>
      </c>
      <c r="S119" t="str">
        <f t="shared" si="5"/>
        <v>Jul</v>
      </c>
      <c r="T119" s="9">
        <f>VLOOKUP(O119, Annual_Summary!A:B, 2, 0)</f>
        <v>0.31954628062919088</v>
      </c>
    </row>
    <row r="120" spans="1:20" x14ac:dyDescent="0.3">
      <c r="A120" s="1">
        <v>45848</v>
      </c>
      <c r="B120" t="s">
        <v>15</v>
      </c>
      <c r="C120" s="3">
        <v>2028.6</v>
      </c>
      <c r="D120" s="3">
        <v>2028.6</v>
      </c>
      <c r="E120" s="3">
        <v>1962.3</v>
      </c>
      <c r="F120" s="3">
        <v>2019.7</v>
      </c>
      <c r="G120" s="3">
        <v>1964</v>
      </c>
      <c r="H120" s="3">
        <v>1964.5</v>
      </c>
      <c r="I120" s="3">
        <v>1981.26</v>
      </c>
      <c r="J120" s="3">
        <v>2045.8</v>
      </c>
      <c r="K120" s="3">
        <v>1421.45</v>
      </c>
      <c r="L120" s="2">
        <v>5695845</v>
      </c>
      <c r="M120" s="2">
        <v>11284970384.5</v>
      </c>
      <c r="N120" s="2">
        <v>137893</v>
      </c>
      <c r="O120" t="s">
        <v>16</v>
      </c>
      <c r="P120" s="8">
        <f t="shared" si="3"/>
        <v>-8.8999999999998636</v>
      </c>
      <c r="Q120" t="s">
        <v>37</v>
      </c>
      <c r="R120">
        <f t="shared" si="4"/>
        <v>7</v>
      </c>
      <c r="S120" t="str">
        <f t="shared" si="5"/>
        <v>Jul</v>
      </c>
      <c r="T120" s="9">
        <f>VLOOKUP(O120, Annual_Summary!A:B, 2, 0)</f>
        <v>0.31954628062919088</v>
      </c>
    </row>
    <row r="121" spans="1:20" x14ac:dyDescent="0.3">
      <c r="A121" s="1">
        <v>45847</v>
      </c>
      <c r="B121" t="s">
        <v>15</v>
      </c>
      <c r="C121" s="3">
        <v>2035</v>
      </c>
      <c r="D121" s="3">
        <v>2040.7</v>
      </c>
      <c r="E121" s="3">
        <v>1998.5</v>
      </c>
      <c r="F121" s="3">
        <v>2030</v>
      </c>
      <c r="G121" s="3">
        <v>2019.2</v>
      </c>
      <c r="H121" s="3">
        <v>2019.7</v>
      </c>
      <c r="I121" s="3">
        <v>2026.57</v>
      </c>
      <c r="J121" s="3">
        <v>2045.8</v>
      </c>
      <c r="K121" s="3">
        <v>1421.45</v>
      </c>
      <c r="L121" s="2">
        <v>2937734</v>
      </c>
      <c r="M121" s="2">
        <v>5953511845.8999996</v>
      </c>
      <c r="N121" s="2">
        <v>106327</v>
      </c>
      <c r="O121" t="s">
        <v>16</v>
      </c>
      <c r="P121" s="8">
        <f t="shared" si="3"/>
        <v>-5</v>
      </c>
      <c r="Q121" t="s">
        <v>37</v>
      </c>
      <c r="R121">
        <f t="shared" si="4"/>
        <v>7</v>
      </c>
      <c r="S121" t="str">
        <f t="shared" si="5"/>
        <v>Jul</v>
      </c>
      <c r="T121" s="9">
        <f>VLOOKUP(O121, Annual_Summary!A:B, 2, 0)</f>
        <v>0.31954628062919088</v>
      </c>
    </row>
    <row r="122" spans="1:20" x14ac:dyDescent="0.3">
      <c r="A122" s="1">
        <v>45846</v>
      </c>
      <c r="B122" t="s">
        <v>15</v>
      </c>
      <c r="C122" s="3">
        <v>2026</v>
      </c>
      <c r="D122" s="3">
        <v>2035</v>
      </c>
      <c r="E122" s="3">
        <v>2014.8</v>
      </c>
      <c r="F122" s="3">
        <v>2033.9</v>
      </c>
      <c r="G122" s="3">
        <v>2033</v>
      </c>
      <c r="H122" s="3">
        <v>2030</v>
      </c>
      <c r="I122" s="3">
        <v>2025.34</v>
      </c>
      <c r="J122" s="3">
        <v>2045.8</v>
      </c>
      <c r="K122" s="3">
        <v>1421.45</v>
      </c>
      <c r="L122" s="2">
        <v>3624619</v>
      </c>
      <c r="M122" s="2">
        <v>7341077387.3999996</v>
      </c>
      <c r="N122" s="2">
        <v>108175</v>
      </c>
      <c r="O122" t="s">
        <v>16</v>
      </c>
      <c r="P122" s="8">
        <f t="shared" si="3"/>
        <v>7.9000000000000909</v>
      </c>
      <c r="Q122" t="s">
        <v>37</v>
      </c>
      <c r="R122">
        <f t="shared" si="4"/>
        <v>7</v>
      </c>
      <c r="S122" t="str">
        <f t="shared" si="5"/>
        <v>Jul</v>
      </c>
      <c r="T122" s="9">
        <f>VLOOKUP(O122, Annual_Summary!A:B, 2, 0)</f>
        <v>0.31954628062919088</v>
      </c>
    </row>
    <row r="123" spans="1:20" x14ac:dyDescent="0.3">
      <c r="A123" s="1">
        <v>45845</v>
      </c>
      <c r="B123" t="s">
        <v>15</v>
      </c>
      <c r="C123" s="3">
        <v>2018</v>
      </c>
      <c r="D123" s="3">
        <v>2036</v>
      </c>
      <c r="E123" s="3">
        <v>2010.6</v>
      </c>
      <c r="F123" s="3">
        <v>2017.2</v>
      </c>
      <c r="G123" s="3">
        <v>2029.5</v>
      </c>
      <c r="H123" s="3">
        <v>2033.9</v>
      </c>
      <c r="I123" s="3">
        <v>2023.94</v>
      </c>
      <c r="J123" s="3">
        <v>2045.8</v>
      </c>
      <c r="K123" s="3">
        <v>1421.45</v>
      </c>
      <c r="L123" s="2">
        <v>4165432</v>
      </c>
      <c r="M123" s="2">
        <v>8430571808.8000002</v>
      </c>
      <c r="N123" s="2">
        <v>129355</v>
      </c>
      <c r="O123" t="s">
        <v>16</v>
      </c>
      <c r="P123" s="8">
        <f t="shared" si="3"/>
        <v>-0.79999999999995453</v>
      </c>
      <c r="Q123" t="s">
        <v>37</v>
      </c>
      <c r="R123">
        <f t="shared" si="4"/>
        <v>7</v>
      </c>
      <c r="S123" t="str">
        <f t="shared" si="5"/>
        <v>Jul</v>
      </c>
      <c r="T123" s="9">
        <f>VLOOKUP(O123, Annual_Summary!A:B, 2, 0)</f>
        <v>0.31954628062919088</v>
      </c>
    </row>
    <row r="124" spans="1:20" x14ac:dyDescent="0.3">
      <c r="A124" s="1">
        <v>45842</v>
      </c>
      <c r="B124" t="s">
        <v>15</v>
      </c>
      <c r="C124" s="3">
        <v>2027</v>
      </c>
      <c r="D124" s="3">
        <v>2036.5</v>
      </c>
      <c r="E124" s="3">
        <v>2005.1</v>
      </c>
      <c r="F124" s="3">
        <v>2019.3</v>
      </c>
      <c r="G124" s="3">
        <v>2018.3</v>
      </c>
      <c r="H124" s="3">
        <v>2017.2</v>
      </c>
      <c r="I124" s="3">
        <v>2014.08</v>
      </c>
      <c r="J124" s="3">
        <v>2045.8</v>
      </c>
      <c r="K124" s="3">
        <v>1408.45</v>
      </c>
      <c r="L124" s="2">
        <v>2178315</v>
      </c>
      <c r="M124" s="2">
        <v>4387298875.3999996</v>
      </c>
      <c r="N124" s="2">
        <v>101143</v>
      </c>
      <c r="O124" t="s">
        <v>16</v>
      </c>
      <c r="P124" s="8">
        <f t="shared" si="3"/>
        <v>-7.7000000000000455</v>
      </c>
      <c r="Q124" t="s">
        <v>37</v>
      </c>
      <c r="R124">
        <f t="shared" si="4"/>
        <v>7</v>
      </c>
      <c r="S124" t="str">
        <f t="shared" si="5"/>
        <v>Jul</v>
      </c>
      <c r="T124" s="9">
        <f>VLOOKUP(O124, Annual_Summary!A:B, 2, 0)</f>
        <v>0.31954628062919088</v>
      </c>
    </row>
    <row r="125" spans="1:20" x14ac:dyDescent="0.3">
      <c r="A125" s="1">
        <v>45841</v>
      </c>
      <c r="B125" t="s">
        <v>15</v>
      </c>
      <c r="C125" s="3">
        <v>2041.8</v>
      </c>
      <c r="D125" s="3">
        <v>2044.9</v>
      </c>
      <c r="E125" s="3">
        <v>2012.9</v>
      </c>
      <c r="F125" s="3">
        <v>2033.3</v>
      </c>
      <c r="G125" s="3">
        <v>2019</v>
      </c>
      <c r="H125" s="3">
        <v>2019.3</v>
      </c>
      <c r="I125" s="3">
        <v>2030.02</v>
      </c>
      <c r="J125" s="3">
        <v>2045.8</v>
      </c>
      <c r="K125" s="3">
        <v>1408.45</v>
      </c>
      <c r="L125" s="2">
        <v>5558647</v>
      </c>
      <c r="M125" s="2">
        <v>11284185157.6</v>
      </c>
      <c r="N125" s="2">
        <v>154712</v>
      </c>
      <c r="O125" t="s">
        <v>16</v>
      </c>
      <c r="P125" s="8">
        <f t="shared" si="3"/>
        <v>-8.5</v>
      </c>
      <c r="Q125" t="s">
        <v>37</v>
      </c>
      <c r="R125">
        <f t="shared" si="4"/>
        <v>7</v>
      </c>
      <c r="S125" t="str">
        <f t="shared" si="5"/>
        <v>Jul</v>
      </c>
      <c r="T125" s="9">
        <f>VLOOKUP(O125, Annual_Summary!A:B, 2, 0)</f>
        <v>0.31954628062919088</v>
      </c>
    </row>
    <row r="126" spans="1:20" x14ac:dyDescent="0.3">
      <c r="A126" s="1">
        <v>45840</v>
      </c>
      <c r="B126" t="s">
        <v>15</v>
      </c>
      <c r="C126" s="3">
        <v>2037</v>
      </c>
      <c r="D126" s="3">
        <v>2045.8</v>
      </c>
      <c r="E126" s="3">
        <v>2018.3</v>
      </c>
      <c r="F126" s="3">
        <v>2019.4</v>
      </c>
      <c r="G126" s="3">
        <v>2030</v>
      </c>
      <c r="H126" s="3">
        <v>2033.3</v>
      </c>
      <c r="I126" s="3">
        <v>2033.47</v>
      </c>
      <c r="J126" s="3">
        <v>2045.8</v>
      </c>
      <c r="K126" s="3">
        <v>1408.45</v>
      </c>
      <c r="L126" s="2">
        <v>6513288</v>
      </c>
      <c r="M126" s="2">
        <v>13244594437.200001</v>
      </c>
      <c r="N126" s="2">
        <v>196748</v>
      </c>
      <c r="O126" t="s">
        <v>16</v>
      </c>
      <c r="P126" s="8">
        <f t="shared" si="3"/>
        <v>-17.599999999999909</v>
      </c>
      <c r="Q126" t="s">
        <v>37</v>
      </c>
      <c r="R126">
        <f t="shared" si="4"/>
        <v>7</v>
      </c>
      <c r="S126" t="str">
        <f t="shared" si="5"/>
        <v>Jul</v>
      </c>
      <c r="T126" s="9">
        <f>VLOOKUP(O126, Annual_Summary!A:B, 2, 0)</f>
        <v>0.31954628062919088</v>
      </c>
    </row>
    <row r="127" spans="1:20" x14ac:dyDescent="0.3">
      <c r="A127" s="1">
        <v>45839</v>
      </c>
      <c r="B127" t="s">
        <v>15</v>
      </c>
      <c r="C127" s="3">
        <v>2009</v>
      </c>
      <c r="D127" s="3">
        <v>2030.8</v>
      </c>
      <c r="E127" s="3">
        <v>2006.9</v>
      </c>
      <c r="F127" s="3">
        <v>2009.6</v>
      </c>
      <c r="G127" s="3">
        <v>2015.3</v>
      </c>
      <c r="H127" s="3">
        <v>2019.4</v>
      </c>
      <c r="I127" s="3">
        <v>2018.42</v>
      </c>
      <c r="J127" s="3">
        <v>2039</v>
      </c>
      <c r="K127" s="3">
        <v>1408.45</v>
      </c>
      <c r="L127" s="2">
        <v>3769165</v>
      </c>
      <c r="M127" s="2">
        <v>7607773613</v>
      </c>
      <c r="N127" s="2">
        <v>134125</v>
      </c>
      <c r="O127" t="s">
        <v>16</v>
      </c>
      <c r="P127" s="8">
        <f t="shared" si="3"/>
        <v>0.59999999999990905</v>
      </c>
      <c r="Q127" t="s">
        <v>37</v>
      </c>
      <c r="R127">
        <f t="shared" si="4"/>
        <v>7</v>
      </c>
      <c r="S127" t="str">
        <f t="shared" si="5"/>
        <v>Jul</v>
      </c>
      <c r="T127" s="9">
        <f>VLOOKUP(O127, Annual_Summary!A:B, 2, 0)</f>
        <v>0.31954628062919088</v>
      </c>
    </row>
    <row r="128" spans="1:20" x14ac:dyDescent="0.3">
      <c r="A128" s="1">
        <v>45838</v>
      </c>
      <c r="B128" t="s">
        <v>15</v>
      </c>
      <c r="C128" s="3">
        <v>2018</v>
      </c>
      <c r="D128" s="3">
        <v>2023.9</v>
      </c>
      <c r="E128" s="3">
        <v>2000.2</v>
      </c>
      <c r="F128" s="3">
        <v>2027.1</v>
      </c>
      <c r="G128" s="3">
        <v>2008.7</v>
      </c>
      <c r="H128" s="3">
        <v>2009.6</v>
      </c>
      <c r="I128" s="3">
        <v>2009.31</v>
      </c>
      <c r="J128" s="3">
        <v>2039</v>
      </c>
      <c r="K128" s="3">
        <v>1408.45</v>
      </c>
      <c r="L128" s="2">
        <v>5597484</v>
      </c>
      <c r="M128" s="2">
        <v>11247098467.700001</v>
      </c>
      <c r="N128" s="2">
        <v>152889</v>
      </c>
      <c r="O128" t="s">
        <v>16</v>
      </c>
      <c r="P128" s="8">
        <f t="shared" si="3"/>
        <v>9.0999999999999091</v>
      </c>
      <c r="Q128" t="s">
        <v>37</v>
      </c>
      <c r="R128">
        <f t="shared" si="4"/>
        <v>6</v>
      </c>
      <c r="S128" t="str">
        <f t="shared" si="5"/>
        <v>Jun</v>
      </c>
      <c r="T128" s="9">
        <f>VLOOKUP(O128, Annual_Summary!A:B, 2, 0)</f>
        <v>0.31954628062919088</v>
      </c>
    </row>
    <row r="129" spans="1:20" x14ac:dyDescent="0.3">
      <c r="A129" s="1">
        <v>45835</v>
      </c>
      <c r="B129" t="s">
        <v>15</v>
      </c>
      <c r="C129" s="3">
        <v>2010</v>
      </c>
      <c r="D129" s="3">
        <v>2039</v>
      </c>
      <c r="E129" s="3">
        <v>2008.6</v>
      </c>
      <c r="F129" s="3">
        <v>2014.3</v>
      </c>
      <c r="G129" s="3">
        <v>2020</v>
      </c>
      <c r="H129" s="3">
        <v>2027.1</v>
      </c>
      <c r="I129" s="3">
        <v>2024.22</v>
      </c>
      <c r="J129" s="3">
        <v>2039</v>
      </c>
      <c r="K129" s="3">
        <v>1389.35</v>
      </c>
      <c r="L129" s="2">
        <v>6405854</v>
      </c>
      <c r="M129" s="2">
        <v>12966837500.6</v>
      </c>
      <c r="N129" s="2">
        <v>148359</v>
      </c>
      <c r="O129" t="s">
        <v>16</v>
      </c>
      <c r="P129" s="8">
        <f t="shared" si="3"/>
        <v>4.2999999999999545</v>
      </c>
      <c r="Q129" t="s">
        <v>37</v>
      </c>
      <c r="R129">
        <f t="shared" si="4"/>
        <v>6</v>
      </c>
      <c r="S129" t="str">
        <f t="shared" si="5"/>
        <v>Jun</v>
      </c>
      <c r="T129" s="9">
        <f>VLOOKUP(O129, Annual_Summary!A:B, 2, 0)</f>
        <v>0.31954628062919088</v>
      </c>
    </row>
    <row r="130" spans="1:20" x14ac:dyDescent="0.3">
      <c r="A130" s="1">
        <v>45834</v>
      </c>
      <c r="B130" t="s">
        <v>15</v>
      </c>
      <c r="C130" s="3">
        <v>1970</v>
      </c>
      <c r="D130" s="3">
        <v>2018.4</v>
      </c>
      <c r="E130" s="3">
        <v>1966.3</v>
      </c>
      <c r="F130" s="3">
        <v>1965.6</v>
      </c>
      <c r="G130" s="3">
        <v>2015.6</v>
      </c>
      <c r="H130" s="3">
        <v>2014.3</v>
      </c>
      <c r="I130" s="3">
        <v>2000.12</v>
      </c>
      <c r="J130" s="3">
        <v>2018.4</v>
      </c>
      <c r="K130" s="3">
        <v>1389.35</v>
      </c>
      <c r="L130" s="2">
        <v>9413241</v>
      </c>
      <c r="M130" s="2">
        <v>18827572697.099998</v>
      </c>
      <c r="N130" s="2">
        <v>191193</v>
      </c>
      <c r="O130" t="s">
        <v>16</v>
      </c>
      <c r="P130" s="8">
        <f t="shared" si="3"/>
        <v>-4.4000000000000909</v>
      </c>
      <c r="Q130" t="s">
        <v>37</v>
      </c>
      <c r="R130">
        <f t="shared" si="4"/>
        <v>6</v>
      </c>
      <c r="S130" t="str">
        <f t="shared" si="5"/>
        <v>Jun</v>
      </c>
      <c r="T130" s="9">
        <f>VLOOKUP(O130, Annual_Summary!A:B, 2, 0)</f>
        <v>0.31954628062919088</v>
      </c>
    </row>
    <row r="131" spans="1:20" x14ac:dyDescent="0.3">
      <c r="A131" s="1">
        <v>45833</v>
      </c>
      <c r="B131" t="s">
        <v>15</v>
      </c>
      <c r="C131" s="3">
        <v>1942</v>
      </c>
      <c r="D131" s="3">
        <v>1970</v>
      </c>
      <c r="E131" s="3">
        <v>1938</v>
      </c>
      <c r="F131" s="3">
        <v>1933.6</v>
      </c>
      <c r="G131" s="3">
        <v>1963.8</v>
      </c>
      <c r="H131" s="3">
        <v>1965.6</v>
      </c>
      <c r="I131" s="3">
        <v>1959.42</v>
      </c>
      <c r="J131" s="3">
        <v>1970</v>
      </c>
      <c r="K131" s="3">
        <v>1389.35</v>
      </c>
      <c r="L131" s="2">
        <v>4152765</v>
      </c>
      <c r="M131" s="2">
        <v>8137023309.3999996</v>
      </c>
      <c r="N131" s="2">
        <v>145203</v>
      </c>
      <c r="O131" t="s">
        <v>16</v>
      </c>
      <c r="P131" s="8">
        <f t="shared" ref="P131:P194" si="6">F131-C131</f>
        <v>-8.4000000000000909</v>
      </c>
      <c r="Q131" t="s">
        <v>37</v>
      </c>
      <c r="R131">
        <f t="shared" ref="R131:R194" si="7">MONTH(A131)</f>
        <v>6</v>
      </c>
      <c r="S131" t="str">
        <f t="shared" ref="S131:S194" si="8">TEXT(A131,"mmm")</f>
        <v>Jun</v>
      </c>
      <c r="T131" s="9">
        <f>VLOOKUP(O131, Annual_Summary!A:B, 2, 0)</f>
        <v>0.31954628062919088</v>
      </c>
    </row>
    <row r="132" spans="1:20" x14ac:dyDescent="0.3">
      <c r="A132" s="1">
        <v>45832</v>
      </c>
      <c r="B132" t="s">
        <v>15</v>
      </c>
      <c r="C132" s="3">
        <v>1950.9</v>
      </c>
      <c r="D132" s="3">
        <v>1963</v>
      </c>
      <c r="E132" s="3">
        <v>1929.1</v>
      </c>
      <c r="F132" s="3">
        <v>1936.3</v>
      </c>
      <c r="G132" s="3">
        <v>1942</v>
      </c>
      <c r="H132" s="3">
        <v>1933.6</v>
      </c>
      <c r="I132" s="3">
        <v>1941.29</v>
      </c>
      <c r="J132" s="3">
        <v>1963</v>
      </c>
      <c r="K132" s="3">
        <v>1389.35</v>
      </c>
      <c r="L132" s="2">
        <v>6837210</v>
      </c>
      <c r="M132" s="2">
        <v>13272989083.700001</v>
      </c>
      <c r="N132" s="2">
        <v>180737</v>
      </c>
      <c r="O132" t="s">
        <v>16</v>
      </c>
      <c r="P132" s="8">
        <f t="shared" si="6"/>
        <v>-14.600000000000136</v>
      </c>
      <c r="Q132" t="s">
        <v>37</v>
      </c>
      <c r="R132">
        <f t="shared" si="7"/>
        <v>6</v>
      </c>
      <c r="S132" t="str">
        <f t="shared" si="8"/>
        <v>Jun</v>
      </c>
      <c r="T132" s="9">
        <f>VLOOKUP(O132, Annual_Summary!A:B, 2, 0)</f>
        <v>0.31954628062919088</v>
      </c>
    </row>
    <row r="133" spans="1:20" x14ac:dyDescent="0.3">
      <c r="A133" s="1">
        <v>45831</v>
      </c>
      <c r="B133" t="s">
        <v>15</v>
      </c>
      <c r="C133" s="3">
        <v>1930</v>
      </c>
      <c r="D133" s="3">
        <v>1949</v>
      </c>
      <c r="E133" s="3">
        <v>1927.1</v>
      </c>
      <c r="F133" s="3">
        <v>1936.7</v>
      </c>
      <c r="G133" s="3">
        <v>1935</v>
      </c>
      <c r="H133" s="3">
        <v>1936.3</v>
      </c>
      <c r="I133" s="3">
        <v>1937.95</v>
      </c>
      <c r="J133" s="3">
        <v>1949</v>
      </c>
      <c r="K133" s="3">
        <v>1389.35</v>
      </c>
      <c r="L133" s="2">
        <v>2946463</v>
      </c>
      <c r="M133" s="2">
        <v>5710099351.1000004</v>
      </c>
      <c r="N133" s="2">
        <v>122423</v>
      </c>
      <c r="O133" t="s">
        <v>16</v>
      </c>
      <c r="P133" s="8">
        <f t="shared" si="6"/>
        <v>6.7000000000000455</v>
      </c>
      <c r="Q133" t="s">
        <v>37</v>
      </c>
      <c r="R133">
        <f t="shared" si="7"/>
        <v>6</v>
      </c>
      <c r="S133" t="str">
        <f t="shared" si="8"/>
        <v>Jun</v>
      </c>
      <c r="T133" s="9">
        <f>VLOOKUP(O133, Annual_Summary!A:B, 2, 0)</f>
        <v>0.31954628062919088</v>
      </c>
    </row>
    <row r="134" spans="1:20" x14ac:dyDescent="0.3">
      <c r="A134" s="1">
        <v>45828</v>
      </c>
      <c r="B134" t="s">
        <v>15</v>
      </c>
      <c r="C134" s="3">
        <v>1880</v>
      </c>
      <c r="D134" s="3">
        <v>1949</v>
      </c>
      <c r="E134" s="3">
        <v>1874</v>
      </c>
      <c r="F134" s="3">
        <v>1877</v>
      </c>
      <c r="G134" s="3">
        <v>1934</v>
      </c>
      <c r="H134" s="3">
        <v>1936.7</v>
      </c>
      <c r="I134" s="3">
        <v>1927.9</v>
      </c>
      <c r="J134" s="3">
        <v>1949</v>
      </c>
      <c r="K134" s="3">
        <v>1372.85</v>
      </c>
      <c r="L134" s="2">
        <v>16228526</v>
      </c>
      <c r="M134" s="2">
        <v>31286969336.299999</v>
      </c>
      <c r="N134" s="2">
        <v>258340</v>
      </c>
      <c r="O134" t="s">
        <v>16</v>
      </c>
      <c r="P134" s="8">
        <f t="shared" si="6"/>
        <v>-3</v>
      </c>
      <c r="Q134" t="s">
        <v>37</v>
      </c>
      <c r="R134">
        <f t="shared" si="7"/>
        <v>6</v>
      </c>
      <c r="S134" t="str">
        <f t="shared" si="8"/>
        <v>Jun</v>
      </c>
      <c r="T134" s="9">
        <f>VLOOKUP(O134, Annual_Summary!A:B, 2, 0)</f>
        <v>0.31954628062919088</v>
      </c>
    </row>
    <row r="135" spans="1:20" x14ac:dyDescent="0.3">
      <c r="A135" s="1">
        <v>45827</v>
      </c>
      <c r="B135" t="s">
        <v>15</v>
      </c>
      <c r="C135" s="3">
        <v>1872</v>
      </c>
      <c r="D135" s="3">
        <v>1879</v>
      </c>
      <c r="E135" s="3">
        <v>1864.1</v>
      </c>
      <c r="F135" s="3">
        <v>1865.9</v>
      </c>
      <c r="G135" s="3">
        <v>1874</v>
      </c>
      <c r="H135" s="3">
        <v>1877</v>
      </c>
      <c r="I135" s="3">
        <v>1874.79</v>
      </c>
      <c r="J135" s="3">
        <v>1917</v>
      </c>
      <c r="K135" s="3">
        <v>1372.85</v>
      </c>
      <c r="L135" s="2">
        <v>4712312</v>
      </c>
      <c r="M135" s="2">
        <v>8834585788.1000004</v>
      </c>
      <c r="N135" s="2">
        <v>119233</v>
      </c>
      <c r="O135" t="s">
        <v>16</v>
      </c>
      <c r="P135" s="8">
        <f t="shared" si="6"/>
        <v>-6.0999999999999091</v>
      </c>
      <c r="Q135" t="s">
        <v>37</v>
      </c>
      <c r="R135">
        <f t="shared" si="7"/>
        <v>6</v>
      </c>
      <c r="S135" t="str">
        <f t="shared" si="8"/>
        <v>Jun</v>
      </c>
      <c r="T135" s="9">
        <f>VLOOKUP(O135, Annual_Summary!A:B, 2, 0)</f>
        <v>0.31954628062919088</v>
      </c>
    </row>
    <row r="136" spans="1:20" x14ac:dyDescent="0.3">
      <c r="A136" s="1">
        <v>45826</v>
      </c>
      <c r="B136" t="s">
        <v>15</v>
      </c>
      <c r="C136" s="3">
        <v>1847.6</v>
      </c>
      <c r="D136" s="3">
        <v>1871</v>
      </c>
      <c r="E136" s="3">
        <v>1843.1</v>
      </c>
      <c r="F136" s="3">
        <v>1854.8</v>
      </c>
      <c r="G136" s="3">
        <v>1861.8</v>
      </c>
      <c r="H136" s="3">
        <v>1865.9</v>
      </c>
      <c r="I136" s="3">
        <v>1864.4</v>
      </c>
      <c r="J136" s="3">
        <v>1917</v>
      </c>
      <c r="K136" s="3">
        <v>1372.85</v>
      </c>
      <c r="L136" s="2">
        <v>5069427</v>
      </c>
      <c r="M136" s="2">
        <v>9451432452.5</v>
      </c>
      <c r="N136" s="2">
        <v>123077</v>
      </c>
      <c r="O136" t="s">
        <v>16</v>
      </c>
      <c r="P136" s="8">
        <f t="shared" si="6"/>
        <v>7.2000000000000455</v>
      </c>
      <c r="Q136" t="s">
        <v>37</v>
      </c>
      <c r="R136">
        <f t="shared" si="7"/>
        <v>6</v>
      </c>
      <c r="S136" t="str">
        <f t="shared" si="8"/>
        <v>Jun</v>
      </c>
      <c r="T136" s="9">
        <f>VLOOKUP(O136, Annual_Summary!A:B, 2, 0)</f>
        <v>0.31954628062919088</v>
      </c>
    </row>
    <row r="137" spans="1:20" x14ac:dyDescent="0.3">
      <c r="A137" s="1">
        <v>45825</v>
      </c>
      <c r="B137" t="s">
        <v>15</v>
      </c>
      <c r="C137" s="3">
        <v>1879</v>
      </c>
      <c r="D137" s="3">
        <v>1879</v>
      </c>
      <c r="E137" s="3">
        <v>1847.6</v>
      </c>
      <c r="F137" s="3">
        <v>1861.3</v>
      </c>
      <c r="G137" s="3">
        <v>1856.8</v>
      </c>
      <c r="H137" s="3">
        <v>1854.8</v>
      </c>
      <c r="I137" s="3">
        <v>1854.73</v>
      </c>
      <c r="J137" s="3">
        <v>1917</v>
      </c>
      <c r="K137" s="3">
        <v>1372.85</v>
      </c>
      <c r="L137" s="2">
        <v>6561555</v>
      </c>
      <c r="M137" s="2">
        <v>12169888553.1</v>
      </c>
      <c r="N137" s="2">
        <v>161741</v>
      </c>
      <c r="O137" t="s">
        <v>16</v>
      </c>
      <c r="P137" s="8">
        <f t="shared" si="6"/>
        <v>-17.700000000000045</v>
      </c>
      <c r="Q137" t="s">
        <v>37</v>
      </c>
      <c r="R137">
        <f t="shared" si="7"/>
        <v>6</v>
      </c>
      <c r="S137" t="str">
        <f t="shared" si="8"/>
        <v>Jun</v>
      </c>
      <c r="T137" s="9">
        <f>VLOOKUP(O137, Annual_Summary!A:B, 2, 0)</f>
        <v>0.31954628062919088</v>
      </c>
    </row>
    <row r="138" spans="1:20" x14ac:dyDescent="0.3">
      <c r="A138" s="1">
        <v>45824</v>
      </c>
      <c r="B138" t="s">
        <v>15</v>
      </c>
      <c r="C138" s="3">
        <v>1842.1</v>
      </c>
      <c r="D138" s="3">
        <v>1870</v>
      </c>
      <c r="E138" s="3">
        <v>1838.8</v>
      </c>
      <c r="F138" s="3">
        <v>1840.4</v>
      </c>
      <c r="G138" s="3">
        <v>1858.2</v>
      </c>
      <c r="H138" s="3">
        <v>1861.3</v>
      </c>
      <c r="I138" s="3">
        <v>1860.67</v>
      </c>
      <c r="J138" s="3">
        <v>1917</v>
      </c>
      <c r="K138" s="3">
        <v>1372.85</v>
      </c>
      <c r="L138" s="2">
        <v>5722187</v>
      </c>
      <c r="M138" s="2">
        <v>10647100022.6</v>
      </c>
      <c r="N138" s="2">
        <v>136896</v>
      </c>
      <c r="O138" t="s">
        <v>16</v>
      </c>
      <c r="P138" s="8">
        <f t="shared" si="6"/>
        <v>-1.6999999999998181</v>
      </c>
      <c r="Q138" t="s">
        <v>37</v>
      </c>
      <c r="R138">
        <f t="shared" si="7"/>
        <v>6</v>
      </c>
      <c r="S138" t="str">
        <f t="shared" si="8"/>
        <v>Jun</v>
      </c>
      <c r="T138" s="9">
        <f>VLOOKUP(O138, Annual_Summary!A:B, 2, 0)</f>
        <v>0.31954628062919088</v>
      </c>
    </row>
    <row r="139" spans="1:20" x14ac:dyDescent="0.3">
      <c r="A139" s="1">
        <v>45821</v>
      </c>
      <c r="B139" t="s">
        <v>15</v>
      </c>
      <c r="C139" s="3">
        <v>1815</v>
      </c>
      <c r="D139" s="3">
        <v>1844.6</v>
      </c>
      <c r="E139" s="3">
        <v>1815</v>
      </c>
      <c r="F139" s="3">
        <v>1844.2</v>
      </c>
      <c r="G139" s="3">
        <v>1840.1</v>
      </c>
      <c r="H139" s="3">
        <v>1840.4</v>
      </c>
      <c r="I139" s="3">
        <v>1837.79</v>
      </c>
      <c r="J139" s="3">
        <v>1917</v>
      </c>
      <c r="K139" s="3">
        <v>1372.85</v>
      </c>
      <c r="L139" s="2">
        <v>4613000</v>
      </c>
      <c r="M139" s="2">
        <v>8477734828.5</v>
      </c>
      <c r="N139" s="2">
        <v>178295</v>
      </c>
      <c r="O139" t="s">
        <v>16</v>
      </c>
      <c r="P139" s="8">
        <f t="shared" si="6"/>
        <v>29.200000000000045</v>
      </c>
      <c r="Q139" t="s">
        <v>37</v>
      </c>
      <c r="R139">
        <f t="shared" si="7"/>
        <v>6</v>
      </c>
      <c r="S139" t="str">
        <f t="shared" si="8"/>
        <v>Jun</v>
      </c>
      <c r="T139" s="9">
        <f>VLOOKUP(O139, Annual_Summary!A:B, 2, 0)</f>
        <v>0.31954628062919088</v>
      </c>
    </row>
    <row r="140" spans="1:20" x14ac:dyDescent="0.3">
      <c r="A140" s="1">
        <v>45820</v>
      </c>
      <c r="B140" t="s">
        <v>15</v>
      </c>
      <c r="C140" s="3">
        <v>1871.9</v>
      </c>
      <c r="D140" s="3">
        <v>1883</v>
      </c>
      <c r="E140" s="3">
        <v>1831.6</v>
      </c>
      <c r="F140" s="3">
        <v>1860.2</v>
      </c>
      <c r="G140" s="3">
        <v>1844</v>
      </c>
      <c r="H140" s="3">
        <v>1844.2</v>
      </c>
      <c r="I140" s="3">
        <v>1851.8</v>
      </c>
      <c r="J140" s="3">
        <v>1917</v>
      </c>
      <c r="K140" s="3">
        <v>1372.85</v>
      </c>
      <c r="L140" s="2">
        <v>7346031</v>
      </c>
      <c r="M140" s="2">
        <v>13603343695.4</v>
      </c>
      <c r="N140" s="2">
        <v>178651</v>
      </c>
      <c r="O140" t="s">
        <v>16</v>
      </c>
      <c r="P140" s="8">
        <f t="shared" si="6"/>
        <v>-11.700000000000045</v>
      </c>
      <c r="Q140" t="s">
        <v>37</v>
      </c>
      <c r="R140">
        <f t="shared" si="7"/>
        <v>6</v>
      </c>
      <c r="S140" t="str">
        <f t="shared" si="8"/>
        <v>Jun</v>
      </c>
      <c r="T140" s="9">
        <f>VLOOKUP(O140, Annual_Summary!A:B, 2, 0)</f>
        <v>0.31954628062919088</v>
      </c>
    </row>
    <row r="141" spans="1:20" x14ac:dyDescent="0.3">
      <c r="A141" s="1">
        <v>45819</v>
      </c>
      <c r="B141" t="s">
        <v>15</v>
      </c>
      <c r="C141" s="3">
        <v>1857.9</v>
      </c>
      <c r="D141" s="3">
        <v>1866.5</v>
      </c>
      <c r="E141" s="3">
        <v>1847.8</v>
      </c>
      <c r="F141" s="3">
        <v>1857.1</v>
      </c>
      <c r="G141" s="3">
        <v>1857.5</v>
      </c>
      <c r="H141" s="3">
        <v>1860.2</v>
      </c>
      <c r="I141" s="3">
        <v>1857.61</v>
      </c>
      <c r="J141" s="3">
        <v>1917</v>
      </c>
      <c r="K141" s="3">
        <v>1372.85</v>
      </c>
      <c r="L141" s="2">
        <v>8907265</v>
      </c>
      <c r="M141" s="2">
        <v>16546192522.9</v>
      </c>
      <c r="N141" s="2">
        <v>160998</v>
      </c>
      <c r="O141" t="s">
        <v>16</v>
      </c>
      <c r="P141" s="8">
        <f t="shared" si="6"/>
        <v>-0.8000000000001819</v>
      </c>
      <c r="Q141" t="s">
        <v>37</v>
      </c>
      <c r="R141">
        <f t="shared" si="7"/>
        <v>6</v>
      </c>
      <c r="S141" t="str">
        <f t="shared" si="8"/>
        <v>Jun</v>
      </c>
      <c r="T141" s="9">
        <f>VLOOKUP(O141, Annual_Summary!A:B, 2, 0)</f>
        <v>0.31954628062919088</v>
      </c>
    </row>
    <row r="142" spans="1:20" x14ac:dyDescent="0.3">
      <c r="A142" s="1">
        <v>45818</v>
      </c>
      <c r="B142" t="s">
        <v>15</v>
      </c>
      <c r="C142" s="3">
        <v>1866.6</v>
      </c>
      <c r="D142" s="3">
        <v>1875.6</v>
      </c>
      <c r="E142" s="3">
        <v>1850.3</v>
      </c>
      <c r="F142" s="3">
        <v>1865.1</v>
      </c>
      <c r="G142" s="3">
        <v>1855.9</v>
      </c>
      <c r="H142" s="3">
        <v>1857.1</v>
      </c>
      <c r="I142" s="3">
        <v>1859.98</v>
      </c>
      <c r="J142" s="3">
        <v>1917</v>
      </c>
      <c r="K142" s="3">
        <v>1372.85</v>
      </c>
      <c r="L142" s="2">
        <v>7925901</v>
      </c>
      <c r="M142" s="2">
        <v>14742016739.200001</v>
      </c>
      <c r="N142" s="2">
        <v>167981</v>
      </c>
      <c r="O142" t="s">
        <v>16</v>
      </c>
      <c r="P142" s="8">
        <f t="shared" si="6"/>
        <v>-1.5</v>
      </c>
      <c r="Q142" t="s">
        <v>37</v>
      </c>
      <c r="R142">
        <f t="shared" si="7"/>
        <v>6</v>
      </c>
      <c r="S142" t="str">
        <f t="shared" si="8"/>
        <v>Jun</v>
      </c>
      <c r="T142" s="9">
        <f>VLOOKUP(O142, Annual_Summary!A:B, 2, 0)</f>
        <v>0.31954628062919088</v>
      </c>
    </row>
    <row r="143" spans="1:20" x14ac:dyDescent="0.3">
      <c r="A143" s="1">
        <v>45817</v>
      </c>
      <c r="B143" t="s">
        <v>15</v>
      </c>
      <c r="C143" s="3">
        <v>1874</v>
      </c>
      <c r="D143" s="3">
        <v>1875</v>
      </c>
      <c r="E143" s="3">
        <v>1848.7</v>
      </c>
      <c r="F143" s="3">
        <v>1870.2</v>
      </c>
      <c r="G143" s="3">
        <v>1865</v>
      </c>
      <c r="H143" s="3">
        <v>1865.1</v>
      </c>
      <c r="I143" s="3">
        <v>1862.61</v>
      </c>
      <c r="J143" s="3">
        <v>1917</v>
      </c>
      <c r="K143" s="3">
        <v>1372.85</v>
      </c>
      <c r="L143" s="2">
        <v>3649505</v>
      </c>
      <c r="M143" s="2">
        <v>6797612329</v>
      </c>
      <c r="N143" s="2">
        <v>131990</v>
      </c>
      <c r="O143" t="s">
        <v>16</v>
      </c>
      <c r="P143" s="8">
        <f t="shared" si="6"/>
        <v>-3.7999999999999545</v>
      </c>
      <c r="Q143" t="s">
        <v>37</v>
      </c>
      <c r="R143">
        <f t="shared" si="7"/>
        <v>6</v>
      </c>
      <c r="S143" t="str">
        <f t="shared" si="8"/>
        <v>Jun</v>
      </c>
      <c r="T143" s="9">
        <f>VLOOKUP(O143, Annual_Summary!A:B, 2, 0)</f>
        <v>0.31954628062919088</v>
      </c>
    </row>
    <row r="144" spans="1:20" x14ac:dyDescent="0.3">
      <c r="A144" s="1">
        <v>45814</v>
      </c>
      <c r="B144" t="s">
        <v>15</v>
      </c>
      <c r="C144" s="3">
        <v>1872.1</v>
      </c>
      <c r="D144" s="3">
        <v>1881.9</v>
      </c>
      <c r="E144" s="3">
        <v>1867.3</v>
      </c>
      <c r="F144" s="3">
        <v>1878.8</v>
      </c>
      <c r="G144" s="3">
        <v>1870.1</v>
      </c>
      <c r="H144" s="3">
        <v>1870.2</v>
      </c>
      <c r="I144" s="3">
        <v>1874.58</v>
      </c>
      <c r="J144" s="3">
        <v>1917</v>
      </c>
      <c r="K144" s="3">
        <v>1219.05</v>
      </c>
      <c r="L144" s="2">
        <v>4644174</v>
      </c>
      <c r="M144" s="2">
        <v>8705867475.2000008</v>
      </c>
      <c r="N144" s="2">
        <v>165644</v>
      </c>
      <c r="O144" t="s">
        <v>16</v>
      </c>
      <c r="P144" s="8">
        <f t="shared" si="6"/>
        <v>6.7000000000000455</v>
      </c>
      <c r="Q144" t="s">
        <v>37</v>
      </c>
      <c r="R144">
        <f t="shared" si="7"/>
        <v>6</v>
      </c>
      <c r="S144" t="str">
        <f t="shared" si="8"/>
        <v>Jun</v>
      </c>
      <c r="T144" s="9">
        <f>VLOOKUP(O144, Annual_Summary!A:B, 2, 0)</f>
        <v>0.31954628062919088</v>
      </c>
    </row>
    <row r="145" spans="1:20" x14ac:dyDescent="0.3">
      <c r="A145" s="1">
        <v>45813</v>
      </c>
      <c r="B145" t="s">
        <v>15</v>
      </c>
      <c r="C145" s="3">
        <v>1884</v>
      </c>
      <c r="D145" s="3">
        <v>1889</v>
      </c>
      <c r="E145" s="3">
        <v>1868.6</v>
      </c>
      <c r="F145" s="3">
        <v>1875.4</v>
      </c>
      <c r="G145" s="3">
        <v>1878</v>
      </c>
      <c r="H145" s="3">
        <v>1878.8</v>
      </c>
      <c r="I145" s="3">
        <v>1874.29</v>
      </c>
      <c r="J145" s="3">
        <v>1917</v>
      </c>
      <c r="K145" s="3">
        <v>1219.05</v>
      </c>
      <c r="L145" s="2">
        <v>8999675</v>
      </c>
      <c r="M145" s="2">
        <v>16867977555.4</v>
      </c>
      <c r="N145" s="2">
        <v>157560</v>
      </c>
      <c r="O145" t="s">
        <v>16</v>
      </c>
      <c r="P145" s="8">
        <f t="shared" si="6"/>
        <v>-8.5999999999999091</v>
      </c>
      <c r="Q145" t="s">
        <v>37</v>
      </c>
      <c r="R145">
        <f t="shared" si="7"/>
        <v>6</v>
      </c>
      <c r="S145" t="str">
        <f t="shared" si="8"/>
        <v>Jun</v>
      </c>
      <c r="T145" s="9">
        <f>VLOOKUP(O145, Annual_Summary!A:B, 2, 0)</f>
        <v>0.31954628062919088</v>
      </c>
    </row>
    <row r="146" spans="1:20" x14ac:dyDescent="0.3">
      <c r="A146" s="1">
        <v>45812</v>
      </c>
      <c r="B146" t="s">
        <v>15</v>
      </c>
      <c r="C146" s="3">
        <v>1855</v>
      </c>
      <c r="D146" s="3">
        <v>1884.6</v>
      </c>
      <c r="E146" s="3">
        <v>1850</v>
      </c>
      <c r="F146" s="3">
        <v>1841.3</v>
      </c>
      <c r="G146" s="3">
        <v>1873</v>
      </c>
      <c r="H146" s="3">
        <v>1875.4</v>
      </c>
      <c r="I146" s="3">
        <v>1873.4</v>
      </c>
      <c r="J146" s="3">
        <v>1917</v>
      </c>
      <c r="K146" s="3">
        <v>1219.05</v>
      </c>
      <c r="L146" s="2">
        <v>5892170</v>
      </c>
      <c r="M146" s="2">
        <v>11038406458.9</v>
      </c>
      <c r="N146" s="2">
        <v>200975</v>
      </c>
      <c r="O146" t="s">
        <v>16</v>
      </c>
      <c r="P146" s="8">
        <f t="shared" si="6"/>
        <v>-13.700000000000045</v>
      </c>
      <c r="Q146" t="s">
        <v>37</v>
      </c>
      <c r="R146">
        <f t="shared" si="7"/>
        <v>6</v>
      </c>
      <c r="S146" t="str">
        <f t="shared" si="8"/>
        <v>Jun</v>
      </c>
      <c r="T146" s="9">
        <f>VLOOKUP(O146, Annual_Summary!A:B, 2, 0)</f>
        <v>0.31954628062919088</v>
      </c>
    </row>
    <row r="147" spans="1:20" x14ac:dyDescent="0.3">
      <c r="A147" s="1">
        <v>45811</v>
      </c>
      <c r="B147" t="s">
        <v>15</v>
      </c>
      <c r="C147" s="3">
        <v>1867</v>
      </c>
      <c r="D147" s="3">
        <v>1869.5</v>
      </c>
      <c r="E147" s="3">
        <v>1832</v>
      </c>
      <c r="F147" s="3">
        <v>1854.1</v>
      </c>
      <c r="G147" s="3">
        <v>1841.6</v>
      </c>
      <c r="H147" s="3">
        <v>1841.3</v>
      </c>
      <c r="I147" s="3">
        <v>1844.12</v>
      </c>
      <c r="J147" s="3">
        <v>1917</v>
      </c>
      <c r="K147" s="3">
        <v>1219.05</v>
      </c>
      <c r="L147" s="2">
        <v>5596977</v>
      </c>
      <c r="M147" s="2">
        <v>10321475298.6</v>
      </c>
      <c r="N147" s="2">
        <v>194113</v>
      </c>
      <c r="O147" t="s">
        <v>16</v>
      </c>
      <c r="P147" s="8">
        <f t="shared" si="6"/>
        <v>-12.900000000000091</v>
      </c>
      <c r="Q147" t="s">
        <v>37</v>
      </c>
      <c r="R147">
        <f t="shared" si="7"/>
        <v>6</v>
      </c>
      <c r="S147" t="str">
        <f t="shared" si="8"/>
        <v>Jun</v>
      </c>
      <c r="T147" s="9">
        <f>VLOOKUP(O147, Annual_Summary!A:B, 2, 0)</f>
        <v>0.31954628062919088</v>
      </c>
    </row>
    <row r="148" spans="1:20" x14ac:dyDescent="0.3">
      <c r="A148" s="1">
        <v>45810</v>
      </c>
      <c r="B148" t="s">
        <v>15</v>
      </c>
      <c r="C148" s="3">
        <v>1844</v>
      </c>
      <c r="D148" s="3">
        <v>1859</v>
      </c>
      <c r="E148" s="3">
        <v>1831.5</v>
      </c>
      <c r="F148" s="3">
        <v>1856.2</v>
      </c>
      <c r="G148" s="3">
        <v>1850</v>
      </c>
      <c r="H148" s="3">
        <v>1854.1</v>
      </c>
      <c r="I148" s="3">
        <v>1848.95</v>
      </c>
      <c r="J148" s="3">
        <v>1917</v>
      </c>
      <c r="K148" s="3">
        <v>1219.05</v>
      </c>
      <c r="L148" s="2">
        <v>3199499</v>
      </c>
      <c r="M148" s="2">
        <v>5915706164.5</v>
      </c>
      <c r="N148" s="2">
        <v>119382</v>
      </c>
      <c r="O148" t="s">
        <v>16</v>
      </c>
      <c r="P148" s="8">
        <f t="shared" si="6"/>
        <v>12.200000000000045</v>
      </c>
      <c r="Q148" t="s">
        <v>37</v>
      </c>
      <c r="R148">
        <f t="shared" si="7"/>
        <v>6</v>
      </c>
      <c r="S148" t="str">
        <f t="shared" si="8"/>
        <v>Jun</v>
      </c>
      <c r="T148" s="9">
        <f>VLOOKUP(O148, Annual_Summary!A:B, 2, 0)</f>
        <v>0.31954628062919088</v>
      </c>
    </row>
    <row r="149" spans="1:20" x14ac:dyDescent="0.3">
      <c r="A149" s="1">
        <v>45807</v>
      </c>
      <c r="B149" t="s">
        <v>15</v>
      </c>
      <c r="C149" s="3">
        <v>1854</v>
      </c>
      <c r="D149" s="3">
        <v>1867</v>
      </c>
      <c r="E149" s="3">
        <v>1843</v>
      </c>
      <c r="F149" s="3">
        <v>1863.6</v>
      </c>
      <c r="G149" s="3">
        <v>1859.7</v>
      </c>
      <c r="H149" s="3">
        <v>1856.2</v>
      </c>
      <c r="I149" s="3">
        <v>1856.33</v>
      </c>
      <c r="J149" s="3">
        <v>1917</v>
      </c>
      <c r="K149" s="3">
        <v>1219.05</v>
      </c>
      <c r="L149" s="2">
        <v>16712960</v>
      </c>
      <c r="M149" s="2">
        <v>31024799188.599998</v>
      </c>
      <c r="N149" s="2">
        <v>163931</v>
      </c>
      <c r="O149" t="s">
        <v>16</v>
      </c>
      <c r="P149" s="8">
        <f t="shared" si="6"/>
        <v>9.5999999999999091</v>
      </c>
      <c r="Q149" t="s">
        <v>37</v>
      </c>
      <c r="R149">
        <f t="shared" si="7"/>
        <v>5</v>
      </c>
      <c r="S149" t="str">
        <f t="shared" si="8"/>
        <v>May</v>
      </c>
      <c r="T149" s="9">
        <f>VLOOKUP(O149, Annual_Summary!A:B, 2, 0)</f>
        <v>0.31954628062919088</v>
      </c>
    </row>
    <row r="150" spans="1:20" x14ac:dyDescent="0.3">
      <c r="A150" s="1">
        <v>45806</v>
      </c>
      <c r="B150" t="s">
        <v>15</v>
      </c>
      <c r="C150" s="3">
        <v>1858</v>
      </c>
      <c r="D150" s="3">
        <v>1867</v>
      </c>
      <c r="E150" s="3">
        <v>1850.5</v>
      </c>
      <c r="F150" s="3">
        <v>1856.1</v>
      </c>
      <c r="G150" s="3">
        <v>1865</v>
      </c>
      <c r="H150" s="3">
        <v>1863.6</v>
      </c>
      <c r="I150" s="3">
        <v>1861.2</v>
      </c>
      <c r="J150" s="3">
        <v>1917</v>
      </c>
      <c r="K150" s="3">
        <v>1219.05</v>
      </c>
      <c r="L150" s="2">
        <v>5786774</v>
      </c>
      <c r="M150" s="2">
        <v>10770332949.6</v>
      </c>
      <c r="N150" s="2">
        <v>218220</v>
      </c>
      <c r="O150" t="s">
        <v>16</v>
      </c>
      <c r="P150" s="8">
        <f t="shared" si="6"/>
        <v>-1.9000000000000909</v>
      </c>
      <c r="Q150" t="s">
        <v>37</v>
      </c>
      <c r="R150">
        <f t="shared" si="7"/>
        <v>5</v>
      </c>
      <c r="S150" t="str">
        <f t="shared" si="8"/>
        <v>May</v>
      </c>
      <c r="T150" s="9">
        <f>VLOOKUP(O150, Annual_Summary!A:B, 2, 0)</f>
        <v>0.31954628062919088</v>
      </c>
    </row>
    <row r="151" spans="1:20" x14ac:dyDescent="0.3">
      <c r="A151" s="1">
        <v>45805</v>
      </c>
      <c r="B151" t="s">
        <v>15</v>
      </c>
      <c r="C151" s="3">
        <v>1848</v>
      </c>
      <c r="D151" s="3">
        <v>1867</v>
      </c>
      <c r="E151" s="3">
        <v>1845.1</v>
      </c>
      <c r="F151" s="3">
        <v>1843.8</v>
      </c>
      <c r="G151" s="3">
        <v>1855.5</v>
      </c>
      <c r="H151" s="3">
        <v>1856.1</v>
      </c>
      <c r="I151" s="3">
        <v>1857.45</v>
      </c>
      <c r="J151" s="3">
        <v>1917</v>
      </c>
      <c r="K151" s="3">
        <v>1219.05</v>
      </c>
      <c r="L151" s="2">
        <v>3713699</v>
      </c>
      <c r="M151" s="2">
        <v>6898020834.1999998</v>
      </c>
      <c r="N151" s="2">
        <v>118955</v>
      </c>
      <c r="O151" t="s">
        <v>16</v>
      </c>
      <c r="P151" s="8">
        <f t="shared" si="6"/>
        <v>-4.2000000000000455</v>
      </c>
      <c r="Q151" t="s">
        <v>37</v>
      </c>
      <c r="R151">
        <f t="shared" si="7"/>
        <v>5</v>
      </c>
      <c r="S151" t="str">
        <f t="shared" si="8"/>
        <v>May</v>
      </c>
      <c r="T151" s="9">
        <f>VLOOKUP(O151, Annual_Summary!A:B, 2, 0)</f>
        <v>0.31954628062919088</v>
      </c>
    </row>
    <row r="152" spans="1:20" x14ac:dyDescent="0.3">
      <c r="A152" s="1">
        <v>45804</v>
      </c>
      <c r="B152" t="s">
        <v>15</v>
      </c>
      <c r="C152" s="3">
        <v>1844</v>
      </c>
      <c r="D152" s="3">
        <v>1857.6</v>
      </c>
      <c r="E152" s="3">
        <v>1833.7</v>
      </c>
      <c r="F152" s="3">
        <v>1847.4</v>
      </c>
      <c r="G152" s="3">
        <v>1847.3</v>
      </c>
      <c r="H152" s="3">
        <v>1843.8</v>
      </c>
      <c r="I152" s="3">
        <v>1843.98</v>
      </c>
      <c r="J152" s="3">
        <v>1917</v>
      </c>
      <c r="K152" s="3">
        <v>1219.05</v>
      </c>
      <c r="L152" s="2">
        <v>5847725</v>
      </c>
      <c r="M152" s="2">
        <v>10783099301.4</v>
      </c>
      <c r="N152" s="2">
        <v>181830</v>
      </c>
      <c r="O152" t="s">
        <v>16</v>
      </c>
      <c r="P152" s="8">
        <f t="shared" si="6"/>
        <v>3.4000000000000909</v>
      </c>
      <c r="Q152" t="s">
        <v>37</v>
      </c>
      <c r="R152">
        <f t="shared" si="7"/>
        <v>5</v>
      </c>
      <c r="S152" t="str">
        <f t="shared" si="8"/>
        <v>May</v>
      </c>
      <c r="T152" s="9">
        <f>VLOOKUP(O152, Annual_Summary!A:B, 2, 0)</f>
        <v>0.31954628062919088</v>
      </c>
    </row>
    <row r="153" spans="1:20" x14ac:dyDescent="0.3">
      <c r="A153" s="1">
        <v>45803</v>
      </c>
      <c r="B153" t="s">
        <v>15</v>
      </c>
      <c r="C153" s="3">
        <v>1834</v>
      </c>
      <c r="D153" s="3">
        <v>1850</v>
      </c>
      <c r="E153" s="3">
        <v>1830.9</v>
      </c>
      <c r="F153" s="3">
        <v>1831.7</v>
      </c>
      <c r="G153" s="3">
        <v>1846.5</v>
      </c>
      <c r="H153" s="3">
        <v>1847.4</v>
      </c>
      <c r="I153" s="3">
        <v>1845.67</v>
      </c>
      <c r="J153" s="3">
        <v>1917</v>
      </c>
      <c r="K153" s="3">
        <v>1219.05</v>
      </c>
      <c r="L153" s="2">
        <v>3254715</v>
      </c>
      <c r="M153" s="2">
        <v>6007142210.3999996</v>
      </c>
      <c r="N153" s="2">
        <v>154230</v>
      </c>
      <c r="O153" t="s">
        <v>16</v>
      </c>
      <c r="P153" s="8">
        <f t="shared" si="6"/>
        <v>-2.2999999999999545</v>
      </c>
      <c r="Q153" t="s">
        <v>37</v>
      </c>
      <c r="R153">
        <f t="shared" si="7"/>
        <v>5</v>
      </c>
      <c r="S153" t="str">
        <f t="shared" si="8"/>
        <v>May</v>
      </c>
      <c r="T153" s="9">
        <f>VLOOKUP(O153, Annual_Summary!A:B, 2, 0)</f>
        <v>0.31954628062919088</v>
      </c>
    </row>
    <row r="154" spans="1:20" x14ac:dyDescent="0.3">
      <c r="A154" s="1">
        <v>45800</v>
      </c>
      <c r="B154" t="s">
        <v>15</v>
      </c>
      <c r="C154" s="3">
        <v>1825</v>
      </c>
      <c r="D154" s="3">
        <v>1841.8</v>
      </c>
      <c r="E154" s="3">
        <v>1821.5</v>
      </c>
      <c r="F154" s="3">
        <v>1831.4</v>
      </c>
      <c r="G154" s="3">
        <v>1831</v>
      </c>
      <c r="H154" s="3">
        <v>1831.7</v>
      </c>
      <c r="I154" s="3">
        <v>1835.52</v>
      </c>
      <c r="J154" s="3">
        <v>1917</v>
      </c>
      <c r="K154" s="3">
        <v>1219.05</v>
      </c>
      <c r="L154" s="2">
        <v>3460945</v>
      </c>
      <c r="M154" s="2">
        <v>6352622258.6999998</v>
      </c>
      <c r="N154" s="2">
        <v>149774</v>
      </c>
      <c r="O154" t="s">
        <v>16</v>
      </c>
      <c r="P154" s="8">
        <f t="shared" si="6"/>
        <v>6.4000000000000909</v>
      </c>
      <c r="Q154" t="s">
        <v>37</v>
      </c>
      <c r="R154">
        <f t="shared" si="7"/>
        <v>5</v>
      </c>
      <c r="S154" t="str">
        <f t="shared" si="8"/>
        <v>May</v>
      </c>
      <c r="T154" s="9">
        <f>VLOOKUP(O154, Annual_Summary!A:B, 2, 0)</f>
        <v>0.31954628062919088</v>
      </c>
    </row>
    <row r="155" spans="1:20" x14ac:dyDescent="0.3">
      <c r="A155" s="1">
        <v>45799</v>
      </c>
      <c r="B155" t="s">
        <v>15</v>
      </c>
      <c r="C155" s="3">
        <v>1819.9</v>
      </c>
      <c r="D155" s="3">
        <v>1836.7</v>
      </c>
      <c r="E155" s="3">
        <v>1816.3</v>
      </c>
      <c r="F155" s="3">
        <v>1822.5</v>
      </c>
      <c r="G155" s="3">
        <v>1831</v>
      </c>
      <c r="H155" s="3">
        <v>1831.4</v>
      </c>
      <c r="I155" s="3">
        <v>1829.94</v>
      </c>
      <c r="J155" s="3">
        <v>1917</v>
      </c>
      <c r="K155" s="3">
        <v>1219.05</v>
      </c>
      <c r="L155" s="2">
        <v>6496923</v>
      </c>
      <c r="M155" s="2">
        <v>11888988220.5</v>
      </c>
      <c r="N155" s="2">
        <v>206038</v>
      </c>
      <c r="O155" t="s">
        <v>16</v>
      </c>
      <c r="P155" s="8">
        <f t="shared" si="6"/>
        <v>2.5999999999999091</v>
      </c>
      <c r="Q155" t="s">
        <v>37</v>
      </c>
      <c r="R155">
        <f t="shared" si="7"/>
        <v>5</v>
      </c>
      <c r="S155" t="str">
        <f t="shared" si="8"/>
        <v>May</v>
      </c>
      <c r="T155" s="9">
        <f>VLOOKUP(O155, Annual_Summary!A:B, 2, 0)</f>
        <v>0.31954628062919088</v>
      </c>
    </row>
    <row r="156" spans="1:20" x14ac:dyDescent="0.3">
      <c r="A156" s="1">
        <v>45798</v>
      </c>
      <c r="B156" t="s">
        <v>15</v>
      </c>
      <c r="C156" s="3">
        <v>1813</v>
      </c>
      <c r="D156" s="3">
        <v>1826.5</v>
      </c>
      <c r="E156" s="3">
        <v>1805.3</v>
      </c>
      <c r="F156" s="3">
        <v>1808.9</v>
      </c>
      <c r="G156" s="3">
        <v>1822</v>
      </c>
      <c r="H156" s="3">
        <v>1822.5</v>
      </c>
      <c r="I156" s="3">
        <v>1819.2</v>
      </c>
      <c r="J156" s="3">
        <v>1917</v>
      </c>
      <c r="K156" s="3">
        <v>1219.05</v>
      </c>
      <c r="L156" s="2">
        <v>6849562</v>
      </c>
      <c r="M156" s="2">
        <v>12460710453.5</v>
      </c>
      <c r="N156" s="2">
        <v>299080</v>
      </c>
      <c r="O156" t="s">
        <v>16</v>
      </c>
      <c r="P156" s="8">
        <f t="shared" si="6"/>
        <v>-4.0999999999999091</v>
      </c>
      <c r="Q156" t="s">
        <v>37</v>
      </c>
      <c r="R156">
        <f t="shared" si="7"/>
        <v>5</v>
      </c>
      <c r="S156" t="str">
        <f t="shared" si="8"/>
        <v>May</v>
      </c>
      <c r="T156" s="9">
        <f>VLOOKUP(O156, Annual_Summary!A:B, 2, 0)</f>
        <v>0.31954628062919088</v>
      </c>
    </row>
    <row r="157" spans="1:20" x14ac:dyDescent="0.3">
      <c r="A157" s="1">
        <v>45797</v>
      </c>
      <c r="B157" t="s">
        <v>15</v>
      </c>
      <c r="C157" s="3">
        <v>1809.8</v>
      </c>
      <c r="D157" s="3">
        <v>1824.9</v>
      </c>
      <c r="E157" s="3">
        <v>1799.5</v>
      </c>
      <c r="F157" s="3">
        <v>1818.3</v>
      </c>
      <c r="G157" s="3">
        <v>1809.7</v>
      </c>
      <c r="H157" s="3">
        <v>1808.9</v>
      </c>
      <c r="I157" s="3">
        <v>1809.85</v>
      </c>
      <c r="J157" s="3">
        <v>1917</v>
      </c>
      <c r="K157" s="3">
        <v>1219.05</v>
      </c>
      <c r="L157" s="2">
        <v>12512596</v>
      </c>
      <c r="M157" s="2">
        <v>22645951310.900002</v>
      </c>
      <c r="N157" s="2">
        <v>281116</v>
      </c>
      <c r="O157" t="s">
        <v>16</v>
      </c>
      <c r="P157" s="8">
        <f t="shared" si="6"/>
        <v>8.5</v>
      </c>
      <c r="Q157" t="s">
        <v>37</v>
      </c>
      <c r="R157">
        <f t="shared" si="7"/>
        <v>5</v>
      </c>
      <c r="S157" t="str">
        <f t="shared" si="8"/>
        <v>May</v>
      </c>
      <c r="T157" s="9">
        <f>VLOOKUP(O157, Annual_Summary!A:B, 2, 0)</f>
        <v>0.31954628062919088</v>
      </c>
    </row>
    <row r="158" spans="1:20" x14ac:dyDescent="0.3">
      <c r="A158" s="1">
        <v>45796</v>
      </c>
      <c r="B158" t="s">
        <v>15</v>
      </c>
      <c r="C158" s="3">
        <v>1822</v>
      </c>
      <c r="D158" s="3">
        <v>1828.7</v>
      </c>
      <c r="E158" s="3">
        <v>1809</v>
      </c>
      <c r="F158" s="3">
        <v>1814</v>
      </c>
      <c r="G158" s="3">
        <v>1816.5</v>
      </c>
      <c r="H158" s="3">
        <v>1818.3</v>
      </c>
      <c r="I158" s="3">
        <v>1818.41</v>
      </c>
      <c r="J158" s="3">
        <v>1917</v>
      </c>
      <c r="K158" s="3">
        <v>1219.05</v>
      </c>
      <c r="L158" s="2">
        <v>5799804</v>
      </c>
      <c r="M158" s="2">
        <v>10546436610</v>
      </c>
      <c r="N158" s="2">
        <v>223582</v>
      </c>
      <c r="O158" t="s">
        <v>16</v>
      </c>
      <c r="P158" s="8">
        <f t="shared" si="6"/>
        <v>-8</v>
      </c>
      <c r="Q158" t="s">
        <v>37</v>
      </c>
      <c r="R158">
        <f t="shared" si="7"/>
        <v>5</v>
      </c>
      <c r="S158" t="str">
        <f t="shared" si="8"/>
        <v>May</v>
      </c>
      <c r="T158" s="9">
        <f>VLOOKUP(O158, Annual_Summary!A:B, 2, 0)</f>
        <v>0.31954628062919088</v>
      </c>
    </row>
    <row r="159" spans="1:20" x14ac:dyDescent="0.3">
      <c r="A159" s="1">
        <v>45793</v>
      </c>
      <c r="B159" t="s">
        <v>15</v>
      </c>
      <c r="C159" s="3">
        <v>1834</v>
      </c>
      <c r="D159" s="3">
        <v>1834</v>
      </c>
      <c r="E159" s="3">
        <v>1810.1</v>
      </c>
      <c r="F159" s="3">
        <v>1867.2</v>
      </c>
      <c r="G159" s="3">
        <v>1814.4</v>
      </c>
      <c r="H159" s="3">
        <v>1814</v>
      </c>
      <c r="I159" s="3">
        <v>1815.18</v>
      </c>
      <c r="J159" s="3">
        <v>1917</v>
      </c>
      <c r="K159" s="3">
        <v>1219.05</v>
      </c>
      <c r="L159" s="2">
        <v>100662047</v>
      </c>
      <c r="M159" s="2">
        <v>182719665612.79999</v>
      </c>
      <c r="N159" s="2">
        <v>286997</v>
      </c>
      <c r="O159" t="s">
        <v>16</v>
      </c>
      <c r="P159" s="8">
        <f t="shared" si="6"/>
        <v>33.200000000000045</v>
      </c>
      <c r="Q159" t="s">
        <v>37</v>
      </c>
      <c r="R159">
        <f t="shared" si="7"/>
        <v>5</v>
      </c>
      <c r="S159" t="str">
        <f t="shared" si="8"/>
        <v>May</v>
      </c>
      <c r="T159" s="9">
        <f>VLOOKUP(O159, Annual_Summary!A:B, 2, 0)</f>
        <v>0.31954628062919088</v>
      </c>
    </row>
    <row r="160" spans="1:20" x14ac:dyDescent="0.3">
      <c r="A160" s="1">
        <v>45792</v>
      </c>
      <c r="B160" t="s">
        <v>15</v>
      </c>
      <c r="C160" s="3">
        <v>1849.9</v>
      </c>
      <c r="D160" s="3">
        <v>1869.9</v>
      </c>
      <c r="E160" s="3">
        <v>1825</v>
      </c>
      <c r="F160" s="3">
        <v>1834.2</v>
      </c>
      <c r="G160" s="3">
        <v>1863.1</v>
      </c>
      <c r="H160" s="3">
        <v>1867.2</v>
      </c>
      <c r="I160" s="3">
        <v>1849.52</v>
      </c>
      <c r="J160" s="3">
        <v>1917</v>
      </c>
      <c r="K160" s="3">
        <v>1219.05</v>
      </c>
      <c r="L160" s="2">
        <v>8788351</v>
      </c>
      <c r="M160" s="2">
        <v>16254270538.1</v>
      </c>
      <c r="N160" s="2">
        <v>195431</v>
      </c>
      <c r="O160" t="s">
        <v>16</v>
      </c>
      <c r="P160" s="8">
        <f t="shared" si="6"/>
        <v>-15.700000000000045</v>
      </c>
      <c r="Q160" t="s">
        <v>37</v>
      </c>
      <c r="R160">
        <f t="shared" si="7"/>
        <v>5</v>
      </c>
      <c r="S160" t="str">
        <f t="shared" si="8"/>
        <v>May</v>
      </c>
      <c r="T160" s="9">
        <f>VLOOKUP(O160, Annual_Summary!A:B, 2, 0)</f>
        <v>0.31954628062919088</v>
      </c>
    </row>
    <row r="161" spans="1:20" x14ac:dyDescent="0.3">
      <c r="A161" s="1">
        <v>45791</v>
      </c>
      <c r="B161" t="s">
        <v>15</v>
      </c>
      <c r="C161" s="3">
        <v>1830</v>
      </c>
      <c r="D161" s="3">
        <v>1870.7</v>
      </c>
      <c r="E161" s="3">
        <v>1820.2</v>
      </c>
      <c r="F161" s="3">
        <v>1820.6</v>
      </c>
      <c r="G161" s="3">
        <v>1837.9</v>
      </c>
      <c r="H161" s="3">
        <v>1834.2</v>
      </c>
      <c r="I161" s="3">
        <v>1843.39</v>
      </c>
      <c r="J161" s="3">
        <v>1917</v>
      </c>
      <c r="K161" s="3">
        <v>1219.05</v>
      </c>
      <c r="L161" s="2">
        <v>7401614</v>
      </c>
      <c r="M161" s="2">
        <v>13644025354.700001</v>
      </c>
      <c r="N161" s="2">
        <v>226624</v>
      </c>
      <c r="O161" t="s">
        <v>16</v>
      </c>
      <c r="P161" s="8">
        <f t="shared" si="6"/>
        <v>-9.4000000000000909</v>
      </c>
      <c r="Q161" t="s">
        <v>37</v>
      </c>
      <c r="R161">
        <f t="shared" si="7"/>
        <v>5</v>
      </c>
      <c r="S161" t="str">
        <f t="shared" si="8"/>
        <v>May</v>
      </c>
      <c r="T161" s="9">
        <f>VLOOKUP(O161, Annual_Summary!A:B, 2, 0)</f>
        <v>0.31954628062919088</v>
      </c>
    </row>
    <row r="162" spans="1:20" x14ac:dyDescent="0.3">
      <c r="A162" s="1">
        <v>45790</v>
      </c>
      <c r="B162" t="s">
        <v>15</v>
      </c>
      <c r="C162" s="3">
        <v>1870</v>
      </c>
      <c r="D162" s="3">
        <v>1883.7</v>
      </c>
      <c r="E162" s="3">
        <v>1816.6</v>
      </c>
      <c r="F162" s="3">
        <v>1870.8</v>
      </c>
      <c r="G162" s="3">
        <v>1824.5</v>
      </c>
      <c r="H162" s="3">
        <v>1820.6</v>
      </c>
      <c r="I162" s="3">
        <v>1834.02</v>
      </c>
      <c r="J162" s="3">
        <v>1917</v>
      </c>
      <c r="K162" s="3">
        <v>1219.05</v>
      </c>
      <c r="L162" s="2">
        <v>8817763</v>
      </c>
      <c r="M162" s="2">
        <v>16171933283.299999</v>
      </c>
      <c r="N162" s="2">
        <v>282085</v>
      </c>
      <c r="O162" t="s">
        <v>16</v>
      </c>
      <c r="P162" s="8">
        <f t="shared" si="6"/>
        <v>0.79999999999995453</v>
      </c>
      <c r="Q162" t="s">
        <v>37</v>
      </c>
      <c r="R162">
        <f t="shared" si="7"/>
        <v>5</v>
      </c>
      <c r="S162" t="str">
        <f t="shared" si="8"/>
        <v>May</v>
      </c>
      <c r="T162" s="9">
        <f>VLOOKUP(O162, Annual_Summary!A:B, 2, 0)</f>
        <v>0.31954628062919088</v>
      </c>
    </row>
    <row r="163" spans="1:20" x14ac:dyDescent="0.3">
      <c r="A163" s="1">
        <v>45789</v>
      </c>
      <c r="B163" t="s">
        <v>15</v>
      </c>
      <c r="C163" s="3">
        <v>1868.9</v>
      </c>
      <c r="D163" s="3">
        <v>1883.4</v>
      </c>
      <c r="E163" s="3">
        <v>1854</v>
      </c>
      <c r="F163" s="3">
        <v>1848.4</v>
      </c>
      <c r="G163" s="3">
        <v>1873</v>
      </c>
      <c r="H163" s="3">
        <v>1870.8</v>
      </c>
      <c r="I163" s="3">
        <v>1869.65</v>
      </c>
      <c r="J163" s="3">
        <v>1917</v>
      </c>
      <c r="K163" s="3">
        <v>1219.05</v>
      </c>
      <c r="L163" s="2">
        <v>3936019</v>
      </c>
      <c r="M163" s="2">
        <v>7358980437</v>
      </c>
      <c r="N163" s="2">
        <v>134363</v>
      </c>
      <c r="O163" t="s">
        <v>16</v>
      </c>
      <c r="P163" s="8">
        <f t="shared" si="6"/>
        <v>-20.5</v>
      </c>
      <c r="Q163" t="s">
        <v>37</v>
      </c>
      <c r="R163">
        <f t="shared" si="7"/>
        <v>5</v>
      </c>
      <c r="S163" t="str">
        <f t="shared" si="8"/>
        <v>May</v>
      </c>
      <c r="T163" s="9">
        <f>VLOOKUP(O163, Annual_Summary!A:B, 2, 0)</f>
        <v>0.31954628062919088</v>
      </c>
    </row>
    <row r="164" spans="1:20" x14ac:dyDescent="0.3">
      <c r="A164" s="1">
        <v>45786</v>
      </c>
      <c r="B164" t="s">
        <v>15</v>
      </c>
      <c r="C164" s="3">
        <v>1855</v>
      </c>
      <c r="D164" s="3">
        <v>1871.1</v>
      </c>
      <c r="E164" s="3">
        <v>1836.5</v>
      </c>
      <c r="F164" s="3">
        <v>1874.9</v>
      </c>
      <c r="G164" s="3">
        <v>1850</v>
      </c>
      <c r="H164" s="3">
        <v>1848.4</v>
      </c>
      <c r="I164" s="3">
        <v>1848.9</v>
      </c>
      <c r="J164" s="3">
        <v>1917</v>
      </c>
      <c r="K164" s="3">
        <v>1219.05</v>
      </c>
      <c r="L164" s="2">
        <v>3686209</v>
      </c>
      <c r="M164" s="2">
        <v>6815420471.6999998</v>
      </c>
      <c r="N164" s="2">
        <v>142316</v>
      </c>
      <c r="O164" t="s">
        <v>16</v>
      </c>
      <c r="P164" s="8">
        <f t="shared" si="6"/>
        <v>19.900000000000091</v>
      </c>
      <c r="Q164" t="s">
        <v>37</v>
      </c>
      <c r="R164">
        <f t="shared" si="7"/>
        <v>5</v>
      </c>
      <c r="S164" t="str">
        <f t="shared" si="8"/>
        <v>May</v>
      </c>
      <c r="T164" s="9">
        <f>VLOOKUP(O164, Annual_Summary!A:B, 2, 0)</f>
        <v>0.31954628062919088</v>
      </c>
    </row>
    <row r="165" spans="1:20" x14ac:dyDescent="0.3">
      <c r="A165" s="1">
        <v>45785</v>
      </c>
      <c r="B165" t="s">
        <v>15</v>
      </c>
      <c r="C165" s="3">
        <v>1897</v>
      </c>
      <c r="D165" s="3">
        <v>1905.8</v>
      </c>
      <c r="E165" s="3">
        <v>1862.4</v>
      </c>
      <c r="F165" s="3">
        <v>1896.8</v>
      </c>
      <c r="G165" s="3">
        <v>1864.5</v>
      </c>
      <c r="H165" s="3">
        <v>1874.9</v>
      </c>
      <c r="I165" s="3">
        <v>1880.32</v>
      </c>
      <c r="J165" s="3">
        <v>1917</v>
      </c>
      <c r="K165" s="3">
        <v>1219.05</v>
      </c>
      <c r="L165" s="2">
        <v>5500724</v>
      </c>
      <c r="M165" s="2">
        <v>10343102911.1</v>
      </c>
      <c r="N165" s="2">
        <v>188110</v>
      </c>
      <c r="O165" t="s">
        <v>16</v>
      </c>
      <c r="P165" s="8">
        <f t="shared" si="6"/>
        <v>-0.20000000000004547</v>
      </c>
      <c r="Q165" t="s">
        <v>37</v>
      </c>
      <c r="R165">
        <f t="shared" si="7"/>
        <v>5</v>
      </c>
      <c r="S165" t="str">
        <f t="shared" si="8"/>
        <v>May</v>
      </c>
      <c r="T165" s="9">
        <f>VLOOKUP(O165, Annual_Summary!A:B, 2, 0)</f>
        <v>0.31954628062919088</v>
      </c>
    </row>
    <row r="166" spans="1:20" x14ac:dyDescent="0.3">
      <c r="A166" s="1">
        <v>45784</v>
      </c>
      <c r="B166" t="s">
        <v>15</v>
      </c>
      <c r="C166" s="3">
        <v>1901</v>
      </c>
      <c r="D166" s="3">
        <v>1917</v>
      </c>
      <c r="E166" s="3">
        <v>1885.5</v>
      </c>
      <c r="F166" s="3">
        <v>1901</v>
      </c>
      <c r="G166" s="3">
        <v>1892.7</v>
      </c>
      <c r="H166" s="3">
        <v>1896.8</v>
      </c>
      <c r="I166" s="3">
        <v>1899.09</v>
      </c>
      <c r="J166" s="3">
        <v>1917</v>
      </c>
      <c r="K166" s="3">
        <v>1219.05</v>
      </c>
      <c r="L166" s="2">
        <v>5554616</v>
      </c>
      <c r="M166" s="2">
        <v>10548724277</v>
      </c>
      <c r="N166" s="2">
        <v>184822</v>
      </c>
      <c r="O166" t="s">
        <v>16</v>
      </c>
      <c r="P166" s="8">
        <f t="shared" si="6"/>
        <v>0</v>
      </c>
      <c r="Q166" t="s">
        <v>37</v>
      </c>
      <c r="R166">
        <f t="shared" si="7"/>
        <v>5</v>
      </c>
      <c r="S166" t="str">
        <f t="shared" si="8"/>
        <v>May</v>
      </c>
      <c r="T166" s="9">
        <f>VLOOKUP(O166, Annual_Summary!A:B, 2, 0)</f>
        <v>0.31954628062919088</v>
      </c>
    </row>
    <row r="167" spans="1:20" x14ac:dyDescent="0.3">
      <c r="A167" s="1">
        <v>45783</v>
      </c>
      <c r="B167" t="s">
        <v>15</v>
      </c>
      <c r="C167" s="3">
        <v>1888.3</v>
      </c>
      <c r="D167" s="3">
        <v>1912</v>
      </c>
      <c r="E167" s="3">
        <v>1882.6</v>
      </c>
      <c r="F167" s="3">
        <v>1866</v>
      </c>
      <c r="G167" s="3">
        <v>1896</v>
      </c>
      <c r="H167" s="3">
        <v>1901</v>
      </c>
      <c r="I167" s="3">
        <v>1899.53</v>
      </c>
      <c r="J167" s="3">
        <v>1912</v>
      </c>
      <c r="K167" s="3">
        <v>1219.05</v>
      </c>
      <c r="L167" s="2">
        <v>8597920</v>
      </c>
      <c r="M167" s="2">
        <v>16331996371.700001</v>
      </c>
      <c r="N167" s="2">
        <v>200749</v>
      </c>
      <c r="O167" t="s">
        <v>16</v>
      </c>
      <c r="P167" s="8">
        <f t="shared" si="6"/>
        <v>-22.299999999999955</v>
      </c>
      <c r="Q167" t="s">
        <v>37</v>
      </c>
      <c r="R167">
        <f t="shared" si="7"/>
        <v>5</v>
      </c>
      <c r="S167" t="str">
        <f t="shared" si="8"/>
        <v>May</v>
      </c>
      <c r="T167" s="9">
        <f>VLOOKUP(O167, Annual_Summary!A:B, 2, 0)</f>
        <v>0.31954628062919088</v>
      </c>
    </row>
    <row r="168" spans="1:20" x14ac:dyDescent="0.3">
      <c r="A168" s="1">
        <v>45782</v>
      </c>
      <c r="B168" t="s">
        <v>15</v>
      </c>
      <c r="C168" s="3">
        <v>1868</v>
      </c>
      <c r="D168" s="3">
        <v>1873.5</v>
      </c>
      <c r="E168" s="3">
        <v>1849.2</v>
      </c>
      <c r="F168" s="3">
        <v>1851.9</v>
      </c>
      <c r="G168" s="3">
        <v>1866</v>
      </c>
      <c r="H168" s="3">
        <v>1866</v>
      </c>
      <c r="I168" s="3">
        <v>1864.43</v>
      </c>
      <c r="J168" s="3">
        <v>1904.3</v>
      </c>
      <c r="K168" s="3">
        <v>1219.05</v>
      </c>
      <c r="L168" s="2">
        <v>3548839</v>
      </c>
      <c r="M168" s="2">
        <v>6616547877</v>
      </c>
      <c r="N168" s="2">
        <v>103413</v>
      </c>
      <c r="O168" t="s">
        <v>16</v>
      </c>
      <c r="P168" s="8">
        <f t="shared" si="6"/>
        <v>-16.099999999999909</v>
      </c>
      <c r="Q168" t="s">
        <v>37</v>
      </c>
      <c r="R168">
        <f t="shared" si="7"/>
        <v>5</v>
      </c>
      <c r="S168" t="str">
        <f t="shared" si="8"/>
        <v>May</v>
      </c>
      <c r="T168" s="9">
        <f>VLOOKUP(O168, Annual_Summary!A:B, 2, 0)</f>
        <v>0.31954628062919088</v>
      </c>
    </row>
    <row r="169" spans="1:20" x14ac:dyDescent="0.3">
      <c r="A169" s="1">
        <v>45779</v>
      </c>
      <c r="B169" t="s">
        <v>15</v>
      </c>
      <c r="C169" s="3">
        <v>1852</v>
      </c>
      <c r="D169" s="3">
        <v>1883.6</v>
      </c>
      <c r="E169" s="3">
        <v>1832.1</v>
      </c>
      <c r="F169" s="3">
        <v>1864.5</v>
      </c>
      <c r="G169" s="3">
        <v>1849</v>
      </c>
      <c r="H169" s="3">
        <v>1851.9</v>
      </c>
      <c r="I169" s="3">
        <v>1854.96</v>
      </c>
      <c r="J169" s="3">
        <v>1904.3</v>
      </c>
      <c r="K169" s="3">
        <v>1219.05</v>
      </c>
      <c r="L169" s="2">
        <v>5528529</v>
      </c>
      <c r="M169" s="2">
        <v>10255209665.9</v>
      </c>
      <c r="N169" s="2">
        <v>181226</v>
      </c>
      <c r="O169" t="s">
        <v>16</v>
      </c>
      <c r="P169" s="8">
        <f t="shared" si="6"/>
        <v>12.5</v>
      </c>
      <c r="Q169" t="s">
        <v>37</v>
      </c>
      <c r="R169">
        <f t="shared" si="7"/>
        <v>5</v>
      </c>
      <c r="S169" t="str">
        <f t="shared" si="8"/>
        <v>May</v>
      </c>
      <c r="T169" s="9">
        <f>VLOOKUP(O169, Annual_Summary!A:B, 2, 0)</f>
        <v>0.31954628062919088</v>
      </c>
    </row>
    <row r="170" spans="1:20" x14ac:dyDescent="0.3">
      <c r="A170" s="1">
        <v>45777</v>
      </c>
      <c r="B170" t="s">
        <v>15</v>
      </c>
      <c r="C170" s="3">
        <v>1837</v>
      </c>
      <c r="D170" s="3">
        <v>1876.9</v>
      </c>
      <c r="E170" s="3">
        <v>1827</v>
      </c>
      <c r="F170" s="3">
        <v>1823.8</v>
      </c>
      <c r="G170" s="3">
        <v>1854.8</v>
      </c>
      <c r="H170" s="3">
        <v>1864.5</v>
      </c>
      <c r="I170" s="3">
        <v>1854.65</v>
      </c>
      <c r="J170" s="3">
        <v>1904.3</v>
      </c>
      <c r="K170" s="3">
        <v>1219.05</v>
      </c>
      <c r="L170" s="2">
        <v>9139821</v>
      </c>
      <c r="M170" s="2">
        <v>16951167803.700001</v>
      </c>
      <c r="N170" s="2">
        <v>152336</v>
      </c>
      <c r="O170" t="s">
        <v>16</v>
      </c>
      <c r="P170" s="8">
        <f t="shared" si="6"/>
        <v>-13.200000000000045</v>
      </c>
      <c r="Q170" t="s">
        <v>37</v>
      </c>
      <c r="R170">
        <f t="shared" si="7"/>
        <v>4</v>
      </c>
      <c r="S170" t="str">
        <f t="shared" si="8"/>
        <v>Apr</v>
      </c>
      <c r="T170" s="9">
        <f>VLOOKUP(O170, Annual_Summary!A:B, 2, 0)</f>
        <v>0.31954628062919088</v>
      </c>
    </row>
    <row r="171" spans="1:20" x14ac:dyDescent="0.3">
      <c r="A171" s="1">
        <v>45776</v>
      </c>
      <c r="B171" t="s">
        <v>15</v>
      </c>
      <c r="C171" s="3">
        <v>1823.7</v>
      </c>
      <c r="D171" s="3">
        <v>1847.8</v>
      </c>
      <c r="E171" s="3">
        <v>1817.6</v>
      </c>
      <c r="F171" s="3">
        <v>1821.8</v>
      </c>
      <c r="G171" s="3">
        <v>1827.2</v>
      </c>
      <c r="H171" s="3">
        <v>1823.8</v>
      </c>
      <c r="I171" s="3">
        <v>1829.51</v>
      </c>
      <c r="J171" s="3">
        <v>1904.3</v>
      </c>
      <c r="K171" s="3">
        <v>1219.05</v>
      </c>
      <c r="L171" s="2">
        <v>4684155</v>
      </c>
      <c r="M171" s="2">
        <v>8569695123.6999998</v>
      </c>
      <c r="N171" s="2">
        <v>153385</v>
      </c>
      <c r="O171" t="s">
        <v>16</v>
      </c>
      <c r="P171" s="8">
        <f t="shared" si="6"/>
        <v>-1.9000000000000909</v>
      </c>
      <c r="Q171" t="s">
        <v>37</v>
      </c>
      <c r="R171">
        <f t="shared" si="7"/>
        <v>4</v>
      </c>
      <c r="S171" t="str">
        <f t="shared" si="8"/>
        <v>Apr</v>
      </c>
      <c r="T171" s="9">
        <f>VLOOKUP(O171, Annual_Summary!A:B, 2, 0)</f>
        <v>0.31954628062919088</v>
      </c>
    </row>
    <row r="172" spans="1:20" x14ac:dyDescent="0.3">
      <c r="A172" s="1">
        <v>45775</v>
      </c>
      <c r="B172" t="s">
        <v>15</v>
      </c>
      <c r="C172" s="3">
        <v>1836</v>
      </c>
      <c r="D172" s="3">
        <v>1838.9</v>
      </c>
      <c r="E172" s="3">
        <v>1813.4</v>
      </c>
      <c r="F172" s="3">
        <v>1817.2</v>
      </c>
      <c r="G172" s="3">
        <v>1820.3</v>
      </c>
      <c r="H172" s="3">
        <v>1821.8</v>
      </c>
      <c r="I172" s="3">
        <v>1822.3</v>
      </c>
      <c r="J172" s="3">
        <v>1904.3</v>
      </c>
      <c r="K172" s="3">
        <v>1219.05</v>
      </c>
      <c r="L172" s="2">
        <v>3301891</v>
      </c>
      <c r="M172" s="2">
        <v>6017036292.3000002</v>
      </c>
      <c r="N172" s="2">
        <v>100779</v>
      </c>
      <c r="O172" t="s">
        <v>16</v>
      </c>
      <c r="P172" s="8">
        <f t="shared" si="6"/>
        <v>-18.799999999999955</v>
      </c>
      <c r="Q172" t="s">
        <v>37</v>
      </c>
      <c r="R172">
        <f t="shared" si="7"/>
        <v>4</v>
      </c>
      <c r="S172" t="str">
        <f t="shared" si="8"/>
        <v>Apr</v>
      </c>
      <c r="T172" s="9">
        <f>VLOOKUP(O172, Annual_Summary!A:B, 2, 0)</f>
        <v>0.31954628062919088</v>
      </c>
    </row>
    <row r="173" spans="1:20" x14ac:dyDescent="0.3">
      <c r="A173" s="1">
        <v>45772</v>
      </c>
      <c r="B173" t="s">
        <v>15</v>
      </c>
      <c r="C173" s="3">
        <v>1846.7</v>
      </c>
      <c r="D173" s="3">
        <v>1861.7</v>
      </c>
      <c r="E173" s="3">
        <v>1806</v>
      </c>
      <c r="F173" s="3">
        <v>1845.6</v>
      </c>
      <c r="G173" s="3">
        <v>1815</v>
      </c>
      <c r="H173" s="3">
        <v>1817.2</v>
      </c>
      <c r="I173" s="3">
        <v>1822.78</v>
      </c>
      <c r="J173" s="3">
        <v>1904.3</v>
      </c>
      <c r="K173" s="3">
        <v>1219.05</v>
      </c>
      <c r="L173" s="2">
        <v>4570083</v>
      </c>
      <c r="M173" s="2">
        <v>8330254030.3000002</v>
      </c>
      <c r="N173" s="2">
        <v>123799</v>
      </c>
      <c r="O173" t="s">
        <v>16</v>
      </c>
      <c r="P173" s="8">
        <f t="shared" si="6"/>
        <v>-1.1000000000001364</v>
      </c>
      <c r="Q173" t="s">
        <v>37</v>
      </c>
      <c r="R173">
        <f t="shared" si="7"/>
        <v>4</v>
      </c>
      <c r="S173" t="str">
        <f t="shared" si="8"/>
        <v>Apr</v>
      </c>
      <c r="T173" s="9">
        <f>VLOOKUP(O173, Annual_Summary!A:B, 2, 0)</f>
        <v>0.31954628062919088</v>
      </c>
    </row>
    <row r="174" spans="1:20" x14ac:dyDescent="0.3">
      <c r="A174" s="1">
        <v>45771</v>
      </c>
      <c r="B174" t="s">
        <v>15</v>
      </c>
      <c r="C174" s="3">
        <v>1874.5</v>
      </c>
      <c r="D174" s="3">
        <v>1877.8</v>
      </c>
      <c r="E174" s="3">
        <v>1839.5</v>
      </c>
      <c r="F174" s="3">
        <v>1881.6</v>
      </c>
      <c r="G174" s="3">
        <v>1846.1</v>
      </c>
      <c r="H174" s="3">
        <v>1845.6</v>
      </c>
      <c r="I174" s="3">
        <v>1849.47</v>
      </c>
      <c r="J174" s="3">
        <v>1904.3</v>
      </c>
      <c r="K174" s="3">
        <v>1219.05</v>
      </c>
      <c r="L174" s="2">
        <v>5180688</v>
      </c>
      <c r="M174" s="2">
        <v>9581534808.1000004</v>
      </c>
      <c r="N174" s="2">
        <v>136668</v>
      </c>
      <c r="O174" t="s">
        <v>16</v>
      </c>
      <c r="P174" s="8">
        <f t="shared" si="6"/>
        <v>7.0999999999999091</v>
      </c>
      <c r="Q174" t="s">
        <v>37</v>
      </c>
      <c r="R174">
        <f t="shared" si="7"/>
        <v>4</v>
      </c>
      <c r="S174" t="str">
        <f t="shared" si="8"/>
        <v>Apr</v>
      </c>
      <c r="T174" s="9">
        <f>VLOOKUP(O174, Annual_Summary!A:B, 2, 0)</f>
        <v>0.31954628062919088</v>
      </c>
    </row>
    <row r="175" spans="1:20" x14ac:dyDescent="0.3">
      <c r="A175" s="1">
        <v>45770</v>
      </c>
      <c r="B175" t="s">
        <v>15</v>
      </c>
      <c r="C175" s="3">
        <v>1867</v>
      </c>
      <c r="D175" s="3">
        <v>1885.9</v>
      </c>
      <c r="E175" s="3">
        <v>1836.1</v>
      </c>
      <c r="F175" s="3">
        <v>1852.2</v>
      </c>
      <c r="G175" s="3">
        <v>1869.9</v>
      </c>
      <c r="H175" s="3">
        <v>1881.6</v>
      </c>
      <c r="I175" s="3">
        <v>1861.63</v>
      </c>
      <c r="J175" s="3">
        <v>1904.3</v>
      </c>
      <c r="K175" s="3">
        <v>1219.05</v>
      </c>
      <c r="L175" s="2">
        <v>6855027</v>
      </c>
      <c r="M175" s="2">
        <v>12761537178.799999</v>
      </c>
      <c r="N175" s="2">
        <v>149770</v>
      </c>
      <c r="O175" t="s">
        <v>16</v>
      </c>
      <c r="P175" s="8">
        <f t="shared" si="6"/>
        <v>-14.799999999999955</v>
      </c>
      <c r="Q175" t="s">
        <v>37</v>
      </c>
      <c r="R175">
        <f t="shared" si="7"/>
        <v>4</v>
      </c>
      <c r="S175" t="str">
        <f t="shared" si="8"/>
        <v>Apr</v>
      </c>
      <c r="T175" s="9">
        <f>VLOOKUP(O175, Annual_Summary!A:B, 2, 0)</f>
        <v>0.31954628062919088</v>
      </c>
    </row>
    <row r="176" spans="1:20" x14ac:dyDescent="0.3">
      <c r="A176" s="1">
        <v>45769</v>
      </c>
      <c r="B176" t="s">
        <v>15</v>
      </c>
      <c r="C176" s="3">
        <v>1888</v>
      </c>
      <c r="D176" s="3">
        <v>1888</v>
      </c>
      <c r="E176" s="3">
        <v>1836.8</v>
      </c>
      <c r="F176" s="3">
        <v>1883.4</v>
      </c>
      <c r="G176" s="3">
        <v>1848.2</v>
      </c>
      <c r="H176" s="3">
        <v>1852.2</v>
      </c>
      <c r="I176" s="3">
        <v>1856.49</v>
      </c>
      <c r="J176" s="3">
        <v>1904.3</v>
      </c>
      <c r="K176" s="3">
        <v>1219.05</v>
      </c>
      <c r="L176" s="2">
        <v>6155127</v>
      </c>
      <c r="M176" s="2">
        <v>11426950907.9</v>
      </c>
      <c r="N176" s="2">
        <v>196921</v>
      </c>
      <c r="O176" t="s">
        <v>16</v>
      </c>
      <c r="P176" s="8">
        <f t="shared" si="6"/>
        <v>-4.5999999999999091</v>
      </c>
      <c r="Q176" t="s">
        <v>37</v>
      </c>
      <c r="R176">
        <f t="shared" si="7"/>
        <v>4</v>
      </c>
      <c r="S176" t="str">
        <f t="shared" si="8"/>
        <v>Apr</v>
      </c>
      <c r="T176" s="9">
        <f>VLOOKUP(O176, Annual_Summary!A:B, 2, 0)</f>
        <v>0.31954628062919088</v>
      </c>
    </row>
    <row r="177" spans="1:20" x14ac:dyDescent="0.3">
      <c r="A177" s="1">
        <v>45768</v>
      </c>
      <c r="B177" t="s">
        <v>15</v>
      </c>
      <c r="C177" s="3">
        <v>1898.4</v>
      </c>
      <c r="D177" s="3">
        <v>1904.3</v>
      </c>
      <c r="E177" s="3">
        <v>1868.6</v>
      </c>
      <c r="F177" s="3">
        <v>1889.1</v>
      </c>
      <c r="G177" s="3">
        <v>1884</v>
      </c>
      <c r="H177" s="3">
        <v>1883.4</v>
      </c>
      <c r="I177" s="3">
        <v>1881.04</v>
      </c>
      <c r="J177" s="3">
        <v>1904.3</v>
      </c>
      <c r="K177" s="3">
        <v>1219.05</v>
      </c>
      <c r="L177" s="2">
        <v>3501123</v>
      </c>
      <c r="M177" s="2">
        <v>6585758282.3000002</v>
      </c>
      <c r="N177" s="2">
        <v>154074</v>
      </c>
      <c r="O177" t="s">
        <v>16</v>
      </c>
      <c r="P177" s="8">
        <f t="shared" si="6"/>
        <v>-9.3000000000001819</v>
      </c>
      <c r="Q177" t="s">
        <v>37</v>
      </c>
      <c r="R177">
        <f t="shared" si="7"/>
        <v>4</v>
      </c>
      <c r="S177" t="str">
        <f t="shared" si="8"/>
        <v>Apr</v>
      </c>
      <c r="T177" s="9">
        <f>VLOOKUP(O177, Annual_Summary!A:B, 2, 0)</f>
        <v>0.31954628062919088</v>
      </c>
    </row>
    <row r="178" spans="1:20" x14ac:dyDescent="0.3">
      <c r="A178" s="1">
        <v>45764</v>
      </c>
      <c r="B178" t="s">
        <v>15</v>
      </c>
      <c r="C178" s="3">
        <v>1834</v>
      </c>
      <c r="D178" s="3">
        <v>1897.7</v>
      </c>
      <c r="E178" s="3">
        <v>1825.7</v>
      </c>
      <c r="F178" s="3">
        <v>1822.6</v>
      </c>
      <c r="G178" s="3">
        <v>1882.9</v>
      </c>
      <c r="H178" s="3">
        <v>1889.1</v>
      </c>
      <c r="I178" s="3">
        <v>1866.68</v>
      </c>
      <c r="J178" s="3">
        <v>1897.7</v>
      </c>
      <c r="K178" s="3">
        <v>1210.3499999999999</v>
      </c>
      <c r="L178" s="2">
        <v>10894325</v>
      </c>
      <c r="M178" s="2">
        <v>20336174780.799999</v>
      </c>
      <c r="N178" s="2">
        <v>285724</v>
      </c>
      <c r="O178" t="s">
        <v>16</v>
      </c>
      <c r="P178" s="8">
        <f t="shared" si="6"/>
        <v>-11.400000000000091</v>
      </c>
      <c r="Q178" t="s">
        <v>37</v>
      </c>
      <c r="R178">
        <f t="shared" si="7"/>
        <v>4</v>
      </c>
      <c r="S178" t="str">
        <f t="shared" si="8"/>
        <v>Apr</v>
      </c>
      <c r="T178" s="9">
        <f>VLOOKUP(O178, Annual_Summary!A:B, 2, 0)</f>
        <v>0.31954628062919088</v>
      </c>
    </row>
    <row r="179" spans="1:20" x14ac:dyDescent="0.3">
      <c r="A179" s="1">
        <v>45763</v>
      </c>
      <c r="B179" t="s">
        <v>15</v>
      </c>
      <c r="C179" s="3">
        <v>1802.4</v>
      </c>
      <c r="D179" s="3">
        <v>1826.5</v>
      </c>
      <c r="E179" s="3">
        <v>1794.1</v>
      </c>
      <c r="F179" s="3">
        <v>1798.8</v>
      </c>
      <c r="G179" s="3">
        <v>1821</v>
      </c>
      <c r="H179" s="3">
        <v>1822.6</v>
      </c>
      <c r="I179" s="3">
        <v>1810.55</v>
      </c>
      <c r="J179" s="3">
        <v>1826.5</v>
      </c>
      <c r="K179" s="3">
        <v>1210.3499999999999</v>
      </c>
      <c r="L179" s="2">
        <v>6180958</v>
      </c>
      <c r="M179" s="2">
        <v>11190947200.5</v>
      </c>
      <c r="N179" s="2">
        <v>169343</v>
      </c>
      <c r="O179" t="s">
        <v>16</v>
      </c>
      <c r="P179" s="8">
        <f t="shared" si="6"/>
        <v>-3.6000000000001364</v>
      </c>
      <c r="Q179" t="s">
        <v>37</v>
      </c>
      <c r="R179">
        <f t="shared" si="7"/>
        <v>4</v>
      </c>
      <c r="S179" t="str">
        <f t="shared" si="8"/>
        <v>Apr</v>
      </c>
      <c r="T179" s="9">
        <f>VLOOKUP(O179, Annual_Summary!A:B, 2, 0)</f>
        <v>0.31954628062919088</v>
      </c>
    </row>
    <row r="180" spans="1:20" x14ac:dyDescent="0.3">
      <c r="A180" s="1">
        <v>45762</v>
      </c>
      <c r="B180" t="s">
        <v>15</v>
      </c>
      <c r="C180" s="3">
        <v>1808.2</v>
      </c>
      <c r="D180" s="3">
        <v>1820</v>
      </c>
      <c r="E180" s="3">
        <v>1781.1</v>
      </c>
      <c r="F180" s="3">
        <v>1756.6</v>
      </c>
      <c r="G180" s="3">
        <v>1798</v>
      </c>
      <c r="H180" s="3">
        <v>1798.8</v>
      </c>
      <c r="I180" s="3">
        <v>1799.9</v>
      </c>
      <c r="J180" s="3">
        <v>1820</v>
      </c>
      <c r="K180" s="3">
        <v>1210.3499999999999</v>
      </c>
      <c r="L180" s="2">
        <v>10313411</v>
      </c>
      <c r="M180" s="2">
        <v>18563102108.700001</v>
      </c>
      <c r="N180" s="2">
        <v>225430</v>
      </c>
      <c r="O180" t="s">
        <v>16</v>
      </c>
      <c r="P180" s="8">
        <f t="shared" si="6"/>
        <v>-51.600000000000136</v>
      </c>
      <c r="Q180" t="s">
        <v>37</v>
      </c>
      <c r="R180">
        <f t="shared" si="7"/>
        <v>4</v>
      </c>
      <c r="S180" t="str">
        <f t="shared" si="8"/>
        <v>Apr</v>
      </c>
      <c r="T180" s="9">
        <f>VLOOKUP(O180, Annual_Summary!A:B, 2, 0)</f>
        <v>0.31954628062919088</v>
      </c>
    </row>
    <row r="181" spans="1:20" x14ac:dyDescent="0.3">
      <c r="A181" s="1">
        <v>45758</v>
      </c>
      <c r="B181" t="s">
        <v>15</v>
      </c>
      <c r="C181" s="3">
        <v>1760</v>
      </c>
      <c r="D181" s="3">
        <v>1767</v>
      </c>
      <c r="E181" s="3">
        <v>1732.35</v>
      </c>
      <c r="F181" s="3">
        <v>1715.55</v>
      </c>
      <c r="G181" s="3">
        <v>1760.6</v>
      </c>
      <c r="H181" s="3">
        <v>1756.6</v>
      </c>
      <c r="I181" s="3">
        <v>1756.34</v>
      </c>
      <c r="J181" s="3">
        <v>1779</v>
      </c>
      <c r="K181" s="3">
        <v>1183.0999999999999</v>
      </c>
      <c r="L181" s="2">
        <v>8340002</v>
      </c>
      <c r="M181" s="2">
        <v>14647837496.049999</v>
      </c>
      <c r="N181" s="2">
        <v>240119</v>
      </c>
      <c r="O181" t="s">
        <v>16</v>
      </c>
      <c r="P181" s="8">
        <f t="shared" si="6"/>
        <v>-44.450000000000045</v>
      </c>
      <c r="Q181" t="s">
        <v>37</v>
      </c>
      <c r="R181">
        <f t="shared" si="7"/>
        <v>4</v>
      </c>
      <c r="S181" t="str">
        <f t="shared" si="8"/>
        <v>Apr</v>
      </c>
      <c r="T181" s="9">
        <f>VLOOKUP(O181, Annual_Summary!A:B, 2, 0)</f>
        <v>0.31954628062919088</v>
      </c>
    </row>
    <row r="182" spans="1:20" x14ac:dyDescent="0.3">
      <c r="A182" s="1">
        <v>45756</v>
      </c>
      <c r="B182" t="s">
        <v>15</v>
      </c>
      <c r="C182" s="3">
        <v>1719.65</v>
      </c>
      <c r="D182" s="3">
        <v>1726.85</v>
      </c>
      <c r="E182" s="3">
        <v>1711.6</v>
      </c>
      <c r="F182" s="3">
        <v>1720.4</v>
      </c>
      <c r="G182" s="3">
        <v>1715.1</v>
      </c>
      <c r="H182" s="3">
        <v>1715.55</v>
      </c>
      <c r="I182" s="3">
        <v>1717.91</v>
      </c>
      <c r="J182" s="3">
        <v>1779</v>
      </c>
      <c r="K182" s="3">
        <v>1183.0999999999999</v>
      </c>
      <c r="L182" s="2">
        <v>5600666</v>
      </c>
      <c r="M182" s="2">
        <v>9621435360.3999996</v>
      </c>
      <c r="N182" s="2">
        <v>166612</v>
      </c>
      <c r="O182" t="s">
        <v>16</v>
      </c>
      <c r="P182" s="8">
        <f t="shared" si="6"/>
        <v>0.75</v>
      </c>
      <c r="Q182" t="s">
        <v>37</v>
      </c>
      <c r="R182">
        <f t="shared" si="7"/>
        <v>4</v>
      </c>
      <c r="S182" t="str">
        <f t="shared" si="8"/>
        <v>Apr</v>
      </c>
      <c r="T182" s="9">
        <f>VLOOKUP(O182, Annual_Summary!A:B, 2, 0)</f>
        <v>0.31954628062919088</v>
      </c>
    </row>
    <row r="183" spans="1:20" x14ac:dyDescent="0.3">
      <c r="A183" s="1">
        <v>45755</v>
      </c>
      <c r="B183" t="s">
        <v>15</v>
      </c>
      <c r="C183" s="3">
        <v>1720.7</v>
      </c>
      <c r="D183" s="3">
        <v>1742.3</v>
      </c>
      <c r="E183" s="3">
        <v>1706.8</v>
      </c>
      <c r="F183" s="3">
        <v>1686.65</v>
      </c>
      <c r="G183" s="3">
        <v>1721.35</v>
      </c>
      <c r="H183" s="3">
        <v>1720.4</v>
      </c>
      <c r="I183" s="3">
        <v>1723.59</v>
      </c>
      <c r="J183" s="3">
        <v>1779</v>
      </c>
      <c r="K183" s="3">
        <v>1183.0999999999999</v>
      </c>
      <c r="L183" s="2">
        <v>7206935</v>
      </c>
      <c r="M183" s="2">
        <v>12421775636.65</v>
      </c>
      <c r="N183" s="2">
        <v>251891</v>
      </c>
      <c r="O183" t="s">
        <v>16</v>
      </c>
      <c r="P183" s="8">
        <f t="shared" si="6"/>
        <v>-34.049999999999955</v>
      </c>
      <c r="Q183" t="s">
        <v>37</v>
      </c>
      <c r="R183">
        <f t="shared" si="7"/>
        <v>4</v>
      </c>
      <c r="S183" t="str">
        <f t="shared" si="8"/>
        <v>Apr</v>
      </c>
      <c r="T183" s="9">
        <f>VLOOKUP(O183, Annual_Summary!A:B, 2, 0)</f>
        <v>0.31954628062919088</v>
      </c>
    </row>
    <row r="184" spans="1:20" x14ac:dyDescent="0.3">
      <c r="A184" s="1">
        <v>45754</v>
      </c>
      <c r="B184" t="s">
        <v>15</v>
      </c>
      <c r="C184" s="3">
        <v>1730</v>
      </c>
      <c r="D184" s="3">
        <v>1774.75</v>
      </c>
      <c r="E184" s="3">
        <v>1669.4</v>
      </c>
      <c r="F184" s="3">
        <v>1743.45</v>
      </c>
      <c r="G184" s="3">
        <v>1693</v>
      </c>
      <c r="H184" s="3">
        <v>1686.65</v>
      </c>
      <c r="I184" s="3">
        <v>1708.22</v>
      </c>
      <c r="J184" s="3">
        <v>1779</v>
      </c>
      <c r="K184" s="3">
        <v>1183.0999999999999</v>
      </c>
      <c r="L184" s="2">
        <v>14870388</v>
      </c>
      <c r="M184" s="2">
        <v>25401930206.299999</v>
      </c>
      <c r="N184" s="2">
        <v>403223</v>
      </c>
      <c r="O184" t="s">
        <v>16</v>
      </c>
      <c r="P184" s="8">
        <f t="shared" si="6"/>
        <v>13.450000000000045</v>
      </c>
      <c r="Q184" t="s">
        <v>37</v>
      </c>
      <c r="R184">
        <f t="shared" si="7"/>
        <v>4</v>
      </c>
      <c r="S184" t="str">
        <f t="shared" si="8"/>
        <v>Apr</v>
      </c>
      <c r="T184" s="9">
        <f>VLOOKUP(O184, Annual_Summary!A:B, 2, 0)</f>
        <v>0.31954628062919088</v>
      </c>
    </row>
    <row r="185" spans="1:20" x14ac:dyDescent="0.3">
      <c r="A185" s="1">
        <v>45751</v>
      </c>
      <c r="B185" t="s">
        <v>15</v>
      </c>
      <c r="C185" s="3">
        <v>1754.5</v>
      </c>
      <c r="D185" s="3">
        <v>1770.8</v>
      </c>
      <c r="E185" s="3">
        <v>1740</v>
      </c>
      <c r="F185" s="3">
        <v>1746</v>
      </c>
      <c r="G185" s="3">
        <v>1740.5</v>
      </c>
      <c r="H185" s="3">
        <v>1743.45</v>
      </c>
      <c r="I185" s="3">
        <v>1753.12</v>
      </c>
      <c r="J185" s="3">
        <v>1779</v>
      </c>
      <c r="K185" s="3">
        <v>1183.0999999999999</v>
      </c>
      <c r="L185" s="2">
        <v>7817334</v>
      </c>
      <c r="M185" s="2">
        <v>13704722222.15</v>
      </c>
      <c r="N185" s="2">
        <v>258867</v>
      </c>
      <c r="O185" t="s">
        <v>16</v>
      </c>
      <c r="P185" s="8">
        <f t="shared" si="6"/>
        <v>-8.5</v>
      </c>
      <c r="Q185" t="s">
        <v>37</v>
      </c>
      <c r="R185">
        <f t="shared" si="7"/>
        <v>4</v>
      </c>
      <c r="S185" t="str">
        <f t="shared" si="8"/>
        <v>Apr</v>
      </c>
      <c r="T185" s="9">
        <f>VLOOKUP(O185, Annual_Summary!A:B, 2, 0)</f>
        <v>0.31954628062919088</v>
      </c>
    </row>
    <row r="186" spans="1:20" x14ac:dyDescent="0.3">
      <c r="A186" s="1">
        <v>45750</v>
      </c>
      <c r="B186" t="s">
        <v>15</v>
      </c>
      <c r="C186" s="3">
        <v>1748</v>
      </c>
      <c r="D186" s="3">
        <v>1754.95</v>
      </c>
      <c r="E186" s="3">
        <v>1735.45</v>
      </c>
      <c r="F186" s="3">
        <v>1754.6</v>
      </c>
      <c r="G186" s="3">
        <v>1742.5</v>
      </c>
      <c r="H186" s="3">
        <v>1746</v>
      </c>
      <c r="I186" s="3">
        <v>1746.33</v>
      </c>
      <c r="J186" s="3">
        <v>1779</v>
      </c>
      <c r="K186" s="3">
        <v>1183.0999999999999</v>
      </c>
      <c r="L186" s="2">
        <v>2341989</v>
      </c>
      <c r="M186" s="2">
        <v>4089893735.1999998</v>
      </c>
      <c r="N186" s="2">
        <v>91775</v>
      </c>
      <c r="O186" t="s">
        <v>16</v>
      </c>
      <c r="P186" s="8">
        <f t="shared" si="6"/>
        <v>6.5999999999999091</v>
      </c>
      <c r="Q186" t="s">
        <v>37</v>
      </c>
      <c r="R186">
        <f t="shared" si="7"/>
        <v>4</v>
      </c>
      <c r="S186" t="str">
        <f t="shared" si="8"/>
        <v>Apr</v>
      </c>
      <c r="T186" s="9">
        <f>VLOOKUP(O186, Annual_Summary!A:B, 2, 0)</f>
        <v>0.31954628062919088</v>
      </c>
    </row>
    <row r="187" spans="1:20" x14ac:dyDescent="0.3">
      <c r="A187" s="1">
        <v>45749</v>
      </c>
      <c r="B187" t="s">
        <v>15</v>
      </c>
      <c r="C187" s="3">
        <v>1720</v>
      </c>
      <c r="D187" s="3">
        <v>1760.4</v>
      </c>
      <c r="E187" s="3">
        <v>1716.95</v>
      </c>
      <c r="F187" s="3">
        <v>1724.15</v>
      </c>
      <c r="G187" s="3">
        <v>1751.15</v>
      </c>
      <c r="H187" s="3">
        <v>1754.6</v>
      </c>
      <c r="I187" s="3">
        <v>1747.29</v>
      </c>
      <c r="J187" s="3">
        <v>1779</v>
      </c>
      <c r="K187" s="3">
        <v>1183.0999999999999</v>
      </c>
      <c r="L187" s="2">
        <v>6431226</v>
      </c>
      <c r="M187" s="2">
        <v>11237222453.5</v>
      </c>
      <c r="N187" s="2">
        <v>137465</v>
      </c>
      <c r="O187" t="s">
        <v>16</v>
      </c>
      <c r="P187" s="8">
        <f t="shared" si="6"/>
        <v>4.1500000000000909</v>
      </c>
      <c r="Q187" t="s">
        <v>37</v>
      </c>
      <c r="R187">
        <f t="shared" si="7"/>
        <v>4</v>
      </c>
      <c r="S187" t="str">
        <f t="shared" si="8"/>
        <v>Apr</v>
      </c>
      <c r="T187" s="9">
        <f>VLOOKUP(O187, Annual_Summary!A:B, 2, 0)</f>
        <v>0.31954628062919088</v>
      </c>
    </row>
    <row r="188" spans="1:20" x14ac:dyDescent="0.3">
      <c r="A188" s="1">
        <v>45748</v>
      </c>
      <c r="B188" t="s">
        <v>15</v>
      </c>
      <c r="C188" s="3">
        <v>1715</v>
      </c>
      <c r="D188" s="3">
        <v>1765</v>
      </c>
      <c r="E188" s="3">
        <v>1708.45</v>
      </c>
      <c r="F188" s="3">
        <v>1733.4</v>
      </c>
      <c r="G188" s="3">
        <v>1723.6</v>
      </c>
      <c r="H188" s="3">
        <v>1724.15</v>
      </c>
      <c r="I188" s="3">
        <v>1732.43</v>
      </c>
      <c r="J188" s="3">
        <v>1779</v>
      </c>
      <c r="K188" s="3">
        <v>1183.0999999999999</v>
      </c>
      <c r="L188" s="2">
        <v>6773056</v>
      </c>
      <c r="M188" s="2">
        <v>11733878299.799999</v>
      </c>
      <c r="N188" s="2">
        <v>171800</v>
      </c>
      <c r="O188" t="s">
        <v>16</v>
      </c>
      <c r="P188" s="8">
        <f t="shared" si="6"/>
        <v>18.400000000000091</v>
      </c>
      <c r="Q188" t="s">
        <v>37</v>
      </c>
      <c r="R188">
        <f t="shared" si="7"/>
        <v>4</v>
      </c>
      <c r="S188" t="str">
        <f t="shared" si="8"/>
        <v>Apr</v>
      </c>
      <c r="T188" s="9">
        <f>VLOOKUP(O188, Annual_Summary!A:B, 2, 0)</f>
        <v>0.31954628062919088</v>
      </c>
    </row>
    <row r="189" spans="1:20" x14ac:dyDescent="0.3">
      <c r="A189" s="1">
        <v>45744</v>
      </c>
      <c r="B189" t="s">
        <v>15</v>
      </c>
      <c r="C189" s="3">
        <v>1733.3</v>
      </c>
      <c r="D189" s="3">
        <v>1745.75</v>
      </c>
      <c r="E189" s="3">
        <v>1660</v>
      </c>
      <c r="F189" s="3">
        <v>1724.7</v>
      </c>
      <c r="G189" s="3">
        <v>1727.4</v>
      </c>
      <c r="H189" s="3">
        <v>1733.4</v>
      </c>
      <c r="I189" s="3">
        <v>1730.81</v>
      </c>
      <c r="J189" s="3">
        <v>1779</v>
      </c>
      <c r="K189" s="3">
        <v>1183.0999999999999</v>
      </c>
      <c r="L189" s="2">
        <v>4133264</v>
      </c>
      <c r="M189" s="2">
        <v>7153914205.5500002</v>
      </c>
      <c r="N189" s="2">
        <v>179997</v>
      </c>
      <c r="O189" t="s">
        <v>16</v>
      </c>
      <c r="P189" s="8">
        <f t="shared" si="6"/>
        <v>-8.5999999999999091</v>
      </c>
      <c r="Q189" t="s">
        <v>37</v>
      </c>
      <c r="R189">
        <f t="shared" si="7"/>
        <v>3</v>
      </c>
      <c r="S189" t="str">
        <f t="shared" si="8"/>
        <v>Mar</v>
      </c>
      <c r="T189" s="9">
        <f>VLOOKUP(O189, Annual_Summary!A:B, 2, 0)</f>
        <v>0.31954628062919088</v>
      </c>
    </row>
    <row r="190" spans="1:20" x14ac:dyDescent="0.3">
      <c r="A190" s="1">
        <v>45743</v>
      </c>
      <c r="B190" t="s">
        <v>15</v>
      </c>
      <c r="C190" s="3">
        <v>1739.95</v>
      </c>
      <c r="D190" s="3">
        <v>1746.4</v>
      </c>
      <c r="E190" s="3">
        <v>1713.25</v>
      </c>
      <c r="F190" s="3">
        <v>1738.55</v>
      </c>
      <c r="G190" s="3">
        <v>1726</v>
      </c>
      <c r="H190" s="3">
        <v>1724.7</v>
      </c>
      <c r="I190" s="3">
        <v>1729.91</v>
      </c>
      <c r="J190" s="3">
        <v>1779</v>
      </c>
      <c r="K190" s="3">
        <v>1183.0999999999999</v>
      </c>
      <c r="L190" s="2">
        <v>6222339</v>
      </c>
      <c r="M190" s="2">
        <v>10764094794.1</v>
      </c>
      <c r="N190" s="2">
        <v>193040</v>
      </c>
      <c r="O190" t="s">
        <v>16</v>
      </c>
      <c r="P190" s="8">
        <f t="shared" si="6"/>
        <v>-1.4000000000000909</v>
      </c>
      <c r="Q190" t="s">
        <v>37</v>
      </c>
      <c r="R190">
        <f t="shared" si="7"/>
        <v>3</v>
      </c>
      <c r="S190" t="str">
        <f t="shared" si="8"/>
        <v>Mar</v>
      </c>
      <c r="T190" s="9">
        <f>VLOOKUP(O190, Annual_Summary!A:B, 2, 0)</f>
        <v>0.31954628062919088</v>
      </c>
    </row>
    <row r="191" spans="1:20" x14ac:dyDescent="0.3">
      <c r="A191" s="1">
        <v>45742</v>
      </c>
      <c r="B191" t="s">
        <v>15</v>
      </c>
      <c r="C191" s="3">
        <v>1739.15</v>
      </c>
      <c r="D191" s="3">
        <v>1765</v>
      </c>
      <c r="E191" s="3">
        <v>1726.15</v>
      </c>
      <c r="F191" s="3">
        <v>1730.5</v>
      </c>
      <c r="G191" s="3">
        <v>1733.1</v>
      </c>
      <c r="H191" s="3">
        <v>1738.55</v>
      </c>
      <c r="I191" s="3">
        <v>1742.16</v>
      </c>
      <c r="J191" s="3">
        <v>1779</v>
      </c>
      <c r="K191" s="3">
        <v>1183.0999999999999</v>
      </c>
      <c r="L191" s="2">
        <v>7142394</v>
      </c>
      <c r="M191" s="2">
        <v>12443161155.450001</v>
      </c>
      <c r="N191" s="2">
        <v>218179</v>
      </c>
      <c r="O191" t="s">
        <v>16</v>
      </c>
      <c r="P191" s="8">
        <f t="shared" si="6"/>
        <v>-8.6500000000000909</v>
      </c>
      <c r="Q191" t="s">
        <v>37</v>
      </c>
      <c r="R191">
        <f t="shared" si="7"/>
        <v>3</v>
      </c>
      <c r="S191" t="str">
        <f t="shared" si="8"/>
        <v>Mar</v>
      </c>
      <c r="T191" s="9">
        <f>VLOOKUP(O191, Annual_Summary!A:B, 2, 0)</f>
        <v>0.31954628062919088</v>
      </c>
    </row>
    <row r="192" spans="1:20" x14ac:dyDescent="0.3">
      <c r="A192" s="1">
        <v>45741</v>
      </c>
      <c r="B192" t="s">
        <v>15</v>
      </c>
      <c r="C192" s="3">
        <v>1725</v>
      </c>
      <c r="D192" s="3">
        <v>1740.5</v>
      </c>
      <c r="E192" s="3">
        <v>1706.1</v>
      </c>
      <c r="F192" s="3">
        <v>1718.8</v>
      </c>
      <c r="G192" s="3">
        <v>1727.5</v>
      </c>
      <c r="H192" s="3">
        <v>1730.5</v>
      </c>
      <c r="I192" s="3">
        <v>1726.12</v>
      </c>
      <c r="J192" s="3">
        <v>1779</v>
      </c>
      <c r="K192" s="3">
        <v>1183.0999999999999</v>
      </c>
      <c r="L192" s="2">
        <v>4857399</v>
      </c>
      <c r="M192" s="2">
        <v>8384466695.5</v>
      </c>
      <c r="N192" s="2">
        <v>167951</v>
      </c>
      <c r="O192" t="s">
        <v>16</v>
      </c>
      <c r="P192" s="8">
        <f t="shared" si="6"/>
        <v>-6.2000000000000455</v>
      </c>
      <c r="Q192" t="s">
        <v>37</v>
      </c>
      <c r="R192">
        <f t="shared" si="7"/>
        <v>3</v>
      </c>
      <c r="S192" t="str">
        <f t="shared" si="8"/>
        <v>Mar</v>
      </c>
      <c r="T192" s="9">
        <f>VLOOKUP(O192, Annual_Summary!A:B, 2, 0)</f>
        <v>0.31954628062919088</v>
      </c>
    </row>
    <row r="193" spans="1:20" x14ac:dyDescent="0.3">
      <c r="A193" s="1">
        <v>45740</v>
      </c>
      <c r="B193" t="s">
        <v>15</v>
      </c>
      <c r="C193" s="3">
        <v>1740</v>
      </c>
      <c r="D193" s="3">
        <v>1740</v>
      </c>
      <c r="E193" s="3">
        <v>1714.85</v>
      </c>
      <c r="F193" s="3">
        <v>1725.8</v>
      </c>
      <c r="G193" s="3">
        <v>1716.95</v>
      </c>
      <c r="H193" s="3">
        <v>1718.8</v>
      </c>
      <c r="I193" s="3">
        <v>1724.91</v>
      </c>
      <c r="J193" s="3">
        <v>1779</v>
      </c>
      <c r="K193" s="3">
        <v>1183.0999999999999</v>
      </c>
      <c r="L193" s="2">
        <v>4120999</v>
      </c>
      <c r="M193" s="2">
        <v>7108364278</v>
      </c>
      <c r="N193" s="2">
        <v>165902</v>
      </c>
      <c r="O193" t="s">
        <v>16</v>
      </c>
      <c r="P193" s="8">
        <f t="shared" si="6"/>
        <v>-14.200000000000045</v>
      </c>
      <c r="Q193" t="s">
        <v>37</v>
      </c>
      <c r="R193">
        <f t="shared" si="7"/>
        <v>3</v>
      </c>
      <c r="S193" t="str">
        <f t="shared" si="8"/>
        <v>Mar</v>
      </c>
      <c r="T193" s="9">
        <f>VLOOKUP(O193, Annual_Summary!A:B, 2, 0)</f>
        <v>0.31954628062919088</v>
      </c>
    </row>
    <row r="194" spans="1:20" x14ac:dyDescent="0.3">
      <c r="A194" s="1">
        <v>45737</v>
      </c>
      <c r="B194" t="s">
        <v>15</v>
      </c>
      <c r="C194" s="3">
        <v>1709.65</v>
      </c>
      <c r="D194" s="3">
        <v>1731.4</v>
      </c>
      <c r="E194" s="3">
        <v>1692</v>
      </c>
      <c r="F194" s="3">
        <v>1705.25</v>
      </c>
      <c r="G194" s="3">
        <v>1721.85</v>
      </c>
      <c r="H194" s="3">
        <v>1725.8</v>
      </c>
      <c r="I194" s="3">
        <v>1716.34</v>
      </c>
      <c r="J194" s="3">
        <v>1779</v>
      </c>
      <c r="K194" s="3">
        <v>1183.0999999999999</v>
      </c>
      <c r="L194" s="2">
        <v>14715349</v>
      </c>
      <c r="M194" s="2">
        <v>25256604396.5</v>
      </c>
      <c r="N194" s="2">
        <v>201573</v>
      </c>
      <c r="O194" t="s">
        <v>16</v>
      </c>
      <c r="P194" s="8">
        <f t="shared" si="6"/>
        <v>-4.4000000000000909</v>
      </c>
      <c r="Q194" t="s">
        <v>37</v>
      </c>
      <c r="R194">
        <f t="shared" si="7"/>
        <v>3</v>
      </c>
      <c r="S194" t="str">
        <f t="shared" si="8"/>
        <v>Mar</v>
      </c>
      <c r="T194" s="9">
        <f>VLOOKUP(O194, Annual_Summary!A:B, 2, 0)</f>
        <v>0.31954628062919088</v>
      </c>
    </row>
    <row r="195" spans="1:20" x14ac:dyDescent="0.3">
      <c r="A195" s="1">
        <v>45736</v>
      </c>
      <c r="B195" t="s">
        <v>15</v>
      </c>
      <c r="C195" s="3">
        <v>1660</v>
      </c>
      <c r="D195" s="3">
        <v>1709.65</v>
      </c>
      <c r="E195" s="3">
        <v>1646.1</v>
      </c>
      <c r="F195" s="3">
        <v>1637.15</v>
      </c>
      <c r="G195" s="3">
        <v>1704</v>
      </c>
      <c r="H195" s="3">
        <v>1705.25</v>
      </c>
      <c r="I195" s="3">
        <v>1686.32</v>
      </c>
      <c r="J195" s="3">
        <v>1779</v>
      </c>
      <c r="K195" s="3">
        <v>1183.0999999999999</v>
      </c>
      <c r="L195" s="2">
        <v>12074465</v>
      </c>
      <c r="M195" s="2">
        <v>20361409533.450001</v>
      </c>
      <c r="N195" s="2">
        <v>240074</v>
      </c>
      <c r="O195" t="s">
        <v>16</v>
      </c>
      <c r="P195" s="8">
        <f t="shared" ref="P195:P258" si="9">F195-C195</f>
        <v>-22.849999999999909</v>
      </c>
      <c r="Q195" t="s">
        <v>37</v>
      </c>
      <c r="R195">
        <f t="shared" ref="R195:R258" si="10">MONTH(A195)</f>
        <v>3</v>
      </c>
      <c r="S195" t="str">
        <f t="shared" ref="S195:S258" si="11">TEXT(A195,"mmm")</f>
        <v>Mar</v>
      </c>
      <c r="T195" s="9">
        <f>VLOOKUP(O195, Annual_Summary!A:B, 2, 0)</f>
        <v>0.31954628062919088</v>
      </c>
    </row>
    <row r="196" spans="1:20" x14ac:dyDescent="0.3">
      <c r="A196" s="1">
        <v>45735</v>
      </c>
      <c r="B196" t="s">
        <v>15</v>
      </c>
      <c r="C196" s="3">
        <v>1635</v>
      </c>
      <c r="D196" s="3">
        <v>1642.05</v>
      </c>
      <c r="E196" s="3">
        <v>1627.5</v>
      </c>
      <c r="F196" s="3">
        <v>1627.3</v>
      </c>
      <c r="G196" s="3">
        <v>1635</v>
      </c>
      <c r="H196" s="3">
        <v>1637.15</v>
      </c>
      <c r="I196" s="3">
        <v>1634.61</v>
      </c>
      <c r="J196" s="3">
        <v>1779</v>
      </c>
      <c r="K196" s="3">
        <v>1183.0999999999999</v>
      </c>
      <c r="L196" s="2">
        <v>6283464</v>
      </c>
      <c r="M196" s="2">
        <v>10271009720.549999</v>
      </c>
      <c r="N196" s="2">
        <v>199602</v>
      </c>
      <c r="O196" t="s">
        <v>16</v>
      </c>
      <c r="P196" s="8">
        <f t="shared" si="9"/>
        <v>-7.7000000000000455</v>
      </c>
      <c r="Q196" t="s">
        <v>37</v>
      </c>
      <c r="R196">
        <f t="shared" si="10"/>
        <v>3</v>
      </c>
      <c r="S196" t="str">
        <f t="shared" si="11"/>
        <v>Mar</v>
      </c>
      <c r="T196" s="9">
        <f>VLOOKUP(O196, Annual_Summary!A:B, 2, 0)</f>
        <v>0.31954628062919088</v>
      </c>
    </row>
    <row r="197" spans="1:20" x14ac:dyDescent="0.3">
      <c r="A197" s="1">
        <v>45734</v>
      </c>
      <c r="B197" t="s">
        <v>15</v>
      </c>
      <c r="C197" s="3">
        <v>1649.5</v>
      </c>
      <c r="D197" s="3">
        <v>1655</v>
      </c>
      <c r="E197" s="3">
        <v>1622.1</v>
      </c>
      <c r="F197" s="3">
        <v>1639.15</v>
      </c>
      <c r="G197" s="3">
        <v>1632</v>
      </c>
      <c r="H197" s="3">
        <v>1627.3</v>
      </c>
      <c r="I197" s="3">
        <v>1634.46</v>
      </c>
      <c r="J197" s="3">
        <v>1779</v>
      </c>
      <c r="K197" s="3">
        <v>1183.0999999999999</v>
      </c>
      <c r="L197" s="2">
        <v>6539954</v>
      </c>
      <c r="M197" s="2">
        <v>10689280328.15</v>
      </c>
      <c r="N197" s="2">
        <v>182821</v>
      </c>
      <c r="O197" t="s">
        <v>16</v>
      </c>
      <c r="P197" s="8">
        <f t="shared" si="9"/>
        <v>-10.349999999999909</v>
      </c>
      <c r="Q197" t="s">
        <v>37</v>
      </c>
      <c r="R197">
        <f t="shared" si="10"/>
        <v>3</v>
      </c>
      <c r="S197" t="str">
        <f t="shared" si="11"/>
        <v>Mar</v>
      </c>
      <c r="T197" s="9">
        <f>VLOOKUP(O197, Annual_Summary!A:B, 2, 0)</f>
        <v>0.31954628062919088</v>
      </c>
    </row>
    <row r="198" spans="1:20" x14ac:dyDescent="0.3">
      <c r="A198" s="1">
        <v>45733</v>
      </c>
      <c r="B198" t="s">
        <v>15</v>
      </c>
      <c r="C198" s="3">
        <v>1612.2</v>
      </c>
      <c r="D198" s="3">
        <v>1648.4</v>
      </c>
      <c r="E198" s="3">
        <v>1612.2</v>
      </c>
      <c r="F198" s="3">
        <v>1632.5</v>
      </c>
      <c r="G198" s="3">
        <v>1641.3</v>
      </c>
      <c r="H198" s="3">
        <v>1639.15</v>
      </c>
      <c r="I198" s="3">
        <v>1638.3</v>
      </c>
      <c r="J198" s="3">
        <v>1779</v>
      </c>
      <c r="K198" s="3">
        <v>1183.0999999999999</v>
      </c>
      <c r="L198" s="2">
        <v>6405525</v>
      </c>
      <c r="M198" s="2">
        <v>10494187865.950001</v>
      </c>
      <c r="N198" s="2">
        <v>212442</v>
      </c>
      <c r="O198" t="s">
        <v>16</v>
      </c>
      <c r="P198" s="8">
        <f t="shared" si="9"/>
        <v>20.299999999999955</v>
      </c>
      <c r="Q198" t="s">
        <v>37</v>
      </c>
      <c r="R198">
        <f t="shared" si="10"/>
        <v>3</v>
      </c>
      <c r="S198" t="str">
        <f t="shared" si="11"/>
        <v>Mar</v>
      </c>
      <c r="T198" s="9">
        <f>VLOOKUP(O198, Annual_Summary!A:B, 2, 0)</f>
        <v>0.31954628062919088</v>
      </c>
    </row>
    <row r="199" spans="1:20" x14ac:dyDescent="0.3">
      <c r="A199" s="1">
        <v>45729</v>
      </c>
      <c r="B199" t="s">
        <v>15</v>
      </c>
      <c r="C199" s="3">
        <v>1650.8</v>
      </c>
      <c r="D199" s="3">
        <v>1656.9</v>
      </c>
      <c r="E199" s="3">
        <v>1629.6</v>
      </c>
      <c r="F199" s="3">
        <v>1642.85</v>
      </c>
      <c r="G199" s="3">
        <v>1632.9</v>
      </c>
      <c r="H199" s="3">
        <v>1632.5</v>
      </c>
      <c r="I199" s="3">
        <v>1639.89</v>
      </c>
      <c r="J199" s="3">
        <v>1779</v>
      </c>
      <c r="K199" s="3">
        <v>1151.7</v>
      </c>
      <c r="L199" s="2">
        <v>8317331</v>
      </c>
      <c r="M199" s="2">
        <v>13639534755.5</v>
      </c>
      <c r="N199" s="2">
        <v>174903</v>
      </c>
      <c r="O199" t="s">
        <v>16</v>
      </c>
      <c r="P199" s="8">
        <f t="shared" si="9"/>
        <v>-7.9500000000000455</v>
      </c>
      <c r="Q199" t="s">
        <v>37</v>
      </c>
      <c r="R199">
        <f t="shared" si="10"/>
        <v>3</v>
      </c>
      <c r="S199" t="str">
        <f t="shared" si="11"/>
        <v>Mar</v>
      </c>
      <c r="T199" s="9">
        <f>VLOOKUP(O199, Annual_Summary!A:B, 2, 0)</f>
        <v>0.31954628062919088</v>
      </c>
    </row>
    <row r="200" spans="1:20" x14ac:dyDescent="0.3">
      <c r="A200" s="1">
        <v>45728</v>
      </c>
      <c r="B200" t="s">
        <v>15</v>
      </c>
      <c r="C200" s="3">
        <v>1690</v>
      </c>
      <c r="D200" s="3">
        <v>1716.65</v>
      </c>
      <c r="E200" s="3">
        <v>1634</v>
      </c>
      <c r="F200" s="3">
        <v>1662.95</v>
      </c>
      <c r="G200" s="3">
        <v>1647.7</v>
      </c>
      <c r="H200" s="3">
        <v>1642.85</v>
      </c>
      <c r="I200" s="3">
        <v>1661.25</v>
      </c>
      <c r="J200" s="3">
        <v>1779</v>
      </c>
      <c r="K200" s="3">
        <v>1151.7</v>
      </c>
      <c r="L200" s="2">
        <v>9907628</v>
      </c>
      <c r="M200" s="2">
        <v>16459005626.85</v>
      </c>
      <c r="N200" s="2">
        <v>300458</v>
      </c>
      <c r="O200" t="s">
        <v>16</v>
      </c>
      <c r="P200" s="8">
        <f t="shared" si="9"/>
        <v>-27.049999999999955</v>
      </c>
      <c r="Q200" t="s">
        <v>37</v>
      </c>
      <c r="R200">
        <f t="shared" si="10"/>
        <v>3</v>
      </c>
      <c r="S200" t="str">
        <f t="shared" si="11"/>
        <v>Mar</v>
      </c>
      <c r="T200" s="9">
        <f>VLOOKUP(O200, Annual_Summary!A:B, 2, 0)</f>
        <v>0.31954628062919088</v>
      </c>
    </row>
    <row r="201" spans="1:20" x14ac:dyDescent="0.3">
      <c r="A201" s="1">
        <v>45727</v>
      </c>
      <c r="B201" t="s">
        <v>15</v>
      </c>
      <c r="C201" s="3">
        <v>1630</v>
      </c>
      <c r="D201" s="3">
        <v>1676.4</v>
      </c>
      <c r="E201" s="3">
        <v>1624.05</v>
      </c>
      <c r="F201" s="3">
        <v>1630.95</v>
      </c>
      <c r="G201" s="3">
        <v>1664</v>
      </c>
      <c r="H201" s="3">
        <v>1662.95</v>
      </c>
      <c r="I201" s="3">
        <v>1655.87</v>
      </c>
      <c r="J201" s="3">
        <v>1779</v>
      </c>
      <c r="K201" s="3">
        <v>1151.7</v>
      </c>
      <c r="L201" s="2">
        <v>6078564</v>
      </c>
      <c r="M201" s="2">
        <v>10065296628.049999</v>
      </c>
      <c r="N201" s="2">
        <v>356280</v>
      </c>
      <c r="O201" t="s">
        <v>16</v>
      </c>
      <c r="P201" s="8">
        <f t="shared" si="9"/>
        <v>0.95000000000004547</v>
      </c>
      <c r="Q201" t="s">
        <v>37</v>
      </c>
      <c r="R201">
        <f t="shared" si="10"/>
        <v>3</v>
      </c>
      <c r="S201" t="str">
        <f t="shared" si="11"/>
        <v>Mar</v>
      </c>
      <c r="T201" s="9">
        <f>VLOOKUP(O201, Annual_Summary!A:B, 2, 0)</f>
        <v>0.31954628062919088</v>
      </c>
    </row>
    <row r="202" spans="1:20" x14ac:dyDescent="0.3">
      <c r="A202" s="1">
        <v>45726</v>
      </c>
      <c r="B202" t="s">
        <v>15</v>
      </c>
      <c r="C202" s="3">
        <v>1640</v>
      </c>
      <c r="D202" s="3">
        <v>1654.9</v>
      </c>
      <c r="E202" s="3">
        <v>1626.6</v>
      </c>
      <c r="F202" s="3">
        <v>1630.7</v>
      </c>
      <c r="G202" s="3">
        <v>1628</v>
      </c>
      <c r="H202" s="3">
        <v>1630.95</v>
      </c>
      <c r="I202" s="3">
        <v>1639.56</v>
      </c>
      <c r="J202" s="3">
        <v>1779</v>
      </c>
      <c r="K202" s="3">
        <v>1151.7</v>
      </c>
      <c r="L202" s="2">
        <v>3778450</v>
      </c>
      <c r="M202" s="2">
        <v>6195012671.4499998</v>
      </c>
      <c r="N202" s="2">
        <v>162065</v>
      </c>
      <c r="O202" t="s">
        <v>16</v>
      </c>
      <c r="P202" s="8">
        <f t="shared" si="9"/>
        <v>-9.2999999999999545</v>
      </c>
      <c r="Q202" t="s">
        <v>37</v>
      </c>
      <c r="R202">
        <f t="shared" si="10"/>
        <v>3</v>
      </c>
      <c r="S202" t="str">
        <f t="shared" si="11"/>
        <v>Mar</v>
      </c>
      <c r="T202" s="9">
        <f>VLOOKUP(O202, Annual_Summary!A:B, 2, 0)</f>
        <v>0.31954628062919088</v>
      </c>
    </row>
    <row r="203" spans="1:20" x14ac:dyDescent="0.3">
      <c r="A203" s="1">
        <v>45723</v>
      </c>
      <c r="B203" t="s">
        <v>15</v>
      </c>
      <c r="C203" s="3">
        <v>1629</v>
      </c>
      <c r="D203" s="3">
        <v>1642.4</v>
      </c>
      <c r="E203" s="3">
        <v>1615.6</v>
      </c>
      <c r="F203" s="3">
        <v>1626.9</v>
      </c>
      <c r="G203" s="3">
        <v>1637.95</v>
      </c>
      <c r="H203" s="3">
        <v>1630.7</v>
      </c>
      <c r="I203" s="3">
        <v>1628.92</v>
      </c>
      <c r="J203" s="3">
        <v>1779</v>
      </c>
      <c r="K203" s="3">
        <v>1132</v>
      </c>
      <c r="L203" s="2">
        <v>3035558</v>
      </c>
      <c r="M203" s="2">
        <v>4944683610.6499996</v>
      </c>
      <c r="N203" s="2">
        <v>143747</v>
      </c>
      <c r="O203" t="s">
        <v>16</v>
      </c>
      <c r="P203" s="8">
        <f t="shared" si="9"/>
        <v>-2.0999999999999091</v>
      </c>
      <c r="Q203" t="s">
        <v>37</v>
      </c>
      <c r="R203">
        <f t="shared" si="10"/>
        <v>3</v>
      </c>
      <c r="S203" t="str">
        <f t="shared" si="11"/>
        <v>Mar</v>
      </c>
      <c r="T203" s="9">
        <f>VLOOKUP(O203, Annual_Summary!A:B, 2, 0)</f>
        <v>0.31954628062919088</v>
      </c>
    </row>
    <row r="204" spans="1:20" x14ac:dyDescent="0.3">
      <c r="A204" s="1">
        <v>45722</v>
      </c>
      <c r="B204" t="s">
        <v>15</v>
      </c>
      <c r="C204" s="3">
        <v>1618</v>
      </c>
      <c r="D204" s="3">
        <v>1631.75</v>
      </c>
      <c r="E204" s="3">
        <v>1590.45</v>
      </c>
      <c r="F204" s="3">
        <v>1618.25</v>
      </c>
      <c r="G204" s="3">
        <v>1625</v>
      </c>
      <c r="H204" s="3">
        <v>1626.9</v>
      </c>
      <c r="I204" s="3">
        <v>1615.96</v>
      </c>
      <c r="J204" s="3">
        <v>1779</v>
      </c>
      <c r="K204" s="3">
        <v>1132</v>
      </c>
      <c r="L204" s="2">
        <v>5174009</v>
      </c>
      <c r="M204" s="2">
        <v>8361000902.8500004</v>
      </c>
      <c r="N204" s="2">
        <v>185788</v>
      </c>
      <c r="O204" t="s">
        <v>16</v>
      </c>
      <c r="P204" s="8">
        <f t="shared" si="9"/>
        <v>0.25</v>
      </c>
      <c r="Q204" t="s">
        <v>37</v>
      </c>
      <c r="R204">
        <f t="shared" si="10"/>
        <v>3</v>
      </c>
      <c r="S204" t="str">
        <f t="shared" si="11"/>
        <v>Mar</v>
      </c>
      <c r="T204" s="9">
        <f>VLOOKUP(O204, Annual_Summary!A:B, 2, 0)</f>
        <v>0.31954628062919088</v>
      </c>
    </row>
    <row r="205" spans="1:20" x14ac:dyDescent="0.3">
      <c r="A205" s="1">
        <v>45721</v>
      </c>
      <c r="B205" t="s">
        <v>15</v>
      </c>
      <c r="C205" s="3">
        <v>1578</v>
      </c>
      <c r="D205" s="3">
        <v>1626.1</v>
      </c>
      <c r="E205" s="3">
        <v>1577.1</v>
      </c>
      <c r="F205" s="3">
        <v>1575.35</v>
      </c>
      <c r="G205" s="3">
        <v>1610</v>
      </c>
      <c r="H205" s="3">
        <v>1618.25</v>
      </c>
      <c r="I205" s="3">
        <v>1611.96</v>
      </c>
      <c r="J205" s="3">
        <v>1779</v>
      </c>
      <c r="K205" s="3">
        <v>1132</v>
      </c>
      <c r="L205" s="2">
        <v>6295425</v>
      </c>
      <c r="M205" s="2">
        <v>10147975647.299999</v>
      </c>
      <c r="N205" s="2">
        <v>271207</v>
      </c>
      <c r="O205" t="s">
        <v>16</v>
      </c>
      <c r="P205" s="8">
        <f t="shared" si="9"/>
        <v>-2.6500000000000909</v>
      </c>
      <c r="Q205" t="s">
        <v>37</v>
      </c>
      <c r="R205">
        <f t="shared" si="10"/>
        <v>3</v>
      </c>
      <c r="S205" t="str">
        <f t="shared" si="11"/>
        <v>Mar</v>
      </c>
      <c r="T205" s="9">
        <f>VLOOKUP(O205, Annual_Summary!A:B, 2, 0)</f>
        <v>0.31954628062919088</v>
      </c>
    </row>
    <row r="206" spans="1:20" x14ac:dyDescent="0.3">
      <c r="A206" s="1">
        <v>45720</v>
      </c>
      <c r="B206" t="s">
        <v>15</v>
      </c>
      <c r="C206" s="3">
        <v>1589</v>
      </c>
      <c r="D206" s="3">
        <v>1590.5</v>
      </c>
      <c r="E206" s="3">
        <v>1568</v>
      </c>
      <c r="F206" s="3">
        <v>1595.8</v>
      </c>
      <c r="G206" s="3">
        <v>1575.9</v>
      </c>
      <c r="H206" s="3">
        <v>1575.35</v>
      </c>
      <c r="I206" s="3">
        <v>1575.21</v>
      </c>
      <c r="J206" s="3">
        <v>1779</v>
      </c>
      <c r="K206" s="3">
        <v>1132</v>
      </c>
      <c r="L206" s="2">
        <v>5219668</v>
      </c>
      <c r="M206" s="2">
        <v>8222086740.0500002</v>
      </c>
      <c r="N206" s="2">
        <v>164399</v>
      </c>
      <c r="O206" t="s">
        <v>16</v>
      </c>
      <c r="P206" s="8">
        <f t="shared" si="9"/>
        <v>6.7999999999999545</v>
      </c>
      <c r="Q206" t="s">
        <v>37</v>
      </c>
      <c r="R206">
        <f t="shared" si="10"/>
        <v>3</v>
      </c>
      <c r="S206" t="str">
        <f t="shared" si="11"/>
        <v>Mar</v>
      </c>
      <c r="T206" s="9">
        <f>VLOOKUP(O206, Annual_Summary!A:B, 2, 0)</f>
        <v>0.31954628062919088</v>
      </c>
    </row>
    <row r="207" spans="1:20" x14ac:dyDescent="0.3">
      <c r="A207" s="1">
        <v>45719</v>
      </c>
      <c r="B207" t="s">
        <v>15</v>
      </c>
      <c r="C207" s="3">
        <v>1579</v>
      </c>
      <c r="D207" s="3">
        <v>1602.75</v>
      </c>
      <c r="E207" s="3">
        <v>1572.75</v>
      </c>
      <c r="F207" s="3">
        <v>1570.2</v>
      </c>
      <c r="G207" s="3">
        <v>1597.85</v>
      </c>
      <c r="H207" s="3">
        <v>1595.8</v>
      </c>
      <c r="I207" s="3">
        <v>1589.33</v>
      </c>
      <c r="J207" s="3">
        <v>1779</v>
      </c>
      <c r="K207" s="3">
        <v>1132</v>
      </c>
      <c r="L207" s="2">
        <v>6993525</v>
      </c>
      <c r="M207" s="2">
        <v>11115039796.700001</v>
      </c>
      <c r="N207" s="2">
        <v>236184</v>
      </c>
      <c r="O207" t="s">
        <v>16</v>
      </c>
      <c r="P207" s="8">
        <f t="shared" si="9"/>
        <v>-8.7999999999999545</v>
      </c>
      <c r="Q207" t="s">
        <v>37</v>
      </c>
      <c r="R207">
        <f t="shared" si="10"/>
        <v>3</v>
      </c>
      <c r="S207" t="str">
        <f t="shared" si="11"/>
        <v>Mar</v>
      </c>
      <c r="T207" s="9">
        <f>VLOOKUP(O207, Annual_Summary!A:B, 2, 0)</f>
        <v>0.31954628062919088</v>
      </c>
    </row>
    <row r="208" spans="1:20" x14ac:dyDescent="0.3">
      <c r="A208" s="1">
        <v>45716</v>
      </c>
      <c r="B208" t="s">
        <v>15</v>
      </c>
      <c r="C208" s="3">
        <v>1641.95</v>
      </c>
      <c r="D208" s="3">
        <v>1648.45</v>
      </c>
      <c r="E208" s="3">
        <v>1559.5</v>
      </c>
      <c r="F208" s="3">
        <v>1650.4</v>
      </c>
      <c r="G208" s="3">
        <v>1569.1</v>
      </c>
      <c r="H208" s="3">
        <v>1570.2</v>
      </c>
      <c r="I208" s="3">
        <v>1581.4</v>
      </c>
      <c r="J208" s="3">
        <v>1779</v>
      </c>
      <c r="K208" s="3">
        <v>1099</v>
      </c>
      <c r="L208" s="2">
        <v>13640211</v>
      </c>
      <c r="M208" s="2">
        <v>21570635492.599998</v>
      </c>
      <c r="N208" s="2">
        <v>207431</v>
      </c>
      <c r="O208" t="s">
        <v>16</v>
      </c>
      <c r="P208" s="8">
        <f t="shared" si="9"/>
        <v>8.4500000000000455</v>
      </c>
      <c r="Q208" t="s">
        <v>37</v>
      </c>
      <c r="R208">
        <f t="shared" si="10"/>
        <v>2</v>
      </c>
      <c r="S208" t="str">
        <f t="shared" si="11"/>
        <v>Feb</v>
      </c>
      <c r="T208" s="9">
        <f>VLOOKUP(O208, Annual_Summary!A:B, 2, 0)</f>
        <v>0.31954628062919088</v>
      </c>
    </row>
    <row r="209" spans="1:20" x14ac:dyDescent="0.3">
      <c r="A209" s="1">
        <v>45715</v>
      </c>
      <c r="B209" t="s">
        <v>15</v>
      </c>
      <c r="C209" s="3">
        <v>1643.4</v>
      </c>
      <c r="D209" s="3">
        <v>1656</v>
      </c>
      <c r="E209" s="3">
        <v>1638.65</v>
      </c>
      <c r="F209" s="3">
        <v>1641.4</v>
      </c>
      <c r="G209" s="3">
        <v>1646</v>
      </c>
      <c r="H209" s="3">
        <v>1650.4</v>
      </c>
      <c r="I209" s="3">
        <v>1648.42</v>
      </c>
      <c r="J209" s="3">
        <v>1779</v>
      </c>
      <c r="K209" s="3">
        <v>1099</v>
      </c>
      <c r="L209" s="2">
        <v>7568745</v>
      </c>
      <c r="M209" s="2">
        <v>12476451442.5</v>
      </c>
      <c r="N209" s="2">
        <v>195260</v>
      </c>
      <c r="O209" t="s">
        <v>16</v>
      </c>
      <c r="P209" s="8">
        <f t="shared" si="9"/>
        <v>-2</v>
      </c>
      <c r="Q209" t="s">
        <v>37</v>
      </c>
      <c r="R209">
        <f t="shared" si="10"/>
        <v>2</v>
      </c>
      <c r="S209" t="str">
        <f t="shared" si="11"/>
        <v>Feb</v>
      </c>
      <c r="T209" s="9">
        <f>VLOOKUP(O209, Annual_Summary!A:B, 2, 0)</f>
        <v>0.31954628062919088</v>
      </c>
    </row>
    <row r="210" spans="1:20" x14ac:dyDescent="0.3">
      <c r="A210" s="1">
        <v>45713</v>
      </c>
      <c r="B210" t="s">
        <v>15</v>
      </c>
      <c r="C210" s="3">
        <v>1597</v>
      </c>
      <c r="D210" s="3">
        <v>1649.15</v>
      </c>
      <c r="E210" s="3">
        <v>1597</v>
      </c>
      <c r="F210" s="3">
        <v>1601.3</v>
      </c>
      <c r="G210" s="3">
        <v>1638.45</v>
      </c>
      <c r="H210" s="3">
        <v>1641.4</v>
      </c>
      <c r="I210" s="3">
        <v>1633.97</v>
      </c>
      <c r="J210" s="3">
        <v>1779</v>
      </c>
      <c r="K210" s="3">
        <v>1099</v>
      </c>
      <c r="L210" s="2">
        <v>6286808</v>
      </c>
      <c r="M210" s="2">
        <v>10272424878.25</v>
      </c>
      <c r="N210" s="2">
        <v>223534</v>
      </c>
      <c r="O210" t="s">
        <v>16</v>
      </c>
      <c r="P210" s="8">
        <f t="shared" si="9"/>
        <v>4.2999999999999545</v>
      </c>
      <c r="Q210" t="s">
        <v>37</v>
      </c>
      <c r="R210">
        <f t="shared" si="10"/>
        <v>2</v>
      </c>
      <c r="S210" t="str">
        <f t="shared" si="11"/>
        <v>Feb</v>
      </c>
      <c r="T210" s="9">
        <f>VLOOKUP(O210, Annual_Summary!A:B, 2, 0)</f>
        <v>0.31954628062919088</v>
      </c>
    </row>
    <row r="211" spans="1:20" x14ac:dyDescent="0.3">
      <c r="A211" s="1">
        <v>45712</v>
      </c>
      <c r="B211" t="s">
        <v>15</v>
      </c>
      <c r="C211" s="3">
        <v>1627</v>
      </c>
      <c r="D211" s="3">
        <v>1637.55</v>
      </c>
      <c r="E211" s="3">
        <v>1598</v>
      </c>
      <c r="F211" s="3">
        <v>1639.25</v>
      </c>
      <c r="G211" s="3">
        <v>1600</v>
      </c>
      <c r="H211" s="3">
        <v>1601.3</v>
      </c>
      <c r="I211" s="3">
        <v>1609.35</v>
      </c>
      <c r="J211" s="3">
        <v>1779</v>
      </c>
      <c r="K211" s="3">
        <v>1099</v>
      </c>
      <c r="L211" s="2">
        <v>4673190</v>
      </c>
      <c r="M211" s="2">
        <v>7520792175.0500002</v>
      </c>
      <c r="N211" s="2">
        <v>191311</v>
      </c>
      <c r="O211" t="s">
        <v>16</v>
      </c>
      <c r="P211" s="8">
        <f t="shared" si="9"/>
        <v>12.25</v>
      </c>
      <c r="Q211" t="s">
        <v>37</v>
      </c>
      <c r="R211">
        <f t="shared" si="10"/>
        <v>2</v>
      </c>
      <c r="S211" t="str">
        <f t="shared" si="11"/>
        <v>Feb</v>
      </c>
      <c r="T211" s="9">
        <f>VLOOKUP(O211, Annual_Summary!A:B, 2, 0)</f>
        <v>0.31954628062919088</v>
      </c>
    </row>
    <row r="212" spans="1:20" x14ac:dyDescent="0.3">
      <c r="A212" s="1">
        <v>45709</v>
      </c>
      <c r="B212" t="s">
        <v>15</v>
      </c>
      <c r="C212" s="3">
        <v>1643.5</v>
      </c>
      <c r="D212" s="3">
        <v>1658.7</v>
      </c>
      <c r="E212" s="3">
        <v>1629.2</v>
      </c>
      <c r="F212" s="3">
        <v>1643.5</v>
      </c>
      <c r="G212" s="3">
        <v>1636.75</v>
      </c>
      <c r="H212" s="3">
        <v>1639.25</v>
      </c>
      <c r="I212" s="3">
        <v>1642.53</v>
      </c>
      <c r="J212" s="3">
        <v>1779</v>
      </c>
      <c r="K212" s="3">
        <v>1097.6500000000001</v>
      </c>
      <c r="L212" s="2">
        <v>5447583</v>
      </c>
      <c r="M212" s="2">
        <v>8947842381.2999992</v>
      </c>
      <c r="N212" s="2">
        <v>161361</v>
      </c>
      <c r="O212" t="s">
        <v>16</v>
      </c>
      <c r="P212" s="8">
        <f t="shared" si="9"/>
        <v>0</v>
      </c>
      <c r="Q212" t="s">
        <v>37</v>
      </c>
      <c r="R212">
        <f t="shared" si="10"/>
        <v>2</v>
      </c>
      <c r="S212" t="str">
        <f t="shared" si="11"/>
        <v>Feb</v>
      </c>
      <c r="T212" s="9">
        <f>VLOOKUP(O212, Annual_Summary!A:B, 2, 0)</f>
        <v>0.31954628062919088</v>
      </c>
    </row>
    <row r="213" spans="1:20" x14ac:dyDescent="0.3">
      <c r="A213" s="1">
        <v>45708</v>
      </c>
      <c r="B213" t="s">
        <v>15</v>
      </c>
      <c r="C213" s="3">
        <v>1639.85</v>
      </c>
      <c r="D213" s="3">
        <v>1649.8</v>
      </c>
      <c r="E213" s="3">
        <v>1627.25</v>
      </c>
      <c r="F213" s="3">
        <v>1645.2</v>
      </c>
      <c r="G213" s="3">
        <v>1647</v>
      </c>
      <c r="H213" s="3">
        <v>1643.5</v>
      </c>
      <c r="I213" s="3">
        <v>1635.7</v>
      </c>
      <c r="J213" s="3">
        <v>1779</v>
      </c>
      <c r="K213" s="3">
        <v>1097.6500000000001</v>
      </c>
      <c r="L213" s="2">
        <v>5524503</v>
      </c>
      <c r="M213" s="2">
        <v>9036435549.2999992</v>
      </c>
      <c r="N213" s="2">
        <v>194090</v>
      </c>
      <c r="O213" t="s">
        <v>16</v>
      </c>
      <c r="P213" s="8">
        <f t="shared" si="9"/>
        <v>5.3500000000001364</v>
      </c>
      <c r="Q213" t="s">
        <v>37</v>
      </c>
      <c r="R213">
        <f t="shared" si="10"/>
        <v>2</v>
      </c>
      <c r="S213" t="str">
        <f t="shared" si="11"/>
        <v>Feb</v>
      </c>
      <c r="T213" s="9">
        <f>VLOOKUP(O213, Annual_Summary!A:B, 2, 0)</f>
        <v>0.31954628062919088</v>
      </c>
    </row>
    <row r="214" spans="1:20" x14ac:dyDescent="0.3">
      <c r="A214" s="1">
        <v>45707</v>
      </c>
      <c r="B214" t="s">
        <v>15</v>
      </c>
      <c r="C214" s="3">
        <v>1670</v>
      </c>
      <c r="D214" s="3">
        <v>1673.45</v>
      </c>
      <c r="E214" s="3">
        <v>1638.45</v>
      </c>
      <c r="F214" s="3">
        <v>1668.9</v>
      </c>
      <c r="G214" s="3">
        <v>1640</v>
      </c>
      <c r="H214" s="3">
        <v>1645.2</v>
      </c>
      <c r="I214" s="3">
        <v>1649.6</v>
      </c>
      <c r="J214" s="3">
        <v>1779</v>
      </c>
      <c r="K214" s="3">
        <v>1097.6500000000001</v>
      </c>
      <c r="L214" s="2">
        <v>7776555</v>
      </c>
      <c r="M214" s="2">
        <v>12828171503.549999</v>
      </c>
      <c r="N214" s="2">
        <v>229239</v>
      </c>
      <c r="O214" t="s">
        <v>16</v>
      </c>
      <c r="P214" s="8">
        <f t="shared" si="9"/>
        <v>-1.0999999999999091</v>
      </c>
      <c r="Q214" t="s">
        <v>37</v>
      </c>
      <c r="R214">
        <f t="shared" si="10"/>
        <v>2</v>
      </c>
      <c r="S214" t="str">
        <f t="shared" si="11"/>
        <v>Feb</v>
      </c>
      <c r="T214" s="9">
        <f>VLOOKUP(O214, Annual_Summary!A:B, 2, 0)</f>
        <v>0.31954628062919088</v>
      </c>
    </row>
    <row r="215" spans="1:20" x14ac:dyDescent="0.3">
      <c r="A215" s="1">
        <v>45706</v>
      </c>
      <c r="B215" t="s">
        <v>15</v>
      </c>
      <c r="C215" s="3">
        <v>1692</v>
      </c>
      <c r="D215" s="3">
        <v>1695.95</v>
      </c>
      <c r="E215" s="3">
        <v>1655.8</v>
      </c>
      <c r="F215" s="3">
        <v>1675.55</v>
      </c>
      <c r="G215" s="3">
        <v>1669.5</v>
      </c>
      <c r="H215" s="3">
        <v>1668.9</v>
      </c>
      <c r="I215" s="3">
        <v>1668.91</v>
      </c>
      <c r="J215" s="3">
        <v>1779</v>
      </c>
      <c r="K215" s="3">
        <v>1097.6500000000001</v>
      </c>
      <c r="L215" s="2">
        <v>7529598</v>
      </c>
      <c r="M215" s="2">
        <v>12566230247.9</v>
      </c>
      <c r="N215" s="2">
        <v>182050</v>
      </c>
      <c r="O215" t="s">
        <v>16</v>
      </c>
      <c r="P215" s="8">
        <f t="shared" si="9"/>
        <v>-16.450000000000045</v>
      </c>
      <c r="Q215" t="s">
        <v>37</v>
      </c>
      <c r="R215">
        <f t="shared" si="10"/>
        <v>2</v>
      </c>
      <c r="S215" t="str">
        <f t="shared" si="11"/>
        <v>Feb</v>
      </c>
      <c r="T215" s="9">
        <f>VLOOKUP(O215, Annual_Summary!A:B, 2, 0)</f>
        <v>0.31954628062919088</v>
      </c>
    </row>
    <row r="216" spans="1:20" x14ac:dyDescent="0.3">
      <c r="A216" s="1">
        <v>45705</v>
      </c>
      <c r="B216" t="s">
        <v>15</v>
      </c>
      <c r="C216" s="3">
        <v>1711.75</v>
      </c>
      <c r="D216" s="3">
        <v>1716.9</v>
      </c>
      <c r="E216" s="3">
        <v>1666.25</v>
      </c>
      <c r="F216" s="3">
        <v>1717.05</v>
      </c>
      <c r="G216" s="3">
        <v>1676.5</v>
      </c>
      <c r="H216" s="3">
        <v>1675.55</v>
      </c>
      <c r="I216" s="3">
        <v>1686.91</v>
      </c>
      <c r="J216" s="3">
        <v>1779</v>
      </c>
      <c r="K216" s="3">
        <v>1097.6500000000001</v>
      </c>
      <c r="L216" s="2">
        <v>4906462</v>
      </c>
      <c r="M216" s="2">
        <v>8276761536.1999998</v>
      </c>
      <c r="N216" s="2">
        <v>167548</v>
      </c>
      <c r="O216" t="s">
        <v>16</v>
      </c>
      <c r="P216" s="8">
        <f t="shared" si="9"/>
        <v>5.2999999999999545</v>
      </c>
      <c r="Q216" t="s">
        <v>37</v>
      </c>
      <c r="R216">
        <f t="shared" si="10"/>
        <v>2</v>
      </c>
      <c r="S216" t="str">
        <f t="shared" si="11"/>
        <v>Feb</v>
      </c>
      <c r="T216" s="9">
        <f>VLOOKUP(O216, Annual_Summary!A:B, 2, 0)</f>
        <v>0.31954628062919088</v>
      </c>
    </row>
    <row r="217" spans="1:20" x14ac:dyDescent="0.3">
      <c r="A217" s="1">
        <v>45702</v>
      </c>
      <c r="B217" t="s">
        <v>15</v>
      </c>
      <c r="C217" s="3">
        <v>1714</v>
      </c>
      <c r="D217" s="3">
        <v>1724.1</v>
      </c>
      <c r="E217" s="3">
        <v>1705.25</v>
      </c>
      <c r="F217" s="3">
        <v>1714.6</v>
      </c>
      <c r="G217" s="3">
        <v>1715</v>
      </c>
      <c r="H217" s="3">
        <v>1717.05</v>
      </c>
      <c r="I217" s="3">
        <v>1714.68</v>
      </c>
      <c r="J217" s="3">
        <v>1779</v>
      </c>
      <c r="K217" s="3">
        <v>1097.6500000000001</v>
      </c>
      <c r="L217" s="2">
        <v>5125863</v>
      </c>
      <c r="M217" s="2">
        <v>8789195888.1499996</v>
      </c>
      <c r="N217" s="2">
        <v>132902</v>
      </c>
      <c r="O217" t="s">
        <v>16</v>
      </c>
      <c r="P217" s="8">
        <f t="shared" si="9"/>
        <v>0.59999999999990905</v>
      </c>
      <c r="Q217" t="s">
        <v>37</v>
      </c>
      <c r="R217">
        <f t="shared" si="10"/>
        <v>2</v>
      </c>
      <c r="S217" t="str">
        <f t="shared" si="11"/>
        <v>Feb</v>
      </c>
      <c r="T217" s="9">
        <f>VLOOKUP(O217, Annual_Summary!A:B, 2, 0)</f>
        <v>0.31954628062919088</v>
      </c>
    </row>
    <row r="218" spans="1:20" x14ac:dyDescent="0.3">
      <c r="A218" s="1">
        <v>45701</v>
      </c>
      <c r="B218" t="s">
        <v>15</v>
      </c>
      <c r="C218" s="3">
        <v>1710</v>
      </c>
      <c r="D218" s="3">
        <v>1728.4</v>
      </c>
      <c r="E218" s="3">
        <v>1703.9</v>
      </c>
      <c r="F218" s="3">
        <v>1711.55</v>
      </c>
      <c r="G218" s="3">
        <v>1710.6</v>
      </c>
      <c r="H218" s="3">
        <v>1714.6</v>
      </c>
      <c r="I218" s="3">
        <v>1717.52</v>
      </c>
      <c r="J218" s="3">
        <v>1779</v>
      </c>
      <c r="K218" s="3">
        <v>1097.6500000000001</v>
      </c>
      <c r="L218" s="2">
        <v>5356002</v>
      </c>
      <c r="M218" s="2">
        <v>9199017749.9500008</v>
      </c>
      <c r="N218" s="2">
        <v>248069</v>
      </c>
      <c r="O218" t="s">
        <v>16</v>
      </c>
      <c r="P218" s="8">
        <f t="shared" si="9"/>
        <v>1.5499999999999545</v>
      </c>
      <c r="Q218" t="s">
        <v>37</v>
      </c>
      <c r="R218">
        <f t="shared" si="10"/>
        <v>2</v>
      </c>
      <c r="S218" t="str">
        <f t="shared" si="11"/>
        <v>Feb</v>
      </c>
      <c r="T218" s="9">
        <f>VLOOKUP(O218, Annual_Summary!A:B, 2, 0)</f>
        <v>0.31954628062919088</v>
      </c>
    </row>
    <row r="219" spans="1:20" x14ac:dyDescent="0.3">
      <c r="A219" s="1">
        <v>45700</v>
      </c>
      <c r="B219" t="s">
        <v>15</v>
      </c>
      <c r="C219" s="3">
        <v>1704</v>
      </c>
      <c r="D219" s="3">
        <v>1713.7</v>
      </c>
      <c r="E219" s="3">
        <v>1684.5</v>
      </c>
      <c r="F219" s="3">
        <v>1696.75</v>
      </c>
      <c r="G219" s="3">
        <v>1712</v>
      </c>
      <c r="H219" s="3">
        <v>1711.55</v>
      </c>
      <c r="I219" s="3">
        <v>1702.11</v>
      </c>
      <c r="J219" s="3">
        <v>1779</v>
      </c>
      <c r="K219" s="3">
        <v>1097.6500000000001</v>
      </c>
      <c r="L219" s="2">
        <v>7148192</v>
      </c>
      <c r="M219" s="2">
        <v>12166976749.65</v>
      </c>
      <c r="N219" s="2">
        <v>193104</v>
      </c>
      <c r="O219" t="s">
        <v>16</v>
      </c>
      <c r="P219" s="8">
        <f t="shared" si="9"/>
        <v>-7.25</v>
      </c>
      <c r="Q219" t="s">
        <v>37</v>
      </c>
      <c r="R219">
        <f t="shared" si="10"/>
        <v>2</v>
      </c>
      <c r="S219" t="str">
        <f t="shared" si="11"/>
        <v>Feb</v>
      </c>
      <c r="T219" s="9">
        <f>VLOOKUP(O219, Annual_Summary!A:B, 2, 0)</f>
        <v>0.31954628062919088</v>
      </c>
    </row>
    <row r="220" spans="1:20" x14ac:dyDescent="0.3">
      <c r="A220" s="1">
        <v>45699</v>
      </c>
      <c r="B220" t="s">
        <v>15</v>
      </c>
      <c r="C220" s="3">
        <v>1706</v>
      </c>
      <c r="D220" s="3">
        <v>1706.65</v>
      </c>
      <c r="E220" s="3">
        <v>1686.2</v>
      </c>
      <c r="F220" s="3">
        <v>1693.05</v>
      </c>
      <c r="G220" s="3">
        <v>1695.9</v>
      </c>
      <c r="H220" s="3">
        <v>1696.75</v>
      </c>
      <c r="I220" s="3">
        <v>1697.86</v>
      </c>
      <c r="J220" s="3">
        <v>1779</v>
      </c>
      <c r="K220" s="3">
        <v>1097.6500000000001</v>
      </c>
      <c r="L220" s="2">
        <v>8965266</v>
      </c>
      <c r="M220" s="2">
        <v>15221772711.85</v>
      </c>
      <c r="N220" s="2">
        <v>204795</v>
      </c>
      <c r="O220" t="s">
        <v>16</v>
      </c>
      <c r="P220" s="8">
        <f t="shared" si="9"/>
        <v>-12.950000000000045</v>
      </c>
      <c r="Q220" t="s">
        <v>37</v>
      </c>
      <c r="R220">
        <f t="shared" si="10"/>
        <v>2</v>
      </c>
      <c r="S220" t="str">
        <f t="shared" si="11"/>
        <v>Feb</v>
      </c>
      <c r="T220" s="9">
        <f>VLOOKUP(O220, Annual_Summary!A:B, 2, 0)</f>
        <v>0.31954628062919088</v>
      </c>
    </row>
    <row r="221" spans="1:20" x14ac:dyDescent="0.3">
      <c r="A221" s="1">
        <v>45698</v>
      </c>
      <c r="B221" t="s">
        <v>15</v>
      </c>
      <c r="C221" s="3">
        <v>1698.85</v>
      </c>
      <c r="D221" s="3">
        <v>1700</v>
      </c>
      <c r="E221" s="3">
        <v>1678.05</v>
      </c>
      <c r="F221" s="3">
        <v>1676.75</v>
      </c>
      <c r="G221" s="3">
        <v>1694.5</v>
      </c>
      <c r="H221" s="3">
        <v>1693.05</v>
      </c>
      <c r="I221" s="3">
        <v>1689.87</v>
      </c>
      <c r="J221" s="3">
        <v>1779</v>
      </c>
      <c r="K221" s="3">
        <v>1097.6500000000001</v>
      </c>
      <c r="L221" s="2">
        <v>6782878</v>
      </c>
      <c r="M221" s="2">
        <v>11462183700.6</v>
      </c>
      <c r="N221" s="2">
        <v>220261</v>
      </c>
      <c r="O221" t="s">
        <v>16</v>
      </c>
      <c r="P221" s="8">
        <f t="shared" si="9"/>
        <v>-22.099999999999909</v>
      </c>
      <c r="Q221" t="s">
        <v>37</v>
      </c>
      <c r="R221">
        <f t="shared" si="10"/>
        <v>2</v>
      </c>
      <c r="S221" t="str">
        <f t="shared" si="11"/>
        <v>Feb</v>
      </c>
      <c r="T221" s="9">
        <f>VLOOKUP(O221, Annual_Summary!A:B, 2, 0)</f>
        <v>0.31954628062919088</v>
      </c>
    </row>
    <row r="222" spans="1:20" x14ac:dyDescent="0.3">
      <c r="A222" s="1">
        <v>45695</v>
      </c>
      <c r="B222" t="s">
        <v>15</v>
      </c>
      <c r="C222" s="3">
        <v>1635.05</v>
      </c>
      <c r="D222" s="3">
        <v>1707.55</v>
      </c>
      <c r="E222" s="3">
        <v>1635</v>
      </c>
      <c r="F222" s="3">
        <v>1619.75</v>
      </c>
      <c r="G222" s="3">
        <v>1678</v>
      </c>
      <c r="H222" s="3">
        <v>1676.75</v>
      </c>
      <c r="I222" s="3">
        <v>1685.72</v>
      </c>
      <c r="J222" s="3">
        <v>1779</v>
      </c>
      <c r="K222" s="3">
        <v>1097.6500000000001</v>
      </c>
      <c r="L222" s="2">
        <v>14873255</v>
      </c>
      <c r="M222" s="2">
        <v>25072137924.849998</v>
      </c>
      <c r="N222" s="2">
        <v>458983</v>
      </c>
      <c r="O222" t="s">
        <v>16</v>
      </c>
      <c r="P222" s="8">
        <f t="shared" si="9"/>
        <v>-15.299999999999955</v>
      </c>
      <c r="Q222" t="s">
        <v>37</v>
      </c>
      <c r="R222">
        <f t="shared" si="10"/>
        <v>2</v>
      </c>
      <c r="S222" t="str">
        <f t="shared" si="11"/>
        <v>Feb</v>
      </c>
      <c r="T222" s="9">
        <f>VLOOKUP(O222, Annual_Summary!A:B, 2, 0)</f>
        <v>0.31954628062919088</v>
      </c>
    </row>
    <row r="223" spans="1:20" x14ac:dyDescent="0.3">
      <c r="A223" s="1">
        <v>45694</v>
      </c>
      <c r="B223" t="s">
        <v>15</v>
      </c>
      <c r="C223" s="3">
        <v>1665.9</v>
      </c>
      <c r="D223" s="3">
        <v>1667.3</v>
      </c>
      <c r="E223" s="3">
        <v>1613.25</v>
      </c>
      <c r="F223" s="3">
        <v>1660.45</v>
      </c>
      <c r="G223" s="3">
        <v>1621.9</v>
      </c>
      <c r="H223" s="3">
        <v>1619.75</v>
      </c>
      <c r="I223" s="3">
        <v>1630.19</v>
      </c>
      <c r="J223" s="3">
        <v>1779</v>
      </c>
      <c r="K223" s="3">
        <v>1097.6500000000001</v>
      </c>
      <c r="L223" s="2">
        <v>5229162</v>
      </c>
      <c r="M223" s="2">
        <v>8524533206.1499996</v>
      </c>
      <c r="N223" s="2">
        <v>135010</v>
      </c>
      <c r="O223" t="s">
        <v>16</v>
      </c>
      <c r="P223" s="8">
        <f t="shared" si="9"/>
        <v>-5.4500000000000455</v>
      </c>
      <c r="Q223" t="s">
        <v>37</v>
      </c>
      <c r="R223">
        <f t="shared" si="10"/>
        <v>2</v>
      </c>
      <c r="S223" t="str">
        <f t="shared" si="11"/>
        <v>Feb</v>
      </c>
      <c r="T223" s="9">
        <f>VLOOKUP(O223, Annual_Summary!A:B, 2, 0)</f>
        <v>0.31954628062919088</v>
      </c>
    </row>
    <row r="224" spans="1:20" x14ac:dyDescent="0.3">
      <c r="A224" s="1">
        <v>45693</v>
      </c>
      <c r="B224" t="s">
        <v>15</v>
      </c>
      <c r="C224" s="3">
        <v>1670</v>
      </c>
      <c r="D224" s="3">
        <v>1675.2</v>
      </c>
      <c r="E224" s="3">
        <v>1649.1</v>
      </c>
      <c r="F224" s="3">
        <v>1661.45</v>
      </c>
      <c r="G224" s="3">
        <v>1657.8</v>
      </c>
      <c r="H224" s="3">
        <v>1660.45</v>
      </c>
      <c r="I224" s="3">
        <v>1659.88</v>
      </c>
      <c r="J224" s="3">
        <v>1779</v>
      </c>
      <c r="K224" s="3">
        <v>1097.6500000000001</v>
      </c>
      <c r="L224" s="2">
        <v>3920893</v>
      </c>
      <c r="M224" s="2">
        <v>6508206942.1000004</v>
      </c>
      <c r="N224" s="2">
        <v>160722</v>
      </c>
      <c r="O224" t="s">
        <v>16</v>
      </c>
      <c r="P224" s="8">
        <f t="shared" si="9"/>
        <v>-8.5499999999999545</v>
      </c>
      <c r="Q224" t="s">
        <v>37</v>
      </c>
      <c r="R224">
        <f t="shared" si="10"/>
        <v>2</v>
      </c>
      <c r="S224" t="str">
        <f t="shared" si="11"/>
        <v>Feb</v>
      </c>
      <c r="T224" s="9">
        <f>VLOOKUP(O224, Annual_Summary!A:B, 2, 0)</f>
        <v>0.31954628062919088</v>
      </c>
    </row>
    <row r="225" spans="1:20" x14ac:dyDescent="0.3">
      <c r="A225" s="1">
        <v>45692</v>
      </c>
      <c r="B225" t="s">
        <v>15</v>
      </c>
      <c r="C225" s="3">
        <v>1662.15</v>
      </c>
      <c r="D225" s="3">
        <v>1668.3</v>
      </c>
      <c r="E225" s="3">
        <v>1629.05</v>
      </c>
      <c r="F225" s="3">
        <v>1652.35</v>
      </c>
      <c r="G225" s="3">
        <v>1663</v>
      </c>
      <c r="H225" s="3">
        <v>1661.45</v>
      </c>
      <c r="I225" s="3">
        <v>1648.08</v>
      </c>
      <c r="J225" s="3">
        <v>1779</v>
      </c>
      <c r="K225" s="3">
        <v>1097.6500000000001</v>
      </c>
      <c r="L225" s="2">
        <v>6385876</v>
      </c>
      <c r="M225" s="2">
        <v>10524438817.299999</v>
      </c>
      <c r="N225" s="2">
        <v>209388</v>
      </c>
      <c r="O225" t="s">
        <v>16</v>
      </c>
      <c r="P225" s="8">
        <f t="shared" si="9"/>
        <v>-9.8000000000001819</v>
      </c>
      <c r="Q225" t="s">
        <v>37</v>
      </c>
      <c r="R225">
        <f t="shared" si="10"/>
        <v>2</v>
      </c>
      <c r="S225" t="str">
        <f t="shared" si="11"/>
        <v>Feb</v>
      </c>
      <c r="T225" s="9">
        <f>VLOOKUP(O225, Annual_Summary!A:B, 2, 0)</f>
        <v>0.31954628062919088</v>
      </c>
    </row>
    <row r="226" spans="1:20" x14ac:dyDescent="0.3">
      <c r="A226" s="1">
        <v>45691</v>
      </c>
      <c r="B226" t="s">
        <v>15</v>
      </c>
      <c r="C226" s="3">
        <v>1619.9</v>
      </c>
      <c r="D226" s="3">
        <v>1661</v>
      </c>
      <c r="E226" s="3">
        <v>1608.1</v>
      </c>
      <c r="F226" s="3">
        <v>1623.25</v>
      </c>
      <c r="G226" s="3">
        <v>1651</v>
      </c>
      <c r="H226" s="3">
        <v>1652.35</v>
      </c>
      <c r="I226" s="3">
        <v>1646.73</v>
      </c>
      <c r="J226" s="3">
        <v>1779</v>
      </c>
      <c r="K226" s="3">
        <v>1097.6500000000001</v>
      </c>
      <c r="L226" s="2">
        <v>4146970</v>
      </c>
      <c r="M226" s="2">
        <v>6828939750.0500002</v>
      </c>
      <c r="N226" s="2">
        <v>192465</v>
      </c>
      <c r="O226" t="s">
        <v>16</v>
      </c>
      <c r="P226" s="8">
        <f t="shared" si="9"/>
        <v>3.3499999999999091</v>
      </c>
      <c r="Q226" t="s">
        <v>37</v>
      </c>
      <c r="R226">
        <f t="shared" si="10"/>
        <v>2</v>
      </c>
      <c r="S226" t="str">
        <f t="shared" si="11"/>
        <v>Feb</v>
      </c>
      <c r="T226" s="9">
        <f>VLOOKUP(O226, Annual_Summary!A:B, 2, 0)</f>
        <v>0.31954628062919088</v>
      </c>
    </row>
    <row r="227" spans="1:20" x14ac:dyDescent="0.3">
      <c r="A227" s="1">
        <v>45689</v>
      </c>
      <c r="B227" t="s">
        <v>15</v>
      </c>
      <c r="C227" s="3">
        <v>1627</v>
      </c>
      <c r="D227" s="3">
        <v>1644</v>
      </c>
      <c r="E227" s="3">
        <v>1609.2</v>
      </c>
      <c r="F227" s="3">
        <v>1626.3</v>
      </c>
      <c r="G227" s="3">
        <v>1624.9</v>
      </c>
      <c r="H227" s="3">
        <v>1623.25</v>
      </c>
      <c r="I227" s="3">
        <v>1627.35</v>
      </c>
      <c r="J227" s="3">
        <v>1779</v>
      </c>
      <c r="K227" s="3">
        <v>1097.6500000000001</v>
      </c>
      <c r="L227" s="2">
        <v>2741589</v>
      </c>
      <c r="M227" s="2">
        <v>4461522182</v>
      </c>
      <c r="N227" s="2">
        <v>87609</v>
      </c>
      <c r="O227" t="s">
        <v>16</v>
      </c>
      <c r="P227" s="8">
        <f t="shared" si="9"/>
        <v>-0.70000000000004547</v>
      </c>
      <c r="Q227" t="s">
        <v>37</v>
      </c>
      <c r="R227">
        <f t="shared" si="10"/>
        <v>2</v>
      </c>
      <c r="S227" t="str">
        <f t="shared" si="11"/>
        <v>Feb</v>
      </c>
      <c r="T227" s="9">
        <f>VLOOKUP(O227, Annual_Summary!A:B, 2, 0)</f>
        <v>0.31954628062919088</v>
      </c>
    </row>
    <row r="228" spans="1:20" x14ac:dyDescent="0.3">
      <c r="A228" s="1">
        <v>45688</v>
      </c>
      <c r="B228" t="s">
        <v>15</v>
      </c>
      <c r="C228" s="3">
        <v>1639.1</v>
      </c>
      <c r="D228" s="3">
        <v>1639.1</v>
      </c>
      <c r="E228" s="3">
        <v>1574.25</v>
      </c>
      <c r="F228" s="3">
        <v>1640.75</v>
      </c>
      <c r="G228" s="3">
        <v>1627.35</v>
      </c>
      <c r="H228" s="3">
        <v>1626.3</v>
      </c>
      <c r="I228" s="3">
        <v>1615.44</v>
      </c>
      <c r="J228" s="3">
        <v>1779</v>
      </c>
      <c r="K228" s="3">
        <v>1097.6500000000001</v>
      </c>
      <c r="L228" s="2">
        <v>8340866</v>
      </c>
      <c r="M228" s="2">
        <v>13474126995.1</v>
      </c>
      <c r="N228" s="2">
        <v>254531</v>
      </c>
      <c r="O228" t="s">
        <v>16</v>
      </c>
      <c r="P228" s="8">
        <f t="shared" si="9"/>
        <v>1.6500000000000909</v>
      </c>
      <c r="Q228" t="s">
        <v>37</v>
      </c>
      <c r="R228">
        <f t="shared" si="10"/>
        <v>1</v>
      </c>
      <c r="S228" t="str">
        <f t="shared" si="11"/>
        <v>Jan</v>
      </c>
      <c r="T228" s="9">
        <f>VLOOKUP(O228, Annual_Summary!A:B, 2, 0)</f>
        <v>0.31954628062919088</v>
      </c>
    </row>
    <row r="229" spans="1:20" x14ac:dyDescent="0.3">
      <c r="A229" s="1">
        <v>45687</v>
      </c>
      <c r="B229" t="s">
        <v>15</v>
      </c>
      <c r="C229" s="3">
        <v>1606.7</v>
      </c>
      <c r="D229" s="3">
        <v>1644.95</v>
      </c>
      <c r="E229" s="3">
        <v>1595.2</v>
      </c>
      <c r="F229" s="3">
        <v>1600.45</v>
      </c>
      <c r="G229" s="3">
        <v>1642.5</v>
      </c>
      <c r="H229" s="3">
        <v>1640.75</v>
      </c>
      <c r="I229" s="3">
        <v>1628.63</v>
      </c>
      <c r="J229" s="3">
        <v>1779</v>
      </c>
      <c r="K229" s="3">
        <v>1097.6500000000001</v>
      </c>
      <c r="L229" s="2">
        <v>4283637</v>
      </c>
      <c r="M229" s="2">
        <v>6976450419.8000002</v>
      </c>
      <c r="N229" s="2">
        <v>189279</v>
      </c>
      <c r="O229" t="s">
        <v>16</v>
      </c>
      <c r="P229" s="8">
        <f t="shared" si="9"/>
        <v>-6.25</v>
      </c>
      <c r="Q229" t="s">
        <v>37</v>
      </c>
      <c r="R229">
        <f t="shared" si="10"/>
        <v>1</v>
      </c>
      <c r="S229" t="str">
        <f t="shared" si="11"/>
        <v>Jan</v>
      </c>
      <c r="T229" s="9">
        <f>VLOOKUP(O229, Annual_Summary!A:B, 2, 0)</f>
        <v>0.31954628062919088</v>
      </c>
    </row>
    <row r="230" spans="1:20" x14ac:dyDescent="0.3">
      <c r="A230" s="1">
        <v>45686</v>
      </c>
      <c r="B230" t="s">
        <v>15</v>
      </c>
      <c r="C230" s="3">
        <v>1620</v>
      </c>
      <c r="D230" s="3">
        <v>1626.9</v>
      </c>
      <c r="E230" s="3">
        <v>1593.15</v>
      </c>
      <c r="F230" s="3">
        <v>1618.35</v>
      </c>
      <c r="G230" s="3">
        <v>1605.7</v>
      </c>
      <c r="H230" s="3">
        <v>1600.45</v>
      </c>
      <c r="I230" s="3">
        <v>1614.94</v>
      </c>
      <c r="J230" s="3">
        <v>1779</v>
      </c>
      <c r="K230" s="3">
        <v>1097.6500000000001</v>
      </c>
      <c r="L230" s="2">
        <v>5009227</v>
      </c>
      <c r="M230" s="2">
        <v>8089582028.8000002</v>
      </c>
      <c r="N230" s="2">
        <v>143936</v>
      </c>
      <c r="O230" t="s">
        <v>16</v>
      </c>
      <c r="P230" s="8">
        <f t="shared" si="9"/>
        <v>-1.6500000000000909</v>
      </c>
      <c r="Q230" t="s">
        <v>37</v>
      </c>
      <c r="R230">
        <f t="shared" si="10"/>
        <v>1</v>
      </c>
      <c r="S230" t="str">
        <f t="shared" si="11"/>
        <v>Jan</v>
      </c>
      <c r="T230" s="9">
        <f>VLOOKUP(O230, Annual_Summary!A:B, 2, 0)</f>
        <v>0.31954628062919088</v>
      </c>
    </row>
    <row r="231" spans="1:20" x14ac:dyDescent="0.3">
      <c r="A231" s="1">
        <v>45685</v>
      </c>
      <c r="B231" t="s">
        <v>15</v>
      </c>
      <c r="C231" s="3">
        <v>1607.65</v>
      </c>
      <c r="D231" s="3">
        <v>1630.3</v>
      </c>
      <c r="E231" s="3">
        <v>1597</v>
      </c>
      <c r="F231" s="3">
        <v>1602.6</v>
      </c>
      <c r="G231" s="3">
        <v>1618.8</v>
      </c>
      <c r="H231" s="3">
        <v>1618.35</v>
      </c>
      <c r="I231" s="3">
        <v>1615.4</v>
      </c>
      <c r="J231" s="3">
        <v>1779</v>
      </c>
      <c r="K231" s="3">
        <v>1097.6500000000001</v>
      </c>
      <c r="L231" s="2">
        <v>5216471</v>
      </c>
      <c r="M231" s="2">
        <v>8426687243.9499998</v>
      </c>
      <c r="N231" s="2">
        <v>159833</v>
      </c>
      <c r="O231" t="s">
        <v>16</v>
      </c>
      <c r="P231" s="8">
        <f t="shared" si="9"/>
        <v>-5.0500000000001819</v>
      </c>
      <c r="Q231" t="s">
        <v>37</v>
      </c>
      <c r="R231">
        <f t="shared" si="10"/>
        <v>1</v>
      </c>
      <c r="S231" t="str">
        <f t="shared" si="11"/>
        <v>Jan</v>
      </c>
      <c r="T231" s="9">
        <f>VLOOKUP(O231, Annual_Summary!A:B, 2, 0)</f>
        <v>0.31954628062919088</v>
      </c>
    </row>
    <row r="232" spans="1:20" x14ac:dyDescent="0.3">
      <c r="A232" s="1">
        <v>45684</v>
      </c>
      <c r="B232" t="s">
        <v>15</v>
      </c>
      <c r="C232" s="3">
        <v>1638.95</v>
      </c>
      <c r="D232" s="3">
        <v>1647.2</v>
      </c>
      <c r="E232" s="3">
        <v>1593.7</v>
      </c>
      <c r="F232" s="3">
        <v>1644.8</v>
      </c>
      <c r="G232" s="3">
        <v>1604.35</v>
      </c>
      <c r="H232" s="3">
        <v>1602.6</v>
      </c>
      <c r="I232" s="3">
        <v>1614.62</v>
      </c>
      <c r="J232" s="3">
        <v>1779</v>
      </c>
      <c r="K232" s="3">
        <v>1097.6500000000001</v>
      </c>
      <c r="L232" s="2">
        <v>6622807</v>
      </c>
      <c r="M232" s="2">
        <v>10693344747.049999</v>
      </c>
      <c r="N232" s="2">
        <v>171786</v>
      </c>
      <c r="O232" t="s">
        <v>16</v>
      </c>
      <c r="P232" s="8">
        <f t="shared" si="9"/>
        <v>5.8499999999999091</v>
      </c>
      <c r="Q232" t="s">
        <v>37</v>
      </c>
      <c r="R232">
        <f t="shared" si="10"/>
        <v>1</v>
      </c>
      <c r="S232" t="str">
        <f t="shared" si="11"/>
        <v>Jan</v>
      </c>
      <c r="T232" s="9">
        <f>VLOOKUP(O232, Annual_Summary!A:B, 2, 0)</f>
        <v>0.31954628062919088</v>
      </c>
    </row>
    <row r="233" spans="1:20" x14ac:dyDescent="0.3">
      <c r="A233" s="1">
        <v>45681</v>
      </c>
      <c r="B233" t="s">
        <v>15</v>
      </c>
      <c r="C233" s="3">
        <v>1634.05</v>
      </c>
      <c r="D233" s="3">
        <v>1661.9</v>
      </c>
      <c r="E233" s="3">
        <v>1634.05</v>
      </c>
      <c r="F233" s="3">
        <v>1636</v>
      </c>
      <c r="G233" s="3">
        <v>1641.45</v>
      </c>
      <c r="H233" s="3">
        <v>1644.8</v>
      </c>
      <c r="I233" s="3">
        <v>1646.84</v>
      </c>
      <c r="J233" s="3">
        <v>1779</v>
      </c>
      <c r="K233" s="3">
        <v>1097.6500000000001</v>
      </c>
      <c r="L233" s="2">
        <v>3620058</v>
      </c>
      <c r="M233" s="2">
        <v>5961640034.75</v>
      </c>
      <c r="N233" s="2">
        <v>122533</v>
      </c>
      <c r="O233" t="s">
        <v>16</v>
      </c>
      <c r="P233" s="8">
        <f t="shared" si="9"/>
        <v>1.9500000000000455</v>
      </c>
      <c r="Q233" t="s">
        <v>37</v>
      </c>
      <c r="R233">
        <f t="shared" si="10"/>
        <v>1</v>
      </c>
      <c r="S233" t="str">
        <f t="shared" si="11"/>
        <v>Jan</v>
      </c>
      <c r="T233" s="9">
        <f>VLOOKUP(O233, Annual_Summary!A:B, 2, 0)</f>
        <v>0.31954628062919088</v>
      </c>
    </row>
    <row r="234" spans="1:20" x14ac:dyDescent="0.3">
      <c r="A234" s="1">
        <v>45680</v>
      </c>
      <c r="B234" t="s">
        <v>15</v>
      </c>
      <c r="C234" s="3">
        <v>1624.5</v>
      </c>
      <c r="D234" s="3">
        <v>1645.4</v>
      </c>
      <c r="E234" s="3">
        <v>1617.2</v>
      </c>
      <c r="F234" s="3">
        <v>1631.75</v>
      </c>
      <c r="G234" s="3">
        <v>1638</v>
      </c>
      <c r="H234" s="3">
        <v>1636</v>
      </c>
      <c r="I234" s="3">
        <v>1635.89</v>
      </c>
      <c r="J234" s="3">
        <v>1779</v>
      </c>
      <c r="K234" s="3">
        <v>1097.6500000000001</v>
      </c>
      <c r="L234" s="2">
        <v>2457080</v>
      </c>
      <c r="M234" s="2">
        <v>4019513108.75</v>
      </c>
      <c r="N234" s="2">
        <v>123511</v>
      </c>
      <c r="O234" t="s">
        <v>16</v>
      </c>
      <c r="P234" s="8">
        <f t="shared" si="9"/>
        <v>7.25</v>
      </c>
      <c r="Q234" t="s">
        <v>37</v>
      </c>
      <c r="R234">
        <f t="shared" si="10"/>
        <v>1</v>
      </c>
      <c r="S234" t="str">
        <f t="shared" si="11"/>
        <v>Jan</v>
      </c>
      <c r="T234" s="9">
        <f>VLOOKUP(O234, Annual_Summary!A:B, 2, 0)</f>
        <v>0.31954628062919088</v>
      </c>
    </row>
    <row r="235" spans="1:20" x14ac:dyDescent="0.3">
      <c r="A235" s="1">
        <v>45679</v>
      </c>
      <c r="B235" t="s">
        <v>15</v>
      </c>
      <c r="C235" s="3">
        <v>1627.5</v>
      </c>
      <c r="D235" s="3">
        <v>1641</v>
      </c>
      <c r="E235" s="3">
        <v>1622.55</v>
      </c>
      <c r="F235" s="3">
        <v>1626.15</v>
      </c>
      <c r="G235" s="3">
        <v>1631</v>
      </c>
      <c r="H235" s="3">
        <v>1631.75</v>
      </c>
      <c r="I235" s="3">
        <v>1632.24</v>
      </c>
      <c r="J235" s="3">
        <v>1779</v>
      </c>
      <c r="K235" s="3">
        <v>1097.6500000000001</v>
      </c>
      <c r="L235" s="2">
        <v>3262136</v>
      </c>
      <c r="M235" s="2">
        <v>5324593310.25</v>
      </c>
      <c r="N235" s="2">
        <v>116455</v>
      </c>
      <c r="O235" t="s">
        <v>16</v>
      </c>
      <c r="P235" s="8">
        <f t="shared" si="9"/>
        <v>-1.3499999999999091</v>
      </c>
      <c r="Q235" t="s">
        <v>37</v>
      </c>
      <c r="R235">
        <f t="shared" si="10"/>
        <v>1</v>
      </c>
      <c r="S235" t="str">
        <f t="shared" si="11"/>
        <v>Jan</v>
      </c>
      <c r="T235" s="9">
        <f>VLOOKUP(O235, Annual_Summary!A:B, 2, 0)</f>
        <v>0.31954628062919088</v>
      </c>
    </row>
    <row r="236" spans="1:20" x14ac:dyDescent="0.3">
      <c r="A236" s="1">
        <v>45678</v>
      </c>
      <c r="B236" t="s">
        <v>15</v>
      </c>
      <c r="C236" s="3">
        <v>1654</v>
      </c>
      <c r="D236" s="3">
        <v>1656.7</v>
      </c>
      <c r="E236" s="3">
        <v>1620.3</v>
      </c>
      <c r="F236" s="3">
        <v>1641.15</v>
      </c>
      <c r="G236" s="3">
        <v>1628.85</v>
      </c>
      <c r="H236" s="3">
        <v>1626.15</v>
      </c>
      <c r="I236" s="3">
        <v>1636.97</v>
      </c>
      <c r="J236" s="3">
        <v>1779</v>
      </c>
      <c r="K236" s="3">
        <v>1097.6500000000001</v>
      </c>
      <c r="L236" s="2">
        <v>7958844</v>
      </c>
      <c r="M236" s="2">
        <v>13028383404.700001</v>
      </c>
      <c r="N236" s="2">
        <v>266374</v>
      </c>
      <c r="O236" t="s">
        <v>16</v>
      </c>
      <c r="P236" s="8">
        <f t="shared" si="9"/>
        <v>-12.849999999999909</v>
      </c>
      <c r="Q236" t="s">
        <v>37</v>
      </c>
      <c r="R236">
        <f t="shared" si="10"/>
        <v>1</v>
      </c>
      <c r="S236" t="str">
        <f t="shared" si="11"/>
        <v>Jan</v>
      </c>
      <c r="T236" s="9">
        <f>VLOOKUP(O236, Annual_Summary!A:B, 2, 0)</f>
        <v>0.31954628062919088</v>
      </c>
    </row>
    <row r="237" spans="1:20" x14ac:dyDescent="0.3">
      <c r="A237" s="1">
        <v>45677</v>
      </c>
      <c r="B237" t="s">
        <v>15</v>
      </c>
      <c r="C237" s="3">
        <v>1638</v>
      </c>
      <c r="D237" s="3">
        <v>1645</v>
      </c>
      <c r="E237" s="3">
        <v>1618.1</v>
      </c>
      <c r="F237" s="3">
        <v>1627.5</v>
      </c>
      <c r="G237" s="3">
        <v>1640</v>
      </c>
      <c r="H237" s="3">
        <v>1641.15</v>
      </c>
      <c r="I237" s="3">
        <v>1635</v>
      </c>
      <c r="J237" s="3">
        <v>1779</v>
      </c>
      <c r="K237" s="3">
        <v>1097.6500000000001</v>
      </c>
      <c r="L237" s="2">
        <v>3933044</v>
      </c>
      <c r="M237" s="2">
        <v>6430525082.8500004</v>
      </c>
      <c r="N237" s="2">
        <v>146010</v>
      </c>
      <c r="O237" t="s">
        <v>16</v>
      </c>
      <c r="P237" s="8">
        <f t="shared" si="9"/>
        <v>-10.5</v>
      </c>
      <c r="Q237" t="s">
        <v>37</v>
      </c>
      <c r="R237">
        <f t="shared" si="10"/>
        <v>1</v>
      </c>
      <c r="S237" t="str">
        <f t="shared" si="11"/>
        <v>Jan</v>
      </c>
      <c r="T237" s="9">
        <f>VLOOKUP(O237, Annual_Summary!A:B, 2, 0)</f>
        <v>0.31954628062919088</v>
      </c>
    </row>
    <row r="238" spans="1:20" x14ac:dyDescent="0.3">
      <c r="A238" s="1">
        <v>45674</v>
      </c>
      <c r="B238" t="s">
        <v>15</v>
      </c>
      <c r="C238" s="3">
        <v>1630.1</v>
      </c>
      <c r="D238" s="3">
        <v>1639</v>
      </c>
      <c r="E238" s="3">
        <v>1623</v>
      </c>
      <c r="F238" s="3">
        <v>1630.2</v>
      </c>
      <c r="G238" s="3">
        <v>1624.3</v>
      </c>
      <c r="H238" s="3">
        <v>1627.5</v>
      </c>
      <c r="I238" s="3">
        <v>1629.06</v>
      </c>
      <c r="J238" s="3">
        <v>1779</v>
      </c>
      <c r="K238" s="3">
        <v>1074.55</v>
      </c>
      <c r="L238" s="2">
        <v>2678801</v>
      </c>
      <c r="M238" s="2">
        <v>4363939418.5500002</v>
      </c>
      <c r="N238" s="2">
        <v>91952</v>
      </c>
      <c r="O238" t="s">
        <v>16</v>
      </c>
      <c r="P238" s="8">
        <f t="shared" si="9"/>
        <v>0.10000000000013642</v>
      </c>
      <c r="Q238" t="s">
        <v>37</v>
      </c>
      <c r="R238">
        <f t="shared" si="10"/>
        <v>1</v>
      </c>
      <c r="S238" t="str">
        <f t="shared" si="11"/>
        <v>Jan</v>
      </c>
      <c r="T238" s="9">
        <f>VLOOKUP(O238, Annual_Summary!A:B, 2, 0)</f>
        <v>0.31954628062919088</v>
      </c>
    </row>
    <row r="239" spans="1:20" x14ac:dyDescent="0.3">
      <c r="A239" s="1">
        <v>45673</v>
      </c>
      <c r="B239" t="s">
        <v>15</v>
      </c>
      <c r="C239" s="3">
        <v>1619.05</v>
      </c>
      <c r="D239" s="3">
        <v>1635</v>
      </c>
      <c r="E239" s="3">
        <v>1600.55</v>
      </c>
      <c r="F239" s="3">
        <v>1607.45</v>
      </c>
      <c r="G239" s="3">
        <v>1634</v>
      </c>
      <c r="H239" s="3">
        <v>1630.2</v>
      </c>
      <c r="I239" s="3">
        <v>1624.68</v>
      </c>
      <c r="J239" s="3">
        <v>1779</v>
      </c>
      <c r="K239" s="3">
        <v>1074.55</v>
      </c>
      <c r="L239" s="2">
        <v>5299325</v>
      </c>
      <c r="M239" s="2">
        <v>8609708184.4500008</v>
      </c>
      <c r="N239" s="2">
        <v>197728</v>
      </c>
      <c r="O239" t="s">
        <v>16</v>
      </c>
      <c r="P239" s="8">
        <f t="shared" si="9"/>
        <v>-11.599999999999909</v>
      </c>
      <c r="Q239" t="s">
        <v>37</v>
      </c>
      <c r="R239">
        <f t="shared" si="10"/>
        <v>1</v>
      </c>
      <c r="S239" t="str">
        <f t="shared" si="11"/>
        <v>Jan</v>
      </c>
      <c r="T239" s="9">
        <f>VLOOKUP(O239, Annual_Summary!A:B, 2, 0)</f>
        <v>0.31954628062919088</v>
      </c>
    </row>
    <row r="240" spans="1:20" x14ac:dyDescent="0.3">
      <c r="A240" s="1">
        <v>45672</v>
      </c>
      <c r="B240" t="s">
        <v>15</v>
      </c>
      <c r="C240" s="3">
        <v>1608.05</v>
      </c>
      <c r="D240" s="3">
        <v>1613.85</v>
      </c>
      <c r="E240" s="3">
        <v>1593</v>
      </c>
      <c r="F240" s="3">
        <v>1600.1</v>
      </c>
      <c r="G240" s="3">
        <v>1609</v>
      </c>
      <c r="H240" s="3">
        <v>1607.45</v>
      </c>
      <c r="I240" s="3">
        <v>1605.63</v>
      </c>
      <c r="J240" s="3">
        <v>1779</v>
      </c>
      <c r="K240" s="3">
        <v>1074.55</v>
      </c>
      <c r="L240" s="2">
        <v>2960985</v>
      </c>
      <c r="M240" s="2">
        <v>4754253926.1999998</v>
      </c>
      <c r="N240" s="2">
        <v>172794</v>
      </c>
      <c r="O240" t="s">
        <v>16</v>
      </c>
      <c r="P240" s="8">
        <f t="shared" si="9"/>
        <v>-7.9500000000000455</v>
      </c>
      <c r="Q240" t="s">
        <v>37</v>
      </c>
      <c r="R240">
        <f t="shared" si="10"/>
        <v>1</v>
      </c>
      <c r="S240" t="str">
        <f t="shared" si="11"/>
        <v>Jan</v>
      </c>
      <c r="T240" s="9">
        <f>VLOOKUP(O240, Annual_Summary!A:B, 2, 0)</f>
        <v>0.31954628062919088</v>
      </c>
    </row>
    <row r="241" spans="1:20" x14ac:dyDescent="0.3">
      <c r="A241" s="1">
        <v>45671</v>
      </c>
      <c r="B241" t="s">
        <v>15</v>
      </c>
      <c r="C241" s="3">
        <v>1604.7</v>
      </c>
      <c r="D241" s="3">
        <v>1633.4</v>
      </c>
      <c r="E241" s="3">
        <v>1578.5</v>
      </c>
      <c r="F241" s="3">
        <v>1597.2</v>
      </c>
      <c r="G241" s="3">
        <v>1594.05</v>
      </c>
      <c r="H241" s="3">
        <v>1600.1</v>
      </c>
      <c r="I241" s="3">
        <v>1608.51</v>
      </c>
      <c r="J241" s="3">
        <v>1779</v>
      </c>
      <c r="K241" s="3">
        <v>1074.55</v>
      </c>
      <c r="L241" s="2">
        <v>7284572</v>
      </c>
      <c r="M241" s="2">
        <v>11717327866.950001</v>
      </c>
      <c r="N241" s="2">
        <v>296914</v>
      </c>
      <c r="O241" t="s">
        <v>16</v>
      </c>
      <c r="P241" s="8">
        <f t="shared" si="9"/>
        <v>-7.5</v>
      </c>
      <c r="Q241" t="s">
        <v>37</v>
      </c>
      <c r="R241">
        <f t="shared" si="10"/>
        <v>1</v>
      </c>
      <c r="S241" t="str">
        <f t="shared" si="11"/>
        <v>Jan</v>
      </c>
      <c r="T241" s="9">
        <f>VLOOKUP(O241, Annual_Summary!A:B, 2, 0)</f>
        <v>0.31954628062919088</v>
      </c>
    </row>
    <row r="242" spans="1:20" x14ac:dyDescent="0.3">
      <c r="A242" s="1">
        <v>45670</v>
      </c>
      <c r="B242" t="s">
        <v>15</v>
      </c>
      <c r="C242" s="3">
        <v>1580</v>
      </c>
      <c r="D242" s="3">
        <v>1614.7</v>
      </c>
      <c r="E242" s="3">
        <v>1578.1</v>
      </c>
      <c r="F242" s="3">
        <v>1615.9</v>
      </c>
      <c r="G242" s="3">
        <v>1594.1</v>
      </c>
      <c r="H242" s="3">
        <v>1597.2</v>
      </c>
      <c r="I242" s="3">
        <v>1598.88</v>
      </c>
      <c r="J242" s="3">
        <v>1779</v>
      </c>
      <c r="K242" s="3">
        <v>1074.55</v>
      </c>
      <c r="L242" s="2">
        <v>3705039</v>
      </c>
      <c r="M242" s="2">
        <v>5923897408.1999998</v>
      </c>
      <c r="N242" s="2">
        <v>169667</v>
      </c>
      <c r="O242" t="s">
        <v>16</v>
      </c>
      <c r="P242" s="8">
        <f t="shared" si="9"/>
        <v>35.900000000000091</v>
      </c>
      <c r="Q242" t="s">
        <v>37</v>
      </c>
      <c r="R242">
        <f t="shared" si="10"/>
        <v>1</v>
      </c>
      <c r="S242" t="str">
        <f t="shared" si="11"/>
        <v>Jan</v>
      </c>
      <c r="T242" s="9">
        <f>VLOOKUP(O242, Annual_Summary!A:B, 2, 0)</f>
        <v>0.31954628062919088</v>
      </c>
    </row>
    <row r="243" spans="1:20" x14ac:dyDescent="0.3">
      <c r="A243" s="1">
        <v>45667</v>
      </c>
      <c r="B243" t="s">
        <v>15</v>
      </c>
      <c r="C243" s="3">
        <v>1608</v>
      </c>
      <c r="D243" s="3">
        <v>1625</v>
      </c>
      <c r="E243" s="3">
        <v>1591.8</v>
      </c>
      <c r="F243" s="3">
        <v>1607.05</v>
      </c>
      <c r="G243" s="3">
        <v>1611</v>
      </c>
      <c r="H243" s="3">
        <v>1615.9</v>
      </c>
      <c r="I243" s="3">
        <v>1613.45</v>
      </c>
      <c r="J243" s="3">
        <v>1779</v>
      </c>
      <c r="K243" s="3">
        <v>1045.25</v>
      </c>
      <c r="L243" s="2">
        <v>4145892</v>
      </c>
      <c r="M243" s="2">
        <v>6689210125.0500002</v>
      </c>
      <c r="N243" s="2">
        <v>182178</v>
      </c>
      <c r="O243" t="s">
        <v>16</v>
      </c>
      <c r="P243" s="8">
        <f t="shared" si="9"/>
        <v>-0.95000000000004547</v>
      </c>
      <c r="Q243" t="s">
        <v>37</v>
      </c>
      <c r="R243">
        <f t="shared" si="10"/>
        <v>1</v>
      </c>
      <c r="S243" t="str">
        <f t="shared" si="11"/>
        <v>Jan</v>
      </c>
      <c r="T243" s="9">
        <f>VLOOKUP(O243, Annual_Summary!A:B, 2, 0)</f>
        <v>0.31954628062919088</v>
      </c>
    </row>
    <row r="244" spans="1:20" x14ac:dyDescent="0.3">
      <c r="A244" s="1">
        <v>45666</v>
      </c>
      <c r="B244" t="s">
        <v>15</v>
      </c>
      <c r="C244" s="3">
        <v>1600</v>
      </c>
      <c r="D244" s="3">
        <v>1620.2</v>
      </c>
      <c r="E244" s="3">
        <v>1592.4</v>
      </c>
      <c r="F244" s="3">
        <v>1599.2</v>
      </c>
      <c r="G244" s="3">
        <v>1607.8</v>
      </c>
      <c r="H244" s="3">
        <v>1607.05</v>
      </c>
      <c r="I244" s="3">
        <v>1605.42</v>
      </c>
      <c r="J244" s="3">
        <v>1779</v>
      </c>
      <c r="K244" s="3">
        <v>1045.25</v>
      </c>
      <c r="L244" s="2">
        <v>4684859</v>
      </c>
      <c r="M244" s="2">
        <v>7521159280.5500002</v>
      </c>
      <c r="N244" s="2">
        <v>312415</v>
      </c>
      <c r="O244" t="s">
        <v>16</v>
      </c>
      <c r="P244" s="8">
        <f t="shared" si="9"/>
        <v>-0.79999999999995453</v>
      </c>
      <c r="Q244" t="s">
        <v>37</v>
      </c>
      <c r="R244">
        <f t="shared" si="10"/>
        <v>1</v>
      </c>
      <c r="S244" t="str">
        <f t="shared" si="11"/>
        <v>Jan</v>
      </c>
      <c r="T244" s="9">
        <f>VLOOKUP(O244, Annual_Summary!A:B, 2, 0)</f>
        <v>0.31954628062919088</v>
      </c>
    </row>
    <row r="245" spans="1:20" x14ac:dyDescent="0.3">
      <c r="A245" s="1">
        <v>45665</v>
      </c>
      <c r="B245" t="s">
        <v>15</v>
      </c>
      <c r="C245" s="3">
        <v>1598.75</v>
      </c>
      <c r="D245" s="3">
        <v>1613.45</v>
      </c>
      <c r="E245" s="3">
        <v>1577.85</v>
      </c>
      <c r="F245" s="3">
        <v>1590.85</v>
      </c>
      <c r="G245" s="3">
        <v>1601.15</v>
      </c>
      <c r="H245" s="3">
        <v>1599.2</v>
      </c>
      <c r="I245" s="3">
        <v>1591.05</v>
      </c>
      <c r="J245" s="3">
        <v>1779</v>
      </c>
      <c r="K245" s="3">
        <v>1045.25</v>
      </c>
      <c r="L245" s="2">
        <v>3674564</v>
      </c>
      <c r="M245" s="2">
        <v>5846408484.3000002</v>
      </c>
      <c r="N245" s="2">
        <v>209954</v>
      </c>
      <c r="O245" t="s">
        <v>16</v>
      </c>
      <c r="P245" s="8">
        <f t="shared" si="9"/>
        <v>-7.9000000000000909</v>
      </c>
      <c r="Q245" t="s">
        <v>37</v>
      </c>
      <c r="R245">
        <f t="shared" si="10"/>
        <v>1</v>
      </c>
      <c r="S245" t="str">
        <f t="shared" si="11"/>
        <v>Jan</v>
      </c>
      <c r="T245" s="9">
        <f>VLOOKUP(O245, Annual_Summary!A:B, 2, 0)</f>
        <v>0.31954628062919088</v>
      </c>
    </row>
    <row r="246" spans="1:20" x14ac:dyDescent="0.3">
      <c r="A246" s="1">
        <v>45664</v>
      </c>
      <c r="B246" t="s">
        <v>15</v>
      </c>
      <c r="C246" s="3">
        <v>1594</v>
      </c>
      <c r="D246" s="3">
        <v>1603</v>
      </c>
      <c r="E246" s="3">
        <v>1584.05</v>
      </c>
      <c r="F246" s="3">
        <v>1588.45</v>
      </c>
      <c r="G246" s="3">
        <v>1591</v>
      </c>
      <c r="H246" s="3">
        <v>1590.85</v>
      </c>
      <c r="I246" s="3">
        <v>1591.45</v>
      </c>
      <c r="J246" s="3">
        <v>1779</v>
      </c>
      <c r="K246" s="3">
        <v>1045.25</v>
      </c>
      <c r="L246" s="2">
        <v>2830856</v>
      </c>
      <c r="M246" s="2">
        <v>4505179409.1000004</v>
      </c>
      <c r="N246" s="2">
        <v>110398</v>
      </c>
      <c r="O246" t="s">
        <v>16</v>
      </c>
      <c r="P246" s="8">
        <f t="shared" si="9"/>
        <v>-5.5499999999999545</v>
      </c>
      <c r="Q246" t="s">
        <v>37</v>
      </c>
      <c r="R246">
        <f t="shared" si="10"/>
        <v>1</v>
      </c>
      <c r="S246" t="str">
        <f t="shared" si="11"/>
        <v>Jan</v>
      </c>
      <c r="T246" s="9">
        <f>VLOOKUP(O246, Annual_Summary!A:B, 2, 0)</f>
        <v>0.31954628062919088</v>
      </c>
    </row>
    <row r="247" spans="1:20" x14ac:dyDescent="0.3">
      <c r="A247" s="1">
        <v>45663</v>
      </c>
      <c r="B247" t="s">
        <v>15</v>
      </c>
      <c r="C247" s="3">
        <v>1596.15</v>
      </c>
      <c r="D247" s="3">
        <v>1609.85</v>
      </c>
      <c r="E247" s="3">
        <v>1567.1</v>
      </c>
      <c r="F247" s="3">
        <v>1598.85</v>
      </c>
      <c r="G247" s="3">
        <v>1589.35</v>
      </c>
      <c r="H247" s="3">
        <v>1588.45</v>
      </c>
      <c r="I247" s="3">
        <v>1589.02</v>
      </c>
      <c r="J247" s="3">
        <v>1779</v>
      </c>
      <c r="K247" s="3">
        <v>1045.25</v>
      </c>
      <c r="L247" s="2">
        <v>4584188</v>
      </c>
      <c r="M247" s="2">
        <v>7284366528.3999996</v>
      </c>
      <c r="N247" s="2">
        <v>126704</v>
      </c>
      <c r="O247" t="s">
        <v>16</v>
      </c>
      <c r="P247" s="8">
        <f t="shared" si="9"/>
        <v>2.6999999999998181</v>
      </c>
      <c r="Q247" t="s">
        <v>37</v>
      </c>
      <c r="R247">
        <f t="shared" si="10"/>
        <v>1</v>
      </c>
      <c r="S247" t="str">
        <f t="shared" si="11"/>
        <v>Jan</v>
      </c>
      <c r="T247" s="9">
        <f>VLOOKUP(O247, Annual_Summary!A:B, 2, 0)</f>
        <v>0.31954628062919088</v>
      </c>
    </row>
    <row r="248" spans="1:20" x14ac:dyDescent="0.3">
      <c r="A248" s="1">
        <v>45660</v>
      </c>
      <c r="B248" t="s">
        <v>15</v>
      </c>
      <c r="C248" s="3">
        <v>1615</v>
      </c>
      <c r="D248" s="3">
        <v>1617</v>
      </c>
      <c r="E248" s="3">
        <v>1593.3</v>
      </c>
      <c r="F248" s="3">
        <v>1609.7</v>
      </c>
      <c r="G248" s="3">
        <v>1594</v>
      </c>
      <c r="H248" s="3">
        <v>1598.85</v>
      </c>
      <c r="I248" s="3">
        <v>1601.48</v>
      </c>
      <c r="J248" s="3">
        <v>1779</v>
      </c>
      <c r="K248" s="3">
        <v>1007</v>
      </c>
      <c r="L248" s="2">
        <v>3669685</v>
      </c>
      <c r="M248" s="2">
        <v>5876919268.3999996</v>
      </c>
      <c r="N248" s="2">
        <v>128800</v>
      </c>
      <c r="O248" t="s">
        <v>16</v>
      </c>
      <c r="P248" s="8">
        <f t="shared" si="9"/>
        <v>-5.2999999999999545</v>
      </c>
      <c r="Q248" t="s">
        <v>37</v>
      </c>
      <c r="R248">
        <f t="shared" si="10"/>
        <v>1</v>
      </c>
      <c r="S248" t="str">
        <f t="shared" si="11"/>
        <v>Jan</v>
      </c>
      <c r="T248" s="9">
        <f>VLOOKUP(O248, Annual_Summary!A:B, 2, 0)</f>
        <v>0.31954628062919088</v>
      </c>
    </row>
    <row r="249" spans="1:20" x14ac:dyDescent="0.3">
      <c r="A249" s="1">
        <v>45659</v>
      </c>
      <c r="B249" t="s">
        <v>15</v>
      </c>
      <c r="C249" s="3">
        <v>1599.9</v>
      </c>
      <c r="D249" s="3">
        <v>1619.6</v>
      </c>
      <c r="E249" s="3">
        <v>1588.4</v>
      </c>
      <c r="F249" s="3">
        <v>1595.7</v>
      </c>
      <c r="G249" s="3">
        <v>1613</v>
      </c>
      <c r="H249" s="3">
        <v>1609.7</v>
      </c>
      <c r="I249" s="3">
        <v>1608.78</v>
      </c>
      <c r="J249" s="3">
        <v>1779</v>
      </c>
      <c r="K249" s="3">
        <v>1007</v>
      </c>
      <c r="L249" s="2">
        <v>3728040</v>
      </c>
      <c r="M249" s="2">
        <v>5997612867.3000002</v>
      </c>
      <c r="N249" s="2">
        <v>189267</v>
      </c>
      <c r="O249" t="s">
        <v>16</v>
      </c>
      <c r="P249" s="8">
        <f t="shared" si="9"/>
        <v>-4.2000000000000455</v>
      </c>
      <c r="Q249" t="s">
        <v>37</v>
      </c>
      <c r="R249">
        <f t="shared" si="10"/>
        <v>1</v>
      </c>
      <c r="S249" t="str">
        <f t="shared" si="11"/>
        <v>Jan</v>
      </c>
      <c r="T249" s="9">
        <f>VLOOKUP(O249, Annual_Summary!A:B, 2, 0)</f>
        <v>0.31954628062919088</v>
      </c>
    </row>
    <row r="250" spans="1:20" x14ac:dyDescent="0.3">
      <c r="A250" s="1">
        <v>45658</v>
      </c>
      <c r="B250" t="s">
        <v>15</v>
      </c>
      <c r="C250" s="3">
        <v>1593</v>
      </c>
      <c r="D250" s="3">
        <v>1606.55</v>
      </c>
      <c r="E250" s="3">
        <v>1584.05</v>
      </c>
      <c r="F250" s="3">
        <v>1587.75</v>
      </c>
      <c r="G250" s="3">
        <v>1597.95</v>
      </c>
      <c r="H250" s="3">
        <v>1595.7</v>
      </c>
      <c r="I250" s="3">
        <v>1594.42</v>
      </c>
      <c r="J250" s="3">
        <v>1779</v>
      </c>
      <c r="K250" s="3">
        <v>1007</v>
      </c>
      <c r="L250" s="2">
        <v>1405565</v>
      </c>
      <c r="M250" s="2">
        <v>2241059050.3000002</v>
      </c>
      <c r="N250" s="2">
        <v>63674</v>
      </c>
      <c r="O250" t="s">
        <v>16</v>
      </c>
      <c r="P250" s="8">
        <f t="shared" si="9"/>
        <v>-5.25</v>
      </c>
      <c r="Q250" t="s">
        <v>37</v>
      </c>
      <c r="R250">
        <f t="shared" si="10"/>
        <v>1</v>
      </c>
      <c r="S250" t="str">
        <f t="shared" si="11"/>
        <v>Jan</v>
      </c>
      <c r="T250" s="9">
        <f>VLOOKUP(O250, Annual_Summary!A:B, 2, 0)</f>
        <v>0.31954628062919088</v>
      </c>
    </row>
    <row r="251" spans="1:20" x14ac:dyDescent="0.3">
      <c r="A251" s="1">
        <v>46022</v>
      </c>
      <c r="B251" t="s">
        <v>15</v>
      </c>
      <c r="C251" s="4">
        <v>1624.5</v>
      </c>
      <c r="D251" s="4">
        <v>1631.7</v>
      </c>
      <c r="E251" s="4">
        <v>1616.8</v>
      </c>
      <c r="F251" s="4">
        <v>1615.2</v>
      </c>
      <c r="G251" s="4">
        <v>1620.1</v>
      </c>
      <c r="H251" s="4">
        <v>1623.3</v>
      </c>
      <c r="I251" s="4">
        <v>1624.23</v>
      </c>
      <c r="J251" s="4">
        <v>2012.2</v>
      </c>
      <c r="K251" s="4">
        <v>1302.75</v>
      </c>
      <c r="L251" s="2">
        <v>1359963</v>
      </c>
      <c r="M251" s="2">
        <v>2208891261.3000002</v>
      </c>
      <c r="N251">
        <v>44369</v>
      </c>
      <c r="O251" t="s">
        <v>17</v>
      </c>
      <c r="P251" s="8">
        <f t="shared" si="9"/>
        <v>-9.2999999999999545</v>
      </c>
      <c r="Q251" t="s">
        <v>38</v>
      </c>
      <c r="R251">
        <f t="shared" si="10"/>
        <v>12</v>
      </c>
      <c r="S251" t="str">
        <f t="shared" si="11"/>
        <v>Dec</v>
      </c>
      <c r="T251" s="9">
        <f>VLOOKUP(O251, Annual_Summary!A:B, 2, 0)</f>
        <v>-0.15097152122178931</v>
      </c>
    </row>
    <row r="252" spans="1:20" x14ac:dyDescent="0.3">
      <c r="A252" s="1">
        <v>46021</v>
      </c>
      <c r="B252" t="s">
        <v>15</v>
      </c>
      <c r="C252" s="4">
        <v>1630.8</v>
      </c>
      <c r="D252" s="4">
        <v>1635.7</v>
      </c>
      <c r="E252" s="4">
        <v>1611.1</v>
      </c>
      <c r="F252" s="4">
        <v>1630.8</v>
      </c>
      <c r="G252" s="4">
        <v>1621.5</v>
      </c>
      <c r="H252" s="4">
        <v>1615.2</v>
      </c>
      <c r="I252" s="4">
        <v>1619.83</v>
      </c>
      <c r="J252" s="4">
        <v>2012.2</v>
      </c>
      <c r="K252" s="4">
        <v>1302.75</v>
      </c>
      <c r="L252" s="2">
        <v>3323273</v>
      </c>
      <c r="M252" s="2">
        <v>5383130430.8000002</v>
      </c>
      <c r="N252">
        <v>112154</v>
      </c>
      <c r="O252" t="s">
        <v>17</v>
      </c>
      <c r="P252" s="8">
        <f t="shared" si="9"/>
        <v>0</v>
      </c>
      <c r="Q252" t="s">
        <v>38</v>
      </c>
      <c r="R252">
        <f t="shared" si="10"/>
        <v>12</v>
      </c>
      <c r="S252" t="str">
        <f t="shared" si="11"/>
        <v>Dec</v>
      </c>
      <c r="T252" s="9">
        <f>VLOOKUP(O252, Annual_Summary!A:B, 2, 0)</f>
        <v>-0.15097152122178931</v>
      </c>
    </row>
    <row r="253" spans="1:20" x14ac:dyDescent="0.3">
      <c r="A253" s="1">
        <v>46020</v>
      </c>
      <c r="B253" t="s">
        <v>15</v>
      </c>
      <c r="C253" s="4">
        <v>1659.7</v>
      </c>
      <c r="D253" s="4">
        <v>1660.8</v>
      </c>
      <c r="E253" s="4">
        <v>1625.4</v>
      </c>
      <c r="F253" s="4">
        <v>1660.9</v>
      </c>
      <c r="G253" s="4">
        <v>1630.6</v>
      </c>
      <c r="H253" s="4">
        <v>1630.8</v>
      </c>
      <c r="I253" s="4">
        <v>1642.6</v>
      </c>
      <c r="J253" s="4">
        <v>2012.2</v>
      </c>
      <c r="K253" s="4">
        <v>1302.75</v>
      </c>
      <c r="L253" s="2">
        <v>1516288</v>
      </c>
      <c r="M253" s="2">
        <v>2490651496</v>
      </c>
      <c r="N253">
        <v>68600</v>
      </c>
      <c r="O253" t="s">
        <v>17</v>
      </c>
      <c r="P253" s="8">
        <f t="shared" si="9"/>
        <v>1.2000000000000455</v>
      </c>
      <c r="Q253" t="s">
        <v>38</v>
      </c>
      <c r="R253">
        <f t="shared" si="10"/>
        <v>12</v>
      </c>
      <c r="S253" t="str">
        <f t="shared" si="11"/>
        <v>Dec</v>
      </c>
      <c r="T253" s="9">
        <f>VLOOKUP(O253, Annual_Summary!A:B, 2, 0)</f>
        <v>-0.15097152122178931</v>
      </c>
    </row>
    <row r="254" spans="1:20" x14ac:dyDescent="0.3">
      <c r="A254" s="1">
        <v>46017</v>
      </c>
      <c r="B254" t="s">
        <v>15</v>
      </c>
      <c r="C254" s="4">
        <v>1668</v>
      </c>
      <c r="D254" s="4">
        <v>1676.4</v>
      </c>
      <c r="E254" s="4">
        <v>1650.5</v>
      </c>
      <c r="F254" s="4">
        <v>1674.7</v>
      </c>
      <c r="G254" s="4">
        <v>1661.2</v>
      </c>
      <c r="H254" s="4">
        <v>1660.9</v>
      </c>
      <c r="I254" s="4">
        <v>1660.76</v>
      </c>
      <c r="J254" s="4">
        <v>2012.2</v>
      </c>
      <c r="K254" s="4">
        <v>1302.75</v>
      </c>
      <c r="L254" s="2">
        <v>921138</v>
      </c>
      <c r="M254" s="2">
        <v>1529784855.2</v>
      </c>
      <c r="N254">
        <v>53805</v>
      </c>
      <c r="O254" t="s">
        <v>17</v>
      </c>
      <c r="P254" s="8">
        <f t="shared" si="9"/>
        <v>6.7000000000000455</v>
      </c>
      <c r="Q254" t="s">
        <v>38</v>
      </c>
      <c r="R254">
        <f t="shared" si="10"/>
        <v>12</v>
      </c>
      <c r="S254" t="str">
        <f t="shared" si="11"/>
        <v>Dec</v>
      </c>
      <c r="T254" s="9">
        <f>VLOOKUP(O254, Annual_Summary!A:B, 2, 0)</f>
        <v>-0.15097152122178931</v>
      </c>
    </row>
    <row r="255" spans="1:20" x14ac:dyDescent="0.3">
      <c r="A255" s="1">
        <v>46015</v>
      </c>
      <c r="B255" t="s">
        <v>15</v>
      </c>
      <c r="C255" s="4">
        <v>1676</v>
      </c>
      <c r="D255" s="4">
        <v>1680</v>
      </c>
      <c r="E255" s="4">
        <v>1665.1</v>
      </c>
      <c r="F255" s="4">
        <v>1679.9</v>
      </c>
      <c r="G255" s="4">
        <v>1675.5</v>
      </c>
      <c r="H255" s="4">
        <v>1674.7</v>
      </c>
      <c r="I255" s="4">
        <v>1674.72</v>
      </c>
      <c r="J255" s="4">
        <v>2012.2</v>
      </c>
      <c r="K255" s="4">
        <v>1302.75</v>
      </c>
      <c r="L255" s="2">
        <v>989858</v>
      </c>
      <c r="M255" s="2">
        <v>1657731133.3</v>
      </c>
      <c r="N255">
        <v>48783</v>
      </c>
      <c r="O255" t="s">
        <v>17</v>
      </c>
      <c r="P255" s="8">
        <f t="shared" si="9"/>
        <v>3.9000000000000909</v>
      </c>
      <c r="Q255" t="s">
        <v>38</v>
      </c>
      <c r="R255">
        <f t="shared" si="10"/>
        <v>12</v>
      </c>
      <c r="S255" t="str">
        <f t="shared" si="11"/>
        <v>Dec</v>
      </c>
      <c r="T255" s="9">
        <f>VLOOKUP(O255, Annual_Summary!A:B, 2, 0)</f>
        <v>-0.15097152122178931</v>
      </c>
    </row>
    <row r="256" spans="1:20" x14ac:dyDescent="0.3">
      <c r="A256" s="1">
        <v>46014</v>
      </c>
      <c r="B256" t="s">
        <v>15</v>
      </c>
      <c r="C256" s="4">
        <v>1675.1</v>
      </c>
      <c r="D256" s="4">
        <v>1686.9</v>
      </c>
      <c r="E256" s="4">
        <v>1656.2</v>
      </c>
      <c r="F256" s="4">
        <v>1670.3</v>
      </c>
      <c r="G256" s="4">
        <v>1674.8</v>
      </c>
      <c r="H256" s="4">
        <v>1679.9</v>
      </c>
      <c r="I256" s="4">
        <v>1674.59</v>
      </c>
      <c r="J256" s="4">
        <v>2012.2</v>
      </c>
      <c r="K256" s="4">
        <v>1302.75</v>
      </c>
      <c r="L256" s="2">
        <v>1614314</v>
      </c>
      <c r="M256" s="2">
        <v>2703308179.1999998</v>
      </c>
      <c r="N256">
        <v>60466</v>
      </c>
      <c r="O256" t="s">
        <v>17</v>
      </c>
      <c r="P256" s="8">
        <f t="shared" si="9"/>
        <v>-4.7999999999999545</v>
      </c>
      <c r="Q256" t="s">
        <v>38</v>
      </c>
      <c r="R256">
        <f t="shared" si="10"/>
        <v>12</v>
      </c>
      <c r="S256" t="str">
        <f t="shared" si="11"/>
        <v>Dec</v>
      </c>
      <c r="T256" s="9">
        <f>VLOOKUP(O256, Annual_Summary!A:B, 2, 0)</f>
        <v>-0.15097152122178931</v>
      </c>
    </row>
    <row r="257" spans="1:20" x14ac:dyDescent="0.3">
      <c r="A257" s="1">
        <v>46013</v>
      </c>
      <c r="B257" t="s">
        <v>15</v>
      </c>
      <c r="C257" s="4">
        <v>1651.9</v>
      </c>
      <c r="D257" s="4">
        <v>1673.5</v>
      </c>
      <c r="E257" s="4">
        <v>1644</v>
      </c>
      <c r="F257" s="4">
        <v>1642.4</v>
      </c>
      <c r="G257" s="4">
        <v>1665</v>
      </c>
      <c r="H257" s="4">
        <v>1670.3</v>
      </c>
      <c r="I257" s="4">
        <v>1665.51</v>
      </c>
      <c r="J257" s="4">
        <v>2012.2</v>
      </c>
      <c r="K257" s="4">
        <v>1302.75</v>
      </c>
      <c r="L257" s="2">
        <v>1339691</v>
      </c>
      <c r="M257" s="2">
        <v>2231264930</v>
      </c>
      <c r="N257">
        <v>62953</v>
      </c>
      <c r="O257" t="s">
        <v>17</v>
      </c>
      <c r="P257" s="8">
        <f t="shared" si="9"/>
        <v>-9.5</v>
      </c>
      <c r="Q257" t="s">
        <v>38</v>
      </c>
      <c r="R257">
        <f t="shared" si="10"/>
        <v>12</v>
      </c>
      <c r="S257" t="str">
        <f t="shared" si="11"/>
        <v>Dec</v>
      </c>
      <c r="T257" s="9">
        <f>VLOOKUP(O257, Annual_Summary!A:B, 2, 0)</f>
        <v>-0.15097152122178931</v>
      </c>
    </row>
    <row r="258" spans="1:20" x14ac:dyDescent="0.3">
      <c r="A258" s="1">
        <v>46010</v>
      </c>
      <c r="B258" t="s">
        <v>15</v>
      </c>
      <c r="C258" s="4">
        <v>1675</v>
      </c>
      <c r="D258" s="4">
        <v>1681</v>
      </c>
      <c r="E258" s="4">
        <v>1632.5</v>
      </c>
      <c r="F258" s="4">
        <v>1661.4</v>
      </c>
      <c r="G258" s="4">
        <v>1641.8</v>
      </c>
      <c r="H258" s="4">
        <v>1642.4</v>
      </c>
      <c r="I258" s="4">
        <v>1644.84</v>
      </c>
      <c r="J258" s="4">
        <v>2012.2</v>
      </c>
      <c r="K258" s="4">
        <v>1302.75</v>
      </c>
      <c r="L258" s="2">
        <v>3487150</v>
      </c>
      <c r="M258" s="2">
        <v>5735798131.3999996</v>
      </c>
      <c r="N258">
        <v>105652</v>
      </c>
      <c r="O258" t="s">
        <v>17</v>
      </c>
      <c r="P258" s="8">
        <f t="shared" si="9"/>
        <v>-13.599999999999909</v>
      </c>
      <c r="Q258" t="s">
        <v>38</v>
      </c>
      <c r="R258">
        <f t="shared" si="10"/>
        <v>12</v>
      </c>
      <c r="S258" t="str">
        <f t="shared" si="11"/>
        <v>Dec</v>
      </c>
      <c r="T258" s="9">
        <f>VLOOKUP(O258, Annual_Summary!A:B, 2, 0)</f>
        <v>-0.15097152122178931</v>
      </c>
    </row>
    <row r="259" spans="1:20" x14ac:dyDescent="0.3">
      <c r="A259" s="1">
        <v>46009</v>
      </c>
      <c r="B259" t="s">
        <v>15</v>
      </c>
      <c r="C259" s="4">
        <v>1657</v>
      </c>
      <c r="D259" s="4">
        <v>1673.9</v>
      </c>
      <c r="E259" s="4">
        <v>1651.2</v>
      </c>
      <c r="F259" s="4">
        <v>1655</v>
      </c>
      <c r="G259" s="4">
        <v>1663</v>
      </c>
      <c r="H259" s="4">
        <v>1661.4</v>
      </c>
      <c r="I259" s="4">
        <v>1660.82</v>
      </c>
      <c r="J259" s="4">
        <v>2012.2</v>
      </c>
      <c r="K259" s="4">
        <v>1302.75</v>
      </c>
      <c r="L259" s="2">
        <v>1822056</v>
      </c>
      <c r="M259" s="2">
        <v>3026099482.6999998</v>
      </c>
      <c r="N259">
        <v>94524</v>
      </c>
      <c r="O259" t="s">
        <v>17</v>
      </c>
      <c r="P259" s="8">
        <f t="shared" ref="P259:P322" si="12">F259-C259</f>
        <v>-2</v>
      </c>
      <c r="Q259" t="s">
        <v>38</v>
      </c>
      <c r="R259">
        <f t="shared" ref="R259:R322" si="13">MONTH(A259)</f>
        <v>12</v>
      </c>
      <c r="S259" t="str">
        <f t="shared" ref="S259:S322" si="14">TEXT(A259,"mmm")</f>
        <v>Dec</v>
      </c>
      <c r="T259" s="9">
        <f>VLOOKUP(O259, Annual_Summary!A:B, 2, 0)</f>
        <v>-0.15097152122178931</v>
      </c>
    </row>
    <row r="260" spans="1:20" x14ac:dyDescent="0.3">
      <c r="A260" s="1">
        <v>46008</v>
      </c>
      <c r="B260" t="s">
        <v>15</v>
      </c>
      <c r="C260" s="4">
        <v>1651</v>
      </c>
      <c r="D260" s="4">
        <v>1664.5</v>
      </c>
      <c r="E260" s="4">
        <v>1646.3</v>
      </c>
      <c r="F260" s="4">
        <v>1651.7</v>
      </c>
      <c r="G260" s="4">
        <v>1655.1</v>
      </c>
      <c r="H260" s="4">
        <v>1655</v>
      </c>
      <c r="I260" s="4">
        <v>1654.82</v>
      </c>
      <c r="J260" s="4">
        <v>2012.2</v>
      </c>
      <c r="K260" s="4">
        <v>1302.75</v>
      </c>
      <c r="L260" s="2">
        <v>1394918</v>
      </c>
      <c r="M260" s="2">
        <v>2308338881.0999999</v>
      </c>
      <c r="N260">
        <v>60273</v>
      </c>
      <c r="O260" t="s">
        <v>17</v>
      </c>
      <c r="P260" s="8">
        <f t="shared" si="12"/>
        <v>0.70000000000004547</v>
      </c>
      <c r="Q260" t="s">
        <v>38</v>
      </c>
      <c r="R260">
        <f t="shared" si="13"/>
        <v>12</v>
      </c>
      <c r="S260" t="str">
        <f t="shared" si="14"/>
        <v>Dec</v>
      </c>
      <c r="T260" s="9">
        <f>VLOOKUP(O260, Annual_Summary!A:B, 2, 0)</f>
        <v>-0.15097152122178931</v>
      </c>
    </row>
    <row r="261" spans="1:20" x14ac:dyDescent="0.3">
      <c r="A261" s="1">
        <v>46007</v>
      </c>
      <c r="B261" t="s">
        <v>15</v>
      </c>
      <c r="C261" s="4">
        <v>1681</v>
      </c>
      <c r="D261" s="4">
        <v>1682</v>
      </c>
      <c r="E261" s="4">
        <v>1645.4</v>
      </c>
      <c r="F261" s="4">
        <v>1684</v>
      </c>
      <c r="G261" s="4">
        <v>1651.8</v>
      </c>
      <c r="H261" s="4">
        <v>1651.7</v>
      </c>
      <c r="I261" s="4">
        <v>1653.45</v>
      </c>
      <c r="J261" s="4">
        <v>2012.2</v>
      </c>
      <c r="K261" s="4">
        <v>1302.75</v>
      </c>
      <c r="L261" s="2">
        <v>1929309</v>
      </c>
      <c r="M261" s="2">
        <v>3190010112.6999998</v>
      </c>
      <c r="N261">
        <v>80374</v>
      </c>
      <c r="O261" t="s">
        <v>17</v>
      </c>
      <c r="P261" s="8">
        <f t="shared" si="12"/>
        <v>3</v>
      </c>
      <c r="Q261" t="s">
        <v>38</v>
      </c>
      <c r="R261">
        <f t="shared" si="13"/>
        <v>12</v>
      </c>
      <c r="S261" t="str">
        <f t="shared" si="14"/>
        <v>Dec</v>
      </c>
      <c r="T261" s="9">
        <f>VLOOKUP(O261, Annual_Summary!A:B, 2, 0)</f>
        <v>-0.15097152122178931</v>
      </c>
    </row>
    <row r="262" spans="1:20" x14ac:dyDescent="0.3">
      <c r="A262" s="1">
        <v>46006</v>
      </c>
      <c r="B262" t="s">
        <v>15</v>
      </c>
      <c r="C262" s="4">
        <v>1673.2</v>
      </c>
      <c r="D262" s="4">
        <v>1688</v>
      </c>
      <c r="E262" s="4">
        <v>1660</v>
      </c>
      <c r="F262" s="4">
        <v>1673.2</v>
      </c>
      <c r="G262" s="4">
        <v>1686.4</v>
      </c>
      <c r="H262" s="4">
        <v>1684</v>
      </c>
      <c r="I262" s="4">
        <v>1681.83</v>
      </c>
      <c r="J262" s="4">
        <v>2012.2</v>
      </c>
      <c r="K262" s="4">
        <v>1302.75</v>
      </c>
      <c r="L262" s="2">
        <v>1689723</v>
      </c>
      <c r="M262" s="2">
        <v>2841819619.0999999</v>
      </c>
      <c r="N262">
        <v>67813</v>
      </c>
      <c r="O262" t="s">
        <v>17</v>
      </c>
      <c r="P262" s="8">
        <f t="shared" si="12"/>
        <v>0</v>
      </c>
      <c r="Q262" t="s">
        <v>38</v>
      </c>
      <c r="R262">
        <f t="shared" si="13"/>
        <v>12</v>
      </c>
      <c r="S262" t="str">
        <f t="shared" si="14"/>
        <v>Dec</v>
      </c>
      <c r="T262" s="9">
        <f>VLOOKUP(O262, Annual_Summary!A:B, 2, 0)</f>
        <v>-0.15097152122178931</v>
      </c>
    </row>
    <row r="263" spans="1:20" x14ac:dyDescent="0.3">
      <c r="A263" s="1">
        <v>46003</v>
      </c>
      <c r="B263" t="s">
        <v>15</v>
      </c>
      <c r="C263" s="4">
        <v>1677.4</v>
      </c>
      <c r="D263" s="4">
        <v>1677.9</v>
      </c>
      <c r="E263" s="4">
        <v>1660</v>
      </c>
      <c r="F263" s="4">
        <v>1672.4</v>
      </c>
      <c r="G263" s="4">
        <v>1670</v>
      </c>
      <c r="H263" s="4">
        <v>1673.2</v>
      </c>
      <c r="I263" s="4">
        <v>1669.69</v>
      </c>
      <c r="J263" s="4">
        <v>2012.2</v>
      </c>
      <c r="K263" s="4">
        <v>1302.75</v>
      </c>
      <c r="L263" s="2">
        <v>1284337</v>
      </c>
      <c r="M263" s="2">
        <v>2144444642.2</v>
      </c>
      <c r="N263">
        <v>44240</v>
      </c>
      <c r="O263" t="s">
        <v>17</v>
      </c>
      <c r="P263" s="8">
        <f t="shared" si="12"/>
        <v>-5</v>
      </c>
      <c r="Q263" t="s">
        <v>38</v>
      </c>
      <c r="R263">
        <f t="shared" si="13"/>
        <v>12</v>
      </c>
      <c r="S263" t="str">
        <f t="shared" si="14"/>
        <v>Dec</v>
      </c>
      <c r="T263" s="9">
        <f>VLOOKUP(O263, Annual_Summary!A:B, 2, 0)</f>
        <v>-0.15097152122178931</v>
      </c>
    </row>
    <row r="264" spans="1:20" x14ac:dyDescent="0.3">
      <c r="A264" s="1">
        <v>46002</v>
      </c>
      <c r="B264" t="s">
        <v>15</v>
      </c>
      <c r="C264" s="4">
        <v>1667.5</v>
      </c>
      <c r="D264" s="4">
        <v>1677.4</v>
      </c>
      <c r="E264" s="4">
        <v>1649</v>
      </c>
      <c r="F264" s="4">
        <v>1666</v>
      </c>
      <c r="G264" s="4">
        <v>1672.4</v>
      </c>
      <c r="H264" s="4">
        <v>1672.4</v>
      </c>
      <c r="I264" s="4">
        <v>1666.62</v>
      </c>
      <c r="J264" s="4">
        <v>2012.2</v>
      </c>
      <c r="K264" s="4">
        <v>1302.75</v>
      </c>
      <c r="L264" s="2">
        <v>1408684</v>
      </c>
      <c r="M264" s="2">
        <v>2347743572.8000002</v>
      </c>
      <c r="N264">
        <v>57108</v>
      </c>
      <c r="O264" t="s">
        <v>17</v>
      </c>
      <c r="P264" s="8">
        <f t="shared" si="12"/>
        <v>-1.5</v>
      </c>
      <c r="Q264" t="s">
        <v>38</v>
      </c>
      <c r="R264">
        <f t="shared" si="13"/>
        <v>12</v>
      </c>
      <c r="S264" t="str">
        <f t="shared" si="14"/>
        <v>Dec</v>
      </c>
      <c r="T264" s="9">
        <f>VLOOKUP(O264, Annual_Summary!A:B, 2, 0)</f>
        <v>-0.15097152122178931</v>
      </c>
    </row>
    <row r="265" spans="1:20" x14ac:dyDescent="0.3">
      <c r="A265" s="1">
        <v>46001</v>
      </c>
      <c r="B265" t="s">
        <v>15</v>
      </c>
      <c r="C265" s="4">
        <v>1663.3</v>
      </c>
      <c r="D265" s="4">
        <v>1671</v>
      </c>
      <c r="E265" s="4">
        <v>1657</v>
      </c>
      <c r="F265" s="4">
        <v>1657.6</v>
      </c>
      <c r="G265" s="4">
        <v>1665.9</v>
      </c>
      <c r="H265" s="4">
        <v>1666</v>
      </c>
      <c r="I265" s="4">
        <v>1664.38</v>
      </c>
      <c r="J265" s="4">
        <v>2012.2</v>
      </c>
      <c r="K265" s="4">
        <v>1302.75</v>
      </c>
      <c r="L265" s="2">
        <v>1482249</v>
      </c>
      <c r="M265" s="2">
        <v>2467027638.0999999</v>
      </c>
      <c r="N265">
        <v>62506</v>
      </c>
      <c r="O265" t="s">
        <v>17</v>
      </c>
      <c r="P265" s="8">
        <f t="shared" si="12"/>
        <v>-5.7000000000000455</v>
      </c>
      <c r="Q265" t="s">
        <v>38</v>
      </c>
      <c r="R265">
        <f t="shared" si="13"/>
        <v>12</v>
      </c>
      <c r="S265" t="str">
        <f t="shared" si="14"/>
        <v>Dec</v>
      </c>
      <c r="T265" s="9">
        <f>VLOOKUP(O265, Annual_Summary!A:B, 2, 0)</f>
        <v>-0.15097152122178931</v>
      </c>
    </row>
    <row r="266" spans="1:20" x14ac:dyDescent="0.3">
      <c r="A266" s="1">
        <v>46000</v>
      </c>
      <c r="B266" t="s">
        <v>15</v>
      </c>
      <c r="C266" s="4">
        <v>1687</v>
      </c>
      <c r="D266" s="4">
        <v>1687</v>
      </c>
      <c r="E266" s="4">
        <v>1656.4</v>
      </c>
      <c r="F266" s="4">
        <v>1688.6</v>
      </c>
      <c r="G266" s="4">
        <v>1657.9</v>
      </c>
      <c r="H266" s="4">
        <v>1657.6</v>
      </c>
      <c r="I266" s="4">
        <v>1666.53</v>
      </c>
      <c r="J266" s="4">
        <v>2012.2</v>
      </c>
      <c r="K266" s="4">
        <v>1302.75</v>
      </c>
      <c r="L266" s="2">
        <v>2817704</v>
      </c>
      <c r="M266" s="2">
        <v>4695782243.5</v>
      </c>
      <c r="N266">
        <v>81151</v>
      </c>
      <c r="O266" t="s">
        <v>17</v>
      </c>
      <c r="P266" s="8">
        <f t="shared" si="12"/>
        <v>1.5999999999999091</v>
      </c>
      <c r="Q266" t="s">
        <v>38</v>
      </c>
      <c r="R266">
        <f t="shared" si="13"/>
        <v>12</v>
      </c>
      <c r="S266" t="str">
        <f t="shared" si="14"/>
        <v>Dec</v>
      </c>
      <c r="T266" s="9">
        <f>VLOOKUP(O266, Annual_Summary!A:B, 2, 0)</f>
        <v>-0.15097152122178931</v>
      </c>
    </row>
    <row r="267" spans="1:20" x14ac:dyDescent="0.3">
      <c r="A267" s="1">
        <v>45999</v>
      </c>
      <c r="B267" t="s">
        <v>15</v>
      </c>
      <c r="C267" s="4">
        <v>1683</v>
      </c>
      <c r="D267" s="4">
        <v>1695.4</v>
      </c>
      <c r="E267" s="4">
        <v>1676.9</v>
      </c>
      <c r="F267" s="4">
        <v>1683</v>
      </c>
      <c r="G267" s="4">
        <v>1685</v>
      </c>
      <c r="H267" s="4">
        <v>1688.6</v>
      </c>
      <c r="I267" s="4">
        <v>1688.85</v>
      </c>
      <c r="J267" s="4">
        <v>2012.2</v>
      </c>
      <c r="K267" s="4">
        <v>1302.75</v>
      </c>
      <c r="L267" s="2">
        <v>2702407</v>
      </c>
      <c r="M267" s="2">
        <v>4563966285.6000004</v>
      </c>
      <c r="N267">
        <v>99082</v>
      </c>
      <c r="O267" t="s">
        <v>17</v>
      </c>
      <c r="P267" s="8">
        <f t="shared" si="12"/>
        <v>0</v>
      </c>
      <c r="Q267" t="s">
        <v>38</v>
      </c>
      <c r="R267">
        <f t="shared" si="13"/>
        <v>12</v>
      </c>
      <c r="S267" t="str">
        <f t="shared" si="14"/>
        <v>Dec</v>
      </c>
      <c r="T267" s="9">
        <f>VLOOKUP(O267, Annual_Summary!A:B, 2, 0)</f>
        <v>-0.15097152122178931</v>
      </c>
    </row>
    <row r="268" spans="1:20" x14ac:dyDescent="0.3">
      <c r="A268" s="1">
        <v>45996</v>
      </c>
      <c r="B268" t="s">
        <v>15</v>
      </c>
      <c r="C268" s="4">
        <v>1662.7</v>
      </c>
      <c r="D268" s="4">
        <v>1691</v>
      </c>
      <c r="E268" s="4">
        <v>1651</v>
      </c>
      <c r="F268" s="4">
        <v>1654.6</v>
      </c>
      <c r="G268" s="4">
        <v>1681</v>
      </c>
      <c r="H268" s="4">
        <v>1683</v>
      </c>
      <c r="I268" s="4">
        <v>1679.98</v>
      </c>
      <c r="J268" s="4">
        <v>2012.2</v>
      </c>
      <c r="K268" s="4">
        <v>1302.75</v>
      </c>
      <c r="L268" s="2">
        <v>3391204</v>
      </c>
      <c r="M268" s="2">
        <v>5697168485.3999996</v>
      </c>
      <c r="N268">
        <v>69175</v>
      </c>
      <c r="O268" t="s">
        <v>17</v>
      </c>
      <c r="P268" s="8">
        <f t="shared" si="12"/>
        <v>-8.1000000000001364</v>
      </c>
      <c r="Q268" t="s">
        <v>38</v>
      </c>
      <c r="R268">
        <f t="shared" si="13"/>
        <v>12</v>
      </c>
      <c r="S268" t="str">
        <f t="shared" si="14"/>
        <v>Dec</v>
      </c>
      <c r="T268" s="9">
        <f>VLOOKUP(O268, Annual_Summary!A:B, 2, 0)</f>
        <v>-0.15097152122178931</v>
      </c>
    </row>
    <row r="269" spans="1:20" x14ac:dyDescent="0.3">
      <c r="A269" s="1">
        <v>45995</v>
      </c>
      <c r="B269" t="s">
        <v>15</v>
      </c>
      <c r="C269" s="4">
        <v>1650</v>
      </c>
      <c r="D269" s="4">
        <v>1672</v>
      </c>
      <c r="E269" s="4">
        <v>1645.1</v>
      </c>
      <c r="F269" s="4">
        <v>1640.5</v>
      </c>
      <c r="G269" s="4">
        <v>1655.5</v>
      </c>
      <c r="H269" s="4">
        <v>1654.6</v>
      </c>
      <c r="I269" s="4">
        <v>1658.55</v>
      </c>
      <c r="J269" s="4">
        <v>2012.2</v>
      </c>
      <c r="K269" s="4">
        <v>1302.75</v>
      </c>
      <c r="L269" s="2">
        <v>3935708</v>
      </c>
      <c r="M269" s="2">
        <v>6527574096.3999996</v>
      </c>
      <c r="N269">
        <v>136665</v>
      </c>
      <c r="O269" t="s">
        <v>17</v>
      </c>
      <c r="P269" s="8">
        <f t="shared" si="12"/>
        <v>-9.5</v>
      </c>
      <c r="Q269" t="s">
        <v>38</v>
      </c>
      <c r="R269">
        <f t="shared" si="13"/>
        <v>12</v>
      </c>
      <c r="S269" t="str">
        <f t="shared" si="14"/>
        <v>Dec</v>
      </c>
      <c r="T269" s="9">
        <f>VLOOKUP(O269, Annual_Summary!A:B, 2, 0)</f>
        <v>-0.15097152122178931</v>
      </c>
    </row>
    <row r="270" spans="1:20" x14ac:dyDescent="0.3">
      <c r="A270" s="1">
        <v>45994</v>
      </c>
      <c r="B270" t="s">
        <v>15</v>
      </c>
      <c r="C270" s="4">
        <v>1635.5</v>
      </c>
      <c r="D270" s="4">
        <v>1654.6</v>
      </c>
      <c r="E270" s="4">
        <v>1628.8</v>
      </c>
      <c r="F270" s="4">
        <v>1635.5</v>
      </c>
      <c r="G270" s="4">
        <v>1639.2</v>
      </c>
      <c r="H270" s="4">
        <v>1640.5</v>
      </c>
      <c r="I270" s="4">
        <v>1638.68</v>
      </c>
      <c r="J270" s="4">
        <v>2012.2</v>
      </c>
      <c r="K270" s="4">
        <v>1302.75</v>
      </c>
      <c r="L270" s="2">
        <v>2371611</v>
      </c>
      <c r="M270" s="2">
        <v>3886315623.5999999</v>
      </c>
      <c r="N270">
        <v>74755</v>
      </c>
      <c r="O270" t="s">
        <v>17</v>
      </c>
      <c r="P270" s="8">
        <f t="shared" si="12"/>
        <v>0</v>
      </c>
      <c r="Q270" t="s">
        <v>38</v>
      </c>
      <c r="R270">
        <f t="shared" si="13"/>
        <v>12</v>
      </c>
      <c r="S270" t="str">
        <f t="shared" si="14"/>
        <v>Dec</v>
      </c>
      <c r="T270" s="9">
        <f>VLOOKUP(O270, Annual_Summary!A:B, 2, 0)</f>
        <v>-0.15097152122178931</v>
      </c>
    </row>
    <row r="271" spans="1:20" x14ac:dyDescent="0.3">
      <c r="A271" s="1">
        <v>45993</v>
      </c>
      <c r="B271" t="s">
        <v>15</v>
      </c>
      <c r="C271" s="4">
        <v>1651</v>
      </c>
      <c r="D271" s="4">
        <v>1652.9</v>
      </c>
      <c r="E271" s="4">
        <v>1624</v>
      </c>
      <c r="F271" s="4">
        <v>1642.9</v>
      </c>
      <c r="G271" s="4">
        <v>1634.6</v>
      </c>
      <c r="H271" s="4">
        <v>1635.5</v>
      </c>
      <c r="I271" s="4">
        <v>1635.1</v>
      </c>
      <c r="J271" s="4">
        <v>2012.2</v>
      </c>
      <c r="K271" s="4">
        <v>1302.75</v>
      </c>
      <c r="L271" s="2">
        <v>2326220</v>
      </c>
      <c r="M271" s="2">
        <v>3803611581.6999998</v>
      </c>
      <c r="N271">
        <v>77081</v>
      </c>
      <c r="O271" t="s">
        <v>17</v>
      </c>
      <c r="P271" s="8">
        <f t="shared" si="12"/>
        <v>-8.0999999999999091</v>
      </c>
      <c r="Q271" t="s">
        <v>38</v>
      </c>
      <c r="R271">
        <f t="shared" si="13"/>
        <v>12</v>
      </c>
      <c r="S271" t="str">
        <f t="shared" si="14"/>
        <v>Dec</v>
      </c>
      <c r="T271" s="9">
        <f>VLOOKUP(O271, Annual_Summary!A:B, 2, 0)</f>
        <v>-0.15097152122178931</v>
      </c>
    </row>
    <row r="272" spans="1:20" x14ac:dyDescent="0.3">
      <c r="A272" s="1">
        <v>45992</v>
      </c>
      <c r="B272" t="s">
        <v>15</v>
      </c>
      <c r="C272" s="4">
        <v>1630</v>
      </c>
      <c r="D272" s="4">
        <v>1646.5</v>
      </c>
      <c r="E272" s="4">
        <v>1628</v>
      </c>
      <c r="F272" s="4">
        <v>1624.2</v>
      </c>
      <c r="G272" s="4">
        <v>1642.5</v>
      </c>
      <c r="H272" s="4">
        <v>1642.9</v>
      </c>
      <c r="I272" s="4">
        <v>1639.51</v>
      </c>
      <c r="J272" s="4">
        <v>2012.2</v>
      </c>
      <c r="K272" s="4">
        <v>1302.75</v>
      </c>
      <c r="L272" s="2">
        <v>2034350</v>
      </c>
      <c r="M272" s="2">
        <v>3335341377.0999999</v>
      </c>
      <c r="N272">
        <v>80611</v>
      </c>
      <c r="O272" t="s">
        <v>17</v>
      </c>
      <c r="P272" s="8">
        <f t="shared" si="12"/>
        <v>-5.7999999999999545</v>
      </c>
      <c r="Q272" t="s">
        <v>38</v>
      </c>
      <c r="R272">
        <f t="shared" si="13"/>
        <v>12</v>
      </c>
      <c r="S272" t="str">
        <f t="shared" si="14"/>
        <v>Dec</v>
      </c>
      <c r="T272" s="9">
        <f>VLOOKUP(O272, Annual_Summary!A:B, 2, 0)</f>
        <v>-0.15097152122178931</v>
      </c>
    </row>
    <row r="273" spans="1:20" x14ac:dyDescent="0.3">
      <c r="A273" s="1">
        <v>45989</v>
      </c>
      <c r="B273" t="s">
        <v>15</v>
      </c>
      <c r="C273" s="4">
        <v>1629</v>
      </c>
      <c r="D273" s="4">
        <v>1636.9</v>
      </c>
      <c r="E273" s="4">
        <v>1619</v>
      </c>
      <c r="F273" s="4">
        <v>1629</v>
      </c>
      <c r="G273" s="4">
        <v>1623.8</v>
      </c>
      <c r="H273" s="4">
        <v>1624.2</v>
      </c>
      <c r="I273" s="4">
        <v>1627.54</v>
      </c>
      <c r="J273" s="4">
        <v>2012.2</v>
      </c>
      <c r="K273" s="4">
        <v>1302.75</v>
      </c>
      <c r="L273" s="2">
        <v>1841289</v>
      </c>
      <c r="M273" s="2">
        <v>2996771288.0999999</v>
      </c>
      <c r="N273">
        <v>51177</v>
      </c>
      <c r="O273" t="s">
        <v>17</v>
      </c>
      <c r="P273" s="8">
        <f t="shared" si="12"/>
        <v>0</v>
      </c>
      <c r="Q273" t="s">
        <v>38</v>
      </c>
      <c r="R273">
        <f t="shared" si="13"/>
        <v>11</v>
      </c>
      <c r="S273" t="str">
        <f t="shared" si="14"/>
        <v>Nov</v>
      </c>
      <c r="T273" s="9">
        <f>VLOOKUP(O273, Annual_Summary!A:B, 2, 0)</f>
        <v>-0.15097152122178931</v>
      </c>
    </row>
    <row r="274" spans="1:20" x14ac:dyDescent="0.3">
      <c r="A274" s="1">
        <v>45988</v>
      </c>
      <c r="B274" t="s">
        <v>15</v>
      </c>
      <c r="C274" s="4">
        <v>1619.1</v>
      </c>
      <c r="D274" s="4">
        <v>1633.2</v>
      </c>
      <c r="E274" s="4">
        <v>1614</v>
      </c>
      <c r="F274" s="4">
        <v>1617.9</v>
      </c>
      <c r="G274" s="4">
        <v>1630.2</v>
      </c>
      <c r="H274" s="4">
        <v>1629</v>
      </c>
      <c r="I274" s="4">
        <v>1625.43</v>
      </c>
      <c r="J274" s="4">
        <v>2012.2</v>
      </c>
      <c r="K274" s="4">
        <v>1302.75</v>
      </c>
      <c r="L274" s="2">
        <v>2106176</v>
      </c>
      <c r="M274" s="2">
        <v>3423437408.0999999</v>
      </c>
      <c r="N274">
        <v>61398</v>
      </c>
      <c r="O274" t="s">
        <v>17</v>
      </c>
      <c r="P274" s="8">
        <f t="shared" si="12"/>
        <v>-1.1999999999998181</v>
      </c>
      <c r="Q274" t="s">
        <v>38</v>
      </c>
      <c r="R274">
        <f t="shared" si="13"/>
        <v>11</v>
      </c>
      <c r="S274" t="str">
        <f t="shared" si="14"/>
        <v>Nov</v>
      </c>
      <c r="T274" s="9">
        <f>VLOOKUP(O274, Annual_Summary!A:B, 2, 0)</f>
        <v>-0.15097152122178931</v>
      </c>
    </row>
    <row r="275" spans="1:20" x14ac:dyDescent="0.3">
      <c r="A275" s="1">
        <v>45987</v>
      </c>
      <c r="B275" t="s">
        <v>15</v>
      </c>
      <c r="C275" s="4">
        <v>1601.1</v>
      </c>
      <c r="D275" s="4">
        <v>1627.5</v>
      </c>
      <c r="E275" s="4">
        <v>1601.1</v>
      </c>
      <c r="F275" s="4">
        <v>1601.1</v>
      </c>
      <c r="G275" s="4">
        <v>1620</v>
      </c>
      <c r="H275" s="4">
        <v>1617.9</v>
      </c>
      <c r="I275" s="4">
        <v>1618.84</v>
      </c>
      <c r="J275" s="4">
        <v>2012.2</v>
      </c>
      <c r="K275" s="4">
        <v>1302.75</v>
      </c>
      <c r="L275" s="2">
        <v>1243303</v>
      </c>
      <c r="M275" s="2">
        <v>2012714636.5</v>
      </c>
      <c r="N275">
        <v>71530</v>
      </c>
      <c r="O275" t="s">
        <v>17</v>
      </c>
      <c r="P275" s="8">
        <f t="shared" si="12"/>
        <v>0</v>
      </c>
      <c r="Q275" t="s">
        <v>38</v>
      </c>
      <c r="R275">
        <f t="shared" si="13"/>
        <v>11</v>
      </c>
      <c r="S275" t="str">
        <f t="shared" si="14"/>
        <v>Nov</v>
      </c>
      <c r="T275" s="9">
        <f>VLOOKUP(O275, Annual_Summary!A:B, 2, 0)</f>
        <v>-0.15097152122178931</v>
      </c>
    </row>
    <row r="276" spans="1:20" x14ac:dyDescent="0.3">
      <c r="A276" s="1">
        <v>45986</v>
      </c>
      <c r="B276" t="s">
        <v>15</v>
      </c>
      <c r="C276" s="4">
        <v>1618.3</v>
      </c>
      <c r="D276" s="4">
        <v>1618.9</v>
      </c>
      <c r="E276" s="4">
        <v>1592.6</v>
      </c>
      <c r="F276" s="4">
        <v>1610.4</v>
      </c>
      <c r="G276" s="4">
        <v>1598.9</v>
      </c>
      <c r="H276" s="4">
        <v>1601.1</v>
      </c>
      <c r="I276" s="4">
        <v>1601.61</v>
      </c>
      <c r="J276" s="4">
        <v>2012.2</v>
      </c>
      <c r="K276" s="4">
        <v>1302.75</v>
      </c>
      <c r="L276" s="2">
        <v>2285950</v>
      </c>
      <c r="M276" s="2">
        <v>3661209695.5</v>
      </c>
      <c r="N276">
        <v>99411</v>
      </c>
      <c r="O276" t="s">
        <v>17</v>
      </c>
      <c r="P276" s="8">
        <f t="shared" si="12"/>
        <v>-7.8999999999998636</v>
      </c>
      <c r="Q276" t="s">
        <v>38</v>
      </c>
      <c r="R276">
        <f t="shared" si="13"/>
        <v>11</v>
      </c>
      <c r="S276" t="str">
        <f t="shared" si="14"/>
        <v>Nov</v>
      </c>
      <c r="T276" s="9">
        <f>VLOOKUP(O276, Annual_Summary!A:B, 2, 0)</f>
        <v>-0.15097152122178931</v>
      </c>
    </row>
    <row r="277" spans="1:20" x14ac:dyDescent="0.3">
      <c r="A277" s="1">
        <v>45985</v>
      </c>
      <c r="B277" t="s">
        <v>15</v>
      </c>
      <c r="C277" s="4">
        <v>1614.3</v>
      </c>
      <c r="D277" s="4">
        <v>1640</v>
      </c>
      <c r="E277" s="4">
        <v>1602.9</v>
      </c>
      <c r="F277" s="4">
        <v>1608</v>
      </c>
      <c r="G277" s="4">
        <v>1612</v>
      </c>
      <c r="H277" s="4">
        <v>1610.4</v>
      </c>
      <c r="I277" s="4">
        <v>1617.14</v>
      </c>
      <c r="J277" s="4">
        <v>2012.2</v>
      </c>
      <c r="K277" s="4">
        <v>1302.75</v>
      </c>
      <c r="L277" s="2">
        <v>6392688</v>
      </c>
      <c r="M277" s="2">
        <v>10337878943.4</v>
      </c>
      <c r="N277">
        <v>119732</v>
      </c>
      <c r="O277" t="s">
        <v>17</v>
      </c>
      <c r="P277" s="8">
        <f t="shared" si="12"/>
        <v>-6.2999999999999545</v>
      </c>
      <c r="Q277" t="s">
        <v>38</v>
      </c>
      <c r="R277">
        <f t="shared" si="13"/>
        <v>11</v>
      </c>
      <c r="S277" t="str">
        <f t="shared" si="14"/>
        <v>Nov</v>
      </c>
      <c r="T277" s="9">
        <f>VLOOKUP(O277, Annual_Summary!A:B, 2, 0)</f>
        <v>-0.15097152122178931</v>
      </c>
    </row>
    <row r="278" spans="1:20" x14ac:dyDescent="0.3">
      <c r="A278" s="1">
        <v>45982</v>
      </c>
      <c r="B278" t="s">
        <v>15</v>
      </c>
      <c r="C278" s="4">
        <v>1636</v>
      </c>
      <c r="D278" s="4">
        <v>1643.5</v>
      </c>
      <c r="E278" s="4">
        <v>1606</v>
      </c>
      <c r="F278" s="4">
        <v>1645.4</v>
      </c>
      <c r="G278" s="4">
        <v>1608.8</v>
      </c>
      <c r="H278" s="4">
        <v>1608</v>
      </c>
      <c r="I278" s="4">
        <v>1622.45</v>
      </c>
      <c r="J278" s="4">
        <v>2012.2</v>
      </c>
      <c r="K278" s="4">
        <v>1302.75</v>
      </c>
      <c r="L278" s="2">
        <v>2958835</v>
      </c>
      <c r="M278" s="2">
        <v>4800551729.1999998</v>
      </c>
      <c r="N278">
        <v>81557</v>
      </c>
      <c r="O278" t="s">
        <v>17</v>
      </c>
      <c r="P278" s="8">
        <f t="shared" si="12"/>
        <v>9.4000000000000909</v>
      </c>
      <c r="Q278" t="s">
        <v>38</v>
      </c>
      <c r="R278">
        <f t="shared" si="13"/>
        <v>11</v>
      </c>
      <c r="S278" t="str">
        <f t="shared" si="14"/>
        <v>Nov</v>
      </c>
      <c r="T278" s="9">
        <f>VLOOKUP(O278, Annual_Summary!A:B, 2, 0)</f>
        <v>-0.15097152122178931</v>
      </c>
    </row>
    <row r="279" spans="1:20" x14ac:dyDescent="0.3">
      <c r="A279" s="1">
        <v>45981</v>
      </c>
      <c r="B279" t="s">
        <v>15</v>
      </c>
      <c r="C279" s="4">
        <v>1662.6</v>
      </c>
      <c r="D279" s="4">
        <v>1668.4</v>
      </c>
      <c r="E279" s="4">
        <v>1642.6</v>
      </c>
      <c r="F279" s="4">
        <v>1662.6</v>
      </c>
      <c r="G279" s="4">
        <v>1644.4</v>
      </c>
      <c r="H279" s="4">
        <v>1645.4</v>
      </c>
      <c r="I279" s="4">
        <v>1652.84</v>
      </c>
      <c r="J279" s="4">
        <v>2012.2</v>
      </c>
      <c r="K279" s="4">
        <v>1302.75</v>
      </c>
      <c r="L279" s="2">
        <v>2724035</v>
      </c>
      <c r="M279" s="2">
        <v>4502400178.8999996</v>
      </c>
      <c r="N279">
        <v>97466</v>
      </c>
      <c r="O279" t="s">
        <v>17</v>
      </c>
      <c r="P279" s="8">
        <f t="shared" si="12"/>
        <v>0</v>
      </c>
      <c r="Q279" t="s">
        <v>38</v>
      </c>
      <c r="R279">
        <f t="shared" si="13"/>
        <v>11</v>
      </c>
      <c r="S279" t="str">
        <f t="shared" si="14"/>
        <v>Nov</v>
      </c>
      <c r="T279" s="9">
        <f>VLOOKUP(O279, Annual_Summary!A:B, 2, 0)</f>
        <v>-0.15097152122178931</v>
      </c>
    </row>
    <row r="280" spans="1:20" x14ac:dyDescent="0.3">
      <c r="A280" s="1">
        <v>45980</v>
      </c>
      <c r="B280" t="s">
        <v>15</v>
      </c>
      <c r="C280" s="4">
        <v>1595.3</v>
      </c>
      <c r="D280" s="4">
        <v>1669.5</v>
      </c>
      <c r="E280" s="4">
        <v>1588.6</v>
      </c>
      <c r="F280" s="4">
        <v>1595.2</v>
      </c>
      <c r="G280" s="4">
        <v>1662</v>
      </c>
      <c r="H280" s="4">
        <v>1662.6</v>
      </c>
      <c r="I280" s="4">
        <v>1650.37</v>
      </c>
      <c r="J280" s="4">
        <v>2012.2</v>
      </c>
      <c r="K280" s="4">
        <v>1302.75</v>
      </c>
      <c r="L280" s="2">
        <v>6342672</v>
      </c>
      <c r="M280" s="2">
        <v>10467760788.200001</v>
      </c>
      <c r="N280">
        <v>159231</v>
      </c>
      <c r="O280" t="s">
        <v>17</v>
      </c>
      <c r="P280" s="8">
        <f t="shared" si="12"/>
        <v>-9.9999999999909051E-2</v>
      </c>
      <c r="Q280" t="s">
        <v>38</v>
      </c>
      <c r="R280">
        <f t="shared" si="13"/>
        <v>11</v>
      </c>
      <c r="S280" t="str">
        <f t="shared" si="14"/>
        <v>Nov</v>
      </c>
      <c r="T280" s="9">
        <f>VLOOKUP(O280, Annual_Summary!A:B, 2, 0)</f>
        <v>-0.15097152122178931</v>
      </c>
    </row>
    <row r="281" spans="1:20" x14ac:dyDescent="0.3">
      <c r="A281" s="1">
        <v>45979</v>
      </c>
      <c r="B281" t="s">
        <v>15</v>
      </c>
      <c r="C281" s="4">
        <v>1604</v>
      </c>
      <c r="D281" s="4">
        <v>1604</v>
      </c>
      <c r="E281" s="4">
        <v>1590.1</v>
      </c>
      <c r="F281" s="4">
        <v>1606.4</v>
      </c>
      <c r="G281" s="4">
        <v>1592.5</v>
      </c>
      <c r="H281" s="4">
        <v>1595.2</v>
      </c>
      <c r="I281" s="4">
        <v>1595.15</v>
      </c>
      <c r="J281" s="4">
        <v>2012.2</v>
      </c>
      <c r="K281" s="4">
        <v>1302.75</v>
      </c>
      <c r="L281" s="2">
        <v>1640123</v>
      </c>
      <c r="M281" s="2">
        <v>2616243523.6999998</v>
      </c>
      <c r="N281">
        <v>52117</v>
      </c>
      <c r="O281" t="s">
        <v>17</v>
      </c>
      <c r="P281" s="8">
        <f t="shared" si="12"/>
        <v>2.4000000000000909</v>
      </c>
      <c r="Q281" t="s">
        <v>38</v>
      </c>
      <c r="R281">
        <f t="shared" si="13"/>
        <v>11</v>
      </c>
      <c r="S281" t="str">
        <f t="shared" si="14"/>
        <v>Nov</v>
      </c>
      <c r="T281" s="9">
        <f>VLOOKUP(O281, Annual_Summary!A:B, 2, 0)</f>
        <v>-0.15097152122178931</v>
      </c>
    </row>
    <row r="282" spans="1:20" x14ac:dyDescent="0.3">
      <c r="A282" s="1">
        <v>45978</v>
      </c>
      <c r="B282" t="s">
        <v>15</v>
      </c>
      <c r="C282" s="4">
        <v>1594</v>
      </c>
      <c r="D282" s="4">
        <v>1607.7</v>
      </c>
      <c r="E282" s="4">
        <v>1585.5</v>
      </c>
      <c r="F282" s="4">
        <v>1594.6</v>
      </c>
      <c r="G282" s="4">
        <v>1605.5</v>
      </c>
      <c r="H282" s="4">
        <v>1606.4</v>
      </c>
      <c r="I282" s="4">
        <v>1599.95</v>
      </c>
      <c r="J282" s="4">
        <v>2012.2</v>
      </c>
      <c r="K282" s="4">
        <v>1302.75</v>
      </c>
      <c r="L282" s="2">
        <v>2000978</v>
      </c>
      <c r="M282" s="2">
        <v>3201465766.5999999</v>
      </c>
      <c r="N282">
        <v>65072</v>
      </c>
      <c r="O282" t="s">
        <v>17</v>
      </c>
      <c r="P282" s="8">
        <f t="shared" si="12"/>
        <v>0.59999999999990905</v>
      </c>
      <c r="Q282" t="s">
        <v>38</v>
      </c>
      <c r="R282">
        <f t="shared" si="13"/>
        <v>11</v>
      </c>
      <c r="S282" t="str">
        <f t="shared" si="14"/>
        <v>Nov</v>
      </c>
      <c r="T282" s="9">
        <f>VLOOKUP(O282, Annual_Summary!A:B, 2, 0)</f>
        <v>-0.15097152122178931</v>
      </c>
    </row>
    <row r="283" spans="1:20" x14ac:dyDescent="0.3">
      <c r="A283" s="1">
        <v>45975</v>
      </c>
      <c r="B283" t="s">
        <v>15</v>
      </c>
      <c r="C283" s="4">
        <v>1590</v>
      </c>
      <c r="D283" s="4">
        <v>1598</v>
      </c>
      <c r="E283" s="4">
        <v>1574.1</v>
      </c>
      <c r="F283" s="4">
        <v>1598.5</v>
      </c>
      <c r="G283" s="4">
        <v>1596.9</v>
      </c>
      <c r="H283" s="4">
        <v>1594.6</v>
      </c>
      <c r="I283" s="4">
        <v>1588.33</v>
      </c>
      <c r="J283" s="4">
        <v>2012.2</v>
      </c>
      <c r="K283" s="4">
        <v>1302.75</v>
      </c>
      <c r="L283" s="2">
        <v>2543918</v>
      </c>
      <c r="M283" s="2">
        <v>4040586657.3000002</v>
      </c>
      <c r="N283">
        <v>105226</v>
      </c>
      <c r="O283" t="s">
        <v>17</v>
      </c>
      <c r="P283" s="8">
        <f t="shared" si="12"/>
        <v>8.5</v>
      </c>
      <c r="Q283" t="s">
        <v>38</v>
      </c>
      <c r="R283">
        <f t="shared" si="13"/>
        <v>11</v>
      </c>
      <c r="S283" t="str">
        <f t="shared" si="14"/>
        <v>Nov</v>
      </c>
      <c r="T283" s="9">
        <f>VLOOKUP(O283, Annual_Summary!A:B, 2, 0)</f>
        <v>-0.15097152122178931</v>
      </c>
    </row>
    <row r="284" spans="1:20" x14ac:dyDescent="0.3">
      <c r="A284" s="1">
        <v>45974</v>
      </c>
      <c r="B284" t="s">
        <v>15</v>
      </c>
      <c r="C284" s="4">
        <v>1599.4</v>
      </c>
      <c r="D284" s="4">
        <v>1605</v>
      </c>
      <c r="E284" s="4">
        <v>1580</v>
      </c>
      <c r="F284" s="4">
        <v>1594</v>
      </c>
      <c r="G284" s="4">
        <v>1597.3</v>
      </c>
      <c r="H284" s="4">
        <v>1598.5</v>
      </c>
      <c r="I284" s="4">
        <v>1596.49</v>
      </c>
      <c r="J284" s="4">
        <v>2012.2</v>
      </c>
      <c r="K284" s="4">
        <v>1302.75</v>
      </c>
      <c r="L284" s="2">
        <v>1944022</v>
      </c>
      <c r="M284" s="2">
        <v>3103616363.0999999</v>
      </c>
      <c r="N284">
        <v>76589</v>
      </c>
      <c r="O284" t="s">
        <v>17</v>
      </c>
      <c r="P284" s="8">
        <f t="shared" si="12"/>
        <v>-5.4000000000000909</v>
      </c>
      <c r="Q284" t="s">
        <v>38</v>
      </c>
      <c r="R284">
        <f t="shared" si="13"/>
        <v>11</v>
      </c>
      <c r="S284" t="str">
        <f t="shared" si="14"/>
        <v>Nov</v>
      </c>
      <c r="T284" s="9">
        <f>VLOOKUP(O284, Annual_Summary!A:B, 2, 0)</f>
        <v>-0.15097152122178931</v>
      </c>
    </row>
    <row r="285" spans="1:20" x14ac:dyDescent="0.3">
      <c r="A285" s="1">
        <v>45973</v>
      </c>
      <c r="B285" t="s">
        <v>15</v>
      </c>
      <c r="C285" s="4">
        <v>1575</v>
      </c>
      <c r="D285" s="4">
        <v>1600</v>
      </c>
      <c r="E285" s="4">
        <v>1573.5</v>
      </c>
      <c r="F285" s="4">
        <v>1570</v>
      </c>
      <c r="G285" s="4">
        <v>1593</v>
      </c>
      <c r="H285" s="4">
        <v>1594</v>
      </c>
      <c r="I285" s="4">
        <v>1591.3</v>
      </c>
      <c r="J285" s="4">
        <v>2012.2</v>
      </c>
      <c r="K285" s="4">
        <v>1302.75</v>
      </c>
      <c r="L285" s="2">
        <v>2331564</v>
      </c>
      <c r="M285" s="2">
        <v>3710213658.8000002</v>
      </c>
      <c r="N285">
        <v>113539</v>
      </c>
      <c r="O285" t="s">
        <v>17</v>
      </c>
      <c r="P285" s="8">
        <f t="shared" si="12"/>
        <v>-5</v>
      </c>
      <c r="Q285" t="s">
        <v>38</v>
      </c>
      <c r="R285">
        <f t="shared" si="13"/>
        <v>11</v>
      </c>
      <c r="S285" t="str">
        <f t="shared" si="14"/>
        <v>Nov</v>
      </c>
      <c r="T285" s="9">
        <f>VLOOKUP(O285, Annual_Summary!A:B, 2, 0)</f>
        <v>-0.15097152122178931</v>
      </c>
    </row>
    <row r="286" spans="1:20" x14ac:dyDescent="0.3">
      <c r="A286" s="1">
        <v>45972</v>
      </c>
      <c r="B286" t="s">
        <v>15</v>
      </c>
      <c r="C286" s="4">
        <v>1547.8</v>
      </c>
      <c r="D286" s="4">
        <v>1572.5</v>
      </c>
      <c r="E286" s="4">
        <v>1541.2</v>
      </c>
      <c r="F286" s="4">
        <v>1540.5</v>
      </c>
      <c r="G286" s="4">
        <v>1571.5</v>
      </c>
      <c r="H286" s="4">
        <v>1570</v>
      </c>
      <c r="I286" s="4">
        <v>1558.43</v>
      </c>
      <c r="J286" s="4">
        <v>2012.2</v>
      </c>
      <c r="K286" s="4">
        <v>1302.75</v>
      </c>
      <c r="L286" s="2">
        <v>2270763</v>
      </c>
      <c r="M286" s="2">
        <v>3538816232.9000001</v>
      </c>
      <c r="N286">
        <v>74960</v>
      </c>
      <c r="O286" t="s">
        <v>17</v>
      </c>
      <c r="P286" s="8">
        <f t="shared" si="12"/>
        <v>-7.2999999999999545</v>
      </c>
      <c r="Q286" t="s">
        <v>38</v>
      </c>
      <c r="R286">
        <f t="shared" si="13"/>
        <v>11</v>
      </c>
      <c r="S286" t="str">
        <f t="shared" si="14"/>
        <v>Nov</v>
      </c>
      <c r="T286" s="9">
        <f>VLOOKUP(O286, Annual_Summary!A:B, 2, 0)</f>
        <v>-0.15097152122178931</v>
      </c>
    </row>
    <row r="287" spans="1:20" x14ac:dyDescent="0.3">
      <c r="A287" s="1">
        <v>45971</v>
      </c>
      <c r="B287" t="s">
        <v>15</v>
      </c>
      <c r="C287" s="4">
        <v>1518</v>
      </c>
      <c r="D287" s="4">
        <v>1544.9</v>
      </c>
      <c r="E287" s="4">
        <v>1511.4</v>
      </c>
      <c r="F287" s="4">
        <v>1512.4</v>
      </c>
      <c r="G287" s="4">
        <v>1540</v>
      </c>
      <c r="H287" s="4">
        <v>1540.5</v>
      </c>
      <c r="I287" s="4">
        <v>1538.01</v>
      </c>
      <c r="J287" s="4">
        <v>2012.2</v>
      </c>
      <c r="K287" s="4">
        <v>1302.75</v>
      </c>
      <c r="L287" s="2">
        <v>1558896</v>
      </c>
      <c r="M287" s="2">
        <v>2397603291.5999999</v>
      </c>
      <c r="N287">
        <v>79181</v>
      </c>
      <c r="O287" t="s">
        <v>17</v>
      </c>
      <c r="P287" s="8">
        <f t="shared" si="12"/>
        <v>-5.5999999999999091</v>
      </c>
      <c r="Q287" t="s">
        <v>38</v>
      </c>
      <c r="R287">
        <f t="shared" si="13"/>
        <v>11</v>
      </c>
      <c r="S287" t="str">
        <f t="shared" si="14"/>
        <v>Nov</v>
      </c>
      <c r="T287" s="9">
        <f>VLOOKUP(O287, Annual_Summary!A:B, 2, 0)</f>
        <v>-0.15097152122178931</v>
      </c>
    </row>
    <row r="288" spans="1:20" x14ac:dyDescent="0.3">
      <c r="A288" s="1">
        <v>45968</v>
      </c>
      <c r="B288" t="s">
        <v>15</v>
      </c>
      <c r="C288" s="4">
        <v>1515.1</v>
      </c>
      <c r="D288" s="4">
        <v>1518.8</v>
      </c>
      <c r="E288" s="4">
        <v>1490.5</v>
      </c>
      <c r="F288" s="4">
        <v>1526.4</v>
      </c>
      <c r="G288" s="4">
        <v>1511</v>
      </c>
      <c r="H288" s="4">
        <v>1512.4</v>
      </c>
      <c r="I288" s="4">
        <v>1508.39</v>
      </c>
      <c r="J288" s="4">
        <v>2012.2</v>
      </c>
      <c r="K288" s="4">
        <v>1302.75</v>
      </c>
      <c r="L288" s="2">
        <v>2238714</v>
      </c>
      <c r="M288" s="2">
        <v>3376849701.4000001</v>
      </c>
      <c r="N288">
        <v>69134</v>
      </c>
      <c r="O288" t="s">
        <v>17</v>
      </c>
      <c r="P288" s="8">
        <f t="shared" si="12"/>
        <v>11.300000000000182</v>
      </c>
      <c r="Q288" t="s">
        <v>38</v>
      </c>
      <c r="R288">
        <f t="shared" si="13"/>
        <v>11</v>
      </c>
      <c r="S288" t="str">
        <f t="shared" si="14"/>
        <v>Nov</v>
      </c>
      <c r="T288" s="9">
        <f>VLOOKUP(O288, Annual_Summary!A:B, 2, 0)</f>
        <v>-0.15097152122178931</v>
      </c>
    </row>
    <row r="289" spans="1:20" x14ac:dyDescent="0.3">
      <c r="A289" s="1">
        <v>45967</v>
      </c>
      <c r="B289" t="s">
        <v>15</v>
      </c>
      <c r="C289" s="4">
        <v>1529.1</v>
      </c>
      <c r="D289" s="4">
        <v>1531.9</v>
      </c>
      <c r="E289" s="4">
        <v>1514.3</v>
      </c>
      <c r="F289" s="4">
        <v>1529.1</v>
      </c>
      <c r="G289" s="4">
        <v>1527</v>
      </c>
      <c r="H289" s="4">
        <v>1526.4</v>
      </c>
      <c r="I289" s="4">
        <v>1525.7</v>
      </c>
      <c r="J289" s="4">
        <v>2012.2</v>
      </c>
      <c r="K289" s="4">
        <v>1302.75</v>
      </c>
      <c r="L289" s="2">
        <v>2474769</v>
      </c>
      <c r="M289" s="2">
        <v>3775746001.6999998</v>
      </c>
      <c r="N289">
        <v>83301</v>
      </c>
      <c r="O289" t="s">
        <v>17</v>
      </c>
      <c r="P289" s="8">
        <f t="shared" si="12"/>
        <v>0</v>
      </c>
      <c r="Q289" t="s">
        <v>38</v>
      </c>
      <c r="R289">
        <f t="shared" si="13"/>
        <v>11</v>
      </c>
      <c r="S289" t="str">
        <f t="shared" si="14"/>
        <v>Nov</v>
      </c>
      <c r="T289" s="9">
        <f>VLOOKUP(O289, Annual_Summary!A:B, 2, 0)</f>
        <v>-0.15097152122178931</v>
      </c>
    </row>
    <row r="290" spans="1:20" x14ac:dyDescent="0.3">
      <c r="A290" s="1">
        <v>45965</v>
      </c>
      <c r="B290" t="s">
        <v>15</v>
      </c>
      <c r="C290" s="4">
        <v>1536.4</v>
      </c>
      <c r="D290" s="4">
        <v>1541.9</v>
      </c>
      <c r="E290" s="4">
        <v>1525</v>
      </c>
      <c r="F290" s="4">
        <v>1543.5</v>
      </c>
      <c r="G290" s="4">
        <v>1525</v>
      </c>
      <c r="H290" s="4">
        <v>1529.1</v>
      </c>
      <c r="I290" s="4">
        <v>1530.36</v>
      </c>
      <c r="J290" s="4">
        <v>2012.2</v>
      </c>
      <c r="K290" s="4">
        <v>1302.75</v>
      </c>
      <c r="L290" s="2">
        <v>1666863</v>
      </c>
      <c r="M290" s="2">
        <v>2550892564.3000002</v>
      </c>
      <c r="N290">
        <v>56491</v>
      </c>
      <c r="O290" t="s">
        <v>17</v>
      </c>
      <c r="P290" s="8">
        <f t="shared" si="12"/>
        <v>7.0999999999999091</v>
      </c>
      <c r="Q290" t="s">
        <v>38</v>
      </c>
      <c r="R290">
        <f t="shared" si="13"/>
        <v>11</v>
      </c>
      <c r="S290" t="str">
        <f t="shared" si="14"/>
        <v>Nov</v>
      </c>
      <c r="T290" s="9">
        <f>VLOOKUP(O290, Annual_Summary!A:B, 2, 0)</f>
        <v>-0.15097152122178931</v>
      </c>
    </row>
    <row r="291" spans="1:20" x14ac:dyDescent="0.3">
      <c r="A291" s="1">
        <v>45964</v>
      </c>
      <c r="B291" t="s">
        <v>15</v>
      </c>
      <c r="C291" s="4">
        <v>1540.1</v>
      </c>
      <c r="D291" s="4">
        <v>1549.7</v>
      </c>
      <c r="E291" s="4">
        <v>1528.2</v>
      </c>
      <c r="F291" s="4">
        <v>1541.5</v>
      </c>
      <c r="G291" s="4">
        <v>1544</v>
      </c>
      <c r="H291" s="4">
        <v>1543.5</v>
      </c>
      <c r="I291" s="4">
        <v>1540.77</v>
      </c>
      <c r="J291" s="4">
        <v>2012.2</v>
      </c>
      <c r="K291" s="4">
        <v>1302.75</v>
      </c>
      <c r="L291" s="2">
        <v>2252136</v>
      </c>
      <c r="M291" s="2">
        <v>3470015025.4000001</v>
      </c>
      <c r="N291">
        <v>54640</v>
      </c>
      <c r="O291" t="s">
        <v>17</v>
      </c>
      <c r="P291" s="8">
        <f t="shared" si="12"/>
        <v>1.4000000000000909</v>
      </c>
      <c r="Q291" t="s">
        <v>38</v>
      </c>
      <c r="R291">
        <f t="shared" si="13"/>
        <v>11</v>
      </c>
      <c r="S291" t="str">
        <f t="shared" si="14"/>
        <v>Nov</v>
      </c>
      <c r="T291" s="9">
        <f>VLOOKUP(O291, Annual_Summary!A:B, 2, 0)</f>
        <v>-0.15097152122178931</v>
      </c>
    </row>
    <row r="292" spans="1:20" x14ac:dyDescent="0.3">
      <c r="A292" s="1">
        <v>45961</v>
      </c>
      <c r="B292" t="s">
        <v>15</v>
      </c>
      <c r="C292" s="4">
        <v>1549.8</v>
      </c>
      <c r="D292" s="4">
        <v>1558.2</v>
      </c>
      <c r="E292" s="4">
        <v>1537.6</v>
      </c>
      <c r="F292" s="4">
        <v>1549.8</v>
      </c>
      <c r="G292" s="4">
        <v>1540</v>
      </c>
      <c r="H292" s="4">
        <v>1541.5</v>
      </c>
      <c r="I292" s="4">
        <v>1545.71</v>
      </c>
      <c r="J292" s="4">
        <v>2012.2</v>
      </c>
      <c r="K292" s="4">
        <v>1302.75</v>
      </c>
      <c r="L292" s="2">
        <v>1723467</v>
      </c>
      <c r="M292" s="2">
        <v>2663984409.1999998</v>
      </c>
      <c r="N292">
        <v>58952</v>
      </c>
      <c r="O292" t="s">
        <v>17</v>
      </c>
      <c r="P292" s="8">
        <f t="shared" si="12"/>
        <v>0</v>
      </c>
      <c r="Q292" t="s">
        <v>38</v>
      </c>
      <c r="R292">
        <f t="shared" si="13"/>
        <v>10</v>
      </c>
      <c r="S292" t="str">
        <f t="shared" si="14"/>
        <v>Oct</v>
      </c>
      <c r="T292" s="9">
        <f>VLOOKUP(O292, Annual_Summary!A:B, 2, 0)</f>
        <v>-0.15097152122178931</v>
      </c>
    </row>
    <row r="293" spans="1:20" x14ac:dyDescent="0.3">
      <c r="A293" s="1">
        <v>45960</v>
      </c>
      <c r="B293" t="s">
        <v>15</v>
      </c>
      <c r="C293" s="4">
        <v>1557.7</v>
      </c>
      <c r="D293" s="4">
        <v>1559.9</v>
      </c>
      <c r="E293" s="4">
        <v>1538.1</v>
      </c>
      <c r="F293" s="4">
        <v>1557.3</v>
      </c>
      <c r="G293" s="4">
        <v>1549.9</v>
      </c>
      <c r="H293" s="4">
        <v>1549.8</v>
      </c>
      <c r="I293" s="4">
        <v>1547.65</v>
      </c>
      <c r="J293" s="4">
        <v>2012.2</v>
      </c>
      <c r="K293" s="4">
        <v>1302.75</v>
      </c>
      <c r="L293" s="2">
        <v>2183395</v>
      </c>
      <c r="M293" s="2">
        <v>3379123069.4000001</v>
      </c>
      <c r="N293">
        <v>70828</v>
      </c>
      <c r="O293" t="s">
        <v>17</v>
      </c>
      <c r="P293" s="8">
        <f t="shared" si="12"/>
        <v>-0.40000000000009095</v>
      </c>
      <c r="Q293" t="s">
        <v>38</v>
      </c>
      <c r="R293">
        <f t="shared" si="13"/>
        <v>10</v>
      </c>
      <c r="S293" t="str">
        <f t="shared" si="14"/>
        <v>Oct</v>
      </c>
      <c r="T293" s="9">
        <f>VLOOKUP(O293, Annual_Summary!A:B, 2, 0)</f>
        <v>-0.15097152122178931</v>
      </c>
    </row>
    <row r="294" spans="1:20" x14ac:dyDescent="0.3">
      <c r="A294" s="1">
        <v>45959</v>
      </c>
      <c r="B294" t="s">
        <v>15</v>
      </c>
      <c r="C294" s="4">
        <v>1530</v>
      </c>
      <c r="D294" s="4">
        <v>1559</v>
      </c>
      <c r="E294" s="4">
        <v>1522</v>
      </c>
      <c r="F294" s="4">
        <v>1522.1</v>
      </c>
      <c r="G294" s="4">
        <v>1556.5</v>
      </c>
      <c r="H294" s="4">
        <v>1557.3</v>
      </c>
      <c r="I294" s="4">
        <v>1549.69</v>
      </c>
      <c r="J294" s="4">
        <v>2012.2</v>
      </c>
      <c r="K294" s="4">
        <v>1302.75</v>
      </c>
      <c r="L294" s="2">
        <v>2596355</v>
      </c>
      <c r="M294" s="2">
        <v>4023535238.5999999</v>
      </c>
      <c r="N294">
        <v>71502</v>
      </c>
      <c r="O294" t="s">
        <v>17</v>
      </c>
      <c r="P294" s="8">
        <f t="shared" si="12"/>
        <v>-7.9000000000000909</v>
      </c>
      <c r="Q294" t="s">
        <v>38</v>
      </c>
      <c r="R294">
        <f t="shared" si="13"/>
        <v>10</v>
      </c>
      <c r="S294" t="str">
        <f t="shared" si="14"/>
        <v>Oct</v>
      </c>
      <c r="T294" s="9">
        <f>VLOOKUP(O294, Annual_Summary!A:B, 2, 0)</f>
        <v>-0.15097152122178931</v>
      </c>
    </row>
    <row r="295" spans="1:20" x14ac:dyDescent="0.3">
      <c r="A295" s="1">
        <v>45958</v>
      </c>
      <c r="B295" t="s">
        <v>15</v>
      </c>
      <c r="C295" s="4">
        <v>1535</v>
      </c>
      <c r="D295" s="4">
        <v>1542</v>
      </c>
      <c r="E295" s="4">
        <v>1512</v>
      </c>
      <c r="F295" s="4">
        <v>1533.5</v>
      </c>
      <c r="G295" s="4">
        <v>1522</v>
      </c>
      <c r="H295" s="4">
        <v>1522.1</v>
      </c>
      <c r="I295" s="4">
        <v>1522.39</v>
      </c>
      <c r="J295" s="4">
        <v>2012.2</v>
      </c>
      <c r="K295" s="4">
        <v>1302.75</v>
      </c>
      <c r="L295" s="2">
        <v>1936466</v>
      </c>
      <c r="M295" s="2">
        <v>2948058041.5</v>
      </c>
      <c r="N295">
        <v>76051</v>
      </c>
      <c r="O295" t="s">
        <v>17</v>
      </c>
      <c r="P295" s="8">
        <f t="shared" si="12"/>
        <v>-1.5</v>
      </c>
      <c r="Q295" t="s">
        <v>38</v>
      </c>
      <c r="R295">
        <f t="shared" si="13"/>
        <v>10</v>
      </c>
      <c r="S295" t="str">
        <f t="shared" si="14"/>
        <v>Oct</v>
      </c>
      <c r="T295" s="9">
        <f>VLOOKUP(O295, Annual_Summary!A:B, 2, 0)</f>
        <v>-0.15097152122178931</v>
      </c>
    </row>
    <row r="296" spans="1:20" x14ac:dyDescent="0.3">
      <c r="A296" s="1">
        <v>45957</v>
      </c>
      <c r="B296" t="s">
        <v>15</v>
      </c>
      <c r="C296" s="4">
        <v>1531.4</v>
      </c>
      <c r="D296" s="4">
        <v>1549.5</v>
      </c>
      <c r="E296" s="4">
        <v>1526.8</v>
      </c>
      <c r="F296" s="4">
        <v>1523.8</v>
      </c>
      <c r="G296" s="4">
        <v>1534.5</v>
      </c>
      <c r="H296" s="4">
        <v>1533.5</v>
      </c>
      <c r="I296" s="4">
        <v>1539.22</v>
      </c>
      <c r="J296" s="4">
        <v>2012.2</v>
      </c>
      <c r="K296" s="4">
        <v>1302.75</v>
      </c>
      <c r="L296" s="2">
        <v>1394846</v>
      </c>
      <c r="M296" s="2">
        <v>2146971249.5999999</v>
      </c>
      <c r="N296">
        <v>84284</v>
      </c>
      <c r="O296" t="s">
        <v>17</v>
      </c>
      <c r="P296" s="8">
        <f t="shared" si="12"/>
        <v>-7.6000000000001364</v>
      </c>
      <c r="Q296" t="s">
        <v>38</v>
      </c>
      <c r="R296">
        <f t="shared" si="13"/>
        <v>10</v>
      </c>
      <c r="S296" t="str">
        <f t="shared" si="14"/>
        <v>Oct</v>
      </c>
      <c r="T296" s="9">
        <f>VLOOKUP(O296, Annual_Summary!A:B, 2, 0)</f>
        <v>-0.15097152122178931</v>
      </c>
    </row>
    <row r="297" spans="1:20" x14ac:dyDescent="0.3">
      <c r="A297" s="1">
        <v>45954</v>
      </c>
      <c r="B297" t="s">
        <v>15</v>
      </c>
      <c r="C297" s="4">
        <v>1525</v>
      </c>
      <c r="D297" s="4">
        <v>1532.6</v>
      </c>
      <c r="E297" s="4">
        <v>1516.4</v>
      </c>
      <c r="F297" s="4">
        <v>1523.9</v>
      </c>
      <c r="G297" s="4">
        <v>1524.9</v>
      </c>
      <c r="H297" s="4">
        <v>1523.8</v>
      </c>
      <c r="I297" s="4">
        <v>1523.82</v>
      </c>
      <c r="J297" s="4">
        <v>2012.2</v>
      </c>
      <c r="K297" s="4">
        <v>1302.75</v>
      </c>
      <c r="L297" s="2">
        <v>1491451</v>
      </c>
      <c r="M297" s="2">
        <v>2272701215.8000002</v>
      </c>
      <c r="N297">
        <v>54165</v>
      </c>
      <c r="O297" t="s">
        <v>17</v>
      </c>
      <c r="P297" s="8">
        <f t="shared" si="12"/>
        <v>-1.0999999999999091</v>
      </c>
      <c r="Q297" t="s">
        <v>38</v>
      </c>
      <c r="R297">
        <f t="shared" si="13"/>
        <v>10</v>
      </c>
      <c r="S297" t="str">
        <f t="shared" si="14"/>
        <v>Oct</v>
      </c>
      <c r="T297" s="9">
        <f>VLOOKUP(O297, Annual_Summary!A:B, 2, 0)</f>
        <v>-0.15097152122178931</v>
      </c>
    </row>
    <row r="298" spans="1:20" x14ac:dyDescent="0.3">
      <c r="A298" s="1">
        <v>45953</v>
      </c>
      <c r="B298" t="s">
        <v>15</v>
      </c>
      <c r="C298" s="4">
        <v>1510</v>
      </c>
      <c r="D298" s="4">
        <v>1547.5</v>
      </c>
      <c r="E298" s="4">
        <v>1505.5</v>
      </c>
      <c r="F298" s="4">
        <v>1486</v>
      </c>
      <c r="G298" s="4">
        <v>1524.9</v>
      </c>
      <c r="H298" s="4">
        <v>1523.9</v>
      </c>
      <c r="I298" s="4">
        <v>1531.37</v>
      </c>
      <c r="J298" s="4">
        <v>2012.2</v>
      </c>
      <c r="K298" s="4">
        <v>1302.75</v>
      </c>
      <c r="L298" s="2">
        <v>5011470</v>
      </c>
      <c r="M298" s="2">
        <v>7674406767.6999998</v>
      </c>
      <c r="N298">
        <v>149624</v>
      </c>
      <c r="O298" t="s">
        <v>17</v>
      </c>
      <c r="P298" s="8">
        <f t="shared" si="12"/>
        <v>-24</v>
      </c>
      <c r="Q298" t="s">
        <v>38</v>
      </c>
      <c r="R298">
        <f t="shared" si="13"/>
        <v>10</v>
      </c>
      <c r="S298" t="str">
        <f t="shared" si="14"/>
        <v>Oct</v>
      </c>
      <c r="T298" s="9">
        <f>VLOOKUP(O298, Annual_Summary!A:B, 2, 0)</f>
        <v>-0.15097152122178931</v>
      </c>
    </row>
    <row r="299" spans="1:20" x14ac:dyDescent="0.3">
      <c r="A299" s="1">
        <v>45951</v>
      </c>
      <c r="B299" t="s">
        <v>15</v>
      </c>
      <c r="C299" s="4">
        <v>1502.7</v>
      </c>
      <c r="D299" s="4">
        <v>1503</v>
      </c>
      <c r="E299" s="4">
        <v>1481</v>
      </c>
      <c r="F299" s="4">
        <v>1495.4</v>
      </c>
      <c r="G299" s="4">
        <v>1486.5</v>
      </c>
      <c r="H299" s="4">
        <v>1486</v>
      </c>
      <c r="I299" s="4">
        <v>1490.39</v>
      </c>
      <c r="J299" s="4">
        <v>2012.2</v>
      </c>
      <c r="K299" s="4">
        <v>1302.75</v>
      </c>
      <c r="L299" s="2">
        <v>274400</v>
      </c>
      <c r="M299" s="2">
        <v>408963318.19999999</v>
      </c>
      <c r="N299">
        <v>10319</v>
      </c>
      <c r="O299" t="s">
        <v>17</v>
      </c>
      <c r="P299" s="8">
        <f t="shared" si="12"/>
        <v>-7.2999999999999545</v>
      </c>
      <c r="Q299" t="s">
        <v>38</v>
      </c>
      <c r="R299">
        <f t="shared" si="13"/>
        <v>10</v>
      </c>
      <c r="S299" t="str">
        <f t="shared" si="14"/>
        <v>Oct</v>
      </c>
      <c r="T299" s="9">
        <f>VLOOKUP(O299, Annual_Summary!A:B, 2, 0)</f>
        <v>-0.15097152122178931</v>
      </c>
    </row>
    <row r="300" spans="1:20" x14ac:dyDescent="0.3">
      <c r="A300" s="1">
        <v>45950</v>
      </c>
      <c r="B300" t="s">
        <v>15</v>
      </c>
      <c r="C300" s="4">
        <v>1489.9</v>
      </c>
      <c r="D300" s="4">
        <v>1509.9</v>
      </c>
      <c r="E300" s="4">
        <v>1489.1</v>
      </c>
      <c r="F300" s="4">
        <v>1486.2</v>
      </c>
      <c r="G300" s="4">
        <v>1496</v>
      </c>
      <c r="H300" s="4">
        <v>1495.4</v>
      </c>
      <c r="I300" s="4">
        <v>1498.57</v>
      </c>
      <c r="J300" s="4">
        <v>2012.2</v>
      </c>
      <c r="K300" s="4">
        <v>1302.75</v>
      </c>
      <c r="L300" s="2">
        <v>2354881</v>
      </c>
      <c r="M300" s="2">
        <v>3528962542.6999998</v>
      </c>
      <c r="N300">
        <v>66924</v>
      </c>
      <c r="O300" t="s">
        <v>17</v>
      </c>
      <c r="P300" s="8">
        <f t="shared" si="12"/>
        <v>-3.7000000000000455</v>
      </c>
      <c r="Q300" t="s">
        <v>38</v>
      </c>
      <c r="R300">
        <f t="shared" si="13"/>
        <v>10</v>
      </c>
      <c r="S300" t="str">
        <f t="shared" si="14"/>
        <v>Oct</v>
      </c>
      <c r="T300" s="9">
        <f>VLOOKUP(O300, Annual_Summary!A:B, 2, 0)</f>
        <v>-0.15097152122178931</v>
      </c>
    </row>
    <row r="301" spans="1:20" x14ac:dyDescent="0.3">
      <c r="A301" s="1">
        <v>45947</v>
      </c>
      <c r="B301" t="s">
        <v>15</v>
      </c>
      <c r="C301" s="4">
        <v>1499</v>
      </c>
      <c r="D301" s="4">
        <v>1501.3</v>
      </c>
      <c r="E301" s="4">
        <v>1479.2</v>
      </c>
      <c r="F301" s="4">
        <v>1515</v>
      </c>
      <c r="G301" s="4">
        <v>1484.9</v>
      </c>
      <c r="H301" s="4">
        <v>1486.2</v>
      </c>
      <c r="I301" s="4">
        <v>1492.04</v>
      </c>
      <c r="J301" s="4">
        <v>2012.2</v>
      </c>
      <c r="K301" s="4">
        <v>1302.75</v>
      </c>
      <c r="L301" s="2">
        <v>3210161</v>
      </c>
      <c r="M301" s="2">
        <v>4789678562.6000004</v>
      </c>
      <c r="N301">
        <v>104856</v>
      </c>
      <c r="O301" t="s">
        <v>17</v>
      </c>
      <c r="P301" s="8">
        <f t="shared" si="12"/>
        <v>16</v>
      </c>
      <c r="Q301" t="s">
        <v>38</v>
      </c>
      <c r="R301">
        <f t="shared" si="13"/>
        <v>10</v>
      </c>
      <c r="S301" t="str">
        <f t="shared" si="14"/>
        <v>Oct</v>
      </c>
      <c r="T301" s="9">
        <f>VLOOKUP(O301, Annual_Summary!A:B, 2, 0)</f>
        <v>-0.15097152122178931</v>
      </c>
    </row>
    <row r="302" spans="1:20" x14ac:dyDescent="0.3">
      <c r="A302" s="1">
        <v>45946</v>
      </c>
      <c r="B302" t="s">
        <v>15</v>
      </c>
      <c r="C302" s="4">
        <v>1499.9</v>
      </c>
      <c r="D302" s="4">
        <v>1519.9</v>
      </c>
      <c r="E302" s="4">
        <v>1498</v>
      </c>
      <c r="F302" s="4">
        <v>1495.7</v>
      </c>
      <c r="G302" s="4">
        <v>1514.3</v>
      </c>
      <c r="H302" s="4">
        <v>1515</v>
      </c>
      <c r="I302" s="4">
        <v>1512.81</v>
      </c>
      <c r="J302" s="4">
        <v>2012.2</v>
      </c>
      <c r="K302" s="4">
        <v>1302.75</v>
      </c>
      <c r="L302" s="2">
        <v>2021043</v>
      </c>
      <c r="M302" s="2">
        <v>3057456460.9000001</v>
      </c>
      <c r="N302">
        <v>82924</v>
      </c>
      <c r="O302" t="s">
        <v>17</v>
      </c>
      <c r="P302" s="8">
        <f t="shared" si="12"/>
        <v>-4.2000000000000455</v>
      </c>
      <c r="Q302" t="s">
        <v>38</v>
      </c>
      <c r="R302">
        <f t="shared" si="13"/>
        <v>10</v>
      </c>
      <c r="S302" t="str">
        <f t="shared" si="14"/>
        <v>Oct</v>
      </c>
      <c r="T302" s="9">
        <f>VLOOKUP(O302, Annual_Summary!A:B, 2, 0)</f>
        <v>-0.15097152122178931</v>
      </c>
    </row>
    <row r="303" spans="1:20" x14ac:dyDescent="0.3">
      <c r="A303" s="1">
        <v>45945</v>
      </c>
      <c r="B303" t="s">
        <v>15</v>
      </c>
      <c r="C303" s="4">
        <v>1497.9</v>
      </c>
      <c r="D303" s="4">
        <v>1509.4</v>
      </c>
      <c r="E303" s="4">
        <v>1486.1</v>
      </c>
      <c r="F303" s="4">
        <v>1495.4</v>
      </c>
      <c r="G303" s="4">
        <v>1496.1</v>
      </c>
      <c r="H303" s="4">
        <v>1495.7</v>
      </c>
      <c r="I303" s="4">
        <v>1497.08</v>
      </c>
      <c r="J303" s="4">
        <v>2012.2</v>
      </c>
      <c r="K303" s="4">
        <v>1302.75</v>
      </c>
      <c r="L303" s="2">
        <v>1710696</v>
      </c>
      <c r="M303" s="2">
        <v>2561046198.5999999</v>
      </c>
      <c r="N303">
        <v>86922</v>
      </c>
      <c r="O303" t="s">
        <v>17</v>
      </c>
      <c r="P303" s="8">
        <f t="shared" si="12"/>
        <v>-2.5</v>
      </c>
      <c r="Q303" t="s">
        <v>38</v>
      </c>
      <c r="R303">
        <f t="shared" si="13"/>
        <v>10</v>
      </c>
      <c r="S303" t="str">
        <f t="shared" si="14"/>
        <v>Oct</v>
      </c>
      <c r="T303" s="9">
        <f>VLOOKUP(O303, Annual_Summary!A:B, 2, 0)</f>
        <v>-0.15097152122178931</v>
      </c>
    </row>
    <row r="304" spans="1:20" x14ac:dyDescent="0.3">
      <c r="A304" s="1">
        <v>45944</v>
      </c>
      <c r="B304" t="s">
        <v>15</v>
      </c>
      <c r="C304" s="4">
        <v>1515.4</v>
      </c>
      <c r="D304" s="4">
        <v>1535</v>
      </c>
      <c r="E304" s="4">
        <v>1490.2</v>
      </c>
      <c r="F304" s="4">
        <v>1494.7</v>
      </c>
      <c r="G304" s="4">
        <v>1492</v>
      </c>
      <c r="H304" s="4">
        <v>1495.4</v>
      </c>
      <c r="I304" s="4">
        <v>1509.47</v>
      </c>
      <c r="J304" s="4">
        <v>2012.2</v>
      </c>
      <c r="K304" s="4">
        <v>1302.75</v>
      </c>
      <c r="L304" s="2">
        <v>5802489</v>
      </c>
      <c r="M304" s="2">
        <v>8758711572.1000004</v>
      </c>
      <c r="N304">
        <v>153143</v>
      </c>
      <c r="O304" t="s">
        <v>17</v>
      </c>
      <c r="P304" s="8">
        <f t="shared" si="12"/>
        <v>-20.700000000000045</v>
      </c>
      <c r="Q304" t="s">
        <v>38</v>
      </c>
      <c r="R304">
        <f t="shared" si="13"/>
        <v>10</v>
      </c>
      <c r="S304" t="str">
        <f t="shared" si="14"/>
        <v>Oct</v>
      </c>
      <c r="T304" s="9">
        <f>VLOOKUP(O304, Annual_Summary!A:B, 2, 0)</f>
        <v>-0.15097152122178931</v>
      </c>
    </row>
    <row r="305" spans="1:20" x14ac:dyDescent="0.3">
      <c r="A305" s="1">
        <v>45943</v>
      </c>
      <c r="B305" t="s">
        <v>15</v>
      </c>
      <c r="C305" s="4">
        <v>1490</v>
      </c>
      <c r="D305" s="4">
        <v>1502.2</v>
      </c>
      <c r="E305" s="4">
        <v>1476.5</v>
      </c>
      <c r="F305" s="4">
        <v>1495.5</v>
      </c>
      <c r="G305" s="4">
        <v>1494.1</v>
      </c>
      <c r="H305" s="4">
        <v>1494.7</v>
      </c>
      <c r="I305" s="4">
        <v>1489.55</v>
      </c>
      <c r="J305" s="4">
        <v>2012.2</v>
      </c>
      <c r="K305" s="4">
        <v>1302.75</v>
      </c>
      <c r="L305" s="2">
        <v>1820492</v>
      </c>
      <c r="M305" s="2">
        <v>2711717243.0999999</v>
      </c>
      <c r="N305">
        <v>63174</v>
      </c>
      <c r="O305" t="s">
        <v>17</v>
      </c>
      <c r="P305" s="8">
        <f t="shared" si="12"/>
        <v>5.5</v>
      </c>
      <c r="Q305" t="s">
        <v>38</v>
      </c>
      <c r="R305">
        <f t="shared" si="13"/>
        <v>10</v>
      </c>
      <c r="S305" t="str">
        <f t="shared" si="14"/>
        <v>Oct</v>
      </c>
      <c r="T305" s="9">
        <f>VLOOKUP(O305, Annual_Summary!A:B, 2, 0)</f>
        <v>-0.15097152122178931</v>
      </c>
    </row>
    <row r="306" spans="1:20" x14ac:dyDescent="0.3">
      <c r="A306" s="1">
        <v>45940</v>
      </c>
      <c r="B306" t="s">
        <v>15</v>
      </c>
      <c r="C306" s="4">
        <v>1491</v>
      </c>
      <c r="D306" s="4">
        <v>1498.5</v>
      </c>
      <c r="E306" s="4">
        <v>1473.9</v>
      </c>
      <c r="F306" s="4">
        <v>1486.5</v>
      </c>
      <c r="G306" s="4">
        <v>1492.8</v>
      </c>
      <c r="H306" s="4">
        <v>1495.5</v>
      </c>
      <c r="I306" s="4">
        <v>1490.52</v>
      </c>
      <c r="J306" s="4">
        <v>2012.2</v>
      </c>
      <c r="K306" s="4">
        <v>1302.75</v>
      </c>
      <c r="L306" s="2">
        <v>2129445</v>
      </c>
      <c r="M306" s="2">
        <v>3173972712.5999999</v>
      </c>
      <c r="N306">
        <v>93770</v>
      </c>
      <c r="O306" t="s">
        <v>17</v>
      </c>
      <c r="P306" s="8">
        <f t="shared" si="12"/>
        <v>-4.5</v>
      </c>
      <c r="Q306" t="s">
        <v>38</v>
      </c>
      <c r="R306">
        <f t="shared" si="13"/>
        <v>10</v>
      </c>
      <c r="S306" t="str">
        <f t="shared" si="14"/>
        <v>Oct</v>
      </c>
      <c r="T306" s="9">
        <f>VLOOKUP(O306, Annual_Summary!A:B, 2, 0)</f>
        <v>-0.15097152122178931</v>
      </c>
    </row>
    <row r="307" spans="1:20" x14ac:dyDescent="0.3">
      <c r="A307" s="1">
        <v>45939</v>
      </c>
      <c r="B307" t="s">
        <v>15</v>
      </c>
      <c r="C307" s="4">
        <v>1453.2</v>
      </c>
      <c r="D307" s="4">
        <v>1491.1</v>
      </c>
      <c r="E307" s="4">
        <v>1452.5</v>
      </c>
      <c r="F307" s="4">
        <v>1453.2</v>
      </c>
      <c r="G307" s="4">
        <v>1484.5</v>
      </c>
      <c r="H307" s="4">
        <v>1486.5</v>
      </c>
      <c r="I307" s="4">
        <v>1481.66</v>
      </c>
      <c r="J307" s="4">
        <v>2012.2</v>
      </c>
      <c r="K307" s="4">
        <v>1302.75</v>
      </c>
      <c r="L307" s="2">
        <v>2681316</v>
      </c>
      <c r="M307" s="2">
        <v>3972805972.5</v>
      </c>
      <c r="N307">
        <v>93076</v>
      </c>
      <c r="O307" t="s">
        <v>17</v>
      </c>
      <c r="P307" s="8">
        <f t="shared" si="12"/>
        <v>0</v>
      </c>
      <c r="Q307" t="s">
        <v>38</v>
      </c>
      <c r="R307">
        <f t="shared" si="13"/>
        <v>10</v>
      </c>
      <c r="S307" t="str">
        <f t="shared" si="14"/>
        <v>Oct</v>
      </c>
      <c r="T307" s="9">
        <f>VLOOKUP(O307, Annual_Summary!A:B, 2, 0)</f>
        <v>-0.15097152122178931</v>
      </c>
    </row>
    <row r="308" spans="1:20" x14ac:dyDescent="0.3">
      <c r="A308" s="1">
        <v>45938</v>
      </c>
      <c r="B308" t="s">
        <v>15</v>
      </c>
      <c r="C308" s="4">
        <v>1433.2</v>
      </c>
      <c r="D308" s="4">
        <v>1458.7</v>
      </c>
      <c r="E308" s="4">
        <v>1427.2</v>
      </c>
      <c r="F308" s="4">
        <v>1433.4</v>
      </c>
      <c r="G308" s="4">
        <v>1452.5</v>
      </c>
      <c r="H308" s="4">
        <v>1453.2</v>
      </c>
      <c r="I308" s="4">
        <v>1449.94</v>
      </c>
      <c r="J308" s="4">
        <v>2012.2</v>
      </c>
      <c r="K308" s="4">
        <v>1302.75</v>
      </c>
      <c r="L308" s="2">
        <v>1735807</v>
      </c>
      <c r="M308" s="2">
        <v>2516818477.1999998</v>
      </c>
      <c r="N308">
        <v>75825</v>
      </c>
      <c r="O308" t="s">
        <v>17</v>
      </c>
      <c r="P308" s="8">
        <f t="shared" si="12"/>
        <v>0.20000000000004547</v>
      </c>
      <c r="Q308" t="s">
        <v>38</v>
      </c>
      <c r="R308">
        <f t="shared" si="13"/>
        <v>10</v>
      </c>
      <c r="S308" t="str">
        <f t="shared" si="14"/>
        <v>Oct</v>
      </c>
      <c r="T308" s="9">
        <f>VLOOKUP(O308, Annual_Summary!A:B, 2, 0)</f>
        <v>-0.15097152122178931</v>
      </c>
    </row>
    <row r="309" spans="1:20" x14ac:dyDescent="0.3">
      <c r="A309" s="1">
        <v>45937</v>
      </c>
      <c r="B309" t="s">
        <v>15</v>
      </c>
      <c r="C309" s="4">
        <v>1422</v>
      </c>
      <c r="D309" s="4">
        <v>1441.9</v>
      </c>
      <c r="E309" s="4">
        <v>1417.2</v>
      </c>
      <c r="F309" s="4">
        <v>1417.7</v>
      </c>
      <c r="G309" s="4">
        <v>1435.5</v>
      </c>
      <c r="H309" s="4">
        <v>1433.4</v>
      </c>
      <c r="I309" s="4">
        <v>1432.33</v>
      </c>
      <c r="J309" s="4">
        <v>2012.2</v>
      </c>
      <c r="K309" s="4">
        <v>1302.75</v>
      </c>
      <c r="L309" s="2">
        <v>1592836</v>
      </c>
      <c r="M309" s="2">
        <v>2281459591.8000002</v>
      </c>
      <c r="N309">
        <v>62701</v>
      </c>
      <c r="O309" t="s">
        <v>17</v>
      </c>
      <c r="P309" s="8">
        <f t="shared" si="12"/>
        <v>-4.2999999999999545</v>
      </c>
      <c r="Q309" t="s">
        <v>38</v>
      </c>
      <c r="R309">
        <f t="shared" si="13"/>
        <v>10</v>
      </c>
      <c r="S309" t="str">
        <f t="shared" si="14"/>
        <v>Oct</v>
      </c>
      <c r="T309" s="9">
        <f>VLOOKUP(O309, Annual_Summary!A:B, 2, 0)</f>
        <v>-0.15097152122178931</v>
      </c>
    </row>
    <row r="310" spans="1:20" x14ac:dyDescent="0.3">
      <c r="A310" s="1">
        <v>45936</v>
      </c>
      <c r="B310" t="s">
        <v>15</v>
      </c>
      <c r="C310" s="4">
        <v>1393.5</v>
      </c>
      <c r="D310" s="4">
        <v>1421</v>
      </c>
      <c r="E310" s="4">
        <v>1390.8</v>
      </c>
      <c r="F310" s="4">
        <v>1393.5</v>
      </c>
      <c r="G310" s="4">
        <v>1416.9</v>
      </c>
      <c r="H310" s="4">
        <v>1417.7</v>
      </c>
      <c r="I310" s="4">
        <v>1414.89</v>
      </c>
      <c r="J310" s="4">
        <v>2012.2</v>
      </c>
      <c r="K310" s="4">
        <v>1302.75</v>
      </c>
      <c r="L310" s="2">
        <v>1970901</v>
      </c>
      <c r="M310" s="2">
        <v>2788611506.4000001</v>
      </c>
      <c r="N310">
        <v>80533</v>
      </c>
      <c r="O310" t="s">
        <v>17</v>
      </c>
      <c r="P310" s="8">
        <f t="shared" si="12"/>
        <v>0</v>
      </c>
      <c r="Q310" t="s">
        <v>38</v>
      </c>
      <c r="R310">
        <f t="shared" si="13"/>
        <v>10</v>
      </c>
      <c r="S310" t="str">
        <f t="shared" si="14"/>
        <v>Oct</v>
      </c>
      <c r="T310" s="9">
        <f>VLOOKUP(O310, Annual_Summary!A:B, 2, 0)</f>
        <v>-0.15097152122178931</v>
      </c>
    </row>
    <row r="311" spans="1:20" x14ac:dyDescent="0.3">
      <c r="A311" s="1">
        <v>45933</v>
      </c>
      <c r="B311" t="s">
        <v>15</v>
      </c>
      <c r="C311" s="4">
        <v>1396.5</v>
      </c>
      <c r="D311" s="4">
        <v>1399.8</v>
      </c>
      <c r="E311" s="4">
        <v>1380.4</v>
      </c>
      <c r="F311" s="4">
        <v>1389.5</v>
      </c>
      <c r="G311" s="4">
        <v>1392.8</v>
      </c>
      <c r="H311" s="4">
        <v>1393.5</v>
      </c>
      <c r="I311" s="4">
        <v>1389.62</v>
      </c>
      <c r="J311" s="4">
        <v>2012.2</v>
      </c>
      <c r="K311" s="4">
        <v>1302.75</v>
      </c>
      <c r="L311" s="2">
        <v>2793839</v>
      </c>
      <c r="M311" s="2">
        <v>3882364004.6999998</v>
      </c>
      <c r="N311">
        <v>83212</v>
      </c>
      <c r="O311" t="s">
        <v>17</v>
      </c>
      <c r="P311" s="8">
        <f t="shared" si="12"/>
        <v>-7</v>
      </c>
      <c r="Q311" t="s">
        <v>38</v>
      </c>
      <c r="R311">
        <f t="shared" si="13"/>
        <v>10</v>
      </c>
      <c r="S311" t="str">
        <f t="shared" si="14"/>
        <v>Oct</v>
      </c>
      <c r="T311" s="9">
        <f>VLOOKUP(O311, Annual_Summary!A:B, 2, 0)</f>
        <v>-0.15097152122178931</v>
      </c>
    </row>
    <row r="312" spans="1:20" x14ac:dyDescent="0.3">
      <c r="A312" s="1">
        <v>45931</v>
      </c>
      <c r="B312" t="s">
        <v>15</v>
      </c>
      <c r="C312" s="4">
        <v>1386.1</v>
      </c>
      <c r="D312" s="4">
        <v>1396.8</v>
      </c>
      <c r="E312" s="4">
        <v>1382</v>
      </c>
      <c r="F312" s="4">
        <v>1385.1</v>
      </c>
      <c r="G312" s="4">
        <v>1391</v>
      </c>
      <c r="H312" s="4">
        <v>1389.5</v>
      </c>
      <c r="I312" s="4">
        <v>1387.87</v>
      </c>
      <c r="J312" s="4">
        <v>2012.2</v>
      </c>
      <c r="K312" s="4">
        <v>1302.75</v>
      </c>
      <c r="L312" s="2">
        <v>2253527</v>
      </c>
      <c r="M312" s="2">
        <v>3127607459.9000001</v>
      </c>
      <c r="N312">
        <v>84091</v>
      </c>
      <c r="O312" t="s">
        <v>17</v>
      </c>
      <c r="P312" s="8">
        <f t="shared" si="12"/>
        <v>-1</v>
      </c>
      <c r="Q312" t="s">
        <v>38</v>
      </c>
      <c r="R312">
        <f t="shared" si="13"/>
        <v>10</v>
      </c>
      <c r="S312" t="str">
        <f t="shared" si="14"/>
        <v>Oct</v>
      </c>
      <c r="T312" s="9">
        <f>VLOOKUP(O312, Annual_Summary!A:B, 2, 0)</f>
        <v>-0.15097152122178931</v>
      </c>
    </row>
    <row r="313" spans="1:20" x14ac:dyDescent="0.3">
      <c r="A313" s="1">
        <v>45930</v>
      </c>
      <c r="B313" t="s">
        <v>15</v>
      </c>
      <c r="C313" s="4">
        <v>1392.1</v>
      </c>
      <c r="D313" s="4">
        <v>1405</v>
      </c>
      <c r="E313" s="4">
        <v>1381.9</v>
      </c>
      <c r="F313" s="4">
        <v>1387.4</v>
      </c>
      <c r="G313" s="4">
        <v>1385.9</v>
      </c>
      <c r="H313" s="4">
        <v>1385.1</v>
      </c>
      <c r="I313" s="4">
        <v>1391.55</v>
      </c>
      <c r="J313" s="4">
        <v>2012.2</v>
      </c>
      <c r="K313" s="4">
        <v>1302.75</v>
      </c>
      <c r="L313" s="2">
        <v>2782077</v>
      </c>
      <c r="M313" s="2">
        <v>3871398044.5999999</v>
      </c>
      <c r="N313">
        <v>102039</v>
      </c>
      <c r="O313" t="s">
        <v>17</v>
      </c>
      <c r="P313" s="8">
        <f t="shared" si="12"/>
        <v>-4.6999999999998181</v>
      </c>
      <c r="Q313" t="s">
        <v>38</v>
      </c>
      <c r="R313">
        <f t="shared" si="13"/>
        <v>9</v>
      </c>
      <c r="S313" t="str">
        <f t="shared" si="14"/>
        <v>Sep</v>
      </c>
      <c r="T313" s="9">
        <f>VLOOKUP(O313, Annual_Summary!A:B, 2, 0)</f>
        <v>-0.15097152122178931</v>
      </c>
    </row>
    <row r="314" spans="1:20" x14ac:dyDescent="0.3">
      <c r="A314" s="1">
        <v>45929</v>
      </c>
      <c r="B314" t="s">
        <v>15</v>
      </c>
      <c r="C314" s="4">
        <v>1397.1</v>
      </c>
      <c r="D314" s="4">
        <v>1402.6</v>
      </c>
      <c r="E314" s="4">
        <v>1383</v>
      </c>
      <c r="F314" s="4">
        <v>1395.3</v>
      </c>
      <c r="G314" s="4">
        <v>1388</v>
      </c>
      <c r="H314" s="4">
        <v>1387.4</v>
      </c>
      <c r="I314" s="4">
        <v>1389.77</v>
      </c>
      <c r="J314" s="4">
        <v>2012.2</v>
      </c>
      <c r="K314" s="4">
        <v>1302.75</v>
      </c>
      <c r="L314" s="2">
        <v>2990852</v>
      </c>
      <c r="M314" s="2">
        <v>4156595729.6999998</v>
      </c>
      <c r="N314">
        <v>104613</v>
      </c>
      <c r="O314" t="s">
        <v>17</v>
      </c>
      <c r="P314" s="8">
        <f t="shared" si="12"/>
        <v>-1.7999999999999545</v>
      </c>
      <c r="Q314" t="s">
        <v>38</v>
      </c>
      <c r="R314">
        <f t="shared" si="13"/>
        <v>9</v>
      </c>
      <c r="S314" t="str">
        <f t="shared" si="14"/>
        <v>Sep</v>
      </c>
      <c r="T314" s="9">
        <f>VLOOKUP(O314, Annual_Summary!A:B, 2, 0)</f>
        <v>-0.15097152122178931</v>
      </c>
    </row>
    <row r="315" spans="1:20" x14ac:dyDescent="0.3">
      <c r="A315" s="1">
        <v>45926</v>
      </c>
      <c r="B315" t="s">
        <v>15</v>
      </c>
      <c r="C315" s="4">
        <v>1420</v>
      </c>
      <c r="D315" s="4">
        <v>1426.5</v>
      </c>
      <c r="E315" s="4">
        <v>1392</v>
      </c>
      <c r="F315" s="4">
        <v>1423.8</v>
      </c>
      <c r="G315" s="4">
        <v>1395.1</v>
      </c>
      <c r="H315" s="4">
        <v>1395.3</v>
      </c>
      <c r="I315" s="4">
        <v>1399.93</v>
      </c>
      <c r="J315" s="4">
        <v>2012.2</v>
      </c>
      <c r="K315" s="4">
        <v>1302.75</v>
      </c>
      <c r="L315" s="2">
        <v>2568054</v>
      </c>
      <c r="M315" s="2">
        <v>3595094521.8000002</v>
      </c>
      <c r="N315">
        <v>103184</v>
      </c>
      <c r="O315" t="s">
        <v>17</v>
      </c>
      <c r="P315" s="8">
        <f t="shared" si="12"/>
        <v>3.7999999999999545</v>
      </c>
      <c r="Q315" t="s">
        <v>38</v>
      </c>
      <c r="R315">
        <f t="shared" si="13"/>
        <v>9</v>
      </c>
      <c r="S315" t="str">
        <f t="shared" si="14"/>
        <v>Sep</v>
      </c>
      <c r="T315" s="9">
        <f>VLOOKUP(O315, Annual_Summary!A:B, 2, 0)</f>
        <v>-0.15097152122178931</v>
      </c>
    </row>
    <row r="316" spans="1:20" x14ac:dyDescent="0.3">
      <c r="A316" s="1">
        <v>45925</v>
      </c>
      <c r="B316" t="s">
        <v>15</v>
      </c>
      <c r="C316" s="4">
        <v>1440.2</v>
      </c>
      <c r="D316" s="4">
        <v>1442.5</v>
      </c>
      <c r="E316" s="4">
        <v>1416</v>
      </c>
      <c r="F316" s="4">
        <v>1442.3</v>
      </c>
      <c r="G316" s="4">
        <v>1427.4</v>
      </c>
      <c r="H316" s="4">
        <v>1423.8</v>
      </c>
      <c r="I316" s="4">
        <v>1424.63</v>
      </c>
      <c r="J316" s="4">
        <v>2012.2</v>
      </c>
      <c r="K316" s="4">
        <v>1302.75</v>
      </c>
      <c r="L316" s="2">
        <v>2713246</v>
      </c>
      <c r="M316" s="2">
        <v>3865379487.8000002</v>
      </c>
      <c r="N316">
        <v>103007</v>
      </c>
      <c r="O316" t="s">
        <v>17</v>
      </c>
      <c r="P316" s="8">
        <f t="shared" si="12"/>
        <v>2.0999999999999091</v>
      </c>
      <c r="Q316" t="s">
        <v>38</v>
      </c>
      <c r="R316">
        <f t="shared" si="13"/>
        <v>9</v>
      </c>
      <c r="S316" t="str">
        <f t="shared" si="14"/>
        <v>Sep</v>
      </c>
      <c r="T316" s="9">
        <f>VLOOKUP(O316, Annual_Summary!A:B, 2, 0)</f>
        <v>-0.15097152122178931</v>
      </c>
    </row>
    <row r="317" spans="1:20" x14ac:dyDescent="0.3">
      <c r="A317" s="1">
        <v>45924</v>
      </c>
      <c r="B317" t="s">
        <v>15</v>
      </c>
      <c r="C317" s="4">
        <v>1425.1</v>
      </c>
      <c r="D317" s="4">
        <v>1444.7</v>
      </c>
      <c r="E317" s="4">
        <v>1420</v>
      </c>
      <c r="F317" s="4">
        <v>1429.8</v>
      </c>
      <c r="G317" s="4">
        <v>1440.2</v>
      </c>
      <c r="H317" s="4">
        <v>1442.3</v>
      </c>
      <c r="I317" s="4">
        <v>1437.54</v>
      </c>
      <c r="J317" s="4">
        <v>2012.2</v>
      </c>
      <c r="K317" s="4">
        <v>1302.75</v>
      </c>
      <c r="L317" s="2">
        <v>2894044</v>
      </c>
      <c r="M317" s="2">
        <v>4160304912.3000002</v>
      </c>
      <c r="N317">
        <v>117797</v>
      </c>
      <c r="O317" t="s">
        <v>17</v>
      </c>
      <c r="P317" s="8">
        <f t="shared" si="12"/>
        <v>4.7000000000000455</v>
      </c>
      <c r="Q317" t="s">
        <v>38</v>
      </c>
      <c r="R317">
        <f t="shared" si="13"/>
        <v>9</v>
      </c>
      <c r="S317" t="str">
        <f t="shared" si="14"/>
        <v>Sep</v>
      </c>
      <c r="T317" s="9">
        <f>VLOOKUP(O317, Annual_Summary!A:B, 2, 0)</f>
        <v>-0.15097152122178931</v>
      </c>
    </row>
    <row r="318" spans="1:20" x14ac:dyDescent="0.3">
      <c r="A318" s="1">
        <v>45923</v>
      </c>
      <c r="B318" t="s">
        <v>15</v>
      </c>
      <c r="C318" s="4">
        <v>1444.2</v>
      </c>
      <c r="D318" s="4">
        <v>1444.2</v>
      </c>
      <c r="E318" s="4">
        <v>1420.4</v>
      </c>
      <c r="F318" s="4">
        <v>1439.9</v>
      </c>
      <c r="G318" s="4">
        <v>1431.4</v>
      </c>
      <c r="H318" s="4">
        <v>1429.8</v>
      </c>
      <c r="I318" s="4">
        <v>1429.61</v>
      </c>
      <c r="J318" s="4">
        <v>2012.2</v>
      </c>
      <c r="K318" s="4">
        <v>1302.75</v>
      </c>
      <c r="L318" s="2">
        <v>3106480</v>
      </c>
      <c r="M318" s="2">
        <v>4441066491.5</v>
      </c>
      <c r="N318">
        <v>105156</v>
      </c>
      <c r="O318" t="s">
        <v>17</v>
      </c>
      <c r="P318" s="8">
        <f t="shared" si="12"/>
        <v>-4.2999999999999545</v>
      </c>
      <c r="Q318" t="s">
        <v>38</v>
      </c>
      <c r="R318">
        <f t="shared" si="13"/>
        <v>9</v>
      </c>
      <c r="S318" t="str">
        <f t="shared" si="14"/>
        <v>Sep</v>
      </c>
      <c r="T318" s="9">
        <f>VLOOKUP(O318, Annual_Summary!A:B, 2, 0)</f>
        <v>-0.15097152122178931</v>
      </c>
    </row>
    <row r="319" spans="1:20" x14ac:dyDescent="0.3">
      <c r="A319" s="1">
        <v>45922</v>
      </c>
      <c r="B319" t="s">
        <v>15</v>
      </c>
      <c r="C319" s="4">
        <v>1423</v>
      </c>
      <c r="D319" s="4">
        <v>1449.2</v>
      </c>
      <c r="E319" s="4">
        <v>1415</v>
      </c>
      <c r="F319" s="4">
        <v>1467.4</v>
      </c>
      <c r="G319" s="4">
        <v>1442</v>
      </c>
      <c r="H319" s="4">
        <v>1439.9</v>
      </c>
      <c r="I319" s="4">
        <v>1438.15</v>
      </c>
      <c r="J319" s="4">
        <v>2012.2</v>
      </c>
      <c r="K319" s="4">
        <v>1302.75</v>
      </c>
      <c r="L319" s="2">
        <v>4457129</v>
      </c>
      <c r="M319" s="2">
        <v>6410038721.6999998</v>
      </c>
      <c r="N319">
        <v>194507</v>
      </c>
      <c r="O319" t="s">
        <v>17</v>
      </c>
      <c r="P319" s="8">
        <f t="shared" si="12"/>
        <v>44.400000000000091</v>
      </c>
      <c r="Q319" t="s">
        <v>38</v>
      </c>
      <c r="R319">
        <f t="shared" si="13"/>
        <v>9</v>
      </c>
      <c r="S319" t="str">
        <f t="shared" si="14"/>
        <v>Sep</v>
      </c>
      <c r="T319" s="9">
        <f>VLOOKUP(O319, Annual_Summary!A:B, 2, 0)</f>
        <v>-0.15097152122178931</v>
      </c>
    </row>
    <row r="320" spans="1:20" x14ac:dyDescent="0.3">
      <c r="A320" s="1">
        <v>45919</v>
      </c>
      <c r="B320" t="s">
        <v>15</v>
      </c>
      <c r="C320" s="4">
        <v>1493.8</v>
      </c>
      <c r="D320" s="4">
        <v>1493.8</v>
      </c>
      <c r="E320" s="4">
        <v>1464</v>
      </c>
      <c r="F320" s="4">
        <v>1493.8</v>
      </c>
      <c r="G320" s="4">
        <v>1470</v>
      </c>
      <c r="H320" s="4">
        <v>1467.4</v>
      </c>
      <c r="I320" s="4">
        <v>1470.86</v>
      </c>
      <c r="J320" s="4">
        <v>2012.2</v>
      </c>
      <c r="K320" s="4">
        <v>1302.75</v>
      </c>
      <c r="L320" s="2">
        <v>3197957</v>
      </c>
      <c r="M320" s="2">
        <v>4703762937.1000004</v>
      </c>
      <c r="N320">
        <v>76807</v>
      </c>
      <c r="O320" t="s">
        <v>17</v>
      </c>
      <c r="P320" s="8">
        <f t="shared" si="12"/>
        <v>0</v>
      </c>
      <c r="Q320" t="s">
        <v>38</v>
      </c>
      <c r="R320">
        <f t="shared" si="13"/>
        <v>9</v>
      </c>
      <c r="S320" t="str">
        <f t="shared" si="14"/>
        <v>Sep</v>
      </c>
      <c r="T320" s="9">
        <f>VLOOKUP(O320, Annual_Summary!A:B, 2, 0)</f>
        <v>-0.15097152122178931</v>
      </c>
    </row>
    <row r="321" spans="1:20" x14ac:dyDescent="0.3">
      <c r="A321" s="1">
        <v>45918</v>
      </c>
      <c r="B321" t="s">
        <v>15</v>
      </c>
      <c r="C321" s="4">
        <v>1492.6</v>
      </c>
      <c r="D321" s="4">
        <v>1502.9</v>
      </c>
      <c r="E321" s="4">
        <v>1486.1</v>
      </c>
      <c r="F321" s="4">
        <v>1481.5</v>
      </c>
      <c r="G321" s="4">
        <v>1491.9</v>
      </c>
      <c r="H321" s="4">
        <v>1493.8</v>
      </c>
      <c r="I321" s="4">
        <v>1494.93</v>
      </c>
      <c r="J321" s="4">
        <v>2012.2</v>
      </c>
      <c r="K321" s="4">
        <v>1302.75</v>
      </c>
      <c r="L321" s="2">
        <v>2792406</v>
      </c>
      <c r="M321" s="2">
        <v>4174450282.0999999</v>
      </c>
      <c r="N321">
        <v>85648</v>
      </c>
      <c r="O321" t="s">
        <v>17</v>
      </c>
      <c r="P321" s="8">
        <f t="shared" si="12"/>
        <v>-11.099999999999909</v>
      </c>
      <c r="Q321" t="s">
        <v>38</v>
      </c>
      <c r="R321">
        <f t="shared" si="13"/>
        <v>9</v>
      </c>
      <c r="S321" t="str">
        <f t="shared" si="14"/>
        <v>Sep</v>
      </c>
      <c r="T321" s="9">
        <f>VLOOKUP(O321, Annual_Summary!A:B, 2, 0)</f>
        <v>-0.15097152122178931</v>
      </c>
    </row>
    <row r="322" spans="1:20" x14ac:dyDescent="0.3">
      <c r="A322" s="1">
        <v>45917</v>
      </c>
      <c r="B322" t="s">
        <v>15</v>
      </c>
      <c r="C322" s="4">
        <v>1490.8</v>
      </c>
      <c r="D322" s="4">
        <v>1499</v>
      </c>
      <c r="E322" s="4">
        <v>1475.3</v>
      </c>
      <c r="F322" s="4">
        <v>1483.1</v>
      </c>
      <c r="G322" s="4">
        <v>1480.6</v>
      </c>
      <c r="H322" s="4">
        <v>1481.5</v>
      </c>
      <c r="I322" s="4">
        <v>1486.66</v>
      </c>
      <c r="J322" s="4">
        <v>2012.2</v>
      </c>
      <c r="K322" s="4">
        <v>1302.75</v>
      </c>
      <c r="L322" s="2">
        <v>2656774</v>
      </c>
      <c r="M322" s="2">
        <v>3949730390.5</v>
      </c>
      <c r="N322">
        <v>86652</v>
      </c>
      <c r="O322" t="s">
        <v>17</v>
      </c>
      <c r="P322" s="8">
        <f t="shared" si="12"/>
        <v>-7.7000000000000455</v>
      </c>
      <c r="Q322" t="s">
        <v>38</v>
      </c>
      <c r="R322">
        <f t="shared" si="13"/>
        <v>9</v>
      </c>
      <c r="S322" t="str">
        <f t="shared" si="14"/>
        <v>Sep</v>
      </c>
      <c r="T322" s="9">
        <f>VLOOKUP(O322, Annual_Summary!A:B, 2, 0)</f>
        <v>-0.15097152122178931</v>
      </c>
    </row>
    <row r="323" spans="1:20" x14ac:dyDescent="0.3">
      <c r="A323" s="1">
        <v>45916</v>
      </c>
      <c r="B323" t="s">
        <v>15</v>
      </c>
      <c r="C323" s="4">
        <v>1463.9</v>
      </c>
      <c r="D323" s="4">
        <v>1485.2</v>
      </c>
      <c r="E323" s="4">
        <v>1461.1</v>
      </c>
      <c r="F323" s="4">
        <v>1466.5</v>
      </c>
      <c r="G323" s="4">
        <v>1483</v>
      </c>
      <c r="H323" s="4">
        <v>1483.1</v>
      </c>
      <c r="I323" s="4">
        <v>1474.82</v>
      </c>
      <c r="J323" s="4">
        <v>2012.2</v>
      </c>
      <c r="K323" s="4">
        <v>1302.75</v>
      </c>
      <c r="L323" s="2">
        <v>1724524</v>
      </c>
      <c r="M323" s="2">
        <v>2543354258.8000002</v>
      </c>
      <c r="N323">
        <v>50634</v>
      </c>
      <c r="O323" t="s">
        <v>17</v>
      </c>
      <c r="P323" s="8">
        <f t="shared" ref="P323:P386" si="15">F323-C323</f>
        <v>2.5999999999999091</v>
      </c>
      <c r="Q323" t="s">
        <v>38</v>
      </c>
      <c r="R323">
        <f t="shared" ref="R323:R386" si="16">MONTH(A323)</f>
        <v>9</v>
      </c>
      <c r="S323" t="str">
        <f t="shared" ref="S323:S386" si="17">TEXT(A323,"mmm")</f>
        <v>Sep</v>
      </c>
      <c r="T323" s="9">
        <f>VLOOKUP(O323, Annual_Summary!A:B, 2, 0)</f>
        <v>-0.15097152122178931</v>
      </c>
    </row>
    <row r="324" spans="1:20" x14ac:dyDescent="0.3">
      <c r="A324" s="1">
        <v>45915</v>
      </c>
      <c r="B324" t="s">
        <v>15</v>
      </c>
      <c r="C324" s="4">
        <v>1467.2</v>
      </c>
      <c r="D324" s="4">
        <v>1468.3</v>
      </c>
      <c r="E324" s="4">
        <v>1452</v>
      </c>
      <c r="F324" s="4">
        <v>1467.2</v>
      </c>
      <c r="G324" s="4">
        <v>1465.4</v>
      </c>
      <c r="H324" s="4">
        <v>1466.5</v>
      </c>
      <c r="I324" s="4">
        <v>1461.11</v>
      </c>
      <c r="J324" s="4">
        <v>2012.2</v>
      </c>
      <c r="K324" s="4">
        <v>1302.75</v>
      </c>
      <c r="L324" s="2">
        <v>1725617</v>
      </c>
      <c r="M324" s="2">
        <v>2521324464.3000002</v>
      </c>
      <c r="N324">
        <v>47559</v>
      </c>
      <c r="O324" t="s">
        <v>17</v>
      </c>
      <c r="P324" s="8">
        <f t="shared" si="15"/>
        <v>0</v>
      </c>
      <c r="Q324" t="s">
        <v>38</v>
      </c>
      <c r="R324">
        <f t="shared" si="16"/>
        <v>9</v>
      </c>
      <c r="S324" t="str">
        <f t="shared" si="17"/>
        <v>Sep</v>
      </c>
      <c r="T324" s="9">
        <f>VLOOKUP(O324, Annual_Summary!A:B, 2, 0)</f>
        <v>-0.15097152122178931</v>
      </c>
    </row>
    <row r="325" spans="1:20" x14ac:dyDescent="0.3">
      <c r="A325" s="1">
        <v>45912</v>
      </c>
      <c r="B325" t="s">
        <v>15</v>
      </c>
      <c r="C325" s="4">
        <v>1475</v>
      </c>
      <c r="D325" s="4">
        <v>1480</v>
      </c>
      <c r="E325" s="4">
        <v>1463</v>
      </c>
      <c r="F325" s="4">
        <v>1467.7</v>
      </c>
      <c r="G325" s="4">
        <v>1466</v>
      </c>
      <c r="H325" s="4">
        <v>1467.2</v>
      </c>
      <c r="I325" s="4">
        <v>1467.45</v>
      </c>
      <c r="J325" s="4">
        <v>2012.2</v>
      </c>
      <c r="K325" s="4">
        <v>1302.75</v>
      </c>
      <c r="L325" s="2">
        <v>2110883</v>
      </c>
      <c r="M325" s="2">
        <v>3097622960.5999999</v>
      </c>
      <c r="N325">
        <v>63606</v>
      </c>
      <c r="O325" t="s">
        <v>17</v>
      </c>
      <c r="P325" s="8">
        <f t="shared" si="15"/>
        <v>-7.2999999999999545</v>
      </c>
      <c r="Q325" t="s">
        <v>38</v>
      </c>
      <c r="R325">
        <f t="shared" si="16"/>
        <v>9</v>
      </c>
      <c r="S325" t="str">
        <f t="shared" si="17"/>
        <v>Sep</v>
      </c>
      <c r="T325" s="9">
        <f>VLOOKUP(O325, Annual_Summary!A:B, 2, 0)</f>
        <v>-0.15097152122178931</v>
      </c>
    </row>
    <row r="326" spans="1:20" x14ac:dyDescent="0.3">
      <c r="A326" s="1">
        <v>45911</v>
      </c>
      <c r="B326" t="s">
        <v>15</v>
      </c>
      <c r="C326" s="4">
        <v>1463.9</v>
      </c>
      <c r="D326" s="4">
        <v>1470.4</v>
      </c>
      <c r="E326" s="4">
        <v>1458.3</v>
      </c>
      <c r="F326" s="4">
        <v>1463.9</v>
      </c>
      <c r="G326" s="4">
        <v>1468.3</v>
      </c>
      <c r="H326" s="4">
        <v>1467.7</v>
      </c>
      <c r="I326" s="4">
        <v>1464.18</v>
      </c>
      <c r="J326" s="4">
        <v>2012.2</v>
      </c>
      <c r="K326" s="4">
        <v>1302.75</v>
      </c>
      <c r="L326" s="2">
        <v>1982922</v>
      </c>
      <c r="M326" s="2">
        <v>2903348006.5999999</v>
      </c>
      <c r="N326">
        <v>104762</v>
      </c>
      <c r="O326" t="s">
        <v>17</v>
      </c>
      <c r="P326" s="8">
        <f t="shared" si="15"/>
        <v>0</v>
      </c>
      <c r="Q326" t="s">
        <v>38</v>
      </c>
      <c r="R326">
        <f t="shared" si="16"/>
        <v>9</v>
      </c>
      <c r="S326" t="str">
        <f t="shared" si="17"/>
        <v>Sep</v>
      </c>
      <c r="T326" s="9">
        <f>VLOOKUP(O326, Annual_Summary!A:B, 2, 0)</f>
        <v>-0.15097152122178931</v>
      </c>
    </row>
    <row r="327" spans="1:20" x14ac:dyDescent="0.3">
      <c r="A327" s="1">
        <v>45910</v>
      </c>
      <c r="B327" t="s">
        <v>15</v>
      </c>
      <c r="C327" s="4">
        <v>1434.9</v>
      </c>
      <c r="D327" s="4">
        <v>1471.9</v>
      </c>
      <c r="E327" s="4">
        <v>1432.1</v>
      </c>
      <c r="F327" s="4">
        <v>1427.1</v>
      </c>
      <c r="G327" s="4">
        <v>1464.2</v>
      </c>
      <c r="H327" s="4">
        <v>1463.9</v>
      </c>
      <c r="I327" s="4">
        <v>1462.85</v>
      </c>
      <c r="J327" s="4">
        <v>2012.2</v>
      </c>
      <c r="K327" s="4">
        <v>1302.75</v>
      </c>
      <c r="L327" s="2">
        <v>3205017</v>
      </c>
      <c r="M327" s="2">
        <v>4688445299.6000004</v>
      </c>
      <c r="N327">
        <v>108930</v>
      </c>
      <c r="O327" t="s">
        <v>17</v>
      </c>
      <c r="P327" s="8">
        <f t="shared" si="15"/>
        <v>-7.8000000000001819</v>
      </c>
      <c r="Q327" t="s">
        <v>38</v>
      </c>
      <c r="R327">
        <f t="shared" si="16"/>
        <v>9</v>
      </c>
      <c r="S327" t="str">
        <f t="shared" si="17"/>
        <v>Sep</v>
      </c>
      <c r="T327" s="9">
        <f>VLOOKUP(O327, Annual_Summary!A:B, 2, 0)</f>
        <v>-0.15097152122178931</v>
      </c>
    </row>
    <row r="328" spans="1:20" x14ac:dyDescent="0.3">
      <c r="A328" s="1">
        <v>45909</v>
      </c>
      <c r="B328" t="s">
        <v>15</v>
      </c>
      <c r="C328" s="4">
        <v>1410.2</v>
      </c>
      <c r="D328" s="4">
        <v>1431.8</v>
      </c>
      <c r="E328" s="4">
        <v>1409.1</v>
      </c>
      <c r="F328" s="4">
        <v>1403</v>
      </c>
      <c r="G328" s="4">
        <v>1425</v>
      </c>
      <c r="H328" s="4">
        <v>1427.1</v>
      </c>
      <c r="I328" s="4">
        <v>1424.97</v>
      </c>
      <c r="J328" s="4">
        <v>2012.2</v>
      </c>
      <c r="K328" s="4">
        <v>1302.75</v>
      </c>
      <c r="L328" s="2">
        <v>2906889</v>
      </c>
      <c r="M328" s="2">
        <v>4142226337.0999999</v>
      </c>
      <c r="N328">
        <v>120265</v>
      </c>
      <c r="O328" t="s">
        <v>17</v>
      </c>
      <c r="P328" s="8">
        <f t="shared" si="15"/>
        <v>-7.2000000000000455</v>
      </c>
      <c r="Q328" t="s">
        <v>38</v>
      </c>
      <c r="R328">
        <f t="shared" si="16"/>
        <v>9</v>
      </c>
      <c r="S328" t="str">
        <f t="shared" si="17"/>
        <v>Sep</v>
      </c>
      <c r="T328" s="9">
        <f>VLOOKUP(O328, Annual_Summary!A:B, 2, 0)</f>
        <v>-0.15097152122178931</v>
      </c>
    </row>
    <row r="329" spans="1:20" x14ac:dyDescent="0.3">
      <c r="A329" s="1">
        <v>45908</v>
      </c>
      <c r="B329" t="s">
        <v>15</v>
      </c>
      <c r="C329" s="4">
        <v>1423.9</v>
      </c>
      <c r="D329" s="4">
        <v>1428.6</v>
      </c>
      <c r="E329" s="4">
        <v>1401</v>
      </c>
      <c r="F329" s="4">
        <v>1419</v>
      </c>
      <c r="G329" s="4">
        <v>1403.3</v>
      </c>
      <c r="H329" s="4">
        <v>1403</v>
      </c>
      <c r="I329" s="4">
        <v>1412.11</v>
      </c>
      <c r="J329" s="4">
        <v>2012.2</v>
      </c>
      <c r="K329" s="4">
        <v>1302.75</v>
      </c>
      <c r="L329" s="2">
        <v>2929976</v>
      </c>
      <c r="M329" s="2">
        <v>4137443516</v>
      </c>
      <c r="N329">
        <v>82764</v>
      </c>
      <c r="O329" t="s">
        <v>17</v>
      </c>
      <c r="P329" s="8">
        <f t="shared" si="15"/>
        <v>-4.9000000000000909</v>
      </c>
      <c r="Q329" t="s">
        <v>38</v>
      </c>
      <c r="R329">
        <f t="shared" si="16"/>
        <v>9</v>
      </c>
      <c r="S329" t="str">
        <f t="shared" si="17"/>
        <v>Sep</v>
      </c>
      <c r="T329" s="9">
        <f>VLOOKUP(O329, Annual_Summary!A:B, 2, 0)</f>
        <v>-0.15097152122178931</v>
      </c>
    </row>
    <row r="330" spans="1:20" x14ac:dyDescent="0.3">
      <c r="A330" s="1">
        <v>45905</v>
      </c>
      <c r="B330" t="s">
        <v>15</v>
      </c>
      <c r="C330" s="4">
        <v>1448</v>
      </c>
      <c r="D330" s="4">
        <v>1452.3</v>
      </c>
      <c r="E330" s="4">
        <v>1402.8</v>
      </c>
      <c r="F330" s="4">
        <v>1443.3</v>
      </c>
      <c r="G330" s="4">
        <v>1420.1</v>
      </c>
      <c r="H330" s="4">
        <v>1419</v>
      </c>
      <c r="I330" s="4">
        <v>1423.2</v>
      </c>
      <c r="J330" s="4">
        <v>2012.2</v>
      </c>
      <c r="K330" s="4">
        <v>1302.75</v>
      </c>
      <c r="L330" s="2">
        <v>3895199</v>
      </c>
      <c r="M330" s="2">
        <v>5543657851.1999998</v>
      </c>
      <c r="N330">
        <v>174752</v>
      </c>
      <c r="O330" t="s">
        <v>17</v>
      </c>
      <c r="P330" s="8">
        <f t="shared" si="15"/>
        <v>-4.7000000000000455</v>
      </c>
      <c r="Q330" t="s">
        <v>38</v>
      </c>
      <c r="R330">
        <f t="shared" si="16"/>
        <v>9</v>
      </c>
      <c r="S330" t="str">
        <f t="shared" si="17"/>
        <v>Sep</v>
      </c>
      <c r="T330" s="9">
        <f>VLOOKUP(O330, Annual_Summary!A:B, 2, 0)</f>
        <v>-0.15097152122178931</v>
      </c>
    </row>
    <row r="331" spans="1:20" x14ac:dyDescent="0.3">
      <c r="A331" s="1">
        <v>45904</v>
      </c>
      <c r="B331" t="s">
        <v>15</v>
      </c>
      <c r="C331" s="4">
        <v>1465.1</v>
      </c>
      <c r="D331" s="4">
        <v>1465.9</v>
      </c>
      <c r="E331" s="4">
        <v>1440.9</v>
      </c>
      <c r="F331" s="4">
        <v>1466.1</v>
      </c>
      <c r="G331" s="4">
        <v>1444.2</v>
      </c>
      <c r="H331" s="4">
        <v>1443.3</v>
      </c>
      <c r="I331" s="4">
        <v>1452.76</v>
      </c>
      <c r="J331" s="4">
        <v>2012.2</v>
      </c>
      <c r="K331" s="4">
        <v>1302.75</v>
      </c>
      <c r="L331" s="2">
        <v>2192155</v>
      </c>
      <c r="M331" s="2">
        <v>3184676714.6999998</v>
      </c>
      <c r="N331">
        <v>140871</v>
      </c>
      <c r="O331" t="s">
        <v>17</v>
      </c>
      <c r="P331" s="8">
        <f t="shared" si="15"/>
        <v>1</v>
      </c>
      <c r="Q331" t="s">
        <v>38</v>
      </c>
      <c r="R331">
        <f t="shared" si="16"/>
        <v>9</v>
      </c>
      <c r="S331" t="str">
        <f t="shared" si="17"/>
        <v>Sep</v>
      </c>
      <c r="T331" s="9">
        <f>VLOOKUP(O331, Annual_Summary!A:B, 2, 0)</f>
        <v>-0.15097152122178931</v>
      </c>
    </row>
    <row r="332" spans="1:20" x14ac:dyDescent="0.3">
      <c r="A332" s="1">
        <v>45903</v>
      </c>
      <c r="B332" t="s">
        <v>15</v>
      </c>
      <c r="C332" s="4">
        <v>1475</v>
      </c>
      <c r="D332" s="4">
        <v>1475</v>
      </c>
      <c r="E332" s="4">
        <v>1452.6</v>
      </c>
      <c r="F332" s="4">
        <v>1465.7</v>
      </c>
      <c r="G332" s="4">
        <v>1465.2</v>
      </c>
      <c r="H332" s="4">
        <v>1466.1</v>
      </c>
      <c r="I332" s="4">
        <v>1460.87</v>
      </c>
      <c r="J332" s="4">
        <v>2012.2</v>
      </c>
      <c r="K332" s="4">
        <v>1302.75</v>
      </c>
      <c r="L332" s="2">
        <v>1800307</v>
      </c>
      <c r="M332" s="2">
        <v>2630020249.1999998</v>
      </c>
      <c r="N332">
        <v>67692</v>
      </c>
      <c r="O332" t="s">
        <v>17</v>
      </c>
      <c r="P332" s="8">
        <f t="shared" si="15"/>
        <v>-9.2999999999999545</v>
      </c>
      <c r="Q332" t="s">
        <v>38</v>
      </c>
      <c r="R332">
        <f t="shared" si="16"/>
        <v>9</v>
      </c>
      <c r="S332" t="str">
        <f t="shared" si="17"/>
        <v>Sep</v>
      </c>
      <c r="T332" s="9">
        <f>VLOOKUP(O332, Annual_Summary!A:B, 2, 0)</f>
        <v>-0.15097152122178931</v>
      </c>
    </row>
    <row r="333" spans="1:20" x14ac:dyDescent="0.3">
      <c r="A333" s="1">
        <v>45902</v>
      </c>
      <c r="B333" t="s">
        <v>15</v>
      </c>
      <c r="C333" s="4">
        <v>1469</v>
      </c>
      <c r="D333" s="4">
        <v>1477.4</v>
      </c>
      <c r="E333" s="4">
        <v>1459.7</v>
      </c>
      <c r="F333" s="4">
        <v>1468.4</v>
      </c>
      <c r="G333" s="4">
        <v>1465</v>
      </c>
      <c r="H333" s="4">
        <v>1465.7</v>
      </c>
      <c r="I333" s="4">
        <v>1467.23</v>
      </c>
      <c r="J333" s="4">
        <v>2012.2</v>
      </c>
      <c r="K333" s="4">
        <v>1302.75</v>
      </c>
      <c r="L333" s="2">
        <v>1295198</v>
      </c>
      <c r="M333" s="2">
        <v>1900348772.3</v>
      </c>
      <c r="N333">
        <v>68937</v>
      </c>
      <c r="O333" t="s">
        <v>17</v>
      </c>
      <c r="P333" s="8">
        <f t="shared" si="15"/>
        <v>-0.59999999999990905</v>
      </c>
      <c r="Q333" t="s">
        <v>38</v>
      </c>
      <c r="R333">
        <f t="shared" si="16"/>
        <v>9</v>
      </c>
      <c r="S333" t="str">
        <f t="shared" si="17"/>
        <v>Sep</v>
      </c>
      <c r="T333" s="9">
        <f>VLOOKUP(O333, Annual_Summary!A:B, 2, 0)</f>
        <v>-0.15097152122178931</v>
      </c>
    </row>
    <row r="334" spans="1:20" x14ac:dyDescent="0.3">
      <c r="A334" s="1">
        <v>45901</v>
      </c>
      <c r="B334" t="s">
        <v>15</v>
      </c>
      <c r="C334" s="4">
        <v>1446</v>
      </c>
      <c r="D334" s="4">
        <v>1472.5</v>
      </c>
      <c r="E334" s="4">
        <v>1446</v>
      </c>
      <c r="F334" s="4">
        <v>1454.8</v>
      </c>
      <c r="G334" s="4">
        <v>1469</v>
      </c>
      <c r="H334" s="4">
        <v>1468.4</v>
      </c>
      <c r="I334" s="4">
        <v>1466.84</v>
      </c>
      <c r="J334" s="4">
        <v>2012.2</v>
      </c>
      <c r="K334" s="4">
        <v>1302.75</v>
      </c>
      <c r="L334" s="2">
        <v>2105254</v>
      </c>
      <c r="M334" s="2">
        <v>3088075836.5</v>
      </c>
      <c r="N334">
        <v>70246</v>
      </c>
      <c r="O334" t="s">
        <v>17</v>
      </c>
      <c r="P334" s="8">
        <f t="shared" si="15"/>
        <v>8.7999999999999545</v>
      </c>
      <c r="Q334" t="s">
        <v>38</v>
      </c>
      <c r="R334">
        <f t="shared" si="16"/>
        <v>9</v>
      </c>
      <c r="S334" t="str">
        <f t="shared" si="17"/>
        <v>Sep</v>
      </c>
      <c r="T334" s="9">
        <f>VLOOKUP(O334, Annual_Summary!A:B, 2, 0)</f>
        <v>-0.15097152122178931</v>
      </c>
    </row>
    <row r="335" spans="1:20" x14ac:dyDescent="0.3">
      <c r="A335" s="1">
        <v>45898</v>
      </c>
      <c r="B335" t="s">
        <v>15</v>
      </c>
      <c r="C335" s="4">
        <v>1449.8</v>
      </c>
      <c r="D335" s="4">
        <v>1462.6</v>
      </c>
      <c r="E335" s="4">
        <v>1439.2</v>
      </c>
      <c r="F335" s="4">
        <v>1449.8</v>
      </c>
      <c r="G335" s="4">
        <v>1453.7</v>
      </c>
      <c r="H335" s="4">
        <v>1454.8</v>
      </c>
      <c r="I335" s="4">
        <v>1455.83</v>
      </c>
      <c r="J335" s="4">
        <v>2012.2</v>
      </c>
      <c r="K335" s="4">
        <v>1302.75</v>
      </c>
      <c r="L335" s="2">
        <v>3404604</v>
      </c>
      <c r="M335" s="2">
        <v>4956533680.8000002</v>
      </c>
      <c r="N335">
        <v>82963</v>
      </c>
      <c r="O335" t="s">
        <v>17</v>
      </c>
      <c r="P335" s="8">
        <f t="shared" si="15"/>
        <v>0</v>
      </c>
      <c r="Q335" t="s">
        <v>38</v>
      </c>
      <c r="R335">
        <f t="shared" si="16"/>
        <v>8</v>
      </c>
      <c r="S335" t="str">
        <f t="shared" si="17"/>
        <v>Aug</v>
      </c>
      <c r="T335" s="9">
        <f>VLOOKUP(O335, Annual_Summary!A:B, 2, 0)</f>
        <v>-0.15097152122178931</v>
      </c>
    </row>
    <row r="336" spans="1:20" x14ac:dyDescent="0.3">
      <c r="A336" s="1">
        <v>45897</v>
      </c>
      <c r="B336" t="s">
        <v>15</v>
      </c>
      <c r="C336" s="4">
        <v>1488</v>
      </c>
      <c r="D336" s="4">
        <v>1488</v>
      </c>
      <c r="E336" s="4">
        <v>1446</v>
      </c>
      <c r="F336" s="4">
        <v>1492.8</v>
      </c>
      <c r="G336" s="4">
        <v>1450.2</v>
      </c>
      <c r="H336" s="4">
        <v>1449.8</v>
      </c>
      <c r="I336" s="4">
        <v>1457.19</v>
      </c>
      <c r="J336" s="4">
        <v>2012.2</v>
      </c>
      <c r="K336" s="4">
        <v>1302.75</v>
      </c>
      <c r="L336" s="2">
        <v>4367902</v>
      </c>
      <c r="M336" s="2">
        <v>6364870712.1000004</v>
      </c>
      <c r="N336">
        <v>170218</v>
      </c>
      <c r="O336" t="s">
        <v>17</v>
      </c>
      <c r="P336" s="8">
        <f t="shared" si="15"/>
        <v>4.7999999999999545</v>
      </c>
      <c r="Q336" t="s">
        <v>38</v>
      </c>
      <c r="R336">
        <f t="shared" si="16"/>
        <v>8</v>
      </c>
      <c r="S336" t="str">
        <f t="shared" si="17"/>
        <v>Aug</v>
      </c>
      <c r="T336" s="9">
        <f>VLOOKUP(O336, Annual_Summary!A:B, 2, 0)</f>
        <v>-0.15097152122178931</v>
      </c>
    </row>
    <row r="337" spans="1:20" x14ac:dyDescent="0.3">
      <c r="A337" s="1">
        <v>45895</v>
      </c>
      <c r="B337" t="s">
        <v>15</v>
      </c>
      <c r="C337" s="4">
        <v>1501.9</v>
      </c>
      <c r="D337" s="4">
        <v>1506.5</v>
      </c>
      <c r="E337" s="4">
        <v>1485</v>
      </c>
      <c r="F337" s="4">
        <v>1504.2</v>
      </c>
      <c r="G337" s="4">
        <v>1489.3</v>
      </c>
      <c r="H337" s="4">
        <v>1492.8</v>
      </c>
      <c r="I337" s="4">
        <v>1495.22</v>
      </c>
      <c r="J337" s="4">
        <v>2012.2</v>
      </c>
      <c r="K337" s="4">
        <v>1302.75</v>
      </c>
      <c r="L337" s="2">
        <v>4092265</v>
      </c>
      <c r="M337" s="2">
        <v>6118849339.1999998</v>
      </c>
      <c r="N337">
        <v>90975</v>
      </c>
      <c r="O337" t="s">
        <v>17</v>
      </c>
      <c r="P337" s="8">
        <f t="shared" si="15"/>
        <v>2.2999999999999545</v>
      </c>
      <c r="Q337" t="s">
        <v>38</v>
      </c>
      <c r="R337">
        <f t="shared" si="16"/>
        <v>8</v>
      </c>
      <c r="S337" t="str">
        <f t="shared" si="17"/>
        <v>Aug</v>
      </c>
      <c r="T337" s="9">
        <f>VLOOKUP(O337, Annual_Summary!A:B, 2, 0)</f>
        <v>-0.15097152122178931</v>
      </c>
    </row>
    <row r="338" spans="1:20" x14ac:dyDescent="0.3">
      <c r="A338" s="1">
        <v>45894</v>
      </c>
      <c r="B338" t="s">
        <v>15</v>
      </c>
      <c r="C338" s="4">
        <v>1480</v>
      </c>
      <c r="D338" s="4">
        <v>1509.7</v>
      </c>
      <c r="E338" s="4">
        <v>1476.2</v>
      </c>
      <c r="F338" s="4">
        <v>1466.3</v>
      </c>
      <c r="G338" s="4">
        <v>1505</v>
      </c>
      <c r="H338" s="4">
        <v>1504.2</v>
      </c>
      <c r="I338" s="4">
        <v>1500.79</v>
      </c>
      <c r="J338" s="4">
        <v>2012.2</v>
      </c>
      <c r="K338" s="4">
        <v>1302.75</v>
      </c>
      <c r="L338" s="2">
        <v>2764914</v>
      </c>
      <c r="M338" s="2">
        <v>4149544169.5</v>
      </c>
      <c r="N338">
        <v>131390</v>
      </c>
      <c r="O338" t="s">
        <v>17</v>
      </c>
      <c r="P338" s="8">
        <f t="shared" si="15"/>
        <v>-13.700000000000045</v>
      </c>
      <c r="Q338" t="s">
        <v>38</v>
      </c>
      <c r="R338">
        <f t="shared" si="16"/>
        <v>8</v>
      </c>
      <c r="S338" t="str">
        <f t="shared" si="17"/>
        <v>Aug</v>
      </c>
      <c r="T338" s="9">
        <f>VLOOKUP(O338, Annual_Summary!A:B, 2, 0)</f>
        <v>-0.15097152122178931</v>
      </c>
    </row>
    <row r="339" spans="1:20" x14ac:dyDescent="0.3">
      <c r="A339" s="1">
        <v>45891</v>
      </c>
      <c r="B339" t="s">
        <v>15</v>
      </c>
      <c r="C339" s="4">
        <v>1489.6</v>
      </c>
      <c r="D339" s="4">
        <v>1491.5</v>
      </c>
      <c r="E339" s="4">
        <v>1464</v>
      </c>
      <c r="F339" s="4">
        <v>1493.5</v>
      </c>
      <c r="G339" s="4">
        <v>1467.1</v>
      </c>
      <c r="H339" s="4">
        <v>1466.3</v>
      </c>
      <c r="I339" s="4">
        <v>1470.96</v>
      </c>
      <c r="J339" s="4">
        <v>2012.2</v>
      </c>
      <c r="K339" s="4">
        <v>1302.75</v>
      </c>
      <c r="L339" s="2">
        <v>2802805</v>
      </c>
      <c r="M339" s="2">
        <v>4122818257.0999999</v>
      </c>
      <c r="N339">
        <v>97554</v>
      </c>
      <c r="O339" t="s">
        <v>17</v>
      </c>
      <c r="P339" s="8">
        <f t="shared" si="15"/>
        <v>3.9000000000000909</v>
      </c>
      <c r="Q339" t="s">
        <v>38</v>
      </c>
      <c r="R339">
        <f t="shared" si="16"/>
        <v>8</v>
      </c>
      <c r="S339" t="str">
        <f t="shared" si="17"/>
        <v>Aug</v>
      </c>
      <c r="T339" s="9">
        <f>VLOOKUP(O339, Annual_Summary!A:B, 2, 0)</f>
        <v>-0.15097152122178931</v>
      </c>
    </row>
    <row r="340" spans="1:20" x14ac:dyDescent="0.3">
      <c r="A340" s="1">
        <v>45890</v>
      </c>
      <c r="B340" t="s">
        <v>15</v>
      </c>
      <c r="C340" s="4">
        <v>1500</v>
      </c>
      <c r="D340" s="4">
        <v>1505</v>
      </c>
      <c r="E340" s="4">
        <v>1486.1</v>
      </c>
      <c r="F340" s="4">
        <v>1496</v>
      </c>
      <c r="G340" s="4">
        <v>1495</v>
      </c>
      <c r="H340" s="4">
        <v>1493.5</v>
      </c>
      <c r="I340" s="4">
        <v>1495.28</v>
      </c>
      <c r="J340" s="4">
        <v>2012.2</v>
      </c>
      <c r="K340" s="4">
        <v>1302.75</v>
      </c>
      <c r="L340" s="2">
        <v>2157601</v>
      </c>
      <c r="M340" s="2">
        <v>3226215087.9000001</v>
      </c>
      <c r="N340">
        <v>83784</v>
      </c>
      <c r="O340" t="s">
        <v>17</v>
      </c>
      <c r="P340" s="8">
        <f t="shared" si="15"/>
        <v>-4</v>
      </c>
      <c r="Q340" t="s">
        <v>38</v>
      </c>
      <c r="R340">
        <f t="shared" si="16"/>
        <v>8</v>
      </c>
      <c r="S340" t="str">
        <f t="shared" si="17"/>
        <v>Aug</v>
      </c>
      <c r="T340" s="9">
        <f>VLOOKUP(O340, Annual_Summary!A:B, 2, 0)</f>
        <v>-0.15097152122178931</v>
      </c>
    </row>
    <row r="341" spans="1:20" x14ac:dyDescent="0.3">
      <c r="A341" s="1">
        <v>45889</v>
      </c>
      <c r="B341" t="s">
        <v>15</v>
      </c>
      <c r="C341" s="4">
        <v>1468</v>
      </c>
      <c r="D341" s="4">
        <v>1500.3</v>
      </c>
      <c r="E341" s="4">
        <v>1458</v>
      </c>
      <c r="F341" s="4">
        <v>1476.1</v>
      </c>
      <c r="G341" s="4">
        <v>1496</v>
      </c>
      <c r="H341" s="4">
        <v>1496</v>
      </c>
      <c r="I341" s="4">
        <v>1478.37</v>
      </c>
      <c r="J341" s="4">
        <v>2012.2</v>
      </c>
      <c r="K341" s="4">
        <v>1302.75</v>
      </c>
      <c r="L341" s="2">
        <v>10219330</v>
      </c>
      <c r="M341" s="2">
        <v>15107972962.9</v>
      </c>
      <c r="N341">
        <v>135680</v>
      </c>
      <c r="O341" t="s">
        <v>17</v>
      </c>
      <c r="P341" s="8">
        <f t="shared" si="15"/>
        <v>8.0999999999999091</v>
      </c>
      <c r="Q341" t="s">
        <v>38</v>
      </c>
      <c r="R341">
        <f t="shared" si="16"/>
        <v>8</v>
      </c>
      <c r="S341" t="str">
        <f t="shared" si="17"/>
        <v>Aug</v>
      </c>
      <c r="T341" s="9">
        <f>VLOOKUP(O341, Annual_Summary!A:B, 2, 0)</f>
        <v>-0.15097152122178931</v>
      </c>
    </row>
    <row r="342" spans="1:20" x14ac:dyDescent="0.3">
      <c r="A342" s="1">
        <v>45888</v>
      </c>
      <c r="B342" t="s">
        <v>15</v>
      </c>
      <c r="C342" s="4">
        <v>1476.3</v>
      </c>
      <c r="D342" s="4">
        <v>1482.6</v>
      </c>
      <c r="E342" s="4">
        <v>1469.2</v>
      </c>
      <c r="F342" s="4">
        <v>1485</v>
      </c>
      <c r="G342" s="4">
        <v>1479.7</v>
      </c>
      <c r="H342" s="4">
        <v>1476.1</v>
      </c>
      <c r="I342" s="4">
        <v>1476.27</v>
      </c>
      <c r="J342" s="4">
        <v>2012.2</v>
      </c>
      <c r="K342" s="4">
        <v>1302.75</v>
      </c>
      <c r="L342" s="2">
        <v>2515817</v>
      </c>
      <c r="M342" s="2">
        <v>3714033649</v>
      </c>
      <c r="N342">
        <v>119284</v>
      </c>
      <c r="O342" t="s">
        <v>17</v>
      </c>
      <c r="P342" s="8">
        <f t="shared" si="15"/>
        <v>8.7000000000000455</v>
      </c>
      <c r="Q342" t="s">
        <v>38</v>
      </c>
      <c r="R342">
        <f t="shared" si="16"/>
        <v>8</v>
      </c>
      <c r="S342" t="str">
        <f t="shared" si="17"/>
        <v>Aug</v>
      </c>
      <c r="T342" s="9">
        <f>VLOOKUP(O342, Annual_Summary!A:B, 2, 0)</f>
        <v>-0.15097152122178931</v>
      </c>
    </row>
    <row r="343" spans="1:20" x14ac:dyDescent="0.3">
      <c r="A343" s="1">
        <v>45887</v>
      </c>
      <c r="B343" t="s">
        <v>15</v>
      </c>
      <c r="C343" s="4">
        <v>1498.1</v>
      </c>
      <c r="D343" s="4">
        <v>1501.9</v>
      </c>
      <c r="E343" s="4">
        <v>1475.9</v>
      </c>
      <c r="F343" s="4">
        <v>1489.8</v>
      </c>
      <c r="G343" s="4">
        <v>1481.6</v>
      </c>
      <c r="H343" s="4">
        <v>1485</v>
      </c>
      <c r="I343" s="4">
        <v>1483.48</v>
      </c>
      <c r="J343" s="4">
        <v>2012.2</v>
      </c>
      <c r="K343" s="4">
        <v>1302.75</v>
      </c>
      <c r="L343" s="2">
        <v>2795155</v>
      </c>
      <c r="M343" s="2">
        <v>4146546206.9000001</v>
      </c>
      <c r="N343">
        <v>82653</v>
      </c>
      <c r="O343" t="s">
        <v>17</v>
      </c>
      <c r="P343" s="8">
        <f t="shared" si="15"/>
        <v>-8.2999999999999545</v>
      </c>
      <c r="Q343" t="s">
        <v>38</v>
      </c>
      <c r="R343">
        <f t="shared" si="16"/>
        <v>8</v>
      </c>
      <c r="S343" t="str">
        <f t="shared" si="17"/>
        <v>Aug</v>
      </c>
      <c r="T343" s="9">
        <f>VLOOKUP(O343, Annual_Summary!A:B, 2, 0)</f>
        <v>-0.15097152122178931</v>
      </c>
    </row>
    <row r="344" spans="1:20" x14ac:dyDescent="0.3">
      <c r="A344" s="1">
        <v>45883</v>
      </c>
      <c r="B344" t="s">
        <v>15</v>
      </c>
      <c r="C344" s="4">
        <v>1501</v>
      </c>
      <c r="D344" s="4">
        <v>1516.2</v>
      </c>
      <c r="E344" s="4">
        <v>1485.8</v>
      </c>
      <c r="F344" s="4">
        <v>1501.1</v>
      </c>
      <c r="G344" s="4">
        <v>1489</v>
      </c>
      <c r="H344" s="4">
        <v>1489.8</v>
      </c>
      <c r="I344" s="4">
        <v>1501.41</v>
      </c>
      <c r="J344" s="4">
        <v>2012.2</v>
      </c>
      <c r="K344" s="4">
        <v>1302.75</v>
      </c>
      <c r="L344" s="2">
        <v>4227538</v>
      </c>
      <c r="M344" s="2">
        <v>6347285518.5</v>
      </c>
      <c r="N344">
        <v>111160</v>
      </c>
      <c r="O344" t="s">
        <v>17</v>
      </c>
      <c r="P344" s="8">
        <f t="shared" si="15"/>
        <v>9.9999999999909051E-2</v>
      </c>
      <c r="Q344" t="s">
        <v>38</v>
      </c>
      <c r="R344">
        <f t="shared" si="16"/>
        <v>8</v>
      </c>
      <c r="S344" t="str">
        <f t="shared" si="17"/>
        <v>Aug</v>
      </c>
      <c r="T344" s="9">
        <f>VLOOKUP(O344, Annual_Summary!A:B, 2, 0)</f>
        <v>-0.15097152122178931</v>
      </c>
    </row>
    <row r="345" spans="1:20" x14ac:dyDescent="0.3">
      <c r="A345" s="1">
        <v>45882</v>
      </c>
      <c r="B345" t="s">
        <v>15</v>
      </c>
      <c r="C345" s="4">
        <v>1500</v>
      </c>
      <c r="D345" s="4">
        <v>1507.5</v>
      </c>
      <c r="E345" s="4">
        <v>1489</v>
      </c>
      <c r="F345" s="4">
        <v>1499.1</v>
      </c>
      <c r="G345" s="4">
        <v>1498.8</v>
      </c>
      <c r="H345" s="4">
        <v>1501.1</v>
      </c>
      <c r="I345" s="4">
        <v>1500</v>
      </c>
      <c r="J345" s="4">
        <v>2012.2</v>
      </c>
      <c r="K345" s="4">
        <v>1302.75</v>
      </c>
      <c r="L345" s="2">
        <v>2916128</v>
      </c>
      <c r="M345" s="2">
        <v>4374180694.8000002</v>
      </c>
      <c r="N345">
        <v>63563</v>
      </c>
      <c r="O345" t="s">
        <v>17</v>
      </c>
      <c r="P345" s="8">
        <f t="shared" si="15"/>
        <v>-0.90000000000009095</v>
      </c>
      <c r="Q345" t="s">
        <v>38</v>
      </c>
      <c r="R345">
        <f t="shared" si="16"/>
        <v>8</v>
      </c>
      <c r="S345" t="str">
        <f t="shared" si="17"/>
        <v>Aug</v>
      </c>
      <c r="T345" s="9">
        <f>VLOOKUP(O345, Annual_Summary!A:B, 2, 0)</f>
        <v>-0.15097152122178931</v>
      </c>
    </row>
    <row r="346" spans="1:20" x14ac:dyDescent="0.3">
      <c r="A346" s="1">
        <v>45881</v>
      </c>
      <c r="B346" t="s">
        <v>15</v>
      </c>
      <c r="C346" s="4">
        <v>1490</v>
      </c>
      <c r="D346" s="4">
        <v>1509.9</v>
      </c>
      <c r="E346" s="4">
        <v>1489</v>
      </c>
      <c r="F346" s="4">
        <v>1488</v>
      </c>
      <c r="G346" s="4">
        <v>1498</v>
      </c>
      <c r="H346" s="4">
        <v>1499.1</v>
      </c>
      <c r="I346" s="4">
        <v>1501.89</v>
      </c>
      <c r="J346" s="4">
        <v>2012.2</v>
      </c>
      <c r="K346" s="4">
        <v>1302.75</v>
      </c>
      <c r="L346" s="2">
        <v>3422656</v>
      </c>
      <c r="M346" s="2">
        <v>5140444209.3999996</v>
      </c>
      <c r="N346">
        <v>120984</v>
      </c>
      <c r="O346" t="s">
        <v>17</v>
      </c>
      <c r="P346" s="8">
        <f t="shared" si="15"/>
        <v>-2</v>
      </c>
      <c r="Q346" t="s">
        <v>38</v>
      </c>
      <c r="R346">
        <f t="shared" si="16"/>
        <v>8</v>
      </c>
      <c r="S346" t="str">
        <f t="shared" si="17"/>
        <v>Aug</v>
      </c>
      <c r="T346" s="9">
        <f>VLOOKUP(O346, Annual_Summary!A:B, 2, 0)</f>
        <v>-0.15097152122178931</v>
      </c>
    </row>
    <row r="347" spans="1:20" x14ac:dyDescent="0.3">
      <c r="A347" s="1">
        <v>45880</v>
      </c>
      <c r="B347" t="s">
        <v>15</v>
      </c>
      <c r="C347" s="4">
        <v>1475</v>
      </c>
      <c r="D347" s="4">
        <v>1531</v>
      </c>
      <c r="E347" s="4">
        <v>1465.6</v>
      </c>
      <c r="F347" s="4">
        <v>1475.7</v>
      </c>
      <c r="G347" s="4">
        <v>1484.1</v>
      </c>
      <c r="H347" s="4">
        <v>1488</v>
      </c>
      <c r="I347" s="4">
        <v>1484.68</v>
      </c>
      <c r="J347" s="4">
        <v>2012.2</v>
      </c>
      <c r="K347" s="4">
        <v>1302.75</v>
      </c>
      <c r="L347" s="2">
        <v>2374556</v>
      </c>
      <c r="M347" s="2">
        <v>3525455889.1999998</v>
      </c>
      <c r="N347">
        <v>92769</v>
      </c>
      <c r="O347" t="s">
        <v>17</v>
      </c>
      <c r="P347" s="8">
        <f t="shared" si="15"/>
        <v>0.70000000000004547</v>
      </c>
      <c r="Q347" t="s">
        <v>38</v>
      </c>
      <c r="R347">
        <f t="shared" si="16"/>
        <v>8</v>
      </c>
      <c r="S347" t="str">
        <f t="shared" si="17"/>
        <v>Aug</v>
      </c>
      <c r="T347" s="9">
        <f>VLOOKUP(O347, Annual_Summary!A:B, 2, 0)</f>
        <v>-0.15097152122178931</v>
      </c>
    </row>
    <row r="348" spans="1:20" x14ac:dyDescent="0.3">
      <c r="A348" s="1">
        <v>45877</v>
      </c>
      <c r="B348" t="s">
        <v>15</v>
      </c>
      <c r="C348" s="4">
        <v>1474.8</v>
      </c>
      <c r="D348" s="4">
        <v>1482.2</v>
      </c>
      <c r="E348" s="4">
        <v>1459</v>
      </c>
      <c r="F348" s="4">
        <v>1475.5</v>
      </c>
      <c r="G348" s="4">
        <v>1476.3</v>
      </c>
      <c r="H348" s="4">
        <v>1475.7</v>
      </c>
      <c r="I348" s="4">
        <v>1473.68</v>
      </c>
      <c r="J348" s="4">
        <v>2012.2</v>
      </c>
      <c r="K348" s="4">
        <v>1302.75</v>
      </c>
      <c r="L348" s="2">
        <v>2815614</v>
      </c>
      <c r="M348" s="2">
        <v>4149299969.9000001</v>
      </c>
      <c r="N348">
        <v>82918</v>
      </c>
      <c r="O348" t="s">
        <v>17</v>
      </c>
      <c r="P348" s="8">
        <f t="shared" si="15"/>
        <v>0.70000000000004547</v>
      </c>
      <c r="Q348" t="s">
        <v>38</v>
      </c>
      <c r="R348">
        <f t="shared" si="16"/>
        <v>8</v>
      </c>
      <c r="S348" t="str">
        <f t="shared" si="17"/>
        <v>Aug</v>
      </c>
      <c r="T348" s="9">
        <f>VLOOKUP(O348, Annual_Summary!A:B, 2, 0)</f>
        <v>-0.15097152122178931</v>
      </c>
    </row>
    <row r="349" spans="1:20" x14ac:dyDescent="0.3">
      <c r="A349" s="1">
        <v>45876</v>
      </c>
      <c r="B349" t="s">
        <v>15</v>
      </c>
      <c r="C349" s="4">
        <v>1458</v>
      </c>
      <c r="D349" s="4">
        <v>1479.2</v>
      </c>
      <c r="E349" s="4">
        <v>1451</v>
      </c>
      <c r="F349" s="4">
        <v>1463.2</v>
      </c>
      <c r="G349" s="4">
        <v>1479.1</v>
      </c>
      <c r="H349" s="4">
        <v>1475.5</v>
      </c>
      <c r="I349" s="4">
        <v>1462.9</v>
      </c>
      <c r="J349" s="4">
        <v>2012.2</v>
      </c>
      <c r="K349" s="4">
        <v>1302.75</v>
      </c>
      <c r="L349" s="2">
        <v>1495363</v>
      </c>
      <c r="M349" s="2">
        <v>2187569625.5</v>
      </c>
      <c r="N349">
        <v>70071</v>
      </c>
      <c r="O349" t="s">
        <v>17</v>
      </c>
      <c r="P349" s="8">
        <f t="shared" si="15"/>
        <v>5.2000000000000455</v>
      </c>
      <c r="Q349" t="s">
        <v>38</v>
      </c>
      <c r="R349">
        <f t="shared" si="16"/>
        <v>8</v>
      </c>
      <c r="S349" t="str">
        <f t="shared" si="17"/>
        <v>Aug</v>
      </c>
      <c r="T349" s="9">
        <f>VLOOKUP(O349, Annual_Summary!A:B, 2, 0)</f>
        <v>-0.15097152122178931</v>
      </c>
    </row>
    <row r="350" spans="1:20" x14ac:dyDescent="0.3">
      <c r="A350" s="1">
        <v>45875</v>
      </c>
      <c r="B350" t="s">
        <v>15</v>
      </c>
      <c r="C350" s="4">
        <v>1480.9</v>
      </c>
      <c r="D350" s="4">
        <v>1483.7</v>
      </c>
      <c r="E350" s="4">
        <v>1456.4</v>
      </c>
      <c r="F350" s="4">
        <v>1482.7</v>
      </c>
      <c r="G350" s="4">
        <v>1459.9</v>
      </c>
      <c r="H350" s="4">
        <v>1463.2</v>
      </c>
      <c r="I350" s="4">
        <v>1465.98</v>
      </c>
      <c r="J350" s="4">
        <v>2012.2</v>
      </c>
      <c r="K350" s="4">
        <v>1302.75</v>
      </c>
      <c r="L350" s="2">
        <v>1735697</v>
      </c>
      <c r="M350" s="2">
        <v>2544501469.1999998</v>
      </c>
      <c r="N350">
        <v>93730</v>
      </c>
      <c r="O350" t="s">
        <v>17</v>
      </c>
      <c r="P350" s="8">
        <f t="shared" si="15"/>
        <v>1.7999999999999545</v>
      </c>
      <c r="Q350" t="s">
        <v>38</v>
      </c>
      <c r="R350">
        <f t="shared" si="16"/>
        <v>8</v>
      </c>
      <c r="S350" t="str">
        <f t="shared" si="17"/>
        <v>Aug</v>
      </c>
      <c r="T350" s="9">
        <f>VLOOKUP(O350, Annual_Summary!A:B, 2, 0)</f>
        <v>-0.15097152122178931</v>
      </c>
    </row>
    <row r="351" spans="1:20" x14ac:dyDescent="0.3">
      <c r="A351" s="1">
        <v>45874</v>
      </c>
      <c r="B351" t="s">
        <v>15</v>
      </c>
      <c r="C351" s="4">
        <v>1479.9</v>
      </c>
      <c r="D351" s="4">
        <v>1485.4</v>
      </c>
      <c r="E351" s="4">
        <v>1471.2</v>
      </c>
      <c r="F351" s="4">
        <v>1474.4</v>
      </c>
      <c r="G351" s="4">
        <v>1480.9</v>
      </c>
      <c r="H351" s="4">
        <v>1482.7</v>
      </c>
      <c r="I351" s="4">
        <v>1480.25</v>
      </c>
      <c r="J351" s="4">
        <v>2012.2</v>
      </c>
      <c r="K351" s="4">
        <v>1302.75</v>
      </c>
      <c r="L351" s="2">
        <v>2614394</v>
      </c>
      <c r="M351" s="2">
        <v>3869964552.0999999</v>
      </c>
      <c r="N351">
        <v>99995</v>
      </c>
      <c r="O351" t="s">
        <v>17</v>
      </c>
      <c r="P351" s="8">
        <f t="shared" si="15"/>
        <v>-5.5</v>
      </c>
      <c r="Q351" t="s">
        <v>38</v>
      </c>
      <c r="R351">
        <f t="shared" si="16"/>
        <v>8</v>
      </c>
      <c r="S351" t="str">
        <f t="shared" si="17"/>
        <v>Aug</v>
      </c>
      <c r="T351" s="9">
        <f>VLOOKUP(O351, Annual_Summary!A:B, 2, 0)</f>
        <v>-0.15097152122178931</v>
      </c>
    </row>
    <row r="352" spans="1:20" x14ac:dyDescent="0.3">
      <c r="A352" s="1">
        <v>45873</v>
      </c>
      <c r="B352" t="s">
        <v>15</v>
      </c>
      <c r="C352" s="4">
        <v>1452.1</v>
      </c>
      <c r="D352" s="4">
        <v>1475.4</v>
      </c>
      <c r="E352" s="4">
        <v>1440.6</v>
      </c>
      <c r="F352" s="4">
        <v>1452.1</v>
      </c>
      <c r="G352" s="4">
        <v>1470.4</v>
      </c>
      <c r="H352" s="4">
        <v>1474.4</v>
      </c>
      <c r="I352" s="4">
        <v>1460.11</v>
      </c>
      <c r="J352" s="4">
        <v>2012.2</v>
      </c>
      <c r="K352" s="4">
        <v>1302.75</v>
      </c>
      <c r="L352" s="2">
        <v>2384774</v>
      </c>
      <c r="M352" s="2">
        <v>3482029698</v>
      </c>
      <c r="N352">
        <v>89707</v>
      </c>
      <c r="O352" t="s">
        <v>17</v>
      </c>
      <c r="P352" s="8">
        <f t="shared" si="15"/>
        <v>0</v>
      </c>
      <c r="Q352" t="s">
        <v>38</v>
      </c>
      <c r="R352">
        <f t="shared" si="16"/>
        <v>8</v>
      </c>
      <c r="S352" t="str">
        <f t="shared" si="17"/>
        <v>Aug</v>
      </c>
      <c r="T352" s="9">
        <f>VLOOKUP(O352, Annual_Summary!A:B, 2, 0)</f>
        <v>-0.15097152122178931</v>
      </c>
    </row>
    <row r="353" spans="1:20" x14ac:dyDescent="0.3">
      <c r="A353" s="1">
        <v>45870</v>
      </c>
      <c r="B353" t="s">
        <v>15</v>
      </c>
      <c r="C353" s="4">
        <v>1465</v>
      </c>
      <c r="D353" s="4">
        <v>1466.9</v>
      </c>
      <c r="E353" s="4">
        <v>1450</v>
      </c>
      <c r="F353" s="4">
        <v>1467.9</v>
      </c>
      <c r="G353" s="4">
        <v>1450.2</v>
      </c>
      <c r="H353" s="4">
        <v>1452.1</v>
      </c>
      <c r="I353" s="4">
        <v>1455.75</v>
      </c>
      <c r="J353" s="4">
        <v>2012.2</v>
      </c>
      <c r="K353" s="4">
        <v>1302.75</v>
      </c>
      <c r="L353" s="2">
        <v>2152783</v>
      </c>
      <c r="M353" s="2">
        <v>3133915241.5999999</v>
      </c>
      <c r="N353">
        <v>68532</v>
      </c>
      <c r="O353" t="s">
        <v>17</v>
      </c>
      <c r="P353" s="8">
        <f t="shared" si="15"/>
        <v>2.9000000000000909</v>
      </c>
      <c r="Q353" t="s">
        <v>38</v>
      </c>
      <c r="R353">
        <f t="shared" si="16"/>
        <v>8</v>
      </c>
      <c r="S353" t="str">
        <f t="shared" si="17"/>
        <v>Aug</v>
      </c>
      <c r="T353" s="9">
        <f>VLOOKUP(O353, Annual_Summary!A:B, 2, 0)</f>
        <v>-0.15097152122178931</v>
      </c>
    </row>
    <row r="354" spans="1:20" x14ac:dyDescent="0.3">
      <c r="A354" s="1">
        <v>45869</v>
      </c>
      <c r="B354" t="s">
        <v>15</v>
      </c>
      <c r="C354" s="4">
        <v>1465</v>
      </c>
      <c r="D354" s="4">
        <v>1482.7</v>
      </c>
      <c r="E354" s="4">
        <v>1459.5</v>
      </c>
      <c r="F354" s="4">
        <v>1476.5</v>
      </c>
      <c r="G354" s="4">
        <v>1465.2</v>
      </c>
      <c r="H354" s="4">
        <v>1467.9</v>
      </c>
      <c r="I354" s="4">
        <v>1469.99</v>
      </c>
      <c r="J354" s="4">
        <v>2012.2</v>
      </c>
      <c r="K354" s="4">
        <v>1302.75</v>
      </c>
      <c r="L354" s="2">
        <v>2306285</v>
      </c>
      <c r="M354" s="2">
        <v>3390207270.5</v>
      </c>
      <c r="N354">
        <v>85966</v>
      </c>
      <c r="O354" t="s">
        <v>17</v>
      </c>
      <c r="P354" s="8">
        <f t="shared" si="15"/>
        <v>11.5</v>
      </c>
      <c r="Q354" t="s">
        <v>38</v>
      </c>
      <c r="R354">
        <f t="shared" si="16"/>
        <v>7</v>
      </c>
      <c r="S354" t="str">
        <f t="shared" si="17"/>
        <v>Jul</v>
      </c>
      <c r="T354" s="9">
        <f>VLOOKUP(O354, Annual_Summary!A:B, 2, 0)</f>
        <v>-0.15097152122178931</v>
      </c>
    </row>
    <row r="355" spans="1:20" x14ac:dyDescent="0.3">
      <c r="A355" s="1">
        <v>45868</v>
      </c>
      <c r="B355" t="s">
        <v>15</v>
      </c>
      <c r="C355" s="4">
        <v>1480.5</v>
      </c>
      <c r="D355" s="4">
        <v>1484.3</v>
      </c>
      <c r="E355" s="4">
        <v>1468.8</v>
      </c>
      <c r="F355" s="4">
        <v>1472.4</v>
      </c>
      <c r="G355" s="4">
        <v>1478</v>
      </c>
      <c r="H355" s="4">
        <v>1476.5</v>
      </c>
      <c r="I355" s="4">
        <v>1474.63</v>
      </c>
      <c r="J355" s="4">
        <v>2012.2</v>
      </c>
      <c r="K355" s="4">
        <v>1302.75</v>
      </c>
      <c r="L355" s="2">
        <v>1642426</v>
      </c>
      <c r="M355" s="2">
        <v>2421970361.6999998</v>
      </c>
      <c r="N355">
        <v>67844</v>
      </c>
      <c r="O355" t="s">
        <v>17</v>
      </c>
      <c r="P355" s="8">
        <f t="shared" si="15"/>
        <v>-8.0999999999999091</v>
      </c>
      <c r="Q355" t="s">
        <v>38</v>
      </c>
      <c r="R355">
        <f t="shared" si="16"/>
        <v>7</v>
      </c>
      <c r="S355" t="str">
        <f t="shared" si="17"/>
        <v>Jul</v>
      </c>
      <c r="T355" s="9">
        <f>VLOOKUP(O355, Annual_Summary!A:B, 2, 0)</f>
        <v>-0.15097152122178931</v>
      </c>
    </row>
    <row r="356" spans="1:20" x14ac:dyDescent="0.3">
      <c r="A356" s="1">
        <v>45867</v>
      </c>
      <c r="B356" t="s">
        <v>15</v>
      </c>
      <c r="C356" s="4">
        <v>1466.1</v>
      </c>
      <c r="D356" s="4">
        <v>1477.5</v>
      </c>
      <c r="E356" s="4">
        <v>1461</v>
      </c>
      <c r="F356" s="4">
        <v>1466.1</v>
      </c>
      <c r="G356" s="4">
        <v>1475</v>
      </c>
      <c r="H356" s="4">
        <v>1472.4</v>
      </c>
      <c r="I356" s="4">
        <v>1470</v>
      </c>
      <c r="J356" s="4">
        <v>2012.2</v>
      </c>
      <c r="K356" s="4">
        <v>1302.75</v>
      </c>
      <c r="L356" s="2">
        <v>6223556</v>
      </c>
      <c r="M356" s="2">
        <v>9148599091.1000004</v>
      </c>
      <c r="N356">
        <v>120183</v>
      </c>
      <c r="O356" t="s">
        <v>17</v>
      </c>
      <c r="P356" s="8">
        <f t="shared" si="15"/>
        <v>0</v>
      </c>
      <c r="Q356" t="s">
        <v>38</v>
      </c>
      <c r="R356">
        <f t="shared" si="16"/>
        <v>7</v>
      </c>
      <c r="S356" t="str">
        <f t="shared" si="17"/>
        <v>Jul</v>
      </c>
      <c r="T356" s="9">
        <f>VLOOKUP(O356, Annual_Summary!A:B, 2, 0)</f>
        <v>-0.15097152122178931</v>
      </c>
    </row>
    <row r="357" spans="1:20" x14ac:dyDescent="0.3">
      <c r="A357" s="1">
        <v>45866</v>
      </c>
      <c r="B357" t="s">
        <v>15</v>
      </c>
      <c r="C357" s="4">
        <v>1490.1</v>
      </c>
      <c r="D357" s="4">
        <v>1494.2</v>
      </c>
      <c r="E357" s="4">
        <v>1463.5</v>
      </c>
      <c r="F357" s="4">
        <v>1490.1</v>
      </c>
      <c r="G357" s="4">
        <v>1468</v>
      </c>
      <c r="H357" s="4">
        <v>1466.1</v>
      </c>
      <c r="I357" s="4">
        <v>1474.52</v>
      </c>
      <c r="J357" s="4">
        <v>2012.2</v>
      </c>
      <c r="K357" s="4">
        <v>1302.75</v>
      </c>
      <c r="L357" s="2">
        <v>4404841</v>
      </c>
      <c r="M357" s="2">
        <v>6495043431.3000002</v>
      </c>
      <c r="N357">
        <v>158378</v>
      </c>
      <c r="O357" t="s">
        <v>17</v>
      </c>
      <c r="P357" s="8">
        <f t="shared" si="15"/>
        <v>0</v>
      </c>
      <c r="Q357" t="s">
        <v>38</v>
      </c>
      <c r="R357">
        <f t="shared" si="16"/>
        <v>7</v>
      </c>
      <c r="S357" t="str">
        <f t="shared" si="17"/>
        <v>Jul</v>
      </c>
      <c r="T357" s="9">
        <f>VLOOKUP(O357, Annual_Summary!A:B, 2, 0)</f>
        <v>-0.15097152122178931</v>
      </c>
    </row>
    <row r="358" spans="1:20" x14ac:dyDescent="0.3">
      <c r="A358" s="1">
        <v>45863</v>
      </c>
      <c r="B358" t="s">
        <v>15</v>
      </c>
      <c r="C358" s="4">
        <v>1501.1</v>
      </c>
      <c r="D358" s="4">
        <v>1512.2</v>
      </c>
      <c r="E358" s="4">
        <v>1486.6</v>
      </c>
      <c r="F358" s="4">
        <v>1507.2</v>
      </c>
      <c r="G358" s="4">
        <v>1490</v>
      </c>
      <c r="H358" s="4">
        <v>1490.1</v>
      </c>
      <c r="I358" s="4">
        <v>1499.87</v>
      </c>
      <c r="J358" s="4">
        <v>2012.2</v>
      </c>
      <c r="K358" s="4">
        <v>1302.75</v>
      </c>
      <c r="L358" s="2">
        <v>2733655</v>
      </c>
      <c r="M358" s="2">
        <v>4100140037.4000001</v>
      </c>
      <c r="N358">
        <v>100304</v>
      </c>
      <c r="O358" t="s">
        <v>17</v>
      </c>
      <c r="P358" s="8">
        <f t="shared" si="15"/>
        <v>6.1000000000001364</v>
      </c>
      <c r="Q358" t="s">
        <v>38</v>
      </c>
      <c r="R358">
        <f t="shared" si="16"/>
        <v>7</v>
      </c>
      <c r="S358" t="str">
        <f t="shared" si="17"/>
        <v>Jul</v>
      </c>
      <c r="T358" s="9">
        <f>VLOOKUP(O358, Annual_Summary!A:B, 2, 0)</f>
        <v>-0.15097152122178931</v>
      </c>
    </row>
    <row r="359" spans="1:20" x14ac:dyDescent="0.3">
      <c r="A359" s="1">
        <v>45862</v>
      </c>
      <c r="B359" t="s">
        <v>15</v>
      </c>
      <c r="C359" s="4">
        <v>1530</v>
      </c>
      <c r="D359" s="4">
        <v>1537.9</v>
      </c>
      <c r="E359" s="4">
        <v>1501.6</v>
      </c>
      <c r="F359" s="4">
        <v>1529.8</v>
      </c>
      <c r="G359" s="4">
        <v>1510.1</v>
      </c>
      <c r="H359" s="4">
        <v>1507.2</v>
      </c>
      <c r="I359" s="4">
        <v>1515.11</v>
      </c>
      <c r="J359" s="4">
        <v>2012.2</v>
      </c>
      <c r="K359" s="4">
        <v>1302.75</v>
      </c>
      <c r="L359" s="2">
        <v>4654421</v>
      </c>
      <c r="M359" s="2">
        <v>7051940202.5</v>
      </c>
      <c r="N359">
        <v>99951</v>
      </c>
      <c r="O359" t="s">
        <v>17</v>
      </c>
      <c r="P359" s="8">
        <f t="shared" si="15"/>
        <v>-0.20000000000004547</v>
      </c>
      <c r="Q359" t="s">
        <v>38</v>
      </c>
      <c r="R359">
        <f t="shared" si="16"/>
        <v>7</v>
      </c>
      <c r="S359" t="str">
        <f t="shared" si="17"/>
        <v>Jul</v>
      </c>
      <c r="T359" s="9">
        <f>VLOOKUP(O359, Annual_Summary!A:B, 2, 0)</f>
        <v>-0.15097152122178931</v>
      </c>
    </row>
    <row r="360" spans="1:20" x14ac:dyDescent="0.3">
      <c r="A360" s="1">
        <v>45861</v>
      </c>
      <c r="B360" t="s">
        <v>15</v>
      </c>
      <c r="C360" s="4">
        <v>1524.1</v>
      </c>
      <c r="D360" s="4">
        <v>1536</v>
      </c>
      <c r="E360" s="4">
        <v>1518</v>
      </c>
      <c r="F360" s="4">
        <v>1520.1</v>
      </c>
      <c r="G360" s="4">
        <v>1528.8</v>
      </c>
      <c r="H360" s="4">
        <v>1529.8</v>
      </c>
      <c r="I360" s="4">
        <v>1527.16</v>
      </c>
      <c r="J360" s="4">
        <v>2012.2</v>
      </c>
      <c r="K360" s="4">
        <v>1302.75</v>
      </c>
      <c r="L360" s="2">
        <v>3471536</v>
      </c>
      <c r="M360" s="2">
        <v>5301591458.1999998</v>
      </c>
      <c r="N360">
        <v>75211</v>
      </c>
      <c r="O360" t="s">
        <v>17</v>
      </c>
      <c r="P360" s="8">
        <f t="shared" si="15"/>
        <v>-4</v>
      </c>
      <c r="Q360" t="s">
        <v>38</v>
      </c>
      <c r="R360">
        <f t="shared" si="16"/>
        <v>7</v>
      </c>
      <c r="S360" t="str">
        <f t="shared" si="17"/>
        <v>Jul</v>
      </c>
      <c r="T360" s="9">
        <f>VLOOKUP(O360, Annual_Summary!A:B, 2, 0)</f>
        <v>-0.15097152122178931</v>
      </c>
    </row>
    <row r="361" spans="1:20" x14ac:dyDescent="0.3">
      <c r="A361" s="1">
        <v>45860</v>
      </c>
      <c r="B361" t="s">
        <v>15</v>
      </c>
      <c r="C361" s="4">
        <v>1533.1</v>
      </c>
      <c r="D361" s="4">
        <v>1539.8</v>
      </c>
      <c r="E361" s="4">
        <v>1518.3</v>
      </c>
      <c r="F361" s="4">
        <v>1530.4</v>
      </c>
      <c r="G361" s="4">
        <v>1520.5</v>
      </c>
      <c r="H361" s="4">
        <v>1520.1</v>
      </c>
      <c r="I361" s="4">
        <v>1528.68</v>
      </c>
      <c r="J361" s="4">
        <v>2012.2</v>
      </c>
      <c r="K361" s="4">
        <v>1302.75</v>
      </c>
      <c r="L361" s="2">
        <v>3218227</v>
      </c>
      <c r="M361" s="2">
        <v>4919633245</v>
      </c>
      <c r="N361">
        <v>72081</v>
      </c>
      <c r="O361" t="s">
        <v>17</v>
      </c>
      <c r="P361" s="8">
        <f t="shared" si="15"/>
        <v>-2.6999999999998181</v>
      </c>
      <c r="Q361" t="s">
        <v>38</v>
      </c>
      <c r="R361">
        <f t="shared" si="16"/>
        <v>7</v>
      </c>
      <c r="S361" t="str">
        <f t="shared" si="17"/>
        <v>Jul</v>
      </c>
      <c r="T361" s="9">
        <f>VLOOKUP(O361, Annual_Summary!A:B, 2, 0)</f>
        <v>-0.15097152122178931</v>
      </c>
    </row>
    <row r="362" spans="1:20" x14ac:dyDescent="0.3">
      <c r="A362" s="1">
        <v>45859</v>
      </c>
      <c r="B362" t="s">
        <v>15</v>
      </c>
      <c r="C362" s="4">
        <v>1548.8</v>
      </c>
      <c r="D362" s="4">
        <v>1550.7</v>
      </c>
      <c r="E362" s="4">
        <v>1526</v>
      </c>
      <c r="F362" s="4">
        <v>1548.8</v>
      </c>
      <c r="G362" s="4">
        <v>1530.8</v>
      </c>
      <c r="H362" s="4">
        <v>1530.4</v>
      </c>
      <c r="I362" s="4">
        <v>1532.77</v>
      </c>
      <c r="J362" s="4">
        <v>2012.2</v>
      </c>
      <c r="K362" s="4">
        <v>1302.75</v>
      </c>
      <c r="L362" s="2">
        <v>3368842</v>
      </c>
      <c r="M362" s="2">
        <v>5163643439.5</v>
      </c>
      <c r="N362">
        <v>90546</v>
      </c>
      <c r="O362" t="s">
        <v>17</v>
      </c>
      <c r="P362" s="8">
        <f t="shared" si="15"/>
        <v>0</v>
      </c>
      <c r="Q362" t="s">
        <v>38</v>
      </c>
      <c r="R362">
        <f t="shared" si="16"/>
        <v>7</v>
      </c>
      <c r="S362" t="str">
        <f t="shared" si="17"/>
        <v>Jul</v>
      </c>
      <c r="T362" s="9">
        <f>VLOOKUP(O362, Annual_Summary!A:B, 2, 0)</f>
        <v>-0.15097152122178931</v>
      </c>
    </row>
    <row r="363" spans="1:20" x14ac:dyDescent="0.3">
      <c r="A363" s="1">
        <v>45856</v>
      </c>
      <c r="B363" t="s">
        <v>15</v>
      </c>
      <c r="C363" s="4">
        <v>1544</v>
      </c>
      <c r="D363" s="4">
        <v>1550</v>
      </c>
      <c r="E363" s="4">
        <v>1530</v>
      </c>
      <c r="F363" s="4">
        <v>1543.9</v>
      </c>
      <c r="G363" s="4">
        <v>1549.1</v>
      </c>
      <c r="H363" s="4">
        <v>1548.8</v>
      </c>
      <c r="I363" s="4">
        <v>1541.04</v>
      </c>
      <c r="J363" s="4">
        <v>2012.2</v>
      </c>
      <c r="K363" s="4">
        <v>1302.75</v>
      </c>
      <c r="L363" s="2">
        <v>3902458</v>
      </c>
      <c r="M363" s="2">
        <v>6013841093.8000002</v>
      </c>
      <c r="N363">
        <v>88894</v>
      </c>
      <c r="O363" t="s">
        <v>17</v>
      </c>
      <c r="P363" s="8">
        <f t="shared" si="15"/>
        <v>-9.9999999999909051E-2</v>
      </c>
      <c r="Q363" t="s">
        <v>38</v>
      </c>
      <c r="R363">
        <f t="shared" si="16"/>
        <v>7</v>
      </c>
      <c r="S363" t="str">
        <f t="shared" si="17"/>
        <v>Jul</v>
      </c>
      <c r="T363" s="9">
        <f>VLOOKUP(O363, Annual_Summary!A:B, 2, 0)</f>
        <v>-0.15097152122178931</v>
      </c>
    </row>
    <row r="364" spans="1:20" x14ac:dyDescent="0.3">
      <c r="A364" s="1">
        <v>45855</v>
      </c>
      <c r="B364" t="s">
        <v>15</v>
      </c>
      <c r="C364" s="4">
        <v>1563.6</v>
      </c>
      <c r="D364" s="4">
        <v>1566.8</v>
      </c>
      <c r="E364" s="4">
        <v>1542.4</v>
      </c>
      <c r="F364" s="4">
        <v>1562.8</v>
      </c>
      <c r="G364" s="4">
        <v>1544.2</v>
      </c>
      <c r="H364" s="4">
        <v>1543.9</v>
      </c>
      <c r="I364" s="4">
        <v>1555.4</v>
      </c>
      <c r="J364" s="4">
        <v>2012.2</v>
      </c>
      <c r="K364" s="4">
        <v>1302.75</v>
      </c>
      <c r="L364" s="2">
        <v>4966082</v>
      </c>
      <c r="M364" s="2">
        <v>7724220966.6999998</v>
      </c>
      <c r="N364">
        <v>127217</v>
      </c>
      <c r="O364" t="s">
        <v>17</v>
      </c>
      <c r="P364" s="8">
        <f t="shared" si="15"/>
        <v>-0.79999999999995453</v>
      </c>
      <c r="Q364" t="s">
        <v>38</v>
      </c>
      <c r="R364">
        <f t="shared" si="16"/>
        <v>7</v>
      </c>
      <c r="S364" t="str">
        <f t="shared" si="17"/>
        <v>Jul</v>
      </c>
      <c r="T364" s="9">
        <f>VLOOKUP(O364, Annual_Summary!A:B, 2, 0)</f>
        <v>-0.15097152122178931</v>
      </c>
    </row>
    <row r="365" spans="1:20" x14ac:dyDescent="0.3">
      <c r="A365" s="1">
        <v>45854</v>
      </c>
      <c r="B365" t="s">
        <v>15</v>
      </c>
      <c r="C365" s="4">
        <v>1566.4</v>
      </c>
      <c r="D365" s="4">
        <v>1574</v>
      </c>
      <c r="E365" s="4">
        <v>1560</v>
      </c>
      <c r="F365" s="4">
        <v>1566.4</v>
      </c>
      <c r="G365" s="4">
        <v>1562</v>
      </c>
      <c r="H365" s="4">
        <v>1562.8</v>
      </c>
      <c r="I365" s="4">
        <v>1567.13</v>
      </c>
      <c r="J365" s="4">
        <v>2012.2</v>
      </c>
      <c r="K365" s="4">
        <v>1302.75</v>
      </c>
      <c r="L365" s="2">
        <v>5218099</v>
      </c>
      <c r="M365" s="2">
        <v>8177462798.5</v>
      </c>
      <c r="N365">
        <v>98177</v>
      </c>
      <c r="O365" t="s">
        <v>17</v>
      </c>
      <c r="P365" s="8">
        <f t="shared" si="15"/>
        <v>0</v>
      </c>
      <c r="Q365" t="s">
        <v>38</v>
      </c>
      <c r="R365">
        <f t="shared" si="16"/>
        <v>7</v>
      </c>
      <c r="S365" t="str">
        <f t="shared" si="17"/>
        <v>Jul</v>
      </c>
      <c r="T365" s="9">
        <f>VLOOKUP(O365, Annual_Summary!A:B, 2, 0)</f>
        <v>-0.15097152122178931</v>
      </c>
    </row>
    <row r="366" spans="1:20" x14ac:dyDescent="0.3">
      <c r="A366" s="1">
        <v>45853</v>
      </c>
      <c r="B366" t="s">
        <v>15</v>
      </c>
      <c r="C366" s="4">
        <v>1590</v>
      </c>
      <c r="D366" s="4">
        <v>1621.4</v>
      </c>
      <c r="E366" s="4">
        <v>1550</v>
      </c>
      <c r="F366" s="4">
        <v>1619.8</v>
      </c>
      <c r="G366" s="4">
        <v>1567</v>
      </c>
      <c r="H366" s="4">
        <v>1566.4</v>
      </c>
      <c r="I366" s="4">
        <v>1573.16</v>
      </c>
      <c r="J366" s="4">
        <v>2012.2</v>
      </c>
      <c r="K366" s="4">
        <v>1302.75</v>
      </c>
      <c r="L366" s="2">
        <v>14685607</v>
      </c>
      <c r="M366" s="2">
        <v>23102790220.900002</v>
      </c>
      <c r="N366">
        <v>326840</v>
      </c>
      <c r="O366" t="s">
        <v>17</v>
      </c>
      <c r="P366" s="8">
        <f t="shared" si="15"/>
        <v>29.799999999999955</v>
      </c>
      <c r="Q366" t="s">
        <v>38</v>
      </c>
      <c r="R366">
        <f t="shared" si="16"/>
        <v>7</v>
      </c>
      <c r="S366" t="str">
        <f t="shared" si="17"/>
        <v>Jul</v>
      </c>
      <c r="T366" s="9">
        <f>VLOOKUP(O366, Annual_Summary!A:B, 2, 0)</f>
        <v>-0.15097152122178931</v>
      </c>
    </row>
    <row r="367" spans="1:20" x14ac:dyDescent="0.3">
      <c r="A367" s="1">
        <v>45852</v>
      </c>
      <c r="B367" t="s">
        <v>15</v>
      </c>
      <c r="C367" s="4">
        <v>1640</v>
      </c>
      <c r="D367" s="4">
        <v>1642.4</v>
      </c>
      <c r="E367" s="4">
        <v>1607</v>
      </c>
      <c r="F367" s="4">
        <v>1638.3</v>
      </c>
      <c r="G367" s="4">
        <v>1613.5</v>
      </c>
      <c r="H367" s="4">
        <v>1619.8</v>
      </c>
      <c r="I367" s="4">
        <v>1617.76</v>
      </c>
      <c r="J367" s="4">
        <v>2012.2</v>
      </c>
      <c r="K367" s="4">
        <v>1302.75</v>
      </c>
      <c r="L367" s="2">
        <v>3334703</v>
      </c>
      <c r="M367" s="2">
        <v>5394743355</v>
      </c>
      <c r="N367">
        <v>100025</v>
      </c>
      <c r="O367" t="s">
        <v>17</v>
      </c>
      <c r="P367" s="8">
        <f t="shared" si="15"/>
        <v>-1.7000000000000455</v>
      </c>
      <c r="Q367" t="s">
        <v>38</v>
      </c>
      <c r="R367">
        <f t="shared" si="16"/>
        <v>7</v>
      </c>
      <c r="S367" t="str">
        <f t="shared" si="17"/>
        <v>Jul</v>
      </c>
      <c r="T367" s="9">
        <f>VLOOKUP(O367, Annual_Summary!A:B, 2, 0)</f>
        <v>-0.15097152122178931</v>
      </c>
    </row>
    <row r="368" spans="1:20" x14ac:dyDescent="0.3">
      <c r="A368" s="1">
        <v>45849</v>
      </c>
      <c r="B368" t="s">
        <v>15</v>
      </c>
      <c r="C368" s="4">
        <v>1643.2</v>
      </c>
      <c r="D368" s="4">
        <v>1655.5</v>
      </c>
      <c r="E368" s="4">
        <v>1630</v>
      </c>
      <c r="F368" s="4">
        <v>1663.7</v>
      </c>
      <c r="G368" s="4">
        <v>1633.3</v>
      </c>
      <c r="H368" s="4">
        <v>1638.3</v>
      </c>
      <c r="I368" s="4">
        <v>1640.55</v>
      </c>
      <c r="J368" s="4">
        <v>2012.2</v>
      </c>
      <c r="K368" s="4">
        <v>1302.75</v>
      </c>
      <c r="L368" s="2">
        <v>2548153</v>
      </c>
      <c r="M368" s="2">
        <v>4180370504.4000001</v>
      </c>
      <c r="N368">
        <v>91088</v>
      </c>
      <c r="O368" t="s">
        <v>17</v>
      </c>
      <c r="P368" s="8">
        <f t="shared" si="15"/>
        <v>20.5</v>
      </c>
      <c r="Q368" t="s">
        <v>38</v>
      </c>
      <c r="R368">
        <f t="shared" si="16"/>
        <v>7</v>
      </c>
      <c r="S368" t="str">
        <f t="shared" si="17"/>
        <v>Jul</v>
      </c>
      <c r="T368" s="9">
        <f>VLOOKUP(O368, Annual_Summary!A:B, 2, 0)</f>
        <v>-0.15097152122178931</v>
      </c>
    </row>
    <row r="369" spans="1:20" x14ac:dyDescent="0.3">
      <c r="A369" s="1">
        <v>45848</v>
      </c>
      <c r="B369" t="s">
        <v>15</v>
      </c>
      <c r="C369" s="4">
        <v>1675</v>
      </c>
      <c r="D369" s="4">
        <v>1679.9</v>
      </c>
      <c r="E369" s="4">
        <v>1649</v>
      </c>
      <c r="F369" s="4">
        <v>1674</v>
      </c>
      <c r="G369" s="4">
        <v>1660.1</v>
      </c>
      <c r="H369" s="4">
        <v>1663.7</v>
      </c>
      <c r="I369" s="4">
        <v>1661.89</v>
      </c>
      <c r="J369" s="4">
        <v>2012.2</v>
      </c>
      <c r="K369" s="4">
        <v>1302.75</v>
      </c>
      <c r="L369" s="2">
        <v>2740853</v>
      </c>
      <c r="M369" s="2">
        <v>4554994008.6999998</v>
      </c>
      <c r="N369">
        <v>87108</v>
      </c>
      <c r="O369" t="s">
        <v>17</v>
      </c>
      <c r="P369" s="8">
        <f t="shared" si="15"/>
        <v>-1</v>
      </c>
      <c r="Q369" t="s">
        <v>38</v>
      </c>
      <c r="R369">
        <f t="shared" si="16"/>
        <v>7</v>
      </c>
      <c r="S369" t="str">
        <f t="shared" si="17"/>
        <v>Jul</v>
      </c>
      <c r="T369" s="9">
        <f>VLOOKUP(O369, Annual_Summary!A:B, 2, 0)</f>
        <v>-0.15097152122178931</v>
      </c>
    </row>
    <row r="370" spans="1:20" x14ac:dyDescent="0.3">
      <c r="A370" s="1">
        <v>45847</v>
      </c>
      <c r="B370" t="s">
        <v>15</v>
      </c>
      <c r="C370" s="4">
        <v>1710</v>
      </c>
      <c r="D370" s="4">
        <v>1714.3</v>
      </c>
      <c r="E370" s="4">
        <v>1671</v>
      </c>
      <c r="F370" s="4">
        <v>1708.1</v>
      </c>
      <c r="G370" s="4">
        <v>1673</v>
      </c>
      <c r="H370" s="4">
        <v>1674</v>
      </c>
      <c r="I370" s="4">
        <v>1680.92</v>
      </c>
      <c r="J370" s="4">
        <v>2012.2</v>
      </c>
      <c r="K370" s="4">
        <v>1302.75</v>
      </c>
      <c r="L370" s="2">
        <v>2894808</v>
      </c>
      <c r="M370" s="2">
        <v>4865926573.8000002</v>
      </c>
      <c r="N370">
        <v>107899</v>
      </c>
      <c r="O370" t="s">
        <v>17</v>
      </c>
      <c r="P370" s="8">
        <f t="shared" si="15"/>
        <v>-1.9000000000000909</v>
      </c>
      <c r="Q370" t="s">
        <v>38</v>
      </c>
      <c r="R370">
        <f t="shared" si="16"/>
        <v>7</v>
      </c>
      <c r="S370" t="str">
        <f t="shared" si="17"/>
        <v>Jul</v>
      </c>
      <c r="T370" s="9">
        <f>VLOOKUP(O370, Annual_Summary!A:B, 2, 0)</f>
        <v>-0.15097152122178931</v>
      </c>
    </row>
    <row r="371" spans="1:20" x14ac:dyDescent="0.3">
      <c r="A371" s="1">
        <v>45846</v>
      </c>
      <c r="B371" t="s">
        <v>15</v>
      </c>
      <c r="C371" s="4">
        <v>1700</v>
      </c>
      <c r="D371" s="4">
        <v>1718.9</v>
      </c>
      <c r="E371" s="4">
        <v>1687.5</v>
      </c>
      <c r="F371" s="4">
        <v>1710.4</v>
      </c>
      <c r="G371" s="4">
        <v>1700.1</v>
      </c>
      <c r="H371" s="4">
        <v>1708.1</v>
      </c>
      <c r="I371" s="4">
        <v>1704.55</v>
      </c>
      <c r="J371" s="4">
        <v>2012.2</v>
      </c>
      <c r="K371" s="4">
        <v>1302.75</v>
      </c>
      <c r="L371" s="2">
        <v>2139193</v>
      </c>
      <c r="M371" s="2">
        <v>3646356920.9000001</v>
      </c>
      <c r="N371">
        <v>78574</v>
      </c>
      <c r="O371" t="s">
        <v>17</v>
      </c>
      <c r="P371" s="8">
        <f t="shared" si="15"/>
        <v>10.400000000000091</v>
      </c>
      <c r="Q371" t="s">
        <v>38</v>
      </c>
      <c r="R371">
        <f t="shared" si="16"/>
        <v>7</v>
      </c>
      <c r="S371" t="str">
        <f t="shared" si="17"/>
        <v>Jul</v>
      </c>
      <c r="T371" s="9">
        <f>VLOOKUP(O371, Annual_Summary!A:B, 2, 0)</f>
        <v>-0.15097152122178931</v>
      </c>
    </row>
    <row r="372" spans="1:20" x14ac:dyDescent="0.3">
      <c r="A372" s="1">
        <v>45845</v>
      </c>
      <c r="B372" t="s">
        <v>15</v>
      </c>
      <c r="C372" s="4">
        <v>1725.5</v>
      </c>
      <c r="D372" s="4">
        <v>1725.5</v>
      </c>
      <c r="E372" s="4">
        <v>1703.3</v>
      </c>
      <c r="F372" s="4">
        <v>1725.9</v>
      </c>
      <c r="G372" s="4">
        <v>1707</v>
      </c>
      <c r="H372" s="4">
        <v>1710.4</v>
      </c>
      <c r="I372" s="4">
        <v>1711.09</v>
      </c>
      <c r="J372" s="4">
        <v>2012.2</v>
      </c>
      <c r="K372" s="4">
        <v>1302.75</v>
      </c>
      <c r="L372" s="2">
        <v>1366412</v>
      </c>
      <c r="M372" s="2">
        <v>2338060639.9000001</v>
      </c>
      <c r="N372">
        <v>56478</v>
      </c>
      <c r="O372" t="s">
        <v>17</v>
      </c>
      <c r="P372" s="8">
        <f t="shared" si="15"/>
        <v>0.40000000000009095</v>
      </c>
      <c r="Q372" t="s">
        <v>38</v>
      </c>
      <c r="R372">
        <f t="shared" si="16"/>
        <v>7</v>
      </c>
      <c r="S372" t="str">
        <f t="shared" si="17"/>
        <v>Jul</v>
      </c>
      <c r="T372" s="9">
        <f>VLOOKUP(O372, Annual_Summary!A:B, 2, 0)</f>
        <v>-0.15097152122178931</v>
      </c>
    </row>
    <row r="373" spans="1:20" x14ac:dyDescent="0.3">
      <c r="A373" s="1">
        <v>45842</v>
      </c>
      <c r="B373" t="s">
        <v>15</v>
      </c>
      <c r="C373" s="4">
        <v>1715</v>
      </c>
      <c r="D373" s="4">
        <v>1729</v>
      </c>
      <c r="E373" s="4">
        <v>1706.2</v>
      </c>
      <c r="F373" s="4">
        <v>1711.9</v>
      </c>
      <c r="G373" s="4">
        <v>1725.9</v>
      </c>
      <c r="H373" s="4">
        <v>1725.9</v>
      </c>
      <c r="I373" s="4">
        <v>1719.03</v>
      </c>
      <c r="J373" s="4">
        <v>2012.2</v>
      </c>
      <c r="K373" s="4">
        <v>1302.75</v>
      </c>
      <c r="L373" s="2">
        <v>768500</v>
      </c>
      <c r="M373" s="2">
        <v>1321075472.4000001</v>
      </c>
      <c r="N373">
        <v>30997</v>
      </c>
      <c r="O373" t="s">
        <v>17</v>
      </c>
      <c r="P373" s="8">
        <f t="shared" si="15"/>
        <v>-3.0999999999999091</v>
      </c>
      <c r="Q373" t="s">
        <v>38</v>
      </c>
      <c r="R373">
        <f t="shared" si="16"/>
        <v>7</v>
      </c>
      <c r="S373" t="str">
        <f t="shared" si="17"/>
        <v>Jul</v>
      </c>
      <c r="T373" s="9">
        <f>VLOOKUP(O373, Annual_Summary!A:B, 2, 0)</f>
        <v>-0.15097152122178931</v>
      </c>
    </row>
    <row r="374" spans="1:20" x14ac:dyDescent="0.3">
      <c r="A374" s="1">
        <v>45841</v>
      </c>
      <c r="B374" t="s">
        <v>15</v>
      </c>
      <c r="C374" s="4">
        <v>1716</v>
      </c>
      <c r="D374" s="4">
        <v>1730.5</v>
      </c>
      <c r="E374" s="4">
        <v>1706.5</v>
      </c>
      <c r="F374" s="4">
        <v>1718.6</v>
      </c>
      <c r="G374" s="4">
        <v>1710</v>
      </c>
      <c r="H374" s="4">
        <v>1711.9</v>
      </c>
      <c r="I374" s="4">
        <v>1718.24</v>
      </c>
      <c r="J374" s="4">
        <v>2012.2</v>
      </c>
      <c r="K374" s="4">
        <v>1302.75</v>
      </c>
      <c r="L374" s="2">
        <v>1839063</v>
      </c>
      <c r="M374" s="2">
        <v>3159957227.3000002</v>
      </c>
      <c r="N374">
        <v>75766</v>
      </c>
      <c r="O374" t="s">
        <v>17</v>
      </c>
      <c r="P374" s="8">
        <f t="shared" si="15"/>
        <v>2.5999999999999091</v>
      </c>
      <c r="Q374" t="s">
        <v>38</v>
      </c>
      <c r="R374">
        <f t="shared" si="16"/>
        <v>7</v>
      </c>
      <c r="S374" t="str">
        <f t="shared" si="17"/>
        <v>Jul</v>
      </c>
      <c r="T374" s="9">
        <f>VLOOKUP(O374, Annual_Summary!A:B, 2, 0)</f>
        <v>-0.15097152122178931</v>
      </c>
    </row>
    <row r="375" spans="1:20" x14ac:dyDescent="0.3">
      <c r="A375" s="1">
        <v>45840</v>
      </c>
      <c r="B375" t="s">
        <v>15</v>
      </c>
      <c r="C375" s="4">
        <v>1722</v>
      </c>
      <c r="D375" s="4">
        <v>1738.5</v>
      </c>
      <c r="E375" s="4">
        <v>1711</v>
      </c>
      <c r="F375" s="4">
        <v>1718.3</v>
      </c>
      <c r="G375" s="4">
        <v>1715</v>
      </c>
      <c r="H375" s="4">
        <v>1718.6</v>
      </c>
      <c r="I375" s="4">
        <v>1721.52</v>
      </c>
      <c r="J375" s="4">
        <v>2012.2</v>
      </c>
      <c r="K375" s="4">
        <v>1302.75</v>
      </c>
      <c r="L375" s="2">
        <v>2069447</v>
      </c>
      <c r="M375" s="2">
        <v>3562584157.8000002</v>
      </c>
      <c r="N375">
        <v>80448</v>
      </c>
      <c r="O375" t="s">
        <v>17</v>
      </c>
      <c r="P375" s="8">
        <f t="shared" si="15"/>
        <v>-3.7000000000000455</v>
      </c>
      <c r="Q375" t="s">
        <v>38</v>
      </c>
      <c r="R375">
        <f t="shared" si="16"/>
        <v>7</v>
      </c>
      <c r="S375" t="str">
        <f t="shared" si="17"/>
        <v>Jul</v>
      </c>
      <c r="T375" s="9">
        <f>VLOOKUP(O375, Annual_Summary!A:B, 2, 0)</f>
        <v>-0.15097152122178931</v>
      </c>
    </row>
    <row r="376" spans="1:20" x14ac:dyDescent="0.3">
      <c r="A376" s="1">
        <v>45839</v>
      </c>
      <c r="B376" t="s">
        <v>15</v>
      </c>
      <c r="C376" s="4">
        <v>1728.6</v>
      </c>
      <c r="D376" s="4">
        <v>1745</v>
      </c>
      <c r="E376" s="4">
        <v>1714</v>
      </c>
      <c r="F376" s="4">
        <v>1728.6</v>
      </c>
      <c r="G376" s="4">
        <v>1718</v>
      </c>
      <c r="H376" s="4">
        <v>1718.3</v>
      </c>
      <c r="I376" s="4">
        <v>1724.9</v>
      </c>
      <c r="J376" s="4">
        <v>2012.2</v>
      </c>
      <c r="K376" s="4">
        <v>1302.75</v>
      </c>
      <c r="L376" s="2">
        <v>1639826</v>
      </c>
      <c r="M376" s="2">
        <v>2828538647.3000002</v>
      </c>
      <c r="N376">
        <v>87719</v>
      </c>
      <c r="O376" t="s">
        <v>17</v>
      </c>
      <c r="P376" s="8">
        <f t="shared" si="15"/>
        <v>0</v>
      </c>
      <c r="Q376" t="s">
        <v>38</v>
      </c>
      <c r="R376">
        <f t="shared" si="16"/>
        <v>7</v>
      </c>
      <c r="S376" t="str">
        <f t="shared" si="17"/>
        <v>Jul</v>
      </c>
      <c r="T376" s="9">
        <f>VLOOKUP(O376, Annual_Summary!A:B, 2, 0)</f>
        <v>-0.15097152122178931</v>
      </c>
    </row>
    <row r="377" spans="1:20" x14ac:dyDescent="0.3">
      <c r="A377" s="1">
        <v>45838</v>
      </c>
      <c r="B377" t="s">
        <v>15</v>
      </c>
      <c r="C377" s="4">
        <v>1725</v>
      </c>
      <c r="D377" s="4">
        <v>1734.8</v>
      </c>
      <c r="E377" s="4">
        <v>1713.3</v>
      </c>
      <c r="F377" s="4">
        <v>1723.3</v>
      </c>
      <c r="G377" s="4">
        <v>1732</v>
      </c>
      <c r="H377" s="4">
        <v>1728.6</v>
      </c>
      <c r="I377" s="4">
        <v>1725.82</v>
      </c>
      <c r="J377" s="4">
        <v>2012.2</v>
      </c>
      <c r="K377" s="4">
        <v>1302.75</v>
      </c>
      <c r="L377" s="2">
        <v>1855229</v>
      </c>
      <c r="M377" s="2">
        <v>3201797967</v>
      </c>
      <c r="N377">
        <v>79062</v>
      </c>
      <c r="O377" t="s">
        <v>17</v>
      </c>
      <c r="P377" s="8">
        <f t="shared" si="15"/>
        <v>-1.7000000000000455</v>
      </c>
      <c r="Q377" t="s">
        <v>38</v>
      </c>
      <c r="R377">
        <f t="shared" si="16"/>
        <v>6</v>
      </c>
      <c r="S377" t="str">
        <f t="shared" si="17"/>
        <v>Jun</v>
      </c>
      <c r="T377" s="9">
        <f>VLOOKUP(O377, Annual_Summary!A:B, 2, 0)</f>
        <v>-0.15097152122178931</v>
      </c>
    </row>
    <row r="378" spans="1:20" x14ac:dyDescent="0.3">
      <c r="A378" s="1">
        <v>45835</v>
      </c>
      <c r="B378" t="s">
        <v>15</v>
      </c>
      <c r="C378" s="4">
        <v>1735</v>
      </c>
      <c r="D378" s="4">
        <v>1752.5</v>
      </c>
      <c r="E378" s="4">
        <v>1710.8</v>
      </c>
      <c r="F378" s="4">
        <v>1724.1</v>
      </c>
      <c r="G378" s="4">
        <v>1728.7</v>
      </c>
      <c r="H378" s="4">
        <v>1723.3</v>
      </c>
      <c r="I378" s="4">
        <v>1725.28</v>
      </c>
      <c r="J378" s="4">
        <v>2012.2</v>
      </c>
      <c r="K378" s="4">
        <v>1302.75</v>
      </c>
      <c r="L378" s="2">
        <v>6478283</v>
      </c>
      <c r="M378" s="2">
        <v>11176867159.6</v>
      </c>
      <c r="N378">
        <v>150371</v>
      </c>
      <c r="O378" t="s">
        <v>17</v>
      </c>
      <c r="P378" s="8">
        <f t="shared" si="15"/>
        <v>-10.900000000000091</v>
      </c>
      <c r="Q378" t="s">
        <v>38</v>
      </c>
      <c r="R378">
        <f t="shared" si="16"/>
        <v>6</v>
      </c>
      <c r="S378" t="str">
        <f t="shared" si="17"/>
        <v>Jun</v>
      </c>
      <c r="T378" s="9">
        <f>VLOOKUP(O378, Annual_Summary!A:B, 2, 0)</f>
        <v>-0.15097152122178931</v>
      </c>
    </row>
    <row r="379" spans="1:20" x14ac:dyDescent="0.3">
      <c r="A379" s="1">
        <v>45834</v>
      </c>
      <c r="B379" t="s">
        <v>15</v>
      </c>
      <c r="C379" s="4">
        <v>1710</v>
      </c>
      <c r="D379" s="4">
        <v>1726.9</v>
      </c>
      <c r="E379" s="4">
        <v>1702.7</v>
      </c>
      <c r="F379" s="4">
        <v>1717.1</v>
      </c>
      <c r="G379" s="4">
        <v>1722</v>
      </c>
      <c r="H379" s="4">
        <v>1724.1</v>
      </c>
      <c r="I379" s="4">
        <v>1719.14</v>
      </c>
      <c r="J379" s="4">
        <v>2012.2</v>
      </c>
      <c r="K379" s="4">
        <v>1302.75</v>
      </c>
      <c r="L379" s="2">
        <v>2971055</v>
      </c>
      <c r="M379" s="2">
        <v>5107646173.3999996</v>
      </c>
      <c r="N379">
        <v>109096</v>
      </c>
      <c r="O379" t="s">
        <v>17</v>
      </c>
      <c r="P379" s="8">
        <f t="shared" si="15"/>
        <v>7.0999999999999091</v>
      </c>
      <c r="Q379" t="s">
        <v>38</v>
      </c>
      <c r="R379">
        <f t="shared" si="16"/>
        <v>6</v>
      </c>
      <c r="S379" t="str">
        <f t="shared" si="17"/>
        <v>Jun</v>
      </c>
      <c r="T379" s="9">
        <f>VLOOKUP(O379, Annual_Summary!A:B, 2, 0)</f>
        <v>-0.15097152122178931</v>
      </c>
    </row>
    <row r="380" spans="1:20" x14ac:dyDescent="0.3">
      <c r="A380" s="1">
        <v>45833</v>
      </c>
      <c r="B380" t="s">
        <v>15</v>
      </c>
      <c r="C380" s="4">
        <v>1702</v>
      </c>
      <c r="D380" s="4">
        <v>1720.7</v>
      </c>
      <c r="E380" s="4">
        <v>1701</v>
      </c>
      <c r="F380" s="4">
        <v>1691.8</v>
      </c>
      <c r="G380" s="4">
        <v>1713.9</v>
      </c>
      <c r="H380" s="4">
        <v>1717.1</v>
      </c>
      <c r="I380" s="4">
        <v>1714.03</v>
      </c>
      <c r="J380" s="4">
        <v>2012.2</v>
      </c>
      <c r="K380" s="4">
        <v>1302.75</v>
      </c>
      <c r="L380" s="2">
        <v>1307518</v>
      </c>
      <c r="M380" s="2">
        <v>2241127887.5</v>
      </c>
      <c r="N380">
        <v>67381</v>
      </c>
      <c r="O380" t="s">
        <v>17</v>
      </c>
      <c r="P380" s="8">
        <f t="shared" si="15"/>
        <v>-10.200000000000045</v>
      </c>
      <c r="Q380" t="s">
        <v>38</v>
      </c>
      <c r="R380">
        <f t="shared" si="16"/>
        <v>6</v>
      </c>
      <c r="S380" t="str">
        <f t="shared" si="17"/>
        <v>Jun</v>
      </c>
      <c r="T380" s="9">
        <f>VLOOKUP(O380, Annual_Summary!A:B, 2, 0)</f>
        <v>-0.15097152122178931</v>
      </c>
    </row>
    <row r="381" spans="1:20" x14ac:dyDescent="0.3">
      <c r="A381" s="1">
        <v>45832</v>
      </c>
      <c r="B381" t="s">
        <v>15</v>
      </c>
      <c r="C381" s="4">
        <v>1719.9</v>
      </c>
      <c r="D381" s="4">
        <v>1732.6</v>
      </c>
      <c r="E381" s="4">
        <v>1689.2</v>
      </c>
      <c r="F381" s="4">
        <v>1703.2</v>
      </c>
      <c r="G381" s="4">
        <v>1691</v>
      </c>
      <c r="H381" s="4">
        <v>1691.8</v>
      </c>
      <c r="I381" s="4">
        <v>1704.45</v>
      </c>
      <c r="J381" s="4">
        <v>2012.2</v>
      </c>
      <c r="K381" s="4">
        <v>1302.75</v>
      </c>
      <c r="L381" s="2">
        <v>3601071</v>
      </c>
      <c r="M381" s="2">
        <v>6137832585.5</v>
      </c>
      <c r="N381">
        <v>131869</v>
      </c>
      <c r="O381" t="s">
        <v>17</v>
      </c>
      <c r="P381" s="8">
        <f t="shared" si="15"/>
        <v>-16.700000000000045</v>
      </c>
      <c r="Q381" t="s">
        <v>38</v>
      </c>
      <c r="R381">
        <f t="shared" si="16"/>
        <v>6</v>
      </c>
      <c r="S381" t="str">
        <f t="shared" si="17"/>
        <v>Jun</v>
      </c>
      <c r="T381" s="9">
        <f>VLOOKUP(O381, Annual_Summary!A:B, 2, 0)</f>
        <v>-0.15097152122178931</v>
      </c>
    </row>
    <row r="382" spans="1:20" x14ac:dyDescent="0.3">
      <c r="A382" s="1">
        <v>45831</v>
      </c>
      <c r="B382" t="s">
        <v>15</v>
      </c>
      <c r="C382" s="4">
        <v>1729.2</v>
      </c>
      <c r="D382" s="4">
        <v>1729.8</v>
      </c>
      <c r="E382" s="4">
        <v>1699.2</v>
      </c>
      <c r="F382" s="4">
        <v>1739.9</v>
      </c>
      <c r="G382" s="4">
        <v>1699.9</v>
      </c>
      <c r="H382" s="4">
        <v>1703.2</v>
      </c>
      <c r="I382" s="4">
        <v>1709.85</v>
      </c>
      <c r="J382" s="4">
        <v>2012.2</v>
      </c>
      <c r="K382" s="4">
        <v>1302.75</v>
      </c>
      <c r="L382" s="2">
        <v>2221446</v>
      </c>
      <c r="M382" s="2">
        <v>3798348110</v>
      </c>
      <c r="N382">
        <v>78517</v>
      </c>
      <c r="O382" t="s">
        <v>17</v>
      </c>
      <c r="P382" s="8">
        <f t="shared" si="15"/>
        <v>10.700000000000045</v>
      </c>
      <c r="Q382" t="s">
        <v>38</v>
      </c>
      <c r="R382">
        <f t="shared" si="16"/>
        <v>6</v>
      </c>
      <c r="S382" t="str">
        <f t="shared" si="17"/>
        <v>Jun</v>
      </c>
      <c r="T382" s="9">
        <f>VLOOKUP(O382, Annual_Summary!A:B, 2, 0)</f>
        <v>-0.15097152122178931</v>
      </c>
    </row>
    <row r="383" spans="1:20" x14ac:dyDescent="0.3">
      <c r="A383" s="1">
        <v>45828</v>
      </c>
      <c r="B383" t="s">
        <v>15</v>
      </c>
      <c r="C383" s="4">
        <v>1713.9</v>
      </c>
      <c r="D383" s="4">
        <v>1742.6</v>
      </c>
      <c r="E383" s="4">
        <v>1709.1</v>
      </c>
      <c r="F383" s="4">
        <v>1713.9</v>
      </c>
      <c r="G383" s="4">
        <v>1736.9</v>
      </c>
      <c r="H383" s="4">
        <v>1739.9</v>
      </c>
      <c r="I383" s="4">
        <v>1735.97</v>
      </c>
      <c r="J383" s="4">
        <v>2012.2</v>
      </c>
      <c r="K383" s="4">
        <v>1302.75</v>
      </c>
      <c r="L383" s="2">
        <v>2719770</v>
      </c>
      <c r="M383" s="2">
        <v>4721430011.8000002</v>
      </c>
      <c r="N383">
        <v>77792</v>
      </c>
      <c r="O383" t="s">
        <v>17</v>
      </c>
      <c r="P383" s="8">
        <f t="shared" si="15"/>
        <v>0</v>
      </c>
      <c r="Q383" t="s">
        <v>38</v>
      </c>
      <c r="R383">
        <f t="shared" si="16"/>
        <v>6</v>
      </c>
      <c r="S383" t="str">
        <f t="shared" si="17"/>
        <v>Jun</v>
      </c>
      <c r="T383" s="9">
        <f>VLOOKUP(O383, Annual_Summary!A:B, 2, 0)</f>
        <v>-0.15097152122178931</v>
      </c>
    </row>
    <row r="384" spans="1:20" x14ac:dyDescent="0.3">
      <c r="A384" s="1">
        <v>45827</v>
      </c>
      <c r="B384" t="s">
        <v>15</v>
      </c>
      <c r="C384" s="4">
        <v>1719.7</v>
      </c>
      <c r="D384" s="4">
        <v>1719.7</v>
      </c>
      <c r="E384" s="4">
        <v>1697.2</v>
      </c>
      <c r="F384" s="4">
        <v>1715.9</v>
      </c>
      <c r="G384" s="4">
        <v>1706.8</v>
      </c>
      <c r="H384" s="4">
        <v>1713.9</v>
      </c>
      <c r="I384" s="4">
        <v>1707.25</v>
      </c>
      <c r="J384" s="4">
        <v>2012.2</v>
      </c>
      <c r="K384" s="4">
        <v>1302.75</v>
      </c>
      <c r="L384" s="2">
        <v>2514527</v>
      </c>
      <c r="M384" s="2">
        <v>4292931949</v>
      </c>
      <c r="N384">
        <v>110611</v>
      </c>
      <c r="O384" t="s">
        <v>17</v>
      </c>
      <c r="P384" s="8">
        <f t="shared" si="15"/>
        <v>-3.7999999999999545</v>
      </c>
      <c r="Q384" t="s">
        <v>38</v>
      </c>
      <c r="R384">
        <f t="shared" si="16"/>
        <v>6</v>
      </c>
      <c r="S384" t="str">
        <f t="shared" si="17"/>
        <v>Jun</v>
      </c>
      <c r="T384" s="9">
        <f>VLOOKUP(O384, Annual_Summary!A:B, 2, 0)</f>
        <v>-0.15097152122178931</v>
      </c>
    </row>
    <row r="385" spans="1:20" x14ac:dyDescent="0.3">
      <c r="A385" s="1">
        <v>45826</v>
      </c>
      <c r="B385" t="s">
        <v>15</v>
      </c>
      <c r="C385" s="4">
        <v>1727.9</v>
      </c>
      <c r="D385" s="4">
        <v>1745</v>
      </c>
      <c r="E385" s="4">
        <v>1710</v>
      </c>
      <c r="F385" s="4">
        <v>1729.6</v>
      </c>
      <c r="G385" s="4">
        <v>1719.7</v>
      </c>
      <c r="H385" s="4">
        <v>1715.9</v>
      </c>
      <c r="I385" s="4">
        <v>1720.55</v>
      </c>
      <c r="J385" s="4">
        <v>2012.2</v>
      </c>
      <c r="K385" s="4">
        <v>1302.75</v>
      </c>
      <c r="L385" s="2">
        <v>1794428</v>
      </c>
      <c r="M385" s="2">
        <v>3087397101</v>
      </c>
      <c r="N385">
        <v>73006</v>
      </c>
      <c r="O385" t="s">
        <v>17</v>
      </c>
      <c r="P385" s="8">
        <f t="shared" si="15"/>
        <v>1.6999999999998181</v>
      </c>
      <c r="Q385" t="s">
        <v>38</v>
      </c>
      <c r="R385">
        <f t="shared" si="16"/>
        <v>6</v>
      </c>
      <c r="S385" t="str">
        <f t="shared" si="17"/>
        <v>Jun</v>
      </c>
      <c r="T385" s="9">
        <f>VLOOKUP(O385, Annual_Summary!A:B, 2, 0)</f>
        <v>-0.15097152122178931</v>
      </c>
    </row>
    <row r="386" spans="1:20" x14ac:dyDescent="0.3">
      <c r="A386" s="1">
        <v>45825</v>
      </c>
      <c r="B386" t="s">
        <v>15</v>
      </c>
      <c r="C386" s="4">
        <v>1728</v>
      </c>
      <c r="D386" s="4">
        <v>1738.8</v>
      </c>
      <c r="E386" s="4">
        <v>1720</v>
      </c>
      <c r="F386" s="4">
        <v>1723</v>
      </c>
      <c r="G386" s="4">
        <v>1728</v>
      </c>
      <c r="H386" s="4">
        <v>1729.6</v>
      </c>
      <c r="I386" s="4">
        <v>1731.35</v>
      </c>
      <c r="J386" s="4">
        <v>2012.2</v>
      </c>
      <c r="K386" s="4">
        <v>1302.75</v>
      </c>
      <c r="L386" s="2">
        <v>1777245</v>
      </c>
      <c r="M386" s="2">
        <v>3077026497.5</v>
      </c>
      <c r="N386">
        <v>89362</v>
      </c>
      <c r="O386" t="s">
        <v>17</v>
      </c>
      <c r="P386" s="8">
        <f t="shared" si="15"/>
        <v>-5</v>
      </c>
      <c r="Q386" t="s">
        <v>38</v>
      </c>
      <c r="R386">
        <f t="shared" si="16"/>
        <v>6</v>
      </c>
      <c r="S386" t="str">
        <f t="shared" si="17"/>
        <v>Jun</v>
      </c>
      <c r="T386" s="9">
        <f>VLOOKUP(O386, Annual_Summary!A:B, 2, 0)</f>
        <v>-0.15097152122178931</v>
      </c>
    </row>
    <row r="387" spans="1:20" x14ac:dyDescent="0.3">
      <c r="A387" s="1">
        <v>45824</v>
      </c>
      <c r="B387" t="s">
        <v>15</v>
      </c>
      <c r="C387" s="4">
        <v>1692</v>
      </c>
      <c r="D387" s="4">
        <v>1729.4</v>
      </c>
      <c r="E387" s="4">
        <v>1683.4</v>
      </c>
      <c r="F387" s="4">
        <v>1695.3</v>
      </c>
      <c r="G387" s="4">
        <v>1722</v>
      </c>
      <c r="H387" s="4">
        <v>1723</v>
      </c>
      <c r="I387" s="4">
        <v>1719.53</v>
      </c>
      <c r="J387" s="4">
        <v>2012.2</v>
      </c>
      <c r="K387" s="4">
        <v>1302.75</v>
      </c>
      <c r="L387" s="2">
        <v>2116100</v>
      </c>
      <c r="M387" s="2">
        <v>3638696112.5</v>
      </c>
      <c r="N387">
        <v>80549</v>
      </c>
      <c r="O387" t="s">
        <v>17</v>
      </c>
      <c r="P387" s="8">
        <f t="shared" ref="P387:P450" si="18">F387-C387</f>
        <v>3.2999999999999545</v>
      </c>
      <c r="Q387" t="s">
        <v>38</v>
      </c>
      <c r="R387">
        <f t="shared" ref="R387:R450" si="19">MONTH(A387)</f>
        <v>6</v>
      </c>
      <c r="S387" t="str">
        <f t="shared" ref="S387:S450" si="20">TEXT(A387,"mmm")</f>
        <v>Jun</v>
      </c>
      <c r="T387" s="9">
        <f>VLOOKUP(O387, Annual_Summary!A:B, 2, 0)</f>
        <v>-0.15097152122178931</v>
      </c>
    </row>
    <row r="388" spans="1:20" x14ac:dyDescent="0.3">
      <c r="A388" s="1">
        <v>45821</v>
      </c>
      <c r="B388" t="s">
        <v>15</v>
      </c>
      <c r="C388" s="4">
        <v>1666</v>
      </c>
      <c r="D388" s="4">
        <v>1711</v>
      </c>
      <c r="E388" s="4">
        <v>1664.6</v>
      </c>
      <c r="F388" s="4">
        <v>1701.2</v>
      </c>
      <c r="G388" s="4">
        <v>1697.4</v>
      </c>
      <c r="H388" s="4">
        <v>1695.3</v>
      </c>
      <c r="I388" s="4">
        <v>1693.86</v>
      </c>
      <c r="J388" s="4">
        <v>2012.2</v>
      </c>
      <c r="K388" s="4">
        <v>1302.75</v>
      </c>
      <c r="L388" s="2">
        <v>1988422</v>
      </c>
      <c r="M388" s="2">
        <v>3368100354.5</v>
      </c>
      <c r="N388">
        <v>73815</v>
      </c>
      <c r="O388" t="s">
        <v>17</v>
      </c>
      <c r="P388" s="8">
        <f t="shared" si="18"/>
        <v>35.200000000000045</v>
      </c>
      <c r="Q388" t="s">
        <v>38</v>
      </c>
      <c r="R388">
        <f t="shared" si="19"/>
        <v>6</v>
      </c>
      <c r="S388" t="str">
        <f t="shared" si="20"/>
        <v>Jun</v>
      </c>
      <c r="T388" s="9">
        <f>VLOOKUP(O388, Annual_Summary!A:B, 2, 0)</f>
        <v>-0.15097152122178931</v>
      </c>
    </row>
    <row r="389" spans="1:20" x14ac:dyDescent="0.3">
      <c r="A389" s="1">
        <v>45820</v>
      </c>
      <c r="B389" t="s">
        <v>15</v>
      </c>
      <c r="C389" s="4">
        <v>1725</v>
      </c>
      <c r="D389" s="4">
        <v>1726</v>
      </c>
      <c r="E389" s="4">
        <v>1695</v>
      </c>
      <c r="F389" s="4">
        <v>1721.9</v>
      </c>
      <c r="G389" s="4">
        <v>1702.4</v>
      </c>
      <c r="H389" s="4">
        <v>1701.2</v>
      </c>
      <c r="I389" s="4">
        <v>1706.01</v>
      </c>
      <c r="J389" s="4">
        <v>2012.2</v>
      </c>
      <c r="K389" s="4">
        <v>1302.75</v>
      </c>
      <c r="L389" s="2">
        <v>3607962</v>
      </c>
      <c r="M389" s="2">
        <v>6155229559.8999996</v>
      </c>
      <c r="N389">
        <v>139910</v>
      </c>
      <c r="O389" t="s">
        <v>17</v>
      </c>
      <c r="P389" s="8">
        <f t="shared" si="18"/>
        <v>-3.0999999999999091</v>
      </c>
      <c r="Q389" t="s">
        <v>38</v>
      </c>
      <c r="R389">
        <f t="shared" si="19"/>
        <v>6</v>
      </c>
      <c r="S389" t="str">
        <f t="shared" si="20"/>
        <v>Jun</v>
      </c>
      <c r="T389" s="9">
        <f>VLOOKUP(O389, Annual_Summary!A:B, 2, 0)</f>
        <v>-0.15097152122178931</v>
      </c>
    </row>
    <row r="390" spans="1:20" x14ac:dyDescent="0.3">
      <c r="A390" s="1">
        <v>45819</v>
      </c>
      <c r="B390" t="s">
        <v>15</v>
      </c>
      <c r="C390" s="4">
        <v>1676</v>
      </c>
      <c r="D390" s="4">
        <v>1725.4</v>
      </c>
      <c r="E390" s="4">
        <v>1666</v>
      </c>
      <c r="F390" s="4">
        <v>1668.1</v>
      </c>
      <c r="G390" s="4">
        <v>1721.3</v>
      </c>
      <c r="H390" s="4">
        <v>1721.9</v>
      </c>
      <c r="I390" s="4">
        <v>1707.99</v>
      </c>
      <c r="J390" s="4">
        <v>2012.2</v>
      </c>
      <c r="K390" s="4">
        <v>1302.75</v>
      </c>
      <c r="L390" s="2">
        <v>5085821</v>
      </c>
      <c r="M390" s="2">
        <v>8686517262.7000008</v>
      </c>
      <c r="N390">
        <v>151276</v>
      </c>
      <c r="O390" t="s">
        <v>17</v>
      </c>
      <c r="P390" s="8">
        <f t="shared" si="18"/>
        <v>-7.9000000000000909</v>
      </c>
      <c r="Q390" t="s">
        <v>38</v>
      </c>
      <c r="R390">
        <f t="shared" si="19"/>
        <v>6</v>
      </c>
      <c r="S390" t="str">
        <f t="shared" si="20"/>
        <v>Jun</v>
      </c>
      <c r="T390" s="9">
        <f>VLOOKUP(O390, Annual_Summary!A:B, 2, 0)</f>
        <v>-0.15097152122178931</v>
      </c>
    </row>
    <row r="391" spans="1:20" x14ac:dyDescent="0.3">
      <c r="A391" s="1">
        <v>45818</v>
      </c>
      <c r="B391" t="s">
        <v>15</v>
      </c>
      <c r="C391" s="4">
        <v>1653.3</v>
      </c>
      <c r="D391" s="4">
        <v>1684.9</v>
      </c>
      <c r="E391" s="4">
        <v>1649</v>
      </c>
      <c r="F391" s="4">
        <v>1648.3</v>
      </c>
      <c r="G391" s="4">
        <v>1670.7</v>
      </c>
      <c r="H391" s="4">
        <v>1668.1</v>
      </c>
      <c r="I391" s="4">
        <v>1671.68</v>
      </c>
      <c r="J391" s="4">
        <v>2012.2</v>
      </c>
      <c r="K391" s="4">
        <v>1302.75</v>
      </c>
      <c r="L391" s="2">
        <v>3055223</v>
      </c>
      <c r="M391" s="2">
        <v>5107346354.5</v>
      </c>
      <c r="N391">
        <v>117723</v>
      </c>
      <c r="O391" t="s">
        <v>17</v>
      </c>
      <c r="P391" s="8">
        <f t="shared" si="18"/>
        <v>-5</v>
      </c>
      <c r="Q391" t="s">
        <v>38</v>
      </c>
      <c r="R391">
        <f t="shared" si="19"/>
        <v>6</v>
      </c>
      <c r="S391" t="str">
        <f t="shared" si="20"/>
        <v>Jun</v>
      </c>
      <c r="T391" s="9">
        <f>VLOOKUP(O391, Annual_Summary!A:B, 2, 0)</f>
        <v>-0.15097152122178931</v>
      </c>
    </row>
    <row r="392" spans="1:20" x14ac:dyDescent="0.3">
      <c r="A392" s="1">
        <v>45817</v>
      </c>
      <c r="B392" t="s">
        <v>15</v>
      </c>
      <c r="C392" s="4">
        <v>1648</v>
      </c>
      <c r="D392" s="4">
        <v>1658</v>
      </c>
      <c r="E392" s="4">
        <v>1639</v>
      </c>
      <c r="F392" s="4">
        <v>1637.7</v>
      </c>
      <c r="G392" s="4">
        <v>1648.5</v>
      </c>
      <c r="H392" s="4">
        <v>1648.3</v>
      </c>
      <c r="I392" s="4">
        <v>1650.6</v>
      </c>
      <c r="J392" s="4">
        <v>2012.2</v>
      </c>
      <c r="K392" s="4">
        <v>1302.75</v>
      </c>
      <c r="L392" s="2">
        <v>1299786</v>
      </c>
      <c r="M392" s="2">
        <v>2145421805</v>
      </c>
      <c r="N392">
        <v>78967</v>
      </c>
      <c r="O392" t="s">
        <v>17</v>
      </c>
      <c r="P392" s="8">
        <f t="shared" si="18"/>
        <v>-10.299999999999955</v>
      </c>
      <c r="Q392" t="s">
        <v>38</v>
      </c>
      <c r="R392">
        <f t="shared" si="19"/>
        <v>6</v>
      </c>
      <c r="S392" t="str">
        <f t="shared" si="20"/>
        <v>Jun</v>
      </c>
      <c r="T392" s="9">
        <f>VLOOKUP(O392, Annual_Summary!A:B, 2, 0)</f>
        <v>-0.15097152122178931</v>
      </c>
    </row>
    <row r="393" spans="1:20" x14ac:dyDescent="0.3">
      <c r="A393" s="1">
        <v>45814</v>
      </c>
      <c r="B393" t="s">
        <v>15</v>
      </c>
      <c r="C393" s="4">
        <v>1631.2</v>
      </c>
      <c r="D393" s="4">
        <v>1639.8</v>
      </c>
      <c r="E393" s="4">
        <v>1622</v>
      </c>
      <c r="F393" s="4">
        <v>1632.4</v>
      </c>
      <c r="G393" s="4">
        <v>1638</v>
      </c>
      <c r="H393" s="4">
        <v>1637.7</v>
      </c>
      <c r="I393" s="4">
        <v>1633.47</v>
      </c>
      <c r="J393" s="4">
        <v>2012.2</v>
      </c>
      <c r="K393" s="4">
        <v>1235</v>
      </c>
      <c r="L393" s="2">
        <v>1261281</v>
      </c>
      <c r="M393" s="2">
        <v>2060270888.7</v>
      </c>
      <c r="N393">
        <v>46092</v>
      </c>
      <c r="O393" t="s">
        <v>17</v>
      </c>
      <c r="P393" s="8">
        <f t="shared" si="18"/>
        <v>1.2000000000000455</v>
      </c>
      <c r="Q393" t="s">
        <v>38</v>
      </c>
      <c r="R393">
        <f t="shared" si="19"/>
        <v>6</v>
      </c>
      <c r="S393" t="str">
        <f t="shared" si="20"/>
        <v>Jun</v>
      </c>
      <c r="T393" s="9">
        <f>VLOOKUP(O393, Annual_Summary!A:B, 2, 0)</f>
        <v>-0.15097152122178931</v>
      </c>
    </row>
    <row r="394" spans="1:20" x14ac:dyDescent="0.3">
      <c r="A394" s="1">
        <v>45813</v>
      </c>
      <c r="B394" t="s">
        <v>15</v>
      </c>
      <c r="C394" s="4">
        <v>1634.9</v>
      </c>
      <c r="D394" s="4">
        <v>1653.9</v>
      </c>
      <c r="E394" s="4">
        <v>1624.6</v>
      </c>
      <c r="F394" s="4">
        <v>1626.1</v>
      </c>
      <c r="G394" s="4">
        <v>1632.3</v>
      </c>
      <c r="H394" s="4">
        <v>1632.4</v>
      </c>
      <c r="I394" s="4">
        <v>1634.36</v>
      </c>
      <c r="J394" s="4">
        <v>2012.2</v>
      </c>
      <c r="K394" s="4">
        <v>1235</v>
      </c>
      <c r="L394" s="2">
        <v>1409322</v>
      </c>
      <c r="M394" s="2">
        <v>2303345799.8000002</v>
      </c>
      <c r="N394">
        <v>67216</v>
      </c>
      <c r="O394" t="s">
        <v>17</v>
      </c>
      <c r="P394" s="8">
        <f t="shared" si="18"/>
        <v>-8.8000000000001819</v>
      </c>
      <c r="Q394" t="s">
        <v>38</v>
      </c>
      <c r="R394">
        <f t="shared" si="19"/>
        <v>6</v>
      </c>
      <c r="S394" t="str">
        <f t="shared" si="20"/>
        <v>Jun</v>
      </c>
      <c r="T394" s="9">
        <f>VLOOKUP(O394, Annual_Summary!A:B, 2, 0)</f>
        <v>-0.15097152122178931</v>
      </c>
    </row>
    <row r="395" spans="1:20" x14ac:dyDescent="0.3">
      <c r="A395" s="1">
        <v>45812</v>
      </c>
      <c r="B395" t="s">
        <v>15</v>
      </c>
      <c r="C395" s="4">
        <v>1631</v>
      </c>
      <c r="D395" s="4">
        <v>1644.6</v>
      </c>
      <c r="E395" s="4">
        <v>1622.2</v>
      </c>
      <c r="F395" s="4">
        <v>1630.4</v>
      </c>
      <c r="G395" s="4">
        <v>1625.4</v>
      </c>
      <c r="H395" s="4">
        <v>1626.1</v>
      </c>
      <c r="I395" s="4">
        <v>1631.91</v>
      </c>
      <c r="J395" s="4">
        <v>2012.2</v>
      </c>
      <c r="K395" s="4">
        <v>1235</v>
      </c>
      <c r="L395" s="2">
        <v>1659720</v>
      </c>
      <c r="M395" s="2">
        <v>2708512287.0999999</v>
      </c>
      <c r="N395">
        <v>70129</v>
      </c>
      <c r="O395" t="s">
        <v>17</v>
      </c>
      <c r="P395" s="8">
        <f t="shared" si="18"/>
        <v>-0.59999999999990905</v>
      </c>
      <c r="Q395" t="s">
        <v>38</v>
      </c>
      <c r="R395">
        <f t="shared" si="19"/>
        <v>6</v>
      </c>
      <c r="S395" t="str">
        <f t="shared" si="20"/>
        <v>Jun</v>
      </c>
      <c r="T395" s="9">
        <f>VLOOKUP(O395, Annual_Summary!A:B, 2, 0)</f>
        <v>-0.15097152122178931</v>
      </c>
    </row>
    <row r="396" spans="1:20" x14ac:dyDescent="0.3">
      <c r="A396" s="1">
        <v>45811</v>
      </c>
      <c r="B396" t="s">
        <v>15</v>
      </c>
      <c r="C396" s="4">
        <v>1646.9</v>
      </c>
      <c r="D396" s="4">
        <v>1651.7</v>
      </c>
      <c r="E396" s="4">
        <v>1617</v>
      </c>
      <c r="F396" s="4">
        <v>1631.5</v>
      </c>
      <c r="G396" s="4">
        <v>1630.5</v>
      </c>
      <c r="H396" s="4">
        <v>1630.4</v>
      </c>
      <c r="I396" s="4">
        <v>1631.03</v>
      </c>
      <c r="J396" s="4">
        <v>2012.2</v>
      </c>
      <c r="K396" s="4">
        <v>1235</v>
      </c>
      <c r="L396" s="2">
        <v>2380133</v>
      </c>
      <c r="M396" s="2">
        <v>3882076505</v>
      </c>
      <c r="N396">
        <v>117240</v>
      </c>
      <c r="O396" t="s">
        <v>17</v>
      </c>
      <c r="P396" s="8">
        <f t="shared" si="18"/>
        <v>-15.400000000000091</v>
      </c>
      <c r="Q396" t="s">
        <v>38</v>
      </c>
      <c r="R396">
        <f t="shared" si="19"/>
        <v>6</v>
      </c>
      <c r="S396" t="str">
        <f t="shared" si="20"/>
        <v>Jun</v>
      </c>
      <c r="T396" s="9">
        <f>VLOOKUP(O396, Annual_Summary!A:B, 2, 0)</f>
        <v>-0.15097152122178931</v>
      </c>
    </row>
    <row r="397" spans="1:20" x14ac:dyDescent="0.3">
      <c r="A397" s="1">
        <v>45810</v>
      </c>
      <c r="B397" t="s">
        <v>15</v>
      </c>
      <c r="C397" s="4">
        <v>1625.1</v>
      </c>
      <c r="D397" s="4">
        <v>1635.2</v>
      </c>
      <c r="E397" s="4">
        <v>1605.7</v>
      </c>
      <c r="F397" s="4">
        <v>1636.6</v>
      </c>
      <c r="G397" s="4">
        <v>1628</v>
      </c>
      <c r="H397" s="4">
        <v>1631.5</v>
      </c>
      <c r="I397" s="4">
        <v>1624.66</v>
      </c>
      <c r="J397" s="4">
        <v>2012.2</v>
      </c>
      <c r="K397" s="4">
        <v>1235</v>
      </c>
      <c r="L397" s="2">
        <v>1883100</v>
      </c>
      <c r="M397" s="2">
        <v>3059394023.0999999</v>
      </c>
      <c r="N397">
        <v>87270</v>
      </c>
      <c r="O397" t="s">
        <v>17</v>
      </c>
      <c r="P397" s="8">
        <f t="shared" si="18"/>
        <v>11.5</v>
      </c>
      <c r="Q397" t="s">
        <v>38</v>
      </c>
      <c r="R397">
        <f t="shared" si="19"/>
        <v>6</v>
      </c>
      <c r="S397" t="str">
        <f t="shared" si="20"/>
        <v>Jun</v>
      </c>
      <c r="T397" s="9">
        <f>VLOOKUP(O397, Annual_Summary!A:B, 2, 0)</f>
        <v>-0.15097152122178931</v>
      </c>
    </row>
    <row r="398" spans="1:20" x14ac:dyDescent="0.3">
      <c r="A398" s="1">
        <v>45807</v>
      </c>
      <c r="B398" t="s">
        <v>15</v>
      </c>
      <c r="C398" s="4">
        <v>1664.7</v>
      </c>
      <c r="D398" s="4">
        <v>1664.7</v>
      </c>
      <c r="E398" s="4">
        <v>1627.3</v>
      </c>
      <c r="F398" s="4">
        <v>1664.7</v>
      </c>
      <c r="G398" s="4">
        <v>1631.5</v>
      </c>
      <c r="H398" s="4">
        <v>1636.6</v>
      </c>
      <c r="I398" s="4">
        <v>1640.93</v>
      </c>
      <c r="J398" s="4">
        <v>2012.2</v>
      </c>
      <c r="K398" s="4">
        <v>1235</v>
      </c>
      <c r="L398" s="2">
        <v>4408910</v>
      </c>
      <c r="M398" s="2">
        <v>7234713454</v>
      </c>
      <c r="N398">
        <v>100975</v>
      </c>
      <c r="O398" t="s">
        <v>17</v>
      </c>
      <c r="P398" s="8">
        <f t="shared" si="18"/>
        <v>0</v>
      </c>
      <c r="Q398" t="s">
        <v>38</v>
      </c>
      <c r="R398">
        <f t="shared" si="19"/>
        <v>5</v>
      </c>
      <c r="S398" t="str">
        <f t="shared" si="20"/>
        <v>May</v>
      </c>
      <c r="T398" s="9">
        <f>VLOOKUP(O398, Annual_Summary!A:B, 2, 0)</f>
        <v>-0.15097152122178931</v>
      </c>
    </row>
    <row r="399" spans="1:20" x14ac:dyDescent="0.3">
      <c r="A399" s="1">
        <v>45806</v>
      </c>
      <c r="B399" t="s">
        <v>15</v>
      </c>
      <c r="C399" s="4">
        <v>1670</v>
      </c>
      <c r="D399" s="4">
        <v>1675.5</v>
      </c>
      <c r="E399" s="4">
        <v>1655.6</v>
      </c>
      <c r="F399" s="4">
        <v>1657.3</v>
      </c>
      <c r="G399" s="4">
        <v>1665.5</v>
      </c>
      <c r="H399" s="4">
        <v>1664.7</v>
      </c>
      <c r="I399" s="4">
        <v>1663.36</v>
      </c>
      <c r="J399" s="4">
        <v>2012.2</v>
      </c>
      <c r="K399" s="4">
        <v>1235</v>
      </c>
      <c r="L399" s="2">
        <v>2374051</v>
      </c>
      <c r="M399" s="2">
        <v>3948895883.1999998</v>
      </c>
      <c r="N399">
        <v>81223</v>
      </c>
      <c r="O399" t="s">
        <v>17</v>
      </c>
      <c r="P399" s="8">
        <f t="shared" si="18"/>
        <v>-12.700000000000045</v>
      </c>
      <c r="Q399" t="s">
        <v>38</v>
      </c>
      <c r="R399">
        <f t="shared" si="19"/>
        <v>5</v>
      </c>
      <c r="S399" t="str">
        <f t="shared" si="20"/>
        <v>May</v>
      </c>
      <c r="T399" s="9">
        <f>VLOOKUP(O399, Annual_Summary!A:B, 2, 0)</f>
        <v>-0.15097152122178931</v>
      </c>
    </row>
    <row r="400" spans="1:20" x14ac:dyDescent="0.3">
      <c r="A400" s="1">
        <v>45805</v>
      </c>
      <c r="B400" t="s">
        <v>15</v>
      </c>
      <c r="C400" s="4">
        <v>1664</v>
      </c>
      <c r="D400" s="4">
        <v>1666.8</v>
      </c>
      <c r="E400" s="4">
        <v>1647</v>
      </c>
      <c r="F400" s="4">
        <v>1652.1</v>
      </c>
      <c r="G400" s="4">
        <v>1660</v>
      </c>
      <c r="H400" s="4">
        <v>1657.3</v>
      </c>
      <c r="I400" s="4">
        <v>1654.59</v>
      </c>
      <c r="J400" s="4">
        <v>2012.2</v>
      </c>
      <c r="K400" s="4">
        <v>1235</v>
      </c>
      <c r="L400" s="2">
        <v>1775441</v>
      </c>
      <c r="M400" s="2">
        <v>2937633522.5</v>
      </c>
      <c r="N400">
        <v>59437</v>
      </c>
      <c r="O400" t="s">
        <v>17</v>
      </c>
      <c r="P400" s="8">
        <f t="shared" si="18"/>
        <v>-11.900000000000091</v>
      </c>
      <c r="Q400" t="s">
        <v>38</v>
      </c>
      <c r="R400">
        <f t="shared" si="19"/>
        <v>5</v>
      </c>
      <c r="S400" t="str">
        <f t="shared" si="20"/>
        <v>May</v>
      </c>
      <c r="T400" s="9">
        <f>VLOOKUP(O400, Annual_Summary!A:B, 2, 0)</f>
        <v>-0.15097152122178931</v>
      </c>
    </row>
    <row r="401" spans="1:20" x14ac:dyDescent="0.3">
      <c r="A401" s="1">
        <v>45804</v>
      </c>
      <c r="B401" t="s">
        <v>15</v>
      </c>
      <c r="C401" s="4">
        <v>1673.8</v>
      </c>
      <c r="D401" s="4">
        <v>1675.5</v>
      </c>
      <c r="E401" s="4">
        <v>1641.5</v>
      </c>
      <c r="F401" s="4">
        <v>1673.6</v>
      </c>
      <c r="G401" s="4">
        <v>1654.9</v>
      </c>
      <c r="H401" s="4">
        <v>1652.1</v>
      </c>
      <c r="I401" s="4">
        <v>1654.27</v>
      </c>
      <c r="J401" s="4">
        <v>2012.2</v>
      </c>
      <c r="K401" s="4">
        <v>1235</v>
      </c>
      <c r="L401" s="2">
        <v>2740015</v>
      </c>
      <c r="M401" s="2">
        <v>4532722727.3000002</v>
      </c>
      <c r="N401">
        <v>97349</v>
      </c>
      <c r="O401" t="s">
        <v>17</v>
      </c>
      <c r="P401" s="8">
        <f t="shared" si="18"/>
        <v>-0.20000000000004547</v>
      </c>
      <c r="Q401" t="s">
        <v>38</v>
      </c>
      <c r="R401">
        <f t="shared" si="19"/>
        <v>5</v>
      </c>
      <c r="S401" t="str">
        <f t="shared" si="20"/>
        <v>May</v>
      </c>
      <c r="T401" s="9">
        <f>VLOOKUP(O401, Annual_Summary!A:B, 2, 0)</f>
        <v>-0.15097152122178931</v>
      </c>
    </row>
    <row r="402" spans="1:20" x14ac:dyDescent="0.3">
      <c r="A402" s="1">
        <v>45803</v>
      </c>
      <c r="B402" t="s">
        <v>15</v>
      </c>
      <c r="C402" s="4">
        <v>1652.4</v>
      </c>
      <c r="D402" s="4">
        <v>1675.8</v>
      </c>
      <c r="E402" s="4">
        <v>1645.6</v>
      </c>
      <c r="F402" s="4">
        <v>1648.2</v>
      </c>
      <c r="G402" s="4">
        <v>1673.8</v>
      </c>
      <c r="H402" s="4">
        <v>1673.6</v>
      </c>
      <c r="I402" s="4">
        <v>1669.56</v>
      </c>
      <c r="J402" s="4">
        <v>2012.2</v>
      </c>
      <c r="K402" s="4">
        <v>1235</v>
      </c>
      <c r="L402" s="2">
        <v>1078813</v>
      </c>
      <c r="M402" s="2">
        <v>1801147339.4000001</v>
      </c>
      <c r="N402">
        <v>46732</v>
      </c>
      <c r="O402" t="s">
        <v>17</v>
      </c>
      <c r="P402" s="8">
        <f t="shared" si="18"/>
        <v>-4.2000000000000455</v>
      </c>
      <c r="Q402" t="s">
        <v>38</v>
      </c>
      <c r="R402">
        <f t="shared" si="19"/>
        <v>5</v>
      </c>
      <c r="S402" t="str">
        <f t="shared" si="20"/>
        <v>May</v>
      </c>
      <c r="T402" s="9">
        <f>VLOOKUP(O402, Annual_Summary!A:B, 2, 0)</f>
        <v>-0.15097152122178931</v>
      </c>
    </row>
    <row r="403" spans="1:20" x14ac:dyDescent="0.3">
      <c r="A403" s="1">
        <v>45800</v>
      </c>
      <c r="B403" t="s">
        <v>15</v>
      </c>
      <c r="C403" s="4">
        <v>1633</v>
      </c>
      <c r="D403" s="4">
        <v>1670.8</v>
      </c>
      <c r="E403" s="4">
        <v>1622.5</v>
      </c>
      <c r="F403" s="4">
        <v>1633</v>
      </c>
      <c r="G403" s="4">
        <v>1649.5</v>
      </c>
      <c r="H403" s="4">
        <v>1648.2</v>
      </c>
      <c r="I403" s="4">
        <v>1655.65</v>
      </c>
      <c r="J403" s="4">
        <v>2012.2</v>
      </c>
      <c r="K403" s="4">
        <v>1235</v>
      </c>
      <c r="L403" s="2">
        <v>1459454</v>
      </c>
      <c r="M403" s="2">
        <v>2416346063.5999999</v>
      </c>
      <c r="N403">
        <v>52849</v>
      </c>
      <c r="O403" t="s">
        <v>17</v>
      </c>
      <c r="P403" s="8">
        <f t="shared" si="18"/>
        <v>0</v>
      </c>
      <c r="Q403" t="s">
        <v>38</v>
      </c>
      <c r="R403">
        <f t="shared" si="19"/>
        <v>5</v>
      </c>
      <c r="S403" t="str">
        <f t="shared" si="20"/>
        <v>May</v>
      </c>
      <c r="T403" s="9">
        <f>VLOOKUP(O403, Annual_Summary!A:B, 2, 0)</f>
        <v>-0.15097152122178931</v>
      </c>
    </row>
    <row r="404" spans="1:20" x14ac:dyDescent="0.3">
      <c r="A404" s="1">
        <v>45799</v>
      </c>
      <c r="B404" t="s">
        <v>15</v>
      </c>
      <c r="C404" s="4">
        <v>1638.4</v>
      </c>
      <c r="D404" s="4">
        <v>1640.7</v>
      </c>
      <c r="E404" s="4">
        <v>1614</v>
      </c>
      <c r="F404" s="4">
        <v>1652</v>
      </c>
      <c r="G404" s="4">
        <v>1640</v>
      </c>
      <c r="H404" s="4">
        <v>1633</v>
      </c>
      <c r="I404" s="4">
        <v>1629.6</v>
      </c>
      <c r="J404" s="4">
        <v>2012.2</v>
      </c>
      <c r="K404" s="4">
        <v>1235</v>
      </c>
      <c r="L404" s="2">
        <v>2202093</v>
      </c>
      <c r="M404" s="2">
        <v>3588534592.5</v>
      </c>
      <c r="N404">
        <v>87046</v>
      </c>
      <c r="O404" t="s">
        <v>17</v>
      </c>
      <c r="P404" s="8">
        <f t="shared" si="18"/>
        <v>13.599999999999909</v>
      </c>
      <c r="Q404" t="s">
        <v>38</v>
      </c>
      <c r="R404">
        <f t="shared" si="19"/>
        <v>5</v>
      </c>
      <c r="S404" t="str">
        <f t="shared" si="20"/>
        <v>May</v>
      </c>
      <c r="T404" s="9">
        <f>VLOOKUP(O404, Annual_Summary!A:B, 2, 0)</f>
        <v>-0.15097152122178931</v>
      </c>
    </row>
    <row r="405" spans="1:20" x14ac:dyDescent="0.3">
      <c r="A405" s="1">
        <v>45798</v>
      </c>
      <c r="B405" t="s">
        <v>15</v>
      </c>
      <c r="C405" s="4">
        <v>1645</v>
      </c>
      <c r="D405" s="4">
        <v>1657.5</v>
      </c>
      <c r="E405" s="4">
        <v>1628.4</v>
      </c>
      <c r="F405" s="4">
        <v>1638.3</v>
      </c>
      <c r="G405" s="4">
        <v>1649</v>
      </c>
      <c r="H405" s="4">
        <v>1652</v>
      </c>
      <c r="I405" s="4">
        <v>1648.03</v>
      </c>
      <c r="J405" s="4">
        <v>2012.2</v>
      </c>
      <c r="K405" s="4">
        <v>1235</v>
      </c>
      <c r="L405" s="2">
        <v>1420835</v>
      </c>
      <c r="M405" s="2">
        <v>2341573076.5</v>
      </c>
      <c r="N405">
        <v>51082</v>
      </c>
      <c r="O405" t="s">
        <v>17</v>
      </c>
      <c r="P405" s="8">
        <f t="shared" si="18"/>
        <v>-6.7000000000000455</v>
      </c>
      <c r="Q405" t="s">
        <v>38</v>
      </c>
      <c r="R405">
        <f t="shared" si="19"/>
        <v>5</v>
      </c>
      <c r="S405" t="str">
        <f t="shared" si="20"/>
        <v>May</v>
      </c>
      <c r="T405" s="9">
        <f>VLOOKUP(O405, Annual_Summary!A:B, 2, 0)</f>
        <v>-0.15097152122178931</v>
      </c>
    </row>
    <row r="406" spans="1:20" x14ac:dyDescent="0.3">
      <c r="A406" s="1">
        <v>45797</v>
      </c>
      <c r="B406" t="s">
        <v>15</v>
      </c>
      <c r="C406" s="4">
        <v>1660.8</v>
      </c>
      <c r="D406" s="4">
        <v>1666</v>
      </c>
      <c r="E406" s="4">
        <v>1636.4</v>
      </c>
      <c r="F406" s="4">
        <v>1649.6</v>
      </c>
      <c r="G406" s="4">
        <v>1640</v>
      </c>
      <c r="H406" s="4">
        <v>1638.3</v>
      </c>
      <c r="I406" s="4">
        <v>1645.92</v>
      </c>
      <c r="J406" s="4">
        <v>2012.2</v>
      </c>
      <c r="K406" s="4">
        <v>1235</v>
      </c>
      <c r="L406" s="2">
        <v>2421580</v>
      </c>
      <c r="M406" s="2">
        <v>3985723342.6999998</v>
      </c>
      <c r="N406">
        <v>80612</v>
      </c>
      <c r="O406" t="s">
        <v>17</v>
      </c>
      <c r="P406" s="8">
        <f t="shared" si="18"/>
        <v>-11.200000000000045</v>
      </c>
      <c r="Q406" t="s">
        <v>38</v>
      </c>
      <c r="R406">
        <f t="shared" si="19"/>
        <v>5</v>
      </c>
      <c r="S406" t="str">
        <f t="shared" si="20"/>
        <v>May</v>
      </c>
      <c r="T406" s="9">
        <f>VLOOKUP(O406, Annual_Summary!A:B, 2, 0)</f>
        <v>-0.15097152122178931</v>
      </c>
    </row>
    <row r="407" spans="1:20" x14ac:dyDescent="0.3">
      <c r="A407" s="1">
        <v>45796</v>
      </c>
      <c r="B407" t="s">
        <v>15</v>
      </c>
      <c r="C407" s="4">
        <v>1661</v>
      </c>
      <c r="D407" s="4">
        <v>1664</v>
      </c>
      <c r="E407" s="4">
        <v>1638.1</v>
      </c>
      <c r="F407" s="4">
        <v>1659.9</v>
      </c>
      <c r="G407" s="4">
        <v>1651</v>
      </c>
      <c r="H407" s="4">
        <v>1649.6</v>
      </c>
      <c r="I407" s="4">
        <v>1648.41</v>
      </c>
      <c r="J407" s="4">
        <v>2012.2</v>
      </c>
      <c r="K407" s="4">
        <v>1235</v>
      </c>
      <c r="L407" s="2">
        <v>1642018</v>
      </c>
      <c r="M407" s="2">
        <v>2706723262.1999998</v>
      </c>
      <c r="N407">
        <v>91252</v>
      </c>
      <c r="O407" t="s">
        <v>17</v>
      </c>
      <c r="P407" s="8">
        <f t="shared" si="18"/>
        <v>-1.0999999999999091</v>
      </c>
      <c r="Q407" t="s">
        <v>38</v>
      </c>
      <c r="R407">
        <f t="shared" si="19"/>
        <v>5</v>
      </c>
      <c r="S407" t="str">
        <f t="shared" si="20"/>
        <v>May</v>
      </c>
      <c r="T407" s="9">
        <f>VLOOKUP(O407, Annual_Summary!A:B, 2, 0)</f>
        <v>-0.15097152122178931</v>
      </c>
    </row>
    <row r="408" spans="1:20" x14ac:dyDescent="0.3">
      <c r="A408" s="1">
        <v>45793</v>
      </c>
      <c r="B408" t="s">
        <v>15</v>
      </c>
      <c r="C408" s="4">
        <v>1691.9</v>
      </c>
      <c r="D408" s="4">
        <v>1693.5</v>
      </c>
      <c r="E408" s="4">
        <v>1658</v>
      </c>
      <c r="F408" s="4">
        <v>1696</v>
      </c>
      <c r="G408" s="4">
        <v>1661</v>
      </c>
      <c r="H408" s="4">
        <v>1659.9</v>
      </c>
      <c r="I408" s="4">
        <v>1667.09</v>
      </c>
      <c r="J408" s="4">
        <v>2012.2</v>
      </c>
      <c r="K408" s="4">
        <v>1235</v>
      </c>
      <c r="L408" s="2">
        <v>2586263</v>
      </c>
      <c r="M408" s="2">
        <v>4311543189.1999998</v>
      </c>
      <c r="N408">
        <v>99649</v>
      </c>
      <c r="O408" t="s">
        <v>17</v>
      </c>
      <c r="P408" s="8">
        <f t="shared" si="18"/>
        <v>4.0999999999999091</v>
      </c>
      <c r="Q408" t="s">
        <v>38</v>
      </c>
      <c r="R408">
        <f t="shared" si="19"/>
        <v>5</v>
      </c>
      <c r="S408" t="str">
        <f t="shared" si="20"/>
        <v>May</v>
      </c>
      <c r="T408" s="9">
        <f>VLOOKUP(O408, Annual_Summary!A:B, 2, 0)</f>
        <v>-0.15097152122178931</v>
      </c>
    </row>
    <row r="409" spans="1:20" x14ac:dyDescent="0.3">
      <c r="A409" s="1">
        <v>45792</v>
      </c>
      <c r="B409" t="s">
        <v>15</v>
      </c>
      <c r="C409" s="4">
        <v>1650</v>
      </c>
      <c r="D409" s="4">
        <v>1702.6</v>
      </c>
      <c r="E409" s="4">
        <v>1625</v>
      </c>
      <c r="F409" s="4">
        <v>1637.7</v>
      </c>
      <c r="G409" s="4">
        <v>1692</v>
      </c>
      <c r="H409" s="4">
        <v>1696</v>
      </c>
      <c r="I409" s="4">
        <v>1671.48</v>
      </c>
      <c r="J409" s="4">
        <v>2012.2</v>
      </c>
      <c r="K409" s="4">
        <v>1235</v>
      </c>
      <c r="L409" s="2">
        <v>4961582</v>
      </c>
      <c r="M409" s="2">
        <v>8293207213.5</v>
      </c>
      <c r="N409">
        <v>184925</v>
      </c>
      <c r="O409" t="s">
        <v>17</v>
      </c>
      <c r="P409" s="8">
        <f t="shared" si="18"/>
        <v>-12.299999999999955</v>
      </c>
      <c r="Q409" t="s">
        <v>38</v>
      </c>
      <c r="R409">
        <f t="shared" si="19"/>
        <v>5</v>
      </c>
      <c r="S409" t="str">
        <f t="shared" si="20"/>
        <v>May</v>
      </c>
      <c r="T409" s="9">
        <f>VLOOKUP(O409, Annual_Summary!A:B, 2, 0)</f>
        <v>-0.15097152122178931</v>
      </c>
    </row>
    <row r="410" spans="1:20" x14ac:dyDescent="0.3">
      <c r="A410" s="1">
        <v>45791</v>
      </c>
      <c r="B410" t="s">
        <v>15</v>
      </c>
      <c r="C410" s="4">
        <v>1630</v>
      </c>
      <c r="D410" s="4">
        <v>1642.3</v>
      </c>
      <c r="E410" s="4">
        <v>1617</v>
      </c>
      <c r="F410" s="4">
        <v>1619.6</v>
      </c>
      <c r="G410" s="4">
        <v>1641.3</v>
      </c>
      <c r="H410" s="4">
        <v>1637.7</v>
      </c>
      <c r="I410" s="4">
        <v>1632.79</v>
      </c>
      <c r="J410" s="4">
        <v>2012.2</v>
      </c>
      <c r="K410" s="4">
        <v>1235</v>
      </c>
      <c r="L410" s="2">
        <v>1569126</v>
      </c>
      <c r="M410" s="2">
        <v>2562050834.0999999</v>
      </c>
      <c r="N410">
        <v>83272</v>
      </c>
      <c r="O410" t="s">
        <v>17</v>
      </c>
      <c r="P410" s="8">
        <f t="shared" si="18"/>
        <v>-10.400000000000091</v>
      </c>
      <c r="Q410" t="s">
        <v>38</v>
      </c>
      <c r="R410">
        <f t="shared" si="19"/>
        <v>5</v>
      </c>
      <c r="S410" t="str">
        <f t="shared" si="20"/>
        <v>May</v>
      </c>
      <c r="T410" s="9">
        <f>VLOOKUP(O410, Annual_Summary!A:B, 2, 0)</f>
        <v>-0.15097152122178931</v>
      </c>
    </row>
    <row r="411" spans="1:20" x14ac:dyDescent="0.3">
      <c r="A411" s="1">
        <v>45790</v>
      </c>
      <c r="B411" t="s">
        <v>15</v>
      </c>
      <c r="C411" s="4">
        <v>1685</v>
      </c>
      <c r="D411" s="4">
        <v>1688.1</v>
      </c>
      <c r="E411" s="4">
        <v>1615.2</v>
      </c>
      <c r="F411" s="4">
        <v>1670.3</v>
      </c>
      <c r="G411" s="4">
        <v>1619.9</v>
      </c>
      <c r="H411" s="4">
        <v>1619.6</v>
      </c>
      <c r="I411" s="4">
        <v>1632.9</v>
      </c>
      <c r="J411" s="4">
        <v>2012.2</v>
      </c>
      <c r="K411" s="4">
        <v>1235</v>
      </c>
      <c r="L411" s="2">
        <v>3118470</v>
      </c>
      <c r="M411" s="2">
        <v>5092158125.3000002</v>
      </c>
      <c r="N411">
        <v>119292</v>
      </c>
      <c r="O411" t="s">
        <v>17</v>
      </c>
      <c r="P411" s="8">
        <f t="shared" si="18"/>
        <v>-14.700000000000045</v>
      </c>
      <c r="Q411" t="s">
        <v>38</v>
      </c>
      <c r="R411">
        <f t="shared" si="19"/>
        <v>5</v>
      </c>
      <c r="S411" t="str">
        <f t="shared" si="20"/>
        <v>May</v>
      </c>
      <c r="T411" s="9">
        <f>VLOOKUP(O411, Annual_Summary!A:B, 2, 0)</f>
        <v>-0.15097152122178931</v>
      </c>
    </row>
    <row r="412" spans="1:20" x14ac:dyDescent="0.3">
      <c r="A412" s="1">
        <v>45789</v>
      </c>
      <c r="B412" t="s">
        <v>15</v>
      </c>
      <c r="C412" s="4">
        <v>1598.8</v>
      </c>
      <c r="D412" s="4">
        <v>1675</v>
      </c>
      <c r="E412" s="4">
        <v>1594</v>
      </c>
      <c r="F412" s="4">
        <v>1569.4</v>
      </c>
      <c r="G412" s="4">
        <v>1663</v>
      </c>
      <c r="H412" s="4">
        <v>1670.3</v>
      </c>
      <c r="I412" s="4">
        <v>1651.26</v>
      </c>
      <c r="J412" s="4">
        <v>2012.2</v>
      </c>
      <c r="K412" s="4">
        <v>1235</v>
      </c>
      <c r="L412" s="2">
        <v>4028207</v>
      </c>
      <c r="M412" s="2">
        <v>6651610416</v>
      </c>
      <c r="N412">
        <v>133071</v>
      </c>
      <c r="O412" t="s">
        <v>17</v>
      </c>
      <c r="P412" s="8">
        <f t="shared" si="18"/>
        <v>-29.399999999999864</v>
      </c>
      <c r="Q412" t="s">
        <v>38</v>
      </c>
      <c r="R412">
        <f t="shared" si="19"/>
        <v>5</v>
      </c>
      <c r="S412" t="str">
        <f t="shared" si="20"/>
        <v>May</v>
      </c>
      <c r="T412" s="9">
        <f>VLOOKUP(O412, Annual_Summary!A:B, 2, 0)</f>
        <v>-0.15097152122178931</v>
      </c>
    </row>
    <row r="413" spans="1:20" x14ac:dyDescent="0.3">
      <c r="A413" s="1">
        <v>45786</v>
      </c>
      <c r="B413" t="s">
        <v>15</v>
      </c>
      <c r="C413" s="4">
        <v>1566</v>
      </c>
      <c r="D413" s="4">
        <v>1577.7</v>
      </c>
      <c r="E413" s="4">
        <v>1557.3</v>
      </c>
      <c r="F413" s="4">
        <v>1580.7</v>
      </c>
      <c r="G413" s="4">
        <v>1572.5</v>
      </c>
      <c r="H413" s="4">
        <v>1569.4</v>
      </c>
      <c r="I413" s="4">
        <v>1569.43</v>
      </c>
      <c r="J413" s="4">
        <v>2012.2</v>
      </c>
      <c r="K413" s="4">
        <v>1235</v>
      </c>
      <c r="L413" s="2">
        <v>2035161</v>
      </c>
      <c r="M413" s="2">
        <v>3194047826.0999999</v>
      </c>
      <c r="N413">
        <v>85397</v>
      </c>
      <c r="O413" t="s">
        <v>17</v>
      </c>
      <c r="P413" s="8">
        <f t="shared" si="18"/>
        <v>14.700000000000045</v>
      </c>
      <c r="Q413" t="s">
        <v>38</v>
      </c>
      <c r="R413">
        <f t="shared" si="19"/>
        <v>5</v>
      </c>
      <c r="S413" t="str">
        <f t="shared" si="20"/>
        <v>May</v>
      </c>
      <c r="T413" s="9">
        <f>VLOOKUP(O413, Annual_Summary!A:B, 2, 0)</f>
        <v>-0.15097152122178931</v>
      </c>
    </row>
    <row r="414" spans="1:20" x14ac:dyDescent="0.3">
      <c r="A414" s="1">
        <v>45785</v>
      </c>
      <c r="B414" t="s">
        <v>15</v>
      </c>
      <c r="C414" s="4">
        <v>1561.9</v>
      </c>
      <c r="D414" s="4">
        <v>1598</v>
      </c>
      <c r="E414" s="4">
        <v>1555.8</v>
      </c>
      <c r="F414" s="4">
        <v>1563.3</v>
      </c>
      <c r="G414" s="4">
        <v>1572.1</v>
      </c>
      <c r="H414" s="4">
        <v>1580.7</v>
      </c>
      <c r="I414" s="4">
        <v>1581.65</v>
      </c>
      <c r="J414" s="4">
        <v>2012.2</v>
      </c>
      <c r="K414" s="4">
        <v>1235</v>
      </c>
      <c r="L414" s="2">
        <v>2789018</v>
      </c>
      <c r="M414" s="2">
        <v>4411248439</v>
      </c>
      <c r="N414">
        <v>98946</v>
      </c>
      <c r="O414" t="s">
        <v>17</v>
      </c>
      <c r="P414" s="8">
        <f t="shared" si="18"/>
        <v>1.3999999999998636</v>
      </c>
      <c r="Q414" t="s">
        <v>38</v>
      </c>
      <c r="R414">
        <f t="shared" si="19"/>
        <v>5</v>
      </c>
      <c r="S414" t="str">
        <f t="shared" si="20"/>
        <v>May</v>
      </c>
      <c r="T414" s="9">
        <f>VLOOKUP(O414, Annual_Summary!A:B, 2, 0)</f>
        <v>-0.15097152122178931</v>
      </c>
    </row>
    <row r="415" spans="1:20" x14ac:dyDescent="0.3">
      <c r="A415" s="1">
        <v>45784</v>
      </c>
      <c r="B415" t="s">
        <v>15</v>
      </c>
      <c r="C415" s="4">
        <v>1552</v>
      </c>
      <c r="D415" s="4">
        <v>1578.4</v>
      </c>
      <c r="E415" s="4">
        <v>1545</v>
      </c>
      <c r="F415" s="4">
        <v>1579.1</v>
      </c>
      <c r="G415" s="4">
        <v>1565.3</v>
      </c>
      <c r="H415" s="4">
        <v>1563.3</v>
      </c>
      <c r="I415" s="4">
        <v>1562.62</v>
      </c>
      <c r="J415" s="4">
        <v>2012.2</v>
      </c>
      <c r="K415" s="4">
        <v>1235</v>
      </c>
      <c r="L415" s="2">
        <v>5469936</v>
      </c>
      <c r="M415" s="2">
        <v>8547406780.5</v>
      </c>
      <c r="N415">
        <v>128223</v>
      </c>
      <c r="O415" t="s">
        <v>17</v>
      </c>
      <c r="P415" s="8">
        <f t="shared" si="18"/>
        <v>27.099999999999909</v>
      </c>
      <c r="Q415" t="s">
        <v>38</v>
      </c>
      <c r="R415">
        <f t="shared" si="19"/>
        <v>5</v>
      </c>
      <c r="S415" t="str">
        <f t="shared" si="20"/>
        <v>May</v>
      </c>
      <c r="T415" s="9">
        <f>VLOOKUP(O415, Annual_Summary!A:B, 2, 0)</f>
        <v>-0.15097152122178931</v>
      </c>
    </row>
    <row r="416" spans="1:20" x14ac:dyDescent="0.3">
      <c r="A416" s="1">
        <v>45783</v>
      </c>
      <c r="B416" t="s">
        <v>15</v>
      </c>
      <c r="C416" s="4">
        <v>1576.8</v>
      </c>
      <c r="D416" s="4">
        <v>1583.8</v>
      </c>
      <c r="E416" s="4">
        <v>1565.1</v>
      </c>
      <c r="F416" s="4">
        <v>1568.6</v>
      </c>
      <c r="G416" s="4">
        <v>1570</v>
      </c>
      <c r="H416" s="4">
        <v>1579.1</v>
      </c>
      <c r="I416" s="4">
        <v>1575.07</v>
      </c>
      <c r="J416" s="4">
        <v>2012.2</v>
      </c>
      <c r="K416" s="4">
        <v>1235</v>
      </c>
      <c r="L416" s="2">
        <v>2055057</v>
      </c>
      <c r="M416" s="2">
        <v>3236859717.5999999</v>
      </c>
      <c r="N416">
        <v>86060</v>
      </c>
      <c r="O416" t="s">
        <v>17</v>
      </c>
      <c r="P416" s="8">
        <f t="shared" si="18"/>
        <v>-8.2000000000000455</v>
      </c>
      <c r="Q416" t="s">
        <v>38</v>
      </c>
      <c r="R416">
        <f t="shared" si="19"/>
        <v>5</v>
      </c>
      <c r="S416" t="str">
        <f t="shared" si="20"/>
        <v>May</v>
      </c>
      <c r="T416" s="9">
        <f>VLOOKUP(O416, Annual_Summary!A:B, 2, 0)</f>
        <v>-0.15097152122178931</v>
      </c>
    </row>
    <row r="417" spans="1:20" x14ac:dyDescent="0.3">
      <c r="A417" s="1">
        <v>45782</v>
      </c>
      <c r="B417" t="s">
        <v>15</v>
      </c>
      <c r="C417" s="4">
        <v>1580</v>
      </c>
      <c r="D417" s="4">
        <v>1597.7</v>
      </c>
      <c r="E417" s="4">
        <v>1563.3</v>
      </c>
      <c r="F417" s="4">
        <v>1576.5</v>
      </c>
      <c r="G417" s="4">
        <v>1569</v>
      </c>
      <c r="H417" s="4">
        <v>1568.6</v>
      </c>
      <c r="I417" s="4">
        <v>1577.67</v>
      </c>
      <c r="J417" s="4">
        <v>2012.2</v>
      </c>
      <c r="K417" s="4">
        <v>1235</v>
      </c>
      <c r="L417" s="2">
        <v>1012225</v>
      </c>
      <c r="M417" s="2">
        <v>1596953874.3</v>
      </c>
      <c r="N417">
        <v>59357</v>
      </c>
      <c r="O417" t="s">
        <v>17</v>
      </c>
      <c r="P417" s="8">
        <f t="shared" si="18"/>
        <v>-3.5</v>
      </c>
      <c r="Q417" t="s">
        <v>38</v>
      </c>
      <c r="R417">
        <f t="shared" si="19"/>
        <v>5</v>
      </c>
      <c r="S417" t="str">
        <f t="shared" si="20"/>
        <v>May</v>
      </c>
      <c r="T417" s="9">
        <f>VLOOKUP(O417, Annual_Summary!A:B, 2, 0)</f>
        <v>-0.15097152122178931</v>
      </c>
    </row>
    <row r="418" spans="1:20" x14ac:dyDescent="0.3">
      <c r="A418" s="1">
        <v>45779</v>
      </c>
      <c r="B418" t="s">
        <v>15</v>
      </c>
      <c r="C418" s="4">
        <v>1567</v>
      </c>
      <c r="D418" s="4">
        <v>1581</v>
      </c>
      <c r="E418" s="4">
        <v>1557.1</v>
      </c>
      <c r="F418" s="4">
        <v>1567.5</v>
      </c>
      <c r="G418" s="4">
        <v>1572.4</v>
      </c>
      <c r="H418" s="4">
        <v>1576.5</v>
      </c>
      <c r="I418" s="4">
        <v>1573.44</v>
      </c>
      <c r="J418" s="4">
        <v>2012.2</v>
      </c>
      <c r="K418" s="4">
        <v>1235</v>
      </c>
      <c r="L418" s="2">
        <v>1895904</v>
      </c>
      <c r="M418" s="2">
        <v>2983089247.1999998</v>
      </c>
      <c r="N418">
        <v>93227</v>
      </c>
      <c r="O418" t="s">
        <v>17</v>
      </c>
      <c r="P418" s="8">
        <f t="shared" si="18"/>
        <v>0.5</v>
      </c>
      <c r="Q418" t="s">
        <v>38</v>
      </c>
      <c r="R418">
        <f t="shared" si="19"/>
        <v>5</v>
      </c>
      <c r="S418" t="str">
        <f t="shared" si="20"/>
        <v>May</v>
      </c>
      <c r="T418" s="9">
        <f>VLOOKUP(O418, Annual_Summary!A:B, 2, 0)</f>
        <v>-0.15097152122178931</v>
      </c>
    </row>
    <row r="419" spans="1:20" x14ac:dyDescent="0.3">
      <c r="A419" s="1">
        <v>45777</v>
      </c>
      <c r="B419" t="s">
        <v>15</v>
      </c>
      <c r="C419" s="4">
        <v>1571</v>
      </c>
      <c r="D419" s="4">
        <v>1587.9</v>
      </c>
      <c r="E419" s="4">
        <v>1554</v>
      </c>
      <c r="F419" s="4">
        <v>1569</v>
      </c>
      <c r="G419" s="4">
        <v>1556.5</v>
      </c>
      <c r="H419" s="4">
        <v>1567.5</v>
      </c>
      <c r="I419" s="4">
        <v>1569.92</v>
      </c>
      <c r="J419" s="4">
        <v>2012.2</v>
      </c>
      <c r="K419" s="4">
        <v>1235</v>
      </c>
      <c r="L419" s="2">
        <v>3682256</v>
      </c>
      <c r="M419" s="2">
        <v>5780840520.3000002</v>
      </c>
      <c r="N419">
        <v>129457</v>
      </c>
      <c r="O419" t="s">
        <v>17</v>
      </c>
      <c r="P419" s="8">
        <f t="shared" si="18"/>
        <v>-2</v>
      </c>
      <c r="Q419" t="s">
        <v>38</v>
      </c>
      <c r="R419">
        <f t="shared" si="19"/>
        <v>4</v>
      </c>
      <c r="S419" t="str">
        <f t="shared" si="20"/>
        <v>Apr</v>
      </c>
      <c r="T419" s="9">
        <f>VLOOKUP(O419, Annual_Summary!A:B, 2, 0)</f>
        <v>-0.15097152122178931</v>
      </c>
    </row>
    <row r="420" spans="1:20" x14ac:dyDescent="0.3">
      <c r="A420" s="1">
        <v>45776</v>
      </c>
      <c r="B420" t="s">
        <v>15</v>
      </c>
      <c r="C420" s="4">
        <v>1555</v>
      </c>
      <c r="D420" s="4">
        <v>1580.8</v>
      </c>
      <c r="E420" s="4">
        <v>1548.1</v>
      </c>
      <c r="F420" s="4">
        <v>1549.3</v>
      </c>
      <c r="G420" s="4">
        <v>1570</v>
      </c>
      <c r="H420" s="4">
        <v>1569</v>
      </c>
      <c r="I420" s="4">
        <v>1564.53</v>
      </c>
      <c r="J420" s="4">
        <v>2012.2</v>
      </c>
      <c r="K420" s="4">
        <v>1235</v>
      </c>
      <c r="L420" s="2">
        <v>2231069</v>
      </c>
      <c r="M420" s="2">
        <v>3490564859.9000001</v>
      </c>
      <c r="N420">
        <v>89109</v>
      </c>
      <c r="O420" t="s">
        <v>17</v>
      </c>
      <c r="P420" s="8">
        <f t="shared" si="18"/>
        <v>-5.7000000000000455</v>
      </c>
      <c r="Q420" t="s">
        <v>38</v>
      </c>
      <c r="R420">
        <f t="shared" si="19"/>
        <v>4</v>
      </c>
      <c r="S420" t="str">
        <f t="shared" si="20"/>
        <v>Apr</v>
      </c>
      <c r="T420" s="9">
        <f>VLOOKUP(O420, Annual_Summary!A:B, 2, 0)</f>
        <v>-0.15097152122178931</v>
      </c>
    </row>
    <row r="421" spans="1:20" x14ac:dyDescent="0.3">
      <c r="A421" s="1">
        <v>45775</v>
      </c>
      <c r="B421" t="s">
        <v>15</v>
      </c>
      <c r="C421" s="4">
        <v>1565</v>
      </c>
      <c r="D421" s="4">
        <v>1569.4</v>
      </c>
      <c r="E421" s="4">
        <v>1537.1</v>
      </c>
      <c r="F421" s="4">
        <v>1578.2</v>
      </c>
      <c r="G421" s="4">
        <v>1550</v>
      </c>
      <c r="H421" s="4">
        <v>1549.3</v>
      </c>
      <c r="I421" s="4">
        <v>1548.84</v>
      </c>
      <c r="J421" s="4">
        <v>2012.2</v>
      </c>
      <c r="K421" s="4">
        <v>1235</v>
      </c>
      <c r="L421" s="2">
        <v>2618810</v>
      </c>
      <c r="M421" s="2">
        <v>4056115149.6999998</v>
      </c>
      <c r="N421">
        <v>107060</v>
      </c>
      <c r="O421" t="s">
        <v>17</v>
      </c>
      <c r="P421" s="8">
        <f t="shared" si="18"/>
        <v>13.200000000000045</v>
      </c>
      <c r="Q421" t="s">
        <v>38</v>
      </c>
      <c r="R421">
        <f t="shared" si="19"/>
        <v>4</v>
      </c>
      <c r="S421" t="str">
        <f t="shared" si="20"/>
        <v>Apr</v>
      </c>
      <c r="T421" s="9">
        <f>VLOOKUP(O421, Annual_Summary!A:B, 2, 0)</f>
        <v>-0.15097152122178931</v>
      </c>
    </row>
    <row r="422" spans="1:20" x14ac:dyDescent="0.3">
      <c r="A422" s="1">
        <v>45772</v>
      </c>
      <c r="B422" t="s">
        <v>15</v>
      </c>
      <c r="C422" s="4">
        <v>1590</v>
      </c>
      <c r="D422" s="4">
        <v>1618</v>
      </c>
      <c r="E422" s="4">
        <v>1568.1</v>
      </c>
      <c r="F422" s="4">
        <v>1586.7</v>
      </c>
      <c r="G422" s="4">
        <v>1576.4</v>
      </c>
      <c r="H422" s="4">
        <v>1578.2</v>
      </c>
      <c r="I422" s="4">
        <v>1583.92</v>
      </c>
      <c r="J422" s="4">
        <v>2012.2</v>
      </c>
      <c r="K422" s="4">
        <v>1235</v>
      </c>
      <c r="L422" s="2">
        <v>3800415</v>
      </c>
      <c r="M422" s="2">
        <v>6019563732.6000004</v>
      </c>
      <c r="N422">
        <v>118647</v>
      </c>
      <c r="O422" t="s">
        <v>17</v>
      </c>
      <c r="P422" s="8">
        <f t="shared" si="18"/>
        <v>-3.2999999999999545</v>
      </c>
      <c r="Q422" t="s">
        <v>38</v>
      </c>
      <c r="R422">
        <f t="shared" si="19"/>
        <v>4</v>
      </c>
      <c r="S422" t="str">
        <f t="shared" si="20"/>
        <v>Apr</v>
      </c>
      <c r="T422" s="9">
        <f>VLOOKUP(O422, Annual_Summary!A:B, 2, 0)</f>
        <v>-0.15097152122178931</v>
      </c>
    </row>
    <row r="423" spans="1:20" x14ac:dyDescent="0.3">
      <c r="A423" s="1">
        <v>45771</v>
      </c>
      <c r="B423" t="s">
        <v>15</v>
      </c>
      <c r="C423" s="4">
        <v>1595</v>
      </c>
      <c r="D423" s="4">
        <v>1603.3</v>
      </c>
      <c r="E423" s="4">
        <v>1576.1</v>
      </c>
      <c r="F423" s="4">
        <v>1594</v>
      </c>
      <c r="G423" s="4">
        <v>1590.3</v>
      </c>
      <c r="H423" s="4">
        <v>1586.7</v>
      </c>
      <c r="I423" s="4">
        <v>1587.95</v>
      </c>
      <c r="J423" s="4">
        <v>2012.2</v>
      </c>
      <c r="K423" s="4">
        <v>1235</v>
      </c>
      <c r="L423" s="2">
        <v>3193118</v>
      </c>
      <c r="M423" s="2">
        <v>5070521059.3000002</v>
      </c>
      <c r="N423">
        <v>123766</v>
      </c>
      <c r="O423" t="s">
        <v>17</v>
      </c>
      <c r="P423" s="8">
        <f t="shared" si="18"/>
        <v>-1</v>
      </c>
      <c r="Q423" t="s">
        <v>38</v>
      </c>
      <c r="R423">
        <f t="shared" si="19"/>
        <v>4</v>
      </c>
      <c r="S423" t="str">
        <f t="shared" si="20"/>
        <v>Apr</v>
      </c>
      <c r="T423" s="9">
        <f>VLOOKUP(O423, Annual_Summary!A:B, 2, 0)</f>
        <v>-0.15097152122178931</v>
      </c>
    </row>
    <row r="424" spans="1:20" x14ac:dyDescent="0.3">
      <c r="A424" s="1">
        <v>45770</v>
      </c>
      <c r="B424" t="s">
        <v>15</v>
      </c>
      <c r="C424" s="4">
        <v>1555</v>
      </c>
      <c r="D424" s="4">
        <v>1600</v>
      </c>
      <c r="E424" s="4">
        <v>1543.7</v>
      </c>
      <c r="F424" s="4">
        <v>1479.9</v>
      </c>
      <c r="G424" s="4">
        <v>1594.4</v>
      </c>
      <c r="H424" s="4">
        <v>1594</v>
      </c>
      <c r="I424" s="4">
        <v>1583.28</v>
      </c>
      <c r="J424" s="4">
        <v>2012.2</v>
      </c>
      <c r="K424" s="4">
        <v>1235</v>
      </c>
      <c r="L424" s="2">
        <v>13293318</v>
      </c>
      <c r="M424" s="2">
        <v>21046993578.599998</v>
      </c>
      <c r="N424">
        <v>329993</v>
      </c>
      <c r="O424" t="s">
        <v>17</v>
      </c>
      <c r="P424" s="8">
        <f t="shared" si="18"/>
        <v>-75.099999999999909</v>
      </c>
      <c r="Q424" t="s">
        <v>38</v>
      </c>
      <c r="R424">
        <f t="shared" si="19"/>
        <v>4</v>
      </c>
      <c r="S424" t="str">
        <f t="shared" si="20"/>
        <v>Apr</v>
      </c>
      <c r="T424" s="9">
        <f>VLOOKUP(O424, Annual_Summary!A:B, 2, 0)</f>
        <v>-0.15097152122178931</v>
      </c>
    </row>
    <row r="425" spans="1:20" x14ac:dyDescent="0.3">
      <c r="A425" s="1">
        <v>45769</v>
      </c>
      <c r="B425" t="s">
        <v>15</v>
      </c>
      <c r="C425" s="4">
        <v>1490</v>
      </c>
      <c r="D425" s="4">
        <v>1499.9</v>
      </c>
      <c r="E425" s="4">
        <v>1464.5</v>
      </c>
      <c r="F425" s="4">
        <v>1482</v>
      </c>
      <c r="G425" s="4">
        <v>1485.9</v>
      </c>
      <c r="H425" s="4">
        <v>1479.9</v>
      </c>
      <c r="I425" s="4">
        <v>1480.59</v>
      </c>
      <c r="J425" s="4">
        <v>2012.2</v>
      </c>
      <c r="K425" s="4">
        <v>1235</v>
      </c>
      <c r="L425" s="2">
        <v>2608145</v>
      </c>
      <c r="M425" s="2">
        <v>3861596452.8000002</v>
      </c>
      <c r="N425">
        <v>95264</v>
      </c>
      <c r="O425" t="s">
        <v>17</v>
      </c>
      <c r="P425" s="8">
        <f t="shared" si="18"/>
        <v>-8</v>
      </c>
      <c r="Q425" t="s">
        <v>38</v>
      </c>
      <c r="R425">
        <f t="shared" si="19"/>
        <v>4</v>
      </c>
      <c r="S425" t="str">
        <f t="shared" si="20"/>
        <v>Apr</v>
      </c>
      <c r="T425" s="9">
        <f>VLOOKUP(O425, Annual_Summary!A:B, 2, 0)</f>
        <v>-0.15097152122178931</v>
      </c>
    </row>
    <row r="426" spans="1:20" x14ac:dyDescent="0.3">
      <c r="A426" s="1">
        <v>45768</v>
      </c>
      <c r="B426" t="s">
        <v>15</v>
      </c>
      <c r="C426" s="4">
        <v>1435</v>
      </c>
      <c r="D426" s="4">
        <v>1499</v>
      </c>
      <c r="E426" s="4">
        <v>1430</v>
      </c>
      <c r="F426" s="4">
        <v>1438</v>
      </c>
      <c r="G426" s="4">
        <v>1478</v>
      </c>
      <c r="H426" s="4">
        <v>1482</v>
      </c>
      <c r="I426" s="4">
        <v>1473.95</v>
      </c>
      <c r="J426" s="4">
        <v>2012.2</v>
      </c>
      <c r="K426" s="4">
        <v>1235</v>
      </c>
      <c r="L426" s="2">
        <v>2840104</v>
      </c>
      <c r="M426" s="2">
        <v>4186173438.5999999</v>
      </c>
      <c r="N426">
        <v>97809</v>
      </c>
      <c r="O426" t="s">
        <v>17</v>
      </c>
      <c r="P426" s="8">
        <f t="shared" si="18"/>
        <v>3</v>
      </c>
      <c r="Q426" t="s">
        <v>38</v>
      </c>
      <c r="R426">
        <f t="shared" si="19"/>
        <v>4</v>
      </c>
      <c r="S426" t="str">
        <f t="shared" si="20"/>
        <v>Apr</v>
      </c>
      <c r="T426" s="9">
        <f>VLOOKUP(O426, Annual_Summary!A:B, 2, 0)</f>
        <v>-0.15097152122178931</v>
      </c>
    </row>
    <row r="427" spans="1:20" x14ac:dyDescent="0.3">
      <c r="A427" s="1">
        <v>45764</v>
      </c>
      <c r="B427" t="s">
        <v>15</v>
      </c>
      <c r="C427" s="4">
        <v>1420</v>
      </c>
      <c r="D427" s="4">
        <v>1442.1</v>
      </c>
      <c r="E427" s="4">
        <v>1384</v>
      </c>
      <c r="F427" s="4">
        <v>1431.7</v>
      </c>
      <c r="G427" s="4">
        <v>1439</v>
      </c>
      <c r="H427" s="4">
        <v>1438</v>
      </c>
      <c r="I427" s="4">
        <v>1409.58</v>
      </c>
      <c r="J427" s="4">
        <v>2012.2</v>
      </c>
      <c r="K427" s="4">
        <v>1235</v>
      </c>
      <c r="L427" s="2">
        <v>3549969</v>
      </c>
      <c r="M427" s="2">
        <v>5003973557.1999998</v>
      </c>
      <c r="N427">
        <v>168356</v>
      </c>
      <c r="O427" t="s">
        <v>17</v>
      </c>
      <c r="P427" s="8">
        <f t="shared" si="18"/>
        <v>11.700000000000045</v>
      </c>
      <c r="Q427" t="s">
        <v>38</v>
      </c>
      <c r="R427">
        <f t="shared" si="19"/>
        <v>4</v>
      </c>
      <c r="S427" t="str">
        <f t="shared" si="20"/>
        <v>Apr</v>
      </c>
      <c r="T427" s="9">
        <f>VLOOKUP(O427, Annual_Summary!A:B, 2, 0)</f>
        <v>-0.15097152122178931</v>
      </c>
    </row>
    <row r="428" spans="1:20" x14ac:dyDescent="0.3">
      <c r="A428" s="1">
        <v>45763</v>
      </c>
      <c r="B428" t="s">
        <v>15</v>
      </c>
      <c r="C428" s="4">
        <v>1415</v>
      </c>
      <c r="D428" s="4">
        <v>1436.1</v>
      </c>
      <c r="E428" s="4">
        <v>1405.5</v>
      </c>
      <c r="F428" s="4">
        <v>1426.5</v>
      </c>
      <c r="G428" s="4">
        <v>1434</v>
      </c>
      <c r="H428" s="4">
        <v>1431.7</v>
      </c>
      <c r="I428" s="4">
        <v>1424.34</v>
      </c>
      <c r="J428" s="4">
        <v>2012.2</v>
      </c>
      <c r="K428" s="4">
        <v>1235</v>
      </c>
      <c r="L428" s="2">
        <v>2553111</v>
      </c>
      <c r="M428" s="2">
        <v>3636487592.8000002</v>
      </c>
      <c r="N428">
        <v>93892</v>
      </c>
      <c r="O428" t="s">
        <v>17</v>
      </c>
      <c r="P428" s="8">
        <f t="shared" si="18"/>
        <v>11.5</v>
      </c>
      <c r="Q428" t="s">
        <v>38</v>
      </c>
      <c r="R428">
        <f t="shared" si="19"/>
        <v>4</v>
      </c>
      <c r="S428" t="str">
        <f t="shared" si="20"/>
        <v>Apr</v>
      </c>
      <c r="T428" s="9">
        <f>VLOOKUP(O428, Annual_Summary!A:B, 2, 0)</f>
        <v>-0.15097152122178931</v>
      </c>
    </row>
    <row r="429" spans="1:20" x14ac:dyDescent="0.3">
      <c r="A429" s="1">
        <v>45762</v>
      </c>
      <c r="B429" t="s">
        <v>15</v>
      </c>
      <c r="C429" s="4">
        <v>1420</v>
      </c>
      <c r="D429" s="4">
        <v>1428.8</v>
      </c>
      <c r="E429" s="4">
        <v>1406</v>
      </c>
      <c r="F429" s="4">
        <v>1390.55</v>
      </c>
      <c r="G429" s="4">
        <v>1426</v>
      </c>
      <c r="H429" s="4">
        <v>1426.5</v>
      </c>
      <c r="I429" s="4">
        <v>1420.09</v>
      </c>
      <c r="J429" s="4">
        <v>2012.2</v>
      </c>
      <c r="K429" s="4">
        <v>1235</v>
      </c>
      <c r="L429" s="2">
        <v>3265147</v>
      </c>
      <c r="M429" s="2">
        <v>4636787070.1000004</v>
      </c>
      <c r="N429">
        <v>94027</v>
      </c>
      <c r="O429" t="s">
        <v>17</v>
      </c>
      <c r="P429" s="8">
        <f t="shared" si="18"/>
        <v>-29.450000000000045</v>
      </c>
      <c r="Q429" t="s">
        <v>38</v>
      </c>
      <c r="R429">
        <f t="shared" si="19"/>
        <v>4</v>
      </c>
      <c r="S429" t="str">
        <f t="shared" si="20"/>
        <v>Apr</v>
      </c>
      <c r="T429" s="9">
        <f>VLOOKUP(O429, Annual_Summary!A:B, 2, 0)</f>
        <v>-0.15097152122178931</v>
      </c>
    </row>
    <row r="430" spans="1:20" x14ac:dyDescent="0.3">
      <c r="A430" s="1">
        <v>45758</v>
      </c>
      <c r="B430" t="s">
        <v>15</v>
      </c>
      <c r="C430" s="4">
        <v>1360</v>
      </c>
      <c r="D430" s="4">
        <v>1425</v>
      </c>
      <c r="E430" s="4">
        <v>1360</v>
      </c>
      <c r="F430" s="4">
        <v>1380</v>
      </c>
      <c r="G430" s="4">
        <v>1393.5</v>
      </c>
      <c r="H430" s="4">
        <v>1390.55</v>
      </c>
      <c r="I430" s="4">
        <v>1399.73</v>
      </c>
      <c r="J430" s="4">
        <v>2012.2</v>
      </c>
      <c r="K430" s="4">
        <v>1235</v>
      </c>
      <c r="L430" s="2">
        <v>4859622</v>
      </c>
      <c r="M430" s="2">
        <v>6802145997.6000004</v>
      </c>
      <c r="N430">
        <v>185045</v>
      </c>
      <c r="O430" t="s">
        <v>17</v>
      </c>
      <c r="P430" s="8">
        <f t="shared" si="18"/>
        <v>20</v>
      </c>
      <c r="Q430" t="s">
        <v>38</v>
      </c>
      <c r="R430">
        <f t="shared" si="19"/>
        <v>4</v>
      </c>
      <c r="S430" t="str">
        <f t="shared" si="20"/>
        <v>Apr</v>
      </c>
      <c r="T430" s="9">
        <f>VLOOKUP(O430, Annual_Summary!A:B, 2, 0)</f>
        <v>-0.15097152122178931</v>
      </c>
    </row>
    <row r="431" spans="1:20" x14ac:dyDescent="0.3">
      <c r="A431" s="1">
        <v>45756</v>
      </c>
      <c r="B431" t="s">
        <v>15</v>
      </c>
      <c r="C431" s="4">
        <v>1380.65</v>
      </c>
      <c r="D431" s="4">
        <v>1388.7</v>
      </c>
      <c r="E431" s="4">
        <v>1357.05</v>
      </c>
      <c r="F431" s="4">
        <v>1403.35</v>
      </c>
      <c r="G431" s="4">
        <v>1380.7</v>
      </c>
      <c r="H431" s="4">
        <v>1380</v>
      </c>
      <c r="I431" s="4">
        <v>1377.67</v>
      </c>
      <c r="J431" s="4">
        <v>2012.2</v>
      </c>
      <c r="K431" s="4">
        <v>1235</v>
      </c>
      <c r="L431" s="2">
        <v>3306801</v>
      </c>
      <c r="M431" s="2">
        <v>4555685085.3500004</v>
      </c>
      <c r="N431">
        <v>135840</v>
      </c>
      <c r="O431" t="s">
        <v>17</v>
      </c>
      <c r="P431" s="8">
        <f t="shared" si="18"/>
        <v>22.699999999999818</v>
      </c>
      <c r="Q431" t="s">
        <v>38</v>
      </c>
      <c r="R431">
        <f t="shared" si="19"/>
        <v>4</v>
      </c>
      <c r="S431" t="str">
        <f t="shared" si="20"/>
        <v>Apr</v>
      </c>
      <c r="T431" s="9">
        <f>VLOOKUP(O431, Annual_Summary!A:B, 2, 0)</f>
        <v>-0.15097152122178931</v>
      </c>
    </row>
    <row r="432" spans="1:20" x14ac:dyDescent="0.3">
      <c r="A432" s="1">
        <v>45755</v>
      </c>
      <c r="B432" t="s">
        <v>15</v>
      </c>
      <c r="C432" s="4">
        <v>1380</v>
      </c>
      <c r="D432" s="4">
        <v>1424.25</v>
      </c>
      <c r="E432" s="4">
        <v>1372</v>
      </c>
      <c r="F432" s="4">
        <v>1374.1</v>
      </c>
      <c r="G432" s="4">
        <v>1402.9</v>
      </c>
      <c r="H432" s="4">
        <v>1403.35</v>
      </c>
      <c r="I432" s="4">
        <v>1396.09</v>
      </c>
      <c r="J432" s="4">
        <v>2012.2</v>
      </c>
      <c r="K432" s="4">
        <v>1235</v>
      </c>
      <c r="L432" s="2">
        <v>3938359</v>
      </c>
      <c r="M432" s="2">
        <v>5498293565.6000004</v>
      </c>
      <c r="N432">
        <v>147712</v>
      </c>
      <c r="O432" t="s">
        <v>17</v>
      </c>
      <c r="P432" s="8">
        <f t="shared" si="18"/>
        <v>-5.9000000000000909</v>
      </c>
      <c r="Q432" t="s">
        <v>38</v>
      </c>
      <c r="R432">
        <f t="shared" si="19"/>
        <v>4</v>
      </c>
      <c r="S432" t="str">
        <f t="shared" si="20"/>
        <v>Apr</v>
      </c>
      <c r="T432" s="9">
        <f>VLOOKUP(O432, Annual_Summary!A:B, 2, 0)</f>
        <v>-0.15097152122178931</v>
      </c>
    </row>
    <row r="433" spans="1:20" x14ac:dyDescent="0.3">
      <c r="A433" s="1">
        <v>45754</v>
      </c>
      <c r="B433" t="s">
        <v>15</v>
      </c>
      <c r="C433" s="4">
        <v>1345</v>
      </c>
      <c r="D433" s="4">
        <v>1383.75</v>
      </c>
      <c r="E433" s="4">
        <v>1302.75</v>
      </c>
      <c r="F433" s="4">
        <v>1422.1</v>
      </c>
      <c r="G433" s="4">
        <v>1377.95</v>
      </c>
      <c r="H433" s="4">
        <v>1374.1</v>
      </c>
      <c r="I433" s="4">
        <v>1341.53</v>
      </c>
      <c r="J433" s="4">
        <v>2012.2</v>
      </c>
      <c r="K433" s="4">
        <v>1235</v>
      </c>
      <c r="L433" s="2">
        <v>6484139</v>
      </c>
      <c r="M433" s="2">
        <v>8698642588.8500004</v>
      </c>
      <c r="N433">
        <v>266089</v>
      </c>
      <c r="O433" t="s">
        <v>17</v>
      </c>
      <c r="P433" s="8">
        <f t="shared" si="18"/>
        <v>77.099999999999909</v>
      </c>
      <c r="Q433" t="s">
        <v>38</v>
      </c>
      <c r="R433">
        <f t="shared" si="19"/>
        <v>4</v>
      </c>
      <c r="S433" t="str">
        <f t="shared" si="20"/>
        <v>Apr</v>
      </c>
      <c r="T433" s="9">
        <f>VLOOKUP(O433, Annual_Summary!A:B, 2, 0)</f>
        <v>-0.15097152122178931</v>
      </c>
    </row>
    <row r="434" spans="1:20" x14ac:dyDescent="0.3">
      <c r="A434" s="1">
        <v>45751</v>
      </c>
      <c r="B434" t="s">
        <v>15</v>
      </c>
      <c r="C434" s="4">
        <v>1449</v>
      </c>
      <c r="D434" s="4">
        <v>1456.2</v>
      </c>
      <c r="E434" s="4">
        <v>1419.1</v>
      </c>
      <c r="F434" s="4">
        <v>1470.1</v>
      </c>
      <c r="G434" s="4">
        <v>1427</v>
      </c>
      <c r="H434" s="4">
        <v>1422.1</v>
      </c>
      <c r="I434" s="4">
        <v>1433.64</v>
      </c>
      <c r="J434" s="4">
        <v>2012.2</v>
      </c>
      <c r="K434" s="4">
        <v>1235</v>
      </c>
      <c r="L434" s="2">
        <v>4421312</v>
      </c>
      <c r="M434" s="2">
        <v>6338587669.1999998</v>
      </c>
      <c r="N434">
        <v>196195</v>
      </c>
      <c r="O434" t="s">
        <v>17</v>
      </c>
      <c r="P434" s="8">
        <f t="shared" si="18"/>
        <v>21.099999999999909</v>
      </c>
      <c r="Q434" t="s">
        <v>38</v>
      </c>
      <c r="R434">
        <f t="shared" si="19"/>
        <v>4</v>
      </c>
      <c r="S434" t="str">
        <f t="shared" si="20"/>
        <v>Apr</v>
      </c>
      <c r="T434" s="9">
        <f>VLOOKUP(O434, Annual_Summary!A:B, 2, 0)</f>
        <v>-0.15097152122178931</v>
      </c>
    </row>
    <row r="435" spans="1:20" x14ac:dyDescent="0.3">
      <c r="A435" s="1">
        <v>45750</v>
      </c>
      <c r="B435" t="s">
        <v>15</v>
      </c>
      <c r="C435" s="4">
        <v>1500</v>
      </c>
      <c r="D435" s="4">
        <v>1500</v>
      </c>
      <c r="E435" s="4">
        <v>1465</v>
      </c>
      <c r="F435" s="4">
        <v>1527.55</v>
      </c>
      <c r="G435" s="4">
        <v>1468.4</v>
      </c>
      <c r="H435" s="4">
        <v>1470.1</v>
      </c>
      <c r="I435" s="4">
        <v>1477.26</v>
      </c>
      <c r="J435" s="4">
        <v>2012.2</v>
      </c>
      <c r="K435" s="4">
        <v>1235</v>
      </c>
      <c r="L435" s="2">
        <v>3966161</v>
      </c>
      <c r="M435" s="2">
        <v>5859047298.6999998</v>
      </c>
      <c r="N435">
        <v>214252</v>
      </c>
      <c r="O435" t="s">
        <v>17</v>
      </c>
      <c r="P435" s="8">
        <f t="shared" si="18"/>
        <v>27.549999999999955</v>
      </c>
      <c r="Q435" t="s">
        <v>38</v>
      </c>
      <c r="R435">
        <f t="shared" si="19"/>
        <v>4</v>
      </c>
      <c r="S435" t="str">
        <f t="shared" si="20"/>
        <v>Apr</v>
      </c>
      <c r="T435" s="9">
        <f>VLOOKUP(O435, Annual_Summary!A:B, 2, 0)</f>
        <v>-0.15097152122178931</v>
      </c>
    </row>
    <row r="436" spans="1:20" x14ac:dyDescent="0.3">
      <c r="A436" s="1">
        <v>45749</v>
      </c>
      <c r="B436" t="s">
        <v>15</v>
      </c>
      <c r="C436" s="4">
        <v>1515</v>
      </c>
      <c r="D436" s="4">
        <v>1538.55</v>
      </c>
      <c r="E436" s="4">
        <v>1506.4</v>
      </c>
      <c r="F436" s="4">
        <v>1530.35</v>
      </c>
      <c r="G436" s="4">
        <v>1531</v>
      </c>
      <c r="H436" s="4">
        <v>1527.55</v>
      </c>
      <c r="I436" s="4">
        <v>1524.27</v>
      </c>
      <c r="J436" s="4">
        <v>2012.2</v>
      </c>
      <c r="K436" s="4">
        <v>1235</v>
      </c>
      <c r="L436" s="2">
        <v>3167863</v>
      </c>
      <c r="M436" s="2">
        <v>4828663976.3999996</v>
      </c>
      <c r="N436">
        <v>108710</v>
      </c>
      <c r="O436" t="s">
        <v>17</v>
      </c>
      <c r="P436" s="8">
        <f t="shared" si="18"/>
        <v>15.349999999999909</v>
      </c>
      <c r="Q436" t="s">
        <v>38</v>
      </c>
      <c r="R436">
        <f t="shared" si="19"/>
        <v>4</v>
      </c>
      <c r="S436" t="str">
        <f t="shared" si="20"/>
        <v>Apr</v>
      </c>
      <c r="T436" s="9">
        <f>VLOOKUP(O436, Annual_Summary!A:B, 2, 0)</f>
        <v>-0.15097152122178931</v>
      </c>
    </row>
    <row r="437" spans="1:20" x14ac:dyDescent="0.3">
      <c r="A437" s="1">
        <v>45748</v>
      </c>
      <c r="B437" t="s">
        <v>15</v>
      </c>
      <c r="C437" s="4">
        <v>1577</v>
      </c>
      <c r="D437" s="4">
        <v>1585</v>
      </c>
      <c r="E437" s="4">
        <v>1526.1</v>
      </c>
      <c r="F437" s="4">
        <v>1592.5</v>
      </c>
      <c r="G437" s="4">
        <v>1534.5</v>
      </c>
      <c r="H437" s="4">
        <v>1530.35</v>
      </c>
      <c r="I437" s="4">
        <v>1549.26</v>
      </c>
      <c r="J437" s="4">
        <v>2012.2</v>
      </c>
      <c r="K437" s="4">
        <v>1235</v>
      </c>
      <c r="L437" s="2">
        <v>4126827</v>
      </c>
      <c r="M437" s="2">
        <v>6393517652.3500004</v>
      </c>
      <c r="N437">
        <v>191916</v>
      </c>
      <c r="O437" t="s">
        <v>17</v>
      </c>
      <c r="P437" s="8">
        <f t="shared" si="18"/>
        <v>15.5</v>
      </c>
      <c r="Q437" t="s">
        <v>38</v>
      </c>
      <c r="R437">
        <f t="shared" si="19"/>
        <v>4</v>
      </c>
      <c r="S437" t="str">
        <f t="shared" si="20"/>
        <v>Apr</v>
      </c>
      <c r="T437" s="9">
        <f>VLOOKUP(O437, Annual_Summary!A:B, 2, 0)</f>
        <v>-0.15097152122178931</v>
      </c>
    </row>
    <row r="438" spans="1:20" x14ac:dyDescent="0.3">
      <c r="A438" s="1">
        <v>45744</v>
      </c>
      <c r="B438" t="s">
        <v>15</v>
      </c>
      <c r="C438" s="4">
        <v>1616.1</v>
      </c>
      <c r="D438" s="4">
        <v>1625.55</v>
      </c>
      <c r="E438" s="4">
        <v>1581.6</v>
      </c>
      <c r="F438" s="4">
        <v>1630.15</v>
      </c>
      <c r="G438" s="4">
        <v>1591</v>
      </c>
      <c r="H438" s="4">
        <v>1592.5</v>
      </c>
      <c r="I438" s="4">
        <v>1603.17</v>
      </c>
      <c r="J438" s="4">
        <v>2012.2</v>
      </c>
      <c r="K438" s="4">
        <v>1235</v>
      </c>
      <c r="L438" s="2">
        <v>2211077</v>
      </c>
      <c r="M438" s="2">
        <v>3544737955.4499998</v>
      </c>
      <c r="N438">
        <v>80891</v>
      </c>
      <c r="O438" t="s">
        <v>17</v>
      </c>
      <c r="P438" s="8">
        <f t="shared" si="18"/>
        <v>14.050000000000182</v>
      </c>
      <c r="Q438" t="s">
        <v>38</v>
      </c>
      <c r="R438">
        <f t="shared" si="19"/>
        <v>3</v>
      </c>
      <c r="S438" t="str">
        <f t="shared" si="20"/>
        <v>Mar</v>
      </c>
      <c r="T438" s="9">
        <f>VLOOKUP(O438, Annual_Summary!A:B, 2, 0)</f>
        <v>-0.15097152122178931</v>
      </c>
    </row>
    <row r="439" spans="1:20" x14ac:dyDescent="0.3">
      <c r="A439" s="1">
        <v>45743</v>
      </c>
      <c r="B439" t="s">
        <v>15</v>
      </c>
      <c r="C439" s="4">
        <v>1625.65</v>
      </c>
      <c r="D439" s="4">
        <v>1645</v>
      </c>
      <c r="E439" s="4">
        <v>1613.55</v>
      </c>
      <c r="F439" s="4">
        <v>1633.4</v>
      </c>
      <c r="G439" s="4">
        <v>1637.25</v>
      </c>
      <c r="H439" s="4">
        <v>1630.15</v>
      </c>
      <c r="I439" s="4">
        <v>1626.44</v>
      </c>
      <c r="J439" s="4">
        <v>2012.2</v>
      </c>
      <c r="K439" s="4">
        <v>1235</v>
      </c>
      <c r="L439" s="2">
        <v>3383080</v>
      </c>
      <c r="M439" s="2">
        <v>5502369601.75</v>
      </c>
      <c r="N439">
        <v>112017</v>
      </c>
      <c r="O439" t="s">
        <v>17</v>
      </c>
      <c r="P439" s="8">
        <f t="shared" si="18"/>
        <v>7.75</v>
      </c>
      <c r="Q439" t="s">
        <v>38</v>
      </c>
      <c r="R439">
        <f t="shared" si="19"/>
        <v>3</v>
      </c>
      <c r="S439" t="str">
        <f t="shared" si="20"/>
        <v>Mar</v>
      </c>
      <c r="T439" s="9">
        <f>VLOOKUP(O439, Annual_Summary!A:B, 2, 0)</f>
        <v>-0.15097152122178931</v>
      </c>
    </row>
    <row r="440" spans="1:20" x14ac:dyDescent="0.3">
      <c r="A440" s="1">
        <v>45742</v>
      </c>
      <c r="B440" t="s">
        <v>15</v>
      </c>
      <c r="C440" s="4">
        <v>1624.9</v>
      </c>
      <c r="D440" s="4">
        <v>1644.95</v>
      </c>
      <c r="E440" s="4">
        <v>1622</v>
      </c>
      <c r="F440" s="4">
        <v>1624.9</v>
      </c>
      <c r="G440" s="4">
        <v>1625.65</v>
      </c>
      <c r="H440" s="4">
        <v>1633.4</v>
      </c>
      <c r="I440" s="4">
        <v>1634.48</v>
      </c>
      <c r="J440" s="4">
        <v>2012.2</v>
      </c>
      <c r="K440" s="4">
        <v>1235</v>
      </c>
      <c r="L440" s="2">
        <v>3096513</v>
      </c>
      <c r="M440" s="2">
        <v>5061183927.4499998</v>
      </c>
      <c r="N440">
        <v>106271</v>
      </c>
      <c r="O440" t="s">
        <v>17</v>
      </c>
      <c r="P440" s="8">
        <f t="shared" si="18"/>
        <v>0</v>
      </c>
      <c r="Q440" t="s">
        <v>38</v>
      </c>
      <c r="R440">
        <f t="shared" si="19"/>
        <v>3</v>
      </c>
      <c r="S440" t="str">
        <f t="shared" si="20"/>
        <v>Mar</v>
      </c>
      <c r="T440" s="9">
        <f>VLOOKUP(O440, Annual_Summary!A:B, 2, 0)</f>
        <v>-0.15097152122178931</v>
      </c>
    </row>
    <row r="441" spans="1:20" x14ac:dyDescent="0.3">
      <c r="A441" s="1">
        <v>45741</v>
      </c>
      <c r="B441" t="s">
        <v>15</v>
      </c>
      <c r="C441" s="4">
        <v>1622</v>
      </c>
      <c r="D441" s="4">
        <v>1658.95</v>
      </c>
      <c r="E441" s="4">
        <v>1618.95</v>
      </c>
      <c r="F441" s="4">
        <v>1604.15</v>
      </c>
      <c r="G441" s="4">
        <v>1621.05</v>
      </c>
      <c r="H441" s="4">
        <v>1624.9</v>
      </c>
      <c r="I441" s="4">
        <v>1633.44</v>
      </c>
      <c r="J441" s="4">
        <v>2012.2</v>
      </c>
      <c r="K441" s="4">
        <v>1235</v>
      </c>
      <c r="L441" s="2">
        <v>4906013</v>
      </c>
      <c r="M441" s="2">
        <v>8013690211.6499996</v>
      </c>
      <c r="N441">
        <v>175718</v>
      </c>
      <c r="O441" t="s">
        <v>17</v>
      </c>
      <c r="P441" s="8">
        <f t="shared" si="18"/>
        <v>-17.849999999999909</v>
      </c>
      <c r="Q441" t="s">
        <v>38</v>
      </c>
      <c r="R441">
        <f t="shared" si="19"/>
        <v>3</v>
      </c>
      <c r="S441" t="str">
        <f t="shared" si="20"/>
        <v>Mar</v>
      </c>
      <c r="T441" s="9">
        <f>VLOOKUP(O441, Annual_Summary!A:B, 2, 0)</f>
        <v>-0.15097152122178931</v>
      </c>
    </row>
    <row r="442" spans="1:20" x14ac:dyDescent="0.3">
      <c r="A442" s="1">
        <v>45740</v>
      </c>
      <c r="B442" t="s">
        <v>15</v>
      </c>
      <c r="C442" s="4">
        <v>1591</v>
      </c>
      <c r="D442" s="4">
        <v>1610.9</v>
      </c>
      <c r="E442" s="4">
        <v>1560</v>
      </c>
      <c r="F442" s="4">
        <v>1566.7</v>
      </c>
      <c r="G442" s="4">
        <v>1602.85</v>
      </c>
      <c r="H442" s="4">
        <v>1604.15</v>
      </c>
      <c r="I442" s="4">
        <v>1590.29</v>
      </c>
      <c r="J442" s="4">
        <v>2012.2</v>
      </c>
      <c r="K442" s="4">
        <v>1235</v>
      </c>
      <c r="L442" s="2">
        <v>2487843</v>
      </c>
      <c r="M442" s="2">
        <v>3956391435.8000002</v>
      </c>
      <c r="N442">
        <v>100840</v>
      </c>
      <c r="O442" t="s">
        <v>17</v>
      </c>
      <c r="P442" s="8">
        <f t="shared" si="18"/>
        <v>-24.299999999999955</v>
      </c>
      <c r="Q442" t="s">
        <v>38</v>
      </c>
      <c r="R442">
        <f t="shared" si="19"/>
        <v>3</v>
      </c>
      <c r="S442" t="str">
        <f t="shared" si="20"/>
        <v>Mar</v>
      </c>
      <c r="T442" s="9">
        <f>VLOOKUP(O442, Annual_Summary!A:B, 2, 0)</f>
        <v>-0.15097152122178931</v>
      </c>
    </row>
    <row r="443" spans="1:20" x14ac:dyDescent="0.3">
      <c r="A443" s="1">
        <v>45737</v>
      </c>
      <c r="B443" t="s">
        <v>15</v>
      </c>
      <c r="C443" s="4">
        <v>1535.1</v>
      </c>
      <c r="D443" s="4">
        <v>1592.05</v>
      </c>
      <c r="E443" s="4">
        <v>1521.5</v>
      </c>
      <c r="F443" s="4">
        <v>1562</v>
      </c>
      <c r="G443" s="4">
        <v>1565</v>
      </c>
      <c r="H443" s="4">
        <v>1566.7</v>
      </c>
      <c r="I443" s="4">
        <v>1567.64</v>
      </c>
      <c r="J443" s="4">
        <v>2012.2</v>
      </c>
      <c r="K443" s="4">
        <v>1235</v>
      </c>
      <c r="L443" s="2">
        <v>8109210</v>
      </c>
      <c r="M443" s="2">
        <v>12712307970.700001</v>
      </c>
      <c r="N443">
        <v>157465</v>
      </c>
      <c r="O443" t="s">
        <v>17</v>
      </c>
      <c r="P443" s="8">
        <f t="shared" si="18"/>
        <v>26.900000000000091</v>
      </c>
      <c r="Q443" t="s">
        <v>38</v>
      </c>
      <c r="R443">
        <f t="shared" si="19"/>
        <v>3</v>
      </c>
      <c r="S443" t="str">
        <f t="shared" si="20"/>
        <v>Mar</v>
      </c>
      <c r="T443" s="9">
        <f>VLOOKUP(O443, Annual_Summary!A:B, 2, 0)</f>
        <v>-0.15097152122178931</v>
      </c>
    </row>
    <row r="444" spans="1:20" x14ac:dyDescent="0.3">
      <c r="A444" s="1">
        <v>45736</v>
      </c>
      <c r="B444" t="s">
        <v>15</v>
      </c>
      <c r="C444" s="4">
        <v>1547.85</v>
      </c>
      <c r="D444" s="4">
        <v>1582.1</v>
      </c>
      <c r="E444" s="4">
        <v>1547.05</v>
      </c>
      <c r="F444" s="4">
        <v>1544.45</v>
      </c>
      <c r="G444" s="4">
        <v>1555</v>
      </c>
      <c r="H444" s="4">
        <v>1562</v>
      </c>
      <c r="I444" s="4">
        <v>1568.78</v>
      </c>
      <c r="J444" s="4">
        <v>2012.2</v>
      </c>
      <c r="K444" s="4">
        <v>1235</v>
      </c>
      <c r="L444" s="2">
        <v>4608677</v>
      </c>
      <c r="M444" s="2">
        <v>7229982395.5</v>
      </c>
      <c r="N444">
        <v>183935</v>
      </c>
      <c r="O444" t="s">
        <v>17</v>
      </c>
      <c r="P444" s="8">
        <f t="shared" si="18"/>
        <v>-3.3999999999998636</v>
      </c>
      <c r="Q444" t="s">
        <v>38</v>
      </c>
      <c r="R444">
        <f t="shared" si="19"/>
        <v>3</v>
      </c>
      <c r="S444" t="str">
        <f t="shared" si="20"/>
        <v>Mar</v>
      </c>
      <c r="T444" s="9">
        <f>VLOOKUP(O444, Annual_Summary!A:B, 2, 0)</f>
        <v>-0.15097152122178931</v>
      </c>
    </row>
    <row r="445" spans="1:20" x14ac:dyDescent="0.3">
      <c r="A445" s="1">
        <v>45735</v>
      </c>
      <c r="B445" t="s">
        <v>15</v>
      </c>
      <c r="C445" s="4">
        <v>1558.5</v>
      </c>
      <c r="D445" s="4">
        <v>1561.35</v>
      </c>
      <c r="E445" s="4">
        <v>1525.1</v>
      </c>
      <c r="F445" s="4">
        <v>1558.2</v>
      </c>
      <c r="G445" s="4">
        <v>1547</v>
      </c>
      <c r="H445" s="4">
        <v>1544.45</v>
      </c>
      <c r="I445" s="4">
        <v>1536.19</v>
      </c>
      <c r="J445" s="4">
        <v>2012.2</v>
      </c>
      <c r="K445" s="4">
        <v>1235</v>
      </c>
      <c r="L445" s="2">
        <v>4522829</v>
      </c>
      <c r="M445" s="2">
        <v>6947916763.1000004</v>
      </c>
      <c r="N445">
        <v>163793</v>
      </c>
      <c r="O445" t="s">
        <v>17</v>
      </c>
      <c r="P445" s="8">
        <f t="shared" si="18"/>
        <v>-0.29999999999995453</v>
      </c>
      <c r="Q445" t="s">
        <v>38</v>
      </c>
      <c r="R445">
        <f t="shared" si="19"/>
        <v>3</v>
      </c>
      <c r="S445" t="str">
        <f t="shared" si="20"/>
        <v>Mar</v>
      </c>
      <c r="T445" s="9">
        <f>VLOOKUP(O445, Annual_Summary!A:B, 2, 0)</f>
        <v>-0.15097152122178931</v>
      </c>
    </row>
    <row r="446" spans="1:20" x14ac:dyDescent="0.3">
      <c r="A446" s="1">
        <v>45734</v>
      </c>
      <c r="B446" t="s">
        <v>15</v>
      </c>
      <c r="C446" s="4">
        <v>1545.15</v>
      </c>
      <c r="D446" s="4">
        <v>1560.95</v>
      </c>
      <c r="E446" s="4">
        <v>1530.65</v>
      </c>
      <c r="F446" s="4">
        <v>1545.15</v>
      </c>
      <c r="G446" s="4">
        <v>1560.95</v>
      </c>
      <c r="H446" s="4">
        <v>1558.2</v>
      </c>
      <c r="I446" s="4">
        <v>1553.11</v>
      </c>
      <c r="J446" s="4">
        <v>2012.2</v>
      </c>
      <c r="K446" s="4">
        <v>1235</v>
      </c>
      <c r="L446" s="2">
        <v>2930865</v>
      </c>
      <c r="M446" s="2">
        <v>4551948771.1499996</v>
      </c>
      <c r="N446">
        <v>110392</v>
      </c>
      <c r="O446" t="s">
        <v>17</v>
      </c>
      <c r="P446" s="8">
        <f t="shared" si="18"/>
        <v>0</v>
      </c>
      <c r="Q446" t="s">
        <v>38</v>
      </c>
      <c r="R446">
        <f t="shared" si="19"/>
        <v>3</v>
      </c>
      <c r="S446" t="str">
        <f t="shared" si="20"/>
        <v>Mar</v>
      </c>
      <c r="T446" s="9">
        <f>VLOOKUP(O446, Annual_Summary!A:B, 2, 0)</f>
        <v>-0.15097152122178931</v>
      </c>
    </row>
    <row r="447" spans="1:20" x14ac:dyDescent="0.3">
      <c r="A447" s="1">
        <v>45733</v>
      </c>
      <c r="B447" t="s">
        <v>15</v>
      </c>
      <c r="C447" s="4">
        <v>1528</v>
      </c>
      <c r="D447" s="4">
        <v>1547.55</v>
      </c>
      <c r="E447" s="4">
        <v>1519.05</v>
      </c>
      <c r="F447" s="4">
        <v>1534.75</v>
      </c>
      <c r="G447" s="4">
        <v>1545</v>
      </c>
      <c r="H447" s="4">
        <v>1545.15</v>
      </c>
      <c r="I447" s="4">
        <v>1532.81</v>
      </c>
      <c r="J447" s="4">
        <v>2012.2</v>
      </c>
      <c r="K447" s="4">
        <v>1235</v>
      </c>
      <c r="L447" s="2">
        <v>2029100</v>
      </c>
      <c r="M447" s="2">
        <v>3110221525.1999998</v>
      </c>
      <c r="N447">
        <v>102852</v>
      </c>
      <c r="O447" t="s">
        <v>17</v>
      </c>
      <c r="P447" s="8">
        <f t="shared" si="18"/>
        <v>6.75</v>
      </c>
      <c r="Q447" t="s">
        <v>38</v>
      </c>
      <c r="R447">
        <f t="shared" si="19"/>
        <v>3</v>
      </c>
      <c r="S447" t="str">
        <f t="shared" si="20"/>
        <v>Mar</v>
      </c>
      <c r="T447" s="9">
        <f>VLOOKUP(O447, Annual_Summary!A:B, 2, 0)</f>
        <v>-0.15097152122178931</v>
      </c>
    </row>
    <row r="448" spans="1:20" x14ac:dyDescent="0.3">
      <c r="A448" s="1">
        <v>45729</v>
      </c>
      <c r="B448" t="s">
        <v>15</v>
      </c>
      <c r="C448" s="4">
        <v>1540.6</v>
      </c>
      <c r="D448" s="4">
        <v>1547.95</v>
      </c>
      <c r="E448" s="4">
        <v>1529.15</v>
      </c>
      <c r="F448" s="4">
        <v>1540.6</v>
      </c>
      <c r="G448" s="4">
        <v>1532</v>
      </c>
      <c r="H448" s="4">
        <v>1534.75</v>
      </c>
      <c r="I448" s="4">
        <v>1536.04</v>
      </c>
      <c r="J448" s="4">
        <v>2012.2</v>
      </c>
      <c r="K448" s="4">
        <v>1235</v>
      </c>
      <c r="L448" s="2">
        <v>1983351</v>
      </c>
      <c r="M448" s="2">
        <v>3046509090.1999998</v>
      </c>
      <c r="N448">
        <v>109012</v>
      </c>
      <c r="O448" t="s">
        <v>17</v>
      </c>
      <c r="P448" s="8">
        <f t="shared" si="18"/>
        <v>0</v>
      </c>
      <c r="Q448" t="s">
        <v>38</v>
      </c>
      <c r="R448">
        <f t="shared" si="19"/>
        <v>3</v>
      </c>
      <c r="S448" t="str">
        <f t="shared" si="20"/>
        <v>Mar</v>
      </c>
      <c r="T448" s="9">
        <f>VLOOKUP(O448, Annual_Summary!A:B, 2, 0)</f>
        <v>-0.15097152122178931</v>
      </c>
    </row>
    <row r="449" spans="1:20" x14ac:dyDescent="0.3">
      <c r="A449" s="1">
        <v>45728</v>
      </c>
      <c r="B449" t="s">
        <v>15</v>
      </c>
      <c r="C449" s="4">
        <v>1556</v>
      </c>
      <c r="D449" s="4">
        <v>1565</v>
      </c>
      <c r="E449" s="4">
        <v>1507.1</v>
      </c>
      <c r="F449" s="4">
        <v>1567.85</v>
      </c>
      <c r="G449" s="4">
        <v>1537.6</v>
      </c>
      <c r="H449" s="4">
        <v>1540.6</v>
      </c>
      <c r="I449" s="4">
        <v>1526.42</v>
      </c>
      <c r="J449" s="4">
        <v>2012.2</v>
      </c>
      <c r="K449" s="4">
        <v>1235</v>
      </c>
      <c r="L449" s="2">
        <v>3113860</v>
      </c>
      <c r="M449" s="2">
        <v>4753043277.8999996</v>
      </c>
      <c r="N449">
        <v>127422</v>
      </c>
      <c r="O449" t="s">
        <v>17</v>
      </c>
      <c r="P449" s="8">
        <f t="shared" si="18"/>
        <v>11.849999999999909</v>
      </c>
      <c r="Q449" t="s">
        <v>38</v>
      </c>
      <c r="R449">
        <f t="shared" si="19"/>
        <v>3</v>
      </c>
      <c r="S449" t="str">
        <f t="shared" si="20"/>
        <v>Mar</v>
      </c>
      <c r="T449" s="9">
        <f>VLOOKUP(O449, Annual_Summary!A:B, 2, 0)</f>
        <v>-0.15097152122178931</v>
      </c>
    </row>
    <row r="450" spans="1:20" x14ac:dyDescent="0.3">
      <c r="A450" s="1">
        <v>45727</v>
      </c>
      <c r="B450" t="s">
        <v>15</v>
      </c>
      <c r="C450" s="4">
        <v>1529.95</v>
      </c>
      <c r="D450" s="4">
        <v>1573.95</v>
      </c>
      <c r="E450" s="4">
        <v>1522.6</v>
      </c>
      <c r="F450" s="4">
        <v>1549.3</v>
      </c>
      <c r="G450" s="4">
        <v>1567</v>
      </c>
      <c r="H450" s="4">
        <v>1567.85</v>
      </c>
      <c r="I450" s="4">
        <v>1553.21</v>
      </c>
      <c r="J450" s="4">
        <v>2012.2</v>
      </c>
      <c r="K450" s="4">
        <v>1235</v>
      </c>
      <c r="L450" s="2">
        <v>1846190</v>
      </c>
      <c r="M450" s="2">
        <v>2867523976</v>
      </c>
      <c r="N450">
        <v>116653</v>
      </c>
      <c r="O450" t="s">
        <v>17</v>
      </c>
      <c r="P450" s="8">
        <f t="shared" si="18"/>
        <v>19.349999999999909</v>
      </c>
      <c r="Q450" t="s">
        <v>38</v>
      </c>
      <c r="R450">
        <f t="shared" si="19"/>
        <v>3</v>
      </c>
      <c r="S450" t="str">
        <f t="shared" si="20"/>
        <v>Mar</v>
      </c>
      <c r="T450" s="9">
        <f>VLOOKUP(O450, Annual_Summary!A:B, 2, 0)</f>
        <v>-0.15097152122178931</v>
      </c>
    </row>
    <row r="451" spans="1:20" x14ac:dyDescent="0.3">
      <c r="A451" s="1">
        <v>45726</v>
      </c>
      <c r="B451" t="s">
        <v>15</v>
      </c>
      <c r="C451" s="4">
        <v>1557</v>
      </c>
      <c r="D451" s="4">
        <v>1572.45</v>
      </c>
      <c r="E451" s="4">
        <v>1547</v>
      </c>
      <c r="F451" s="4">
        <v>1557.95</v>
      </c>
      <c r="G451" s="4">
        <v>1549.8</v>
      </c>
      <c r="H451" s="4">
        <v>1549.3</v>
      </c>
      <c r="I451" s="4">
        <v>1558.35</v>
      </c>
      <c r="J451" s="4">
        <v>2012.2</v>
      </c>
      <c r="K451" s="4">
        <v>1235</v>
      </c>
      <c r="L451" s="2">
        <v>1855766</v>
      </c>
      <c r="M451" s="2">
        <v>2891926346.0999999</v>
      </c>
      <c r="N451">
        <v>111573</v>
      </c>
      <c r="O451" t="s">
        <v>17</v>
      </c>
      <c r="P451" s="8">
        <f t="shared" ref="P451:P514" si="21">F451-C451</f>
        <v>0.95000000000004547</v>
      </c>
      <c r="Q451" t="s">
        <v>38</v>
      </c>
      <c r="R451">
        <f t="shared" ref="R451:R514" si="22">MONTH(A451)</f>
        <v>3</v>
      </c>
      <c r="S451" t="str">
        <f t="shared" ref="S451:S514" si="23">TEXT(A451,"mmm")</f>
        <v>Mar</v>
      </c>
      <c r="T451" s="9">
        <f>VLOOKUP(O451, Annual_Summary!A:B, 2, 0)</f>
        <v>-0.15097152122178931</v>
      </c>
    </row>
    <row r="452" spans="1:20" x14ac:dyDescent="0.3">
      <c r="A452" s="1">
        <v>45723</v>
      </c>
      <c r="B452" t="s">
        <v>15</v>
      </c>
      <c r="C452" s="4">
        <v>1582.65</v>
      </c>
      <c r="D452" s="4">
        <v>1587</v>
      </c>
      <c r="E452" s="4">
        <v>1555.6</v>
      </c>
      <c r="F452" s="4">
        <v>1585.45</v>
      </c>
      <c r="G452" s="4">
        <v>1558.6</v>
      </c>
      <c r="H452" s="4">
        <v>1557.95</v>
      </c>
      <c r="I452" s="4">
        <v>1564.26</v>
      </c>
      <c r="J452" s="4">
        <v>2012.2</v>
      </c>
      <c r="K452" s="4">
        <v>1235</v>
      </c>
      <c r="L452" s="2">
        <v>2091986</v>
      </c>
      <c r="M452" s="2">
        <v>3272406893.8499999</v>
      </c>
      <c r="N452">
        <v>117645</v>
      </c>
      <c r="O452" t="s">
        <v>17</v>
      </c>
      <c r="P452" s="8">
        <f t="shared" si="21"/>
        <v>2.7999999999999545</v>
      </c>
      <c r="Q452" t="s">
        <v>38</v>
      </c>
      <c r="R452">
        <f t="shared" si="22"/>
        <v>3</v>
      </c>
      <c r="S452" t="str">
        <f t="shared" si="23"/>
        <v>Mar</v>
      </c>
      <c r="T452" s="9">
        <f>VLOOKUP(O452, Annual_Summary!A:B, 2, 0)</f>
        <v>-0.15097152122178931</v>
      </c>
    </row>
    <row r="453" spans="1:20" x14ac:dyDescent="0.3">
      <c r="A453" s="1">
        <v>45722</v>
      </c>
      <c r="B453" t="s">
        <v>15</v>
      </c>
      <c r="C453" s="4">
        <v>1580</v>
      </c>
      <c r="D453" s="4">
        <v>1594.7</v>
      </c>
      <c r="E453" s="4">
        <v>1575.15</v>
      </c>
      <c r="F453" s="4">
        <v>1572.95</v>
      </c>
      <c r="G453" s="4">
        <v>1582.65</v>
      </c>
      <c r="H453" s="4">
        <v>1585.45</v>
      </c>
      <c r="I453" s="4">
        <v>1584.44</v>
      </c>
      <c r="J453" s="4">
        <v>2012.2</v>
      </c>
      <c r="K453" s="4">
        <v>1235</v>
      </c>
      <c r="L453" s="2">
        <v>2011489</v>
      </c>
      <c r="M453" s="2">
        <v>3187093190.9499998</v>
      </c>
      <c r="N453">
        <v>107474</v>
      </c>
      <c r="O453" t="s">
        <v>17</v>
      </c>
      <c r="P453" s="8">
        <f t="shared" si="21"/>
        <v>-7.0499999999999545</v>
      </c>
      <c r="Q453" t="s">
        <v>38</v>
      </c>
      <c r="R453">
        <f t="shared" si="22"/>
        <v>3</v>
      </c>
      <c r="S453" t="str">
        <f t="shared" si="23"/>
        <v>Mar</v>
      </c>
      <c r="T453" s="9">
        <f>VLOOKUP(O453, Annual_Summary!A:B, 2, 0)</f>
        <v>-0.15097152122178931</v>
      </c>
    </row>
    <row r="454" spans="1:20" x14ac:dyDescent="0.3">
      <c r="A454" s="1">
        <v>45721</v>
      </c>
      <c r="B454" t="s">
        <v>15</v>
      </c>
      <c r="C454" s="4">
        <v>1532</v>
      </c>
      <c r="D454" s="4">
        <v>1581.4</v>
      </c>
      <c r="E454" s="4">
        <v>1531.05</v>
      </c>
      <c r="F454" s="4">
        <v>1535.5</v>
      </c>
      <c r="G454" s="4">
        <v>1573</v>
      </c>
      <c r="H454" s="4">
        <v>1572.95</v>
      </c>
      <c r="I454" s="4">
        <v>1569.69</v>
      </c>
      <c r="J454" s="4">
        <v>2012.2</v>
      </c>
      <c r="K454" s="4">
        <v>1235</v>
      </c>
      <c r="L454" s="2">
        <v>3112003</v>
      </c>
      <c r="M454" s="2">
        <v>4884879584.8000002</v>
      </c>
      <c r="N454">
        <v>132849</v>
      </c>
      <c r="O454" t="s">
        <v>17</v>
      </c>
      <c r="P454" s="8">
        <f t="shared" si="21"/>
        <v>3.5</v>
      </c>
      <c r="Q454" t="s">
        <v>38</v>
      </c>
      <c r="R454">
        <f t="shared" si="22"/>
        <v>3</v>
      </c>
      <c r="S454" t="str">
        <f t="shared" si="23"/>
        <v>Mar</v>
      </c>
      <c r="T454" s="9">
        <f>VLOOKUP(O454, Annual_Summary!A:B, 2, 0)</f>
        <v>-0.15097152122178931</v>
      </c>
    </row>
    <row r="455" spans="1:20" x14ac:dyDescent="0.3">
      <c r="A455" s="1">
        <v>45720</v>
      </c>
      <c r="B455" t="s">
        <v>15</v>
      </c>
      <c r="C455" s="4">
        <v>1560</v>
      </c>
      <c r="D455" s="4">
        <v>1560</v>
      </c>
      <c r="E455" s="4">
        <v>1523</v>
      </c>
      <c r="F455" s="4">
        <v>1572.4</v>
      </c>
      <c r="G455" s="4">
        <v>1536.5</v>
      </c>
      <c r="H455" s="4">
        <v>1535.5</v>
      </c>
      <c r="I455" s="4">
        <v>1539.73</v>
      </c>
      <c r="J455" s="4">
        <v>2012.2</v>
      </c>
      <c r="K455" s="4">
        <v>1235</v>
      </c>
      <c r="L455" s="2">
        <v>3246644</v>
      </c>
      <c r="M455" s="2">
        <v>4998968940.1999998</v>
      </c>
      <c r="N455">
        <v>143743</v>
      </c>
      <c r="O455" t="s">
        <v>17</v>
      </c>
      <c r="P455" s="8">
        <f t="shared" si="21"/>
        <v>12.400000000000091</v>
      </c>
      <c r="Q455" t="s">
        <v>38</v>
      </c>
      <c r="R455">
        <f t="shared" si="22"/>
        <v>3</v>
      </c>
      <c r="S455" t="str">
        <f t="shared" si="23"/>
        <v>Mar</v>
      </c>
      <c r="T455" s="9">
        <f>VLOOKUP(O455, Annual_Summary!A:B, 2, 0)</f>
        <v>-0.15097152122178931</v>
      </c>
    </row>
    <row r="456" spans="1:20" x14ac:dyDescent="0.3">
      <c r="A456" s="1">
        <v>45719</v>
      </c>
      <c r="B456" t="s">
        <v>15</v>
      </c>
      <c r="C456" s="4">
        <v>1575.05</v>
      </c>
      <c r="D456" s="4">
        <v>1603.4</v>
      </c>
      <c r="E456" s="4">
        <v>1568.45</v>
      </c>
      <c r="F456" s="4">
        <v>1575.05</v>
      </c>
      <c r="G456" s="4">
        <v>1573.8</v>
      </c>
      <c r="H456" s="4">
        <v>1572.4</v>
      </c>
      <c r="I456" s="4">
        <v>1579.48</v>
      </c>
      <c r="J456" s="4">
        <v>2012.2</v>
      </c>
      <c r="K456" s="4">
        <v>1235</v>
      </c>
      <c r="L456" s="2">
        <v>1784684</v>
      </c>
      <c r="M456" s="2">
        <v>2818878989.6999998</v>
      </c>
      <c r="N456">
        <v>113522</v>
      </c>
      <c r="O456" t="s">
        <v>17</v>
      </c>
      <c r="P456" s="8">
        <f t="shared" si="21"/>
        <v>0</v>
      </c>
      <c r="Q456" t="s">
        <v>38</v>
      </c>
      <c r="R456">
        <f t="shared" si="22"/>
        <v>3</v>
      </c>
      <c r="S456" t="str">
        <f t="shared" si="23"/>
        <v>Mar</v>
      </c>
      <c r="T456" s="9">
        <f>VLOOKUP(O456, Annual_Summary!A:B, 2, 0)</f>
        <v>-0.15097152122178931</v>
      </c>
    </row>
    <row r="457" spans="1:20" x14ac:dyDescent="0.3">
      <c r="A457" s="1">
        <v>45716</v>
      </c>
      <c r="B457" t="s">
        <v>15</v>
      </c>
      <c r="C457" s="4">
        <v>1612</v>
      </c>
      <c r="D457" s="4">
        <v>1614.95</v>
      </c>
      <c r="E457" s="4">
        <v>1562.45</v>
      </c>
      <c r="F457" s="4">
        <v>1629.2</v>
      </c>
      <c r="G457" s="4">
        <v>1576.7</v>
      </c>
      <c r="H457" s="4">
        <v>1575.05</v>
      </c>
      <c r="I457" s="4">
        <v>1574.6</v>
      </c>
      <c r="J457" s="4">
        <v>2012.2</v>
      </c>
      <c r="K457" s="4">
        <v>1235</v>
      </c>
      <c r="L457" s="2">
        <v>4910121</v>
      </c>
      <c r="M457" s="2">
        <v>7731460507.5</v>
      </c>
      <c r="N457">
        <v>257806</v>
      </c>
      <c r="O457" t="s">
        <v>17</v>
      </c>
      <c r="P457" s="8">
        <f t="shared" si="21"/>
        <v>17.200000000000045</v>
      </c>
      <c r="Q457" t="s">
        <v>38</v>
      </c>
      <c r="R457">
        <f t="shared" si="22"/>
        <v>2</v>
      </c>
      <c r="S457" t="str">
        <f t="shared" si="23"/>
        <v>Feb</v>
      </c>
      <c r="T457" s="9">
        <f>VLOOKUP(O457, Annual_Summary!A:B, 2, 0)</f>
        <v>-0.15097152122178931</v>
      </c>
    </row>
    <row r="458" spans="1:20" x14ac:dyDescent="0.3">
      <c r="A458" s="1">
        <v>45715</v>
      </c>
      <c r="B458" t="s">
        <v>15</v>
      </c>
      <c r="C458" s="4">
        <v>1620</v>
      </c>
      <c r="D458" s="4">
        <v>1660</v>
      </c>
      <c r="E458" s="4">
        <v>1615.2</v>
      </c>
      <c r="F458" s="4">
        <v>1636.1</v>
      </c>
      <c r="G458" s="4">
        <v>1621</v>
      </c>
      <c r="H458" s="4">
        <v>1629.2</v>
      </c>
      <c r="I458" s="4">
        <v>1626.13</v>
      </c>
      <c r="J458" s="4">
        <v>2012.2</v>
      </c>
      <c r="K458" s="4">
        <v>1235</v>
      </c>
      <c r="L458" s="2">
        <v>2266866</v>
      </c>
      <c r="M458" s="2">
        <v>3686219278</v>
      </c>
      <c r="N458">
        <v>123330</v>
      </c>
      <c r="O458" t="s">
        <v>17</v>
      </c>
      <c r="P458" s="8">
        <f t="shared" si="21"/>
        <v>16.099999999999909</v>
      </c>
      <c r="Q458" t="s">
        <v>38</v>
      </c>
      <c r="R458">
        <f t="shared" si="22"/>
        <v>2</v>
      </c>
      <c r="S458" t="str">
        <f t="shared" si="23"/>
        <v>Feb</v>
      </c>
      <c r="T458" s="9">
        <f>VLOOKUP(O458, Annual_Summary!A:B, 2, 0)</f>
        <v>-0.15097152122178931</v>
      </c>
    </row>
    <row r="459" spans="1:20" x14ac:dyDescent="0.3">
      <c r="A459" s="1">
        <v>45713</v>
      </c>
      <c r="B459" t="s">
        <v>15</v>
      </c>
      <c r="C459" s="4">
        <v>1636</v>
      </c>
      <c r="D459" s="4">
        <v>1651.95</v>
      </c>
      <c r="E459" s="4">
        <v>1631.25</v>
      </c>
      <c r="F459" s="4">
        <v>1644.05</v>
      </c>
      <c r="G459" s="4">
        <v>1635.1</v>
      </c>
      <c r="H459" s="4">
        <v>1636.1</v>
      </c>
      <c r="I459" s="4">
        <v>1640.84</v>
      </c>
      <c r="J459" s="4">
        <v>2012.2</v>
      </c>
      <c r="K459" s="4">
        <v>1235</v>
      </c>
      <c r="L459" s="2">
        <v>1951519</v>
      </c>
      <c r="M459" s="2">
        <v>3202123013.9000001</v>
      </c>
      <c r="N459">
        <v>102638</v>
      </c>
      <c r="O459" t="s">
        <v>17</v>
      </c>
      <c r="P459" s="8">
        <f t="shared" si="21"/>
        <v>8.0499999999999545</v>
      </c>
      <c r="Q459" t="s">
        <v>38</v>
      </c>
      <c r="R459">
        <f t="shared" si="22"/>
        <v>2</v>
      </c>
      <c r="S459" t="str">
        <f t="shared" si="23"/>
        <v>Feb</v>
      </c>
      <c r="T459" s="9">
        <f>VLOOKUP(O459, Annual_Summary!A:B, 2, 0)</f>
        <v>-0.15097152122178931</v>
      </c>
    </row>
    <row r="460" spans="1:20" x14ac:dyDescent="0.3">
      <c r="A460" s="1">
        <v>45712</v>
      </c>
      <c r="B460" t="s">
        <v>15</v>
      </c>
      <c r="C460" s="4">
        <v>1685</v>
      </c>
      <c r="D460" s="4">
        <v>1690</v>
      </c>
      <c r="E460" s="4">
        <v>1637.6</v>
      </c>
      <c r="F460" s="4">
        <v>1700.7</v>
      </c>
      <c r="G460" s="4">
        <v>1642.75</v>
      </c>
      <c r="H460" s="4">
        <v>1644.05</v>
      </c>
      <c r="I460" s="4">
        <v>1649.63</v>
      </c>
      <c r="J460" s="4">
        <v>2012.2</v>
      </c>
      <c r="K460" s="4">
        <v>1235</v>
      </c>
      <c r="L460" s="2">
        <v>4455420</v>
      </c>
      <c r="M460" s="2">
        <v>7349803888.0500002</v>
      </c>
      <c r="N460">
        <v>253025</v>
      </c>
      <c r="O460" t="s">
        <v>17</v>
      </c>
      <c r="P460" s="8">
        <f t="shared" si="21"/>
        <v>15.700000000000045</v>
      </c>
      <c r="Q460" t="s">
        <v>38</v>
      </c>
      <c r="R460">
        <f t="shared" si="22"/>
        <v>2</v>
      </c>
      <c r="S460" t="str">
        <f t="shared" si="23"/>
        <v>Feb</v>
      </c>
      <c r="T460" s="9">
        <f>VLOOKUP(O460, Annual_Summary!A:B, 2, 0)</f>
        <v>-0.15097152122178931</v>
      </c>
    </row>
    <row r="461" spans="1:20" x14ac:dyDescent="0.3">
      <c r="A461" s="1">
        <v>45709</v>
      </c>
      <c r="B461" t="s">
        <v>15</v>
      </c>
      <c r="C461" s="4">
        <v>1690</v>
      </c>
      <c r="D461" s="4">
        <v>1704.15</v>
      </c>
      <c r="E461" s="4">
        <v>1685.15</v>
      </c>
      <c r="F461" s="4">
        <v>1687.55</v>
      </c>
      <c r="G461" s="4">
        <v>1695.65</v>
      </c>
      <c r="H461" s="4">
        <v>1700.7</v>
      </c>
      <c r="I461" s="4">
        <v>1696.62</v>
      </c>
      <c r="J461" s="4">
        <v>2012.2</v>
      </c>
      <c r="K461" s="4">
        <v>1235</v>
      </c>
      <c r="L461" s="2">
        <v>1222563</v>
      </c>
      <c r="M461" s="2">
        <v>2074229080.55</v>
      </c>
      <c r="N461">
        <v>113308</v>
      </c>
      <c r="O461" t="s">
        <v>17</v>
      </c>
      <c r="P461" s="8">
        <f t="shared" si="21"/>
        <v>-2.4500000000000455</v>
      </c>
      <c r="Q461" t="s">
        <v>38</v>
      </c>
      <c r="R461">
        <f t="shared" si="22"/>
        <v>2</v>
      </c>
      <c r="S461" t="str">
        <f t="shared" si="23"/>
        <v>Feb</v>
      </c>
      <c r="T461" s="9">
        <f>VLOOKUP(O461, Annual_Summary!A:B, 2, 0)</f>
        <v>-0.15097152122178931</v>
      </c>
    </row>
    <row r="462" spans="1:20" x14ac:dyDescent="0.3">
      <c r="A462" s="1">
        <v>45708</v>
      </c>
      <c r="B462" t="s">
        <v>15</v>
      </c>
      <c r="C462" s="4">
        <v>1705.2</v>
      </c>
      <c r="D462" s="4">
        <v>1714.55</v>
      </c>
      <c r="E462" s="4">
        <v>1683.55</v>
      </c>
      <c r="F462" s="4">
        <v>1712.3</v>
      </c>
      <c r="G462" s="4">
        <v>1690.9</v>
      </c>
      <c r="H462" s="4">
        <v>1687.55</v>
      </c>
      <c r="I462" s="4">
        <v>1696.15</v>
      </c>
      <c r="J462" s="4">
        <v>2012.2</v>
      </c>
      <c r="K462" s="4">
        <v>1235</v>
      </c>
      <c r="L462" s="2">
        <v>1681532</v>
      </c>
      <c r="M462" s="2">
        <v>2852128062.3499999</v>
      </c>
      <c r="N462">
        <v>127006</v>
      </c>
      <c r="O462" t="s">
        <v>17</v>
      </c>
      <c r="P462" s="8">
        <f t="shared" si="21"/>
        <v>7.0999999999999091</v>
      </c>
      <c r="Q462" t="s">
        <v>38</v>
      </c>
      <c r="R462">
        <f t="shared" si="22"/>
        <v>2</v>
      </c>
      <c r="S462" t="str">
        <f t="shared" si="23"/>
        <v>Feb</v>
      </c>
      <c r="T462" s="9">
        <f>VLOOKUP(O462, Annual_Summary!A:B, 2, 0)</f>
        <v>-0.15097152122178931</v>
      </c>
    </row>
    <row r="463" spans="1:20" x14ac:dyDescent="0.3">
      <c r="A463" s="1">
        <v>45707</v>
      </c>
      <c r="B463" t="s">
        <v>15</v>
      </c>
      <c r="C463" s="4">
        <v>1723.2</v>
      </c>
      <c r="D463" s="4">
        <v>1731.6</v>
      </c>
      <c r="E463" s="4">
        <v>1703.45</v>
      </c>
      <c r="F463" s="4">
        <v>1725.5</v>
      </c>
      <c r="G463" s="4">
        <v>1710</v>
      </c>
      <c r="H463" s="4">
        <v>1712.3</v>
      </c>
      <c r="I463" s="4">
        <v>1714.19</v>
      </c>
      <c r="J463" s="4">
        <v>2012.2</v>
      </c>
      <c r="K463" s="4">
        <v>1235</v>
      </c>
      <c r="L463" s="2">
        <v>1294110</v>
      </c>
      <c r="M463" s="2">
        <v>2218347233.6500001</v>
      </c>
      <c r="N463">
        <v>76094</v>
      </c>
      <c r="O463" t="s">
        <v>17</v>
      </c>
      <c r="P463" s="8">
        <f t="shared" si="21"/>
        <v>2.2999999999999545</v>
      </c>
      <c r="Q463" t="s">
        <v>38</v>
      </c>
      <c r="R463">
        <f t="shared" si="22"/>
        <v>2</v>
      </c>
      <c r="S463" t="str">
        <f t="shared" si="23"/>
        <v>Feb</v>
      </c>
      <c r="T463" s="9">
        <f>VLOOKUP(O463, Annual_Summary!A:B, 2, 0)</f>
        <v>-0.15097152122178931</v>
      </c>
    </row>
    <row r="464" spans="1:20" x14ac:dyDescent="0.3">
      <c r="A464" s="1">
        <v>45706</v>
      </c>
      <c r="B464" t="s">
        <v>15</v>
      </c>
      <c r="C464" s="4">
        <v>1706</v>
      </c>
      <c r="D464" s="4">
        <v>1728.5</v>
      </c>
      <c r="E464" s="4">
        <v>1701.25</v>
      </c>
      <c r="F464" s="4">
        <v>1709.9</v>
      </c>
      <c r="G464" s="4">
        <v>1725</v>
      </c>
      <c r="H464" s="4">
        <v>1725.5</v>
      </c>
      <c r="I464" s="4">
        <v>1719.23</v>
      </c>
      <c r="J464" s="4">
        <v>2012.2</v>
      </c>
      <c r="K464" s="4">
        <v>1235</v>
      </c>
      <c r="L464" s="2">
        <v>1511900</v>
      </c>
      <c r="M464" s="2">
        <v>2599301789.5999999</v>
      </c>
      <c r="N464">
        <v>81098</v>
      </c>
      <c r="O464" t="s">
        <v>17</v>
      </c>
      <c r="P464" s="8">
        <f t="shared" si="21"/>
        <v>3.9000000000000909</v>
      </c>
      <c r="Q464" t="s">
        <v>38</v>
      </c>
      <c r="R464">
        <f t="shared" si="22"/>
        <v>2</v>
      </c>
      <c r="S464" t="str">
        <f t="shared" si="23"/>
        <v>Feb</v>
      </c>
      <c r="T464" s="9">
        <f>VLOOKUP(O464, Annual_Summary!A:B, 2, 0)</f>
        <v>-0.15097152122178931</v>
      </c>
    </row>
    <row r="465" spans="1:20" x14ac:dyDescent="0.3">
      <c r="A465" s="1">
        <v>45705</v>
      </c>
      <c r="B465" t="s">
        <v>15</v>
      </c>
      <c r="C465" s="4">
        <v>1711.25</v>
      </c>
      <c r="D465" s="4">
        <v>1720.15</v>
      </c>
      <c r="E465" s="4">
        <v>1694.1</v>
      </c>
      <c r="F465" s="4">
        <v>1711.25</v>
      </c>
      <c r="G465" s="4">
        <v>1709.6</v>
      </c>
      <c r="H465" s="4">
        <v>1709.9</v>
      </c>
      <c r="I465" s="4">
        <v>1707.8</v>
      </c>
      <c r="J465" s="4">
        <v>2012.2</v>
      </c>
      <c r="K465" s="4">
        <v>1235</v>
      </c>
      <c r="L465" s="2">
        <v>1127023</v>
      </c>
      <c r="M465" s="2">
        <v>1924733916.9000001</v>
      </c>
      <c r="N465">
        <v>126871</v>
      </c>
      <c r="O465" t="s">
        <v>17</v>
      </c>
      <c r="P465" s="8">
        <f t="shared" si="21"/>
        <v>0</v>
      </c>
      <c r="Q465" t="s">
        <v>38</v>
      </c>
      <c r="R465">
        <f t="shared" si="22"/>
        <v>2</v>
      </c>
      <c r="S465" t="str">
        <f t="shared" si="23"/>
        <v>Feb</v>
      </c>
      <c r="T465" s="9">
        <f>VLOOKUP(O465, Annual_Summary!A:B, 2, 0)</f>
        <v>-0.15097152122178931</v>
      </c>
    </row>
    <row r="466" spans="1:20" x14ac:dyDescent="0.3">
      <c r="A466" s="1">
        <v>45702</v>
      </c>
      <c r="B466" t="s">
        <v>15</v>
      </c>
      <c r="C466" s="4">
        <v>1711</v>
      </c>
      <c r="D466" s="4">
        <v>1723.4</v>
      </c>
      <c r="E466" s="4">
        <v>1699.95</v>
      </c>
      <c r="F466" s="4">
        <v>1703.1</v>
      </c>
      <c r="G466" s="4">
        <v>1711.6</v>
      </c>
      <c r="H466" s="4">
        <v>1711.25</v>
      </c>
      <c r="I466" s="4">
        <v>1709.15</v>
      </c>
      <c r="J466" s="4">
        <v>2012.2</v>
      </c>
      <c r="K466" s="4">
        <v>1235</v>
      </c>
      <c r="L466" s="2">
        <v>1460459</v>
      </c>
      <c r="M466" s="2">
        <v>2496148466.25</v>
      </c>
      <c r="N466">
        <v>80952</v>
      </c>
      <c r="O466" t="s">
        <v>17</v>
      </c>
      <c r="P466" s="8">
        <f t="shared" si="21"/>
        <v>-7.9000000000000909</v>
      </c>
      <c r="Q466" t="s">
        <v>38</v>
      </c>
      <c r="R466">
        <f t="shared" si="22"/>
        <v>2</v>
      </c>
      <c r="S466" t="str">
        <f t="shared" si="23"/>
        <v>Feb</v>
      </c>
      <c r="T466" s="9">
        <f>VLOOKUP(O466, Annual_Summary!A:B, 2, 0)</f>
        <v>-0.15097152122178931</v>
      </c>
    </row>
    <row r="467" spans="1:20" x14ac:dyDescent="0.3">
      <c r="A467" s="1">
        <v>45701</v>
      </c>
      <c r="B467" t="s">
        <v>15</v>
      </c>
      <c r="C467" s="4">
        <v>1712</v>
      </c>
      <c r="D467" s="4">
        <v>1729.95</v>
      </c>
      <c r="E467" s="4">
        <v>1700.25</v>
      </c>
      <c r="F467" s="4">
        <v>1717.3</v>
      </c>
      <c r="G467" s="4">
        <v>1704.8</v>
      </c>
      <c r="H467" s="4">
        <v>1703.1</v>
      </c>
      <c r="I467" s="4">
        <v>1712.75</v>
      </c>
      <c r="J467" s="4">
        <v>2012.2</v>
      </c>
      <c r="K467" s="4">
        <v>1235</v>
      </c>
      <c r="L467" s="2">
        <v>1838463</v>
      </c>
      <c r="M467" s="2">
        <v>3148828257.8499999</v>
      </c>
      <c r="N467">
        <v>91677</v>
      </c>
      <c r="O467" t="s">
        <v>17</v>
      </c>
      <c r="P467" s="8">
        <f t="shared" si="21"/>
        <v>5.2999999999999545</v>
      </c>
      <c r="Q467" t="s">
        <v>38</v>
      </c>
      <c r="R467">
        <f t="shared" si="22"/>
        <v>2</v>
      </c>
      <c r="S467" t="str">
        <f t="shared" si="23"/>
        <v>Feb</v>
      </c>
      <c r="T467" s="9">
        <f>VLOOKUP(O467, Annual_Summary!A:B, 2, 0)</f>
        <v>-0.15097152122178931</v>
      </c>
    </row>
    <row r="468" spans="1:20" x14ac:dyDescent="0.3">
      <c r="A468" s="1">
        <v>45700</v>
      </c>
      <c r="B468" t="s">
        <v>15</v>
      </c>
      <c r="C468" s="4">
        <v>1723.9</v>
      </c>
      <c r="D468" s="4">
        <v>1742.4</v>
      </c>
      <c r="E468" s="4">
        <v>1699.15</v>
      </c>
      <c r="F468" s="4">
        <v>1723.2</v>
      </c>
      <c r="G468" s="4">
        <v>1716.05</v>
      </c>
      <c r="H468" s="4">
        <v>1717.3</v>
      </c>
      <c r="I468" s="4">
        <v>1717.61</v>
      </c>
      <c r="J468" s="4">
        <v>2012.2</v>
      </c>
      <c r="K468" s="4">
        <v>1235</v>
      </c>
      <c r="L468" s="2">
        <v>2214307</v>
      </c>
      <c r="M468" s="2">
        <v>3803306655.25</v>
      </c>
      <c r="N468">
        <v>142727</v>
      </c>
      <c r="O468" t="s">
        <v>17</v>
      </c>
      <c r="P468" s="8">
        <f t="shared" si="21"/>
        <v>-0.70000000000004547</v>
      </c>
      <c r="Q468" t="s">
        <v>38</v>
      </c>
      <c r="R468">
        <f t="shared" si="22"/>
        <v>2</v>
      </c>
      <c r="S468" t="str">
        <f t="shared" si="23"/>
        <v>Feb</v>
      </c>
      <c r="T468" s="9">
        <f>VLOOKUP(O468, Annual_Summary!A:B, 2, 0)</f>
        <v>-0.15097152122178931</v>
      </c>
    </row>
    <row r="469" spans="1:20" x14ac:dyDescent="0.3">
      <c r="A469" s="1">
        <v>45699</v>
      </c>
      <c r="B469" t="s">
        <v>15</v>
      </c>
      <c r="C469" s="4">
        <v>1742.8</v>
      </c>
      <c r="D469" s="4">
        <v>1749</v>
      </c>
      <c r="E469" s="4">
        <v>1715</v>
      </c>
      <c r="F469" s="4">
        <v>1733.85</v>
      </c>
      <c r="G469" s="4">
        <v>1723.9</v>
      </c>
      <c r="H469" s="4">
        <v>1723.2</v>
      </c>
      <c r="I469" s="4">
        <v>1732.76</v>
      </c>
      <c r="J469" s="4">
        <v>2012.2</v>
      </c>
      <c r="K469" s="4">
        <v>1235</v>
      </c>
      <c r="L469" s="2">
        <v>1702553</v>
      </c>
      <c r="M469" s="2">
        <v>2950109312.0500002</v>
      </c>
      <c r="N469">
        <v>90830</v>
      </c>
      <c r="O469" t="s">
        <v>17</v>
      </c>
      <c r="P469" s="8">
        <f t="shared" si="21"/>
        <v>-8.9500000000000455</v>
      </c>
      <c r="Q469" t="s">
        <v>38</v>
      </c>
      <c r="R469">
        <f t="shared" si="22"/>
        <v>2</v>
      </c>
      <c r="S469" t="str">
        <f t="shared" si="23"/>
        <v>Feb</v>
      </c>
      <c r="T469" s="9">
        <f>VLOOKUP(O469, Annual_Summary!A:B, 2, 0)</f>
        <v>-0.15097152122178931</v>
      </c>
    </row>
    <row r="470" spans="1:20" x14ac:dyDescent="0.3">
      <c r="A470" s="1">
        <v>45698</v>
      </c>
      <c r="B470" t="s">
        <v>15</v>
      </c>
      <c r="C470" s="4">
        <v>1723.95</v>
      </c>
      <c r="D470" s="4">
        <v>1740</v>
      </c>
      <c r="E470" s="4">
        <v>1712.1</v>
      </c>
      <c r="F470" s="4">
        <v>1725.65</v>
      </c>
      <c r="G470" s="4">
        <v>1734</v>
      </c>
      <c r="H470" s="4">
        <v>1733.85</v>
      </c>
      <c r="I470" s="4">
        <v>1728.54</v>
      </c>
      <c r="J470" s="4">
        <v>2012.2</v>
      </c>
      <c r="K470" s="4">
        <v>1235</v>
      </c>
      <c r="L470" s="2">
        <v>1823071</v>
      </c>
      <c r="M470" s="2">
        <v>3151248711.6999998</v>
      </c>
      <c r="N470">
        <v>68108</v>
      </c>
      <c r="O470" t="s">
        <v>17</v>
      </c>
      <c r="P470" s="8">
        <f t="shared" si="21"/>
        <v>1.7000000000000455</v>
      </c>
      <c r="Q470" t="s">
        <v>38</v>
      </c>
      <c r="R470">
        <f t="shared" si="22"/>
        <v>2</v>
      </c>
      <c r="S470" t="str">
        <f t="shared" si="23"/>
        <v>Feb</v>
      </c>
      <c r="T470" s="9">
        <f>VLOOKUP(O470, Annual_Summary!A:B, 2, 0)</f>
        <v>-0.15097152122178931</v>
      </c>
    </row>
    <row r="471" spans="1:20" x14ac:dyDescent="0.3">
      <c r="A471" s="1">
        <v>45695</v>
      </c>
      <c r="B471" t="s">
        <v>15</v>
      </c>
      <c r="C471" s="4">
        <v>1723.15</v>
      </c>
      <c r="D471" s="4">
        <v>1731</v>
      </c>
      <c r="E471" s="4">
        <v>1700.65</v>
      </c>
      <c r="F471" s="4">
        <v>1723.5</v>
      </c>
      <c r="G471" s="4">
        <v>1724</v>
      </c>
      <c r="H471" s="4">
        <v>1725.65</v>
      </c>
      <c r="I471" s="4">
        <v>1720.82</v>
      </c>
      <c r="J471" s="4">
        <v>2012.2</v>
      </c>
      <c r="K471" s="4">
        <v>1235</v>
      </c>
      <c r="L471" s="2">
        <v>2428098</v>
      </c>
      <c r="M471" s="2">
        <v>4178325236.5</v>
      </c>
      <c r="N471">
        <v>76538</v>
      </c>
      <c r="O471" t="s">
        <v>17</v>
      </c>
      <c r="P471" s="8">
        <f t="shared" si="21"/>
        <v>0.34999999999990905</v>
      </c>
      <c r="Q471" t="s">
        <v>38</v>
      </c>
      <c r="R471">
        <f t="shared" si="22"/>
        <v>2</v>
      </c>
      <c r="S471" t="str">
        <f t="shared" si="23"/>
        <v>Feb</v>
      </c>
      <c r="T471" s="9">
        <f>VLOOKUP(O471, Annual_Summary!A:B, 2, 0)</f>
        <v>-0.15097152122178931</v>
      </c>
    </row>
    <row r="472" spans="1:20" x14ac:dyDescent="0.3">
      <c r="A472" s="1">
        <v>45694</v>
      </c>
      <c r="B472" t="s">
        <v>15</v>
      </c>
      <c r="C472" s="4">
        <v>1723.85</v>
      </c>
      <c r="D472" s="4">
        <v>1728.45</v>
      </c>
      <c r="E472" s="4">
        <v>1712.85</v>
      </c>
      <c r="F472" s="4">
        <v>1712.85</v>
      </c>
      <c r="G472" s="4">
        <v>1724.1</v>
      </c>
      <c r="H472" s="4">
        <v>1723.5</v>
      </c>
      <c r="I472" s="4">
        <v>1719.71</v>
      </c>
      <c r="J472" s="4">
        <v>2012.2</v>
      </c>
      <c r="K472" s="4">
        <v>1235</v>
      </c>
      <c r="L472" s="2">
        <v>2057798</v>
      </c>
      <c r="M472" s="2">
        <v>3538821096.4000001</v>
      </c>
      <c r="N472">
        <v>135442</v>
      </c>
      <c r="O472" t="s">
        <v>17</v>
      </c>
      <c r="P472" s="8">
        <f t="shared" si="21"/>
        <v>-11</v>
      </c>
      <c r="Q472" t="s">
        <v>38</v>
      </c>
      <c r="R472">
        <f t="shared" si="22"/>
        <v>2</v>
      </c>
      <c r="S472" t="str">
        <f t="shared" si="23"/>
        <v>Feb</v>
      </c>
      <c r="T472" s="9">
        <f>VLOOKUP(O472, Annual_Summary!A:B, 2, 0)</f>
        <v>-0.15097152122178931</v>
      </c>
    </row>
    <row r="473" spans="1:20" x14ac:dyDescent="0.3">
      <c r="A473" s="1">
        <v>45693</v>
      </c>
      <c r="B473" t="s">
        <v>15</v>
      </c>
      <c r="C473" s="4">
        <v>1730</v>
      </c>
      <c r="D473" s="4">
        <v>1746.8</v>
      </c>
      <c r="E473" s="4">
        <v>1710</v>
      </c>
      <c r="F473" s="4">
        <v>1732.55</v>
      </c>
      <c r="G473" s="4">
        <v>1712</v>
      </c>
      <c r="H473" s="4">
        <v>1712.85</v>
      </c>
      <c r="I473" s="4">
        <v>1718.44</v>
      </c>
      <c r="J473" s="4">
        <v>2012.2</v>
      </c>
      <c r="K473" s="4">
        <v>1235</v>
      </c>
      <c r="L473" s="2">
        <v>2681942</v>
      </c>
      <c r="M473" s="2">
        <v>4608759100.8500004</v>
      </c>
      <c r="N473">
        <v>106585</v>
      </c>
      <c r="O473" t="s">
        <v>17</v>
      </c>
      <c r="P473" s="8">
        <f t="shared" si="21"/>
        <v>2.5499999999999545</v>
      </c>
      <c r="Q473" t="s">
        <v>38</v>
      </c>
      <c r="R473">
        <f t="shared" si="22"/>
        <v>2</v>
      </c>
      <c r="S473" t="str">
        <f t="shared" si="23"/>
        <v>Feb</v>
      </c>
      <c r="T473" s="9">
        <f>VLOOKUP(O473, Annual_Summary!A:B, 2, 0)</f>
        <v>-0.15097152122178931</v>
      </c>
    </row>
    <row r="474" spans="1:20" x14ac:dyDescent="0.3">
      <c r="A474" s="1">
        <v>45692</v>
      </c>
      <c r="B474" t="s">
        <v>15</v>
      </c>
      <c r="C474" s="4">
        <v>1695.1</v>
      </c>
      <c r="D474" s="4">
        <v>1735.9</v>
      </c>
      <c r="E474" s="4">
        <v>1692.05</v>
      </c>
      <c r="F474" s="4">
        <v>1692</v>
      </c>
      <c r="G474" s="4">
        <v>1732.45</v>
      </c>
      <c r="H474" s="4">
        <v>1732.55</v>
      </c>
      <c r="I474" s="4">
        <v>1712.68</v>
      </c>
      <c r="J474" s="4">
        <v>2012.2</v>
      </c>
      <c r="K474" s="4">
        <v>1235</v>
      </c>
      <c r="L474" s="2">
        <v>3647768</v>
      </c>
      <c r="M474" s="2">
        <v>6247459080.8999996</v>
      </c>
      <c r="N474">
        <v>159207</v>
      </c>
      <c r="O474" t="s">
        <v>17</v>
      </c>
      <c r="P474" s="8">
        <f t="shared" si="21"/>
        <v>-3.0999999999999091</v>
      </c>
      <c r="Q474" t="s">
        <v>38</v>
      </c>
      <c r="R474">
        <f t="shared" si="22"/>
        <v>2</v>
      </c>
      <c r="S474" t="str">
        <f t="shared" si="23"/>
        <v>Feb</v>
      </c>
      <c r="T474" s="9">
        <f>VLOOKUP(O474, Annual_Summary!A:B, 2, 0)</f>
        <v>-0.15097152122178931</v>
      </c>
    </row>
    <row r="475" spans="1:20" x14ac:dyDescent="0.3">
      <c r="A475" s="1">
        <v>45691</v>
      </c>
      <c r="B475" t="s">
        <v>15</v>
      </c>
      <c r="C475" s="4">
        <v>1665</v>
      </c>
      <c r="D475" s="4">
        <v>1700.6</v>
      </c>
      <c r="E475" s="4">
        <v>1661.5</v>
      </c>
      <c r="F475" s="4">
        <v>1694</v>
      </c>
      <c r="G475" s="4">
        <v>1693</v>
      </c>
      <c r="H475" s="4">
        <v>1692</v>
      </c>
      <c r="I475" s="4">
        <v>1686.67</v>
      </c>
      <c r="J475" s="4">
        <v>2012.2</v>
      </c>
      <c r="K475" s="4">
        <v>1235</v>
      </c>
      <c r="L475" s="2">
        <v>2659929</v>
      </c>
      <c r="M475" s="2">
        <v>4486418428.4499998</v>
      </c>
      <c r="N475">
        <v>150634</v>
      </c>
      <c r="O475" t="s">
        <v>17</v>
      </c>
      <c r="P475" s="8">
        <f t="shared" si="21"/>
        <v>29</v>
      </c>
      <c r="Q475" t="s">
        <v>38</v>
      </c>
      <c r="R475">
        <f t="shared" si="22"/>
        <v>2</v>
      </c>
      <c r="S475" t="str">
        <f t="shared" si="23"/>
        <v>Feb</v>
      </c>
      <c r="T475" s="9">
        <f>VLOOKUP(O475, Annual_Summary!A:B, 2, 0)</f>
        <v>-0.15097152122178931</v>
      </c>
    </row>
    <row r="476" spans="1:20" x14ac:dyDescent="0.3">
      <c r="A476" s="1">
        <v>45689</v>
      </c>
      <c r="B476" t="s">
        <v>15</v>
      </c>
      <c r="C476" s="4">
        <v>1726</v>
      </c>
      <c r="D476" s="4">
        <v>1731.95</v>
      </c>
      <c r="E476" s="4">
        <v>1688</v>
      </c>
      <c r="F476" s="4">
        <v>1725.45</v>
      </c>
      <c r="G476" s="4">
        <v>1694.7</v>
      </c>
      <c r="H476" s="4">
        <v>1694</v>
      </c>
      <c r="I476" s="4">
        <v>1704.35</v>
      </c>
      <c r="J476" s="4">
        <v>2012.2</v>
      </c>
      <c r="K476" s="4">
        <v>1235</v>
      </c>
      <c r="L476" s="2">
        <v>569018</v>
      </c>
      <c r="M476" s="2">
        <v>969808246.14999998</v>
      </c>
      <c r="N476">
        <v>39652</v>
      </c>
      <c r="O476" t="s">
        <v>17</v>
      </c>
      <c r="P476" s="8">
        <f t="shared" si="21"/>
        <v>-0.54999999999995453</v>
      </c>
      <c r="Q476" t="s">
        <v>38</v>
      </c>
      <c r="R476">
        <f t="shared" si="22"/>
        <v>2</v>
      </c>
      <c r="S476" t="str">
        <f t="shared" si="23"/>
        <v>Feb</v>
      </c>
      <c r="T476" s="9">
        <f>VLOOKUP(O476, Annual_Summary!A:B, 2, 0)</f>
        <v>-0.15097152122178931</v>
      </c>
    </row>
    <row r="477" spans="1:20" x14ac:dyDescent="0.3">
      <c r="A477" s="1">
        <v>45688</v>
      </c>
      <c r="B477" t="s">
        <v>15</v>
      </c>
      <c r="C477" s="4">
        <v>1709.05</v>
      </c>
      <c r="D477" s="4">
        <v>1738.2</v>
      </c>
      <c r="E477" s="4">
        <v>1709.05</v>
      </c>
      <c r="F477" s="4">
        <v>1713.1</v>
      </c>
      <c r="G477" s="4">
        <v>1730</v>
      </c>
      <c r="H477" s="4">
        <v>1725.45</v>
      </c>
      <c r="I477" s="4">
        <v>1724.09</v>
      </c>
      <c r="J477" s="4">
        <v>2012.2</v>
      </c>
      <c r="K477" s="4">
        <v>1235</v>
      </c>
      <c r="L477" s="2">
        <v>2033832</v>
      </c>
      <c r="M477" s="2">
        <v>3506506163.3000002</v>
      </c>
      <c r="N477">
        <v>79215</v>
      </c>
      <c r="O477" t="s">
        <v>17</v>
      </c>
      <c r="P477" s="8">
        <f t="shared" si="21"/>
        <v>4.0499999999999545</v>
      </c>
      <c r="Q477" t="s">
        <v>38</v>
      </c>
      <c r="R477">
        <f t="shared" si="22"/>
        <v>1</v>
      </c>
      <c r="S477" t="str">
        <f t="shared" si="23"/>
        <v>Jan</v>
      </c>
      <c r="T477" s="9">
        <f>VLOOKUP(O477, Annual_Summary!A:B, 2, 0)</f>
        <v>-0.15097152122178931</v>
      </c>
    </row>
    <row r="478" spans="1:20" x14ac:dyDescent="0.3">
      <c r="A478" s="1">
        <v>45687</v>
      </c>
      <c r="B478" t="s">
        <v>15</v>
      </c>
      <c r="C478" s="4">
        <v>1722</v>
      </c>
      <c r="D478" s="4">
        <v>1732.95</v>
      </c>
      <c r="E478" s="4">
        <v>1697.85</v>
      </c>
      <c r="F478" s="4">
        <v>1719</v>
      </c>
      <c r="G478" s="4">
        <v>1717.9</v>
      </c>
      <c r="H478" s="4">
        <v>1713.1</v>
      </c>
      <c r="I478" s="4">
        <v>1716.41</v>
      </c>
      <c r="J478" s="4">
        <v>2012.2</v>
      </c>
      <c r="K478" s="4">
        <v>1235</v>
      </c>
      <c r="L478" s="2">
        <v>2543744</v>
      </c>
      <c r="M478" s="2">
        <v>4366105666.3000002</v>
      </c>
      <c r="N478">
        <v>125674</v>
      </c>
      <c r="O478" t="s">
        <v>17</v>
      </c>
      <c r="P478" s="8">
        <f t="shared" si="21"/>
        <v>-3</v>
      </c>
      <c r="Q478" t="s">
        <v>38</v>
      </c>
      <c r="R478">
        <f t="shared" si="22"/>
        <v>1</v>
      </c>
      <c r="S478" t="str">
        <f t="shared" si="23"/>
        <v>Jan</v>
      </c>
      <c r="T478" s="9">
        <f>VLOOKUP(O478, Annual_Summary!A:B, 2, 0)</f>
        <v>-0.15097152122178931</v>
      </c>
    </row>
    <row r="479" spans="1:20" x14ac:dyDescent="0.3">
      <c r="A479" s="1">
        <v>45686</v>
      </c>
      <c r="B479" t="s">
        <v>15</v>
      </c>
      <c r="C479" s="4">
        <v>1696</v>
      </c>
      <c r="D479" s="4">
        <v>1724.1</v>
      </c>
      <c r="E479" s="4">
        <v>1696</v>
      </c>
      <c r="F479" s="4">
        <v>1693.25</v>
      </c>
      <c r="G479" s="4">
        <v>1720.65</v>
      </c>
      <c r="H479" s="4">
        <v>1719</v>
      </c>
      <c r="I479" s="4">
        <v>1715.29</v>
      </c>
      <c r="J479" s="4">
        <v>2012.2</v>
      </c>
      <c r="K479" s="4">
        <v>1235</v>
      </c>
      <c r="L479" s="2">
        <v>3733620</v>
      </c>
      <c r="M479" s="2">
        <v>6404245749.1999998</v>
      </c>
      <c r="N479">
        <v>117810</v>
      </c>
      <c r="O479" t="s">
        <v>17</v>
      </c>
      <c r="P479" s="8">
        <f t="shared" si="21"/>
        <v>-2.75</v>
      </c>
      <c r="Q479" t="s">
        <v>38</v>
      </c>
      <c r="R479">
        <f t="shared" si="22"/>
        <v>1</v>
      </c>
      <c r="S479" t="str">
        <f t="shared" si="23"/>
        <v>Jan</v>
      </c>
      <c r="T479" s="9">
        <f>VLOOKUP(O479, Annual_Summary!A:B, 2, 0)</f>
        <v>-0.15097152122178931</v>
      </c>
    </row>
    <row r="480" spans="1:20" x14ac:dyDescent="0.3">
      <c r="A480" s="1">
        <v>45685</v>
      </c>
      <c r="B480" t="s">
        <v>15</v>
      </c>
      <c r="C480" s="4">
        <v>1711.95</v>
      </c>
      <c r="D480" s="4">
        <v>1730.5</v>
      </c>
      <c r="E480" s="4">
        <v>1691</v>
      </c>
      <c r="F480" s="4">
        <v>1711.95</v>
      </c>
      <c r="G480" s="4">
        <v>1694.5</v>
      </c>
      <c r="H480" s="4">
        <v>1693.25</v>
      </c>
      <c r="I480" s="4">
        <v>1707.81</v>
      </c>
      <c r="J480" s="4">
        <v>2012.2</v>
      </c>
      <c r="K480" s="4">
        <v>1235</v>
      </c>
      <c r="L480" s="2">
        <v>5079829</v>
      </c>
      <c r="M480" s="2">
        <v>8675376616.75</v>
      </c>
      <c r="N480">
        <v>194141</v>
      </c>
      <c r="O480" t="s">
        <v>17</v>
      </c>
      <c r="P480" s="8">
        <f t="shared" si="21"/>
        <v>0</v>
      </c>
      <c r="Q480" t="s">
        <v>38</v>
      </c>
      <c r="R480">
        <f t="shared" si="22"/>
        <v>1</v>
      </c>
      <c r="S480" t="str">
        <f t="shared" si="23"/>
        <v>Jan</v>
      </c>
      <c r="T480" s="9">
        <f>VLOOKUP(O480, Annual_Summary!A:B, 2, 0)</f>
        <v>-0.15097152122178931</v>
      </c>
    </row>
    <row r="481" spans="1:20" x14ac:dyDescent="0.3">
      <c r="A481" s="1">
        <v>45684</v>
      </c>
      <c r="B481" t="s">
        <v>15</v>
      </c>
      <c r="C481" s="4">
        <v>1775</v>
      </c>
      <c r="D481" s="4">
        <v>1779.75</v>
      </c>
      <c r="E481" s="4">
        <v>1707.3</v>
      </c>
      <c r="F481" s="4">
        <v>1792.85</v>
      </c>
      <c r="G481" s="4">
        <v>1710.55</v>
      </c>
      <c r="H481" s="4">
        <v>1711.95</v>
      </c>
      <c r="I481" s="4">
        <v>1734.65</v>
      </c>
      <c r="J481" s="4">
        <v>2012.2</v>
      </c>
      <c r="K481" s="4">
        <v>1235</v>
      </c>
      <c r="L481" s="2">
        <v>4174844</v>
      </c>
      <c r="M481" s="2">
        <v>7241906323.3000002</v>
      </c>
      <c r="N481">
        <v>143422</v>
      </c>
      <c r="O481" t="s">
        <v>17</v>
      </c>
      <c r="P481" s="8">
        <f t="shared" si="21"/>
        <v>17.849999999999909</v>
      </c>
      <c r="Q481" t="s">
        <v>38</v>
      </c>
      <c r="R481">
        <f t="shared" si="22"/>
        <v>1</v>
      </c>
      <c r="S481" t="str">
        <f t="shared" si="23"/>
        <v>Jan</v>
      </c>
      <c r="T481" s="9">
        <f>VLOOKUP(O481, Annual_Summary!A:B, 2, 0)</f>
        <v>-0.15097152122178931</v>
      </c>
    </row>
    <row r="482" spans="1:20" x14ac:dyDescent="0.3">
      <c r="A482" s="1">
        <v>45681</v>
      </c>
      <c r="B482" t="s">
        <v>15</v>
      </c>
      <c r="C482" s="4">
        <v>1800</v>
      </c>
      <c r="D482" s="4">
        <v>1829.4</v>
      </c>
      <c r="E482" s="4">
        <v>1791.1</v>
      </c>
      <c r="F482" s="4">
        <v>1807</v>
      </c>
      <c r="G482" s="4">
        <v>1796</v>
      </c>
      <c r="H482" s="4">
        <v>1792.85</v>
      </c>
      <c r="I482" s="4">
        <v>1803.18</v>
      </c>
      <c r="J482" s="4">
        <v>2012.2</v>
      </c>
      <c r="K482" s="4">
        <v>1235</v>
      </c>
      <c r="L482" s="2">
        <v>3171259</v>
      </c>
      <c r="M482" s="2">
        <v>5718348831.8000002</v>
      </c>
      <c r="N482">
        <v>98899</v>
      </c>
      <c r="O482" t="s">
        <v>17</v>
      </c>
      <c r="P482" s="8">
        <f t="shared" si="21"/>
        <v>7</v>
      </c>
      <c r="Q482" t="s">
        <v>38</v>
      </c>
      <c r="R482">
        <f t="shared" si="22"/>
        <v>1</v>
      </c>
      <c r="S482" t="str">
        <f t="shared" si="23"/>
        <v>Jan</v>
      </c>
      <c r="T482" s="9">
        <f>VLOOKUP(O482, Annual_Summary!A:B, 2, 0)</f>
        <v>-0.15097152122178931</v>
      </c>
    </row>
    <row r="483" spans="1:20" x14ac:dyDescent="0.3">
      <c r="A483" s="1">
        <v>45680</v>
      </c>
      <c r="B483" t="s">
        <v>15</v>
      </c>
      <c r="C483" s="4">
        <v>1817.05</v>
      </c>
      <c r="D483" s="4">
        <v>1828.95</v>
      </c>
      <c r="E483" s="4">
        <v>1804.2</v>
      </c>
      <c r="F483" s="4">
        <v>1827.7</v>
      </c>
      <c r="G483" s="4">
        <v>1806.95</v>
      </c>
      <c r="H483" s="4">
        <v>1807</v>
      </c>
      <c r="I483" s="4">
        <v>1814.54</v>
      </c>
      <c r="J483" s="4">
        <v>2012.2</v>
      </c>
      <c r="K483" s="4">
        <v>1235</v>
      </c>
      <c r="L483" s="2">
        <v>3750930</v>
      </c>
      <c r="M483" s="2">
        <v>6806227425.6499996</v>
      </c>
      <c r="N483">
        <v>146553</v>
      </c>
      <c r="O483" t="s">
        <v>17</v>
      </c>
      <c r="P483" s="8">
        <f t="shared" si="21"/>
        <v>10.650000000000091</v>
      </c>
      <c r="Q483" t="s">
        <v>38</v>
      </c>
      <c r="R483">
        <f t="shared" si="22"/>
        <v>1</v>
      </c>
      <c r="S483" t="str">
        <f t="shared" si="23"/>
        <v>Jan</v>
      </c>
      <c r="T483" s="9">
        <f>VLOOKUP(O483, Annual_Summary!A:B, 2, 0)</f>
        <v>-0.15097152122178931</v>
      </c>
    </row>
    <row r="484" spans="1:20" x14ac:dyDescent="0.3">
      <c r="A484" s="1">
        <v>45679</v>
      </c>
      <c r="B484" t="s">
        <v>15</v>
      </c>
      <c r="C484" s="4">
        <v>1808.2</v>
      </c>
      <c r="D484" s="4">
        <v>1831.45</v>
      </c>
      <c r="E484" s="4">
        <v>1804.05</v>
      </c>
      <c r="F484" s="4">
        <v>1802.4</v>
      </c>
      <c r="G484" s="4">
        <v>1828</v>
      </c>
      <c r="H484" s="4">
        <v>1827.7</v>
      </c>
      <c r="I484" s="4">
        <v>1820.11</v>
      </c>
      <c r="J484" s="4">
        <v>2012.2</v>
      </c>
      <c r="K484" s="4">
        <v>1235</v>
      </c>
      <c r="L484" s="2">
        <v>3009261</v>
      </c>
      <c r="M484" s="2">
        <v>5477174600.4499998</v>
      </c>
      <c r="N484">
        <v>176695</v>
      </c>
      <c r="O484" t="s">
        <v>17</v>
      </c>
      <c r="P484" s="8">
        <f t="shared" si="21"/>
        <v>-5.7999999999999545</v>
      </c>
      <c r="Q484" t="s">
        <v>38</v>
      </c>
      <c r="R484">
        <f t="shared" si="22"/>
        <v>1</v>
      </c>
      <c r="S484" t="str">
        <f t="shared" si="23"/>
        <v>Jan</v>
      </c>
      <c r="T484" s="9">
        <f>VLOOKUP(O484, Annual_Summary!A:B, 2, 0)</f>
        <v>-0.15097152122178931</v>
      </c>
    </row>
    <row r="485" spans="1:20" x14ac:dyDescent="0.3">
      <c r="A485" s="1">
        <v>45678</v>
      </c>
      <c r="B485" t="s">
        <v>15</v>
      </c>
      <c r="C485" s="4">
        <v>1791.4</v>
      </c>
      <c r="D485" s="4">
        <v>1820.75</v>
      </c>
      <c r="E485" s="4">
        <v>1791.4</v>
      </c>
      <c r="F485" s="4">
        <v>1796.2</v>
      </c>
      <c r="G485" s="4">
        <v>1804.05</v>
      </c>
      <c r="H485" s="4">
        <v>1802.4</v>
      </c>
      <c r="I485" s="4">
        <v>1805.77</v>
      </c>
      <c r="J485" s="4">
        <v>2012.2</v>
      </c>
      <c r="K485" s="4">
        <v>1235</v>
      </c>
      <c r="L485" s="2">
        <v>4005357</v>
      </c>
      <c r="M485" s="2">
        <v>7232759540.3500004</v>
      </c>
      <c r="N485">
        <v>200700</v>
      </c>
      <c r="O485" t="s">
        <v>17</v>
      </c>
      <c r="P485" s="8">
        <f t="shared" si="21"/>
        <v>4.7999999999999545</v>
      </c>
      <c r="Q485" t="s">
        <v>38</v>
      </c>
      <c r="R485">
        <f t="shared" si="22"/>
        <v>1</v>
      </c>
      <c r="S485" t="str">
        <f t="shared" si="23"/>
        <v>Jan</v>
      </c>
      <c r="T485" s="9">
        <f>VLOOKUP(O485, Annual_Summary!A:B, 2, 0)</f>
        <v>-0.15097152122178931</v>
      </c>
    </row>
    <row r="486" spans="1:20" x14ac:dyDescent="0.3">
      <c r="A486" s="1">
        <v>45677</v>
      </c>
      <c r="B486" t="s">
        <v>15</v>
      </c>
      <c r="C486" s="4">
        <v>1790.1</v>
      </c>
      <c r="D486" s="4">
        <v>1799</v>
      </c>
      <c r="E486" s="4">
        <v>1762.6</v>
      </c>
      <c r="F486" s="4">
        <v>1788.9</v>
      </c>
      <c r="G486" s="4">
        <v>1794.95</v>
      </c>
      <c r="H486" s="4">
        <v>1796.2</v>
      </c>
      <c r="I486" s="4">
        <v>1785.22</v>
      </c>
      <c r="J486" s="4">
        <v>2012.2</v>
      </c>
      <c r="K486" s="4">
        <v>1235</v>
      </c>
      <c r="L486" s="2">
        <v>3401004</v>
      </c>
      <c r="M486" s="2">
        <v>6071550248.5500002</v>
      </c>
      <c r="N486">
        <v>156557</v>
      </c>
      <c r="O486" t="s">
        <v>17</v>
      </c>
      <c r="P486" s="8">
        <f t="shared" si="21"/>
        <v>-1.1999999999998181</v>
      </c>
      <c r="Q486" t="s">
        <v>38</v>
      </c>
      <c r="R486">
        <f t="shared" si="22"/>
        <v>1</v>
      </c>
      <c r="S486" t="str">
        <f t="shared" si="23"/>
        <v>Jan</v>
      </c>
      <c r="T486" s="9">
        <f>VLOOKUP(O486, Annual_Summary!A:B, 2, 0)</f>
        <v>-0.15097152122178931</v>
      </c>
    </row>
    <row r="487" spans="1:20" x14ac:dyDescent="0.3">
      <c r="A487" s="1">
        <v>45674</v>
      </c>
      <c r="B487" t="s">
        <v>15</v>
      </c>
      <c r="C487" s="4">
        <v>1773</v>
      </c>
      <c r="D487" s="4">
        <v>1793.1</v>
      </c>
      <c r="E487" s="4">
        <v>1750.05</v>
      </c>
      <c r="F487" s="4">
        <v>1792.25</v>
      </c>
      <c r="G487" s="4">
        <v>1789.45</v>
      </c>
      <c r="H487" s="4">
        <v>1788.9</v>
      </c>
      <c r="I487" s="4">
        <v>1776.06</v>
      </c>
      <c r="J487" s="4">
        <v>2012.2</v>
      </c>
      <c r="K487" s="4">
        <v>1235</v>
      </c>
      <c r="L487" s="2">
        <v>2424374</v>
      </c>
      <c r="M487" s="2">
        <v>4305821954.9499998</v>
      </c>
      <c r="N487">
        <v>176981</v>
      </c>
      <c r="O487" t="s">
        <v>17</v>
      </c>
      <c r="P487" s="8">
        <f t="shared" si="21"/>
        <v>19.25</v>
      </c>
      <c r="Q487" t="s">
        <v>38</v>
      </c>
      <c r="R487">
        <f t="shared" si="22"/>
        <v>1</v>
      </c>
      <c r="S487" t="str">
        <f t="shared" si="23"/>
        <v>Jan</v>
      </c>
      <c r="T487" s="9">
        <f>VLOOKUP(O487, Annual_Summary!A:B, 2, 0)</f>
        <v>-0.15097152122178931</v>
      </c>
    </row>
    <row r="488" spans="1:20" x14ac:dyDescent="0.3">
      <c r="A488" s="1">
        <v>45673</v>
      </c>
      <c r="B488" t="s">
        <v>15</v>
      </c>
      <c r="C488" s="4">
        <v>1833</v>
      </c>
      <c r="D488" s="4">
        <v>1837.95</v>
      </c>
      <c r="E488" s="4">
        <v>1785.3</v>
      </c>
      <c r="F488" s="4">
        <v>1825.7</v>
      </c>
      <c r="G488" s="4">
        <v>1790.15</v>
      </c>
      <c r="H488" s="4">
        <v>1792.25</v>
      </c>
      <c r="I488" s="4">
        <v>1796.66</v>
      </c>
      <c r="J488" s="4">
        <v>2012.2</v>
      </c>
      <c r="K488" s="4">
        <v>1235</v>
      </c>
      <c r="L488" s="2">
        <v>5362008</v>
      </c>
      <c r="M488" s="2">
        <v>9633692689.3999996</v>
      </c>
      <c r="N488">
        <v>260626</v>
      </c>
      <c r="O488" t="s">
        <v>17</v>
      </c>
      <c r="P488" s="8">
        <f t="shared" si="21"/>
        <v>-7.2999999999999545</v>
      </c>
      <c r="Q488" t="s">
        <v>38</v>
      </c>
      <c r="R488">
        <f t="shared" si="22"/>
        <v>1</v>
      </c>
      <c r="S488" t="str">
        <f t="shared" si="23"/>
        <v>Jan</v>
      </c>
      <c r="T488" s="9">
        <f>VLOOKUP(O488, Annual_Summary!A:B, 2, 0)</f>
        <v>-0.15097152122178931</v>
      </c>
    </row>
    <row r="489" spans="1:20" x14ac:dyDescent="0.3">
      <c r="A489" s="1">
        <v>45672</v>
      </c>
      <c r="B489" t="s">
        <v>15</v>
      </c>
      <c r="C489" s="4">
        <v>1836</v>
      </c>
      <c r="D489" s="4">
        <v>1843.55</v>
      </c>
      <c r="E489" s="4">
        <v>1812.55</v>
      </c>
      <c r="F489" s="4">
        <v>1813.55</v>
      </c>
      <c r="G489" s="4">
        <v>1825.7</v>
      </c>
      <c r="H489" s="4">
        <v>1825.7</v>
      </c>
      <c r="I489" s="4">
        <v>1824.99</v>
      </c>
      <c r="J489" s="4">
        <v>2012.2</v>
      </c>
      <c r="K489" s="4">
        <v>1235</v>
      </c>
      <c r="L489" s="2">
        <v>3350594</v>
      </c>
      <c r="M489" s="2">
        <v>6114802982.4499998</v>
      </c>
      <c r="N489">
        <v>221654</v>
      </c>
      <c r="O489" t="s">
        <v>17</v>
      </c>
      <c r="P489" s="8">
        <f t="shared" si="21"/>
        <v>-22.450000000000045</v>
      </c>
      <c r="Q489" t="s">
        <v>38</v>
      </c>
      <c r="R489">
        <f t="shared" si="22"/>
        <v>1</v>
      </c>
      <c r="S489" t="str">
        <f t="shared" si="23"/>
        <v>Jan</v>
      </c>
      <c r="T489" s="9">
        <f>VLOOKUP(O489, Annual_Summary!A:B, 2, 0)</f>
        <v>-0.15097152122178931</v>
      </c>
    </row>
    <row r="490" spans="1:20" x14ac:dyDescent="0.3">
      <c r="A490" s="1">
        <v>45671</v>
      </c>
      <c r="B490" t="s">
        <v>15</v>
      </c>
      <c r="C490" s="4">
        <v>1936.1</v>
      </c>
      <c r="D490" s="4">
        <v>1939</v>
      </c>
      <c r="E490" s="4">
        <v>1797.75</v>
      </c>
      <c r="F490" s="4">
        <v>1989.4</v>
      </c>
      <c r="G490" s="4">
        <v>1819.95</v>
      </c>
      <c r="H490" s="4">
        <v>1813.55</v>
      </c>
      <c r="I490" s="4">
        <v>1824.43</v>
      </c>
      <c r="J490" s="4">
        <v>2012.2</v>
      </c>
      <c r="K490" s="4">
        <v>1235</v>
      </c>
      <c r="L490" s="2">
        <v>15819311</v>
      </c>
      <c r="M490" s="2">
        <v>28861217134.400002</v>
      </c>
      <c r="N490">
        <v>600156</v>
      </c>
      <c r="O490" t="s">
        <v>17</v>
      </c>
      <c r="P490" s="8">
        <f t="shared" si="21"/>
        <v>53.300000000000182</v>
      </c>
      <c r="Q490" t="s">
        <v>38</v>
      </c>
      <c r="R490">
        <f t="shared" si="22"/>
        <v>1</v>
      </c>
      <c r="S490" t="str">
        <f t="shared" si="23"/>
        <v>Jan</v>
      </c>
      <c r="T490" s="9">
        <f>VLOOKUP(O490, Annual_Summary!A:B, 2, 0)</f>
        <v>-0.15097152122178931</v>
      </c>
    </row>
    <row r="491" spans="1:20" x14ac:dyDescent="0.3">
      <c r="A491" s="1">
        <v>45670</v>
      </c>
      <c r="B491" t="s">
        <v>15</v>
      </c>
      <c r="C491" s="4">
        <v>1994.9</v>
      </c>
      <c r="D491" s="4">
        <v>2012.2</v>
      </c>
      <c r="E491" s="4">
        <v>1965.4</v>
      </c>
      <c r="F491" s="4">
        <v>1995.1</v>
      </c>
      <c r="G491" s="4">
        <v>1975</v>
      </c>
      <c r="H491" s="4">
        <v>1989.4</v>
      </c>
      <c r="I491" s="4">
        <v>1992.36</v>
      </c>
      <c r="J491" s="4">
        <v>2012.2</v>
      </c>
      <c r="K491" s="4">
        <v>1235</v>
      </c>
      <c r="L491" s="2">
        <v>5694121</v>
      </c>
      <c r="M491" s="2">
        <v>11344760287.75</v>
      </c>
      <c r="N491">
        <v>180247</v>
      </c>
      <c r="O491" t="s">
        <v>17</v>
      </c>
      <c r="P491" s="8">
        <f t="shared" si="21"/>
        <v>0.1999999999998181</v>
      </c>
      <c r="Q491" t="s">
        <v>38</v>
      </c>
      <c r="R491">
        <f t="shared" si="22"/>
        <v>1</v>
      </c>
      <c r="S491" t="str">
        <f t="shared" si="23"/>
        <v>Jan</v>
      </c>
      <c r="T491" s="9">
        <f>VLOOKUP(O491, Annual_Summary!A:B, 2, 0)</f>
        <v>-0.15097152122178931</v>
      </c>
    </row>
    <row r="492" spans="1:20" x14ac:dyDescent="0.3">
      <c r="A492" s="1">
        <v>45667</v>
      </c>
      <c r="B492" t="s">
        <v>15</v>
      </c>
      <c r="C492" s="4">
        <v>1936</v>
      </c>
      <c r="D492" s="4">
        <v>2002.35</v>
      </c>
      <c r="E492" s="4">
        <v>1935.25</v>
      </c>
      <c r="F492" s="4">
        <v>1934.8</v>
      </c>
      <c r="G492" s="4">
        <v>1997.1</v>
      </c>
      <c r="H492" s="4">
        <v>1995.1</v>
      </c>
      <c r="I492" s="4">
        <v>1977.11</v>
      </c>
      <c r="J492" s="4">
        <v>2002.35</v>
      </c>
      <c r="K492" s="4">
        <v>1235</v>
      </c>
      <c r="L492" s="2">
        <v>4802079</v>
      </c>
      <c r="M492" s="2">
        <v>9494250831.6000004</v>
      </c>
      <c r="N492">
        <v>234018</v>
      </c>
      <c r="O492" t="s">
        <v>17</v>
      </c>
      <c r="P492" s="8">
        <f t="shared" si="21"/>
        <v>-1.2000000000000455</v>
      </c>
      <c r="Q492" t="s">
        <v>38</v>
      </c>
      <c r="R492">
        <f t="shared" si="22"/>
        <v>1</v>
      </c>
      <c r="S492" t="str">
        <f t="shared" si="23"/>
        <v>Jan</v>
      </c>
      <c r="T492" s="9">
        <f>VLOOKUP(O492, Annual_Summary!A:B, 2, 0)</f>
        <v>-0.15097152122178931</v>
      </c>
    </row>
    <row r="493" spans="1:20" x14ac:dyDescent="0.3">
      <c r="A493" s="1">
        <v>45666</v>
      </c>
      <c r="B493" t="s">
        <v>15</v>
      </c>
      <c r="C493" s="4">
        <v>1926.8</v>
      </c>
      <c r="D493" s="4">
        <v>1944.45</v>
      </c>
      <c r="E493" s="4">
        <v>1920</v>
      </c>
      <c r="F493" s="4">
        <v>1932.25</v>
      </c>
      <c r="G493" s="4">
        <v>1934</v>
      </c>
      <c r="H493" s="4">
        <v>1934.8</v>
      </c>
      <c r="I493" s="4">
        <v>1935.7</v>
      </c>
      <c r="J493" s="4">
        <v>1992.1</v>
      </c>
      <c r="K493" s="4">
        <v>1235</v>
      </c>
      <c r="L493" s="2">
        <v>2742139</v>
      </c>
      <c r="M493" s="2">
        <v>5307958003.9499998</v>
      </c>
      <c r="N493">
        <v>127128</v>
      </c>
      <c r="O493" t="s">
        <v>17</v>
      </c>
      <c r="P493" s="8">
        <f t="shared" si="21"/>
        <v>5.4500000000000455</v>
      </c>
      <c r="Q493" t="s">
        <v>38</v>
      </c>
      <c r="R493">
        <f t="shared" si="22"/>
        <v>1</v>
      </c>
      <c r="S493" t="str">
        <f t="shared" si="23"/>
        <v>Jan</v>
      </c>
      <c r="T493" s="9">
        <f>VLOOKUP(O493, Annual_Summary!A:B, 2, 0)</f>
        <v>-0.15097152122178931</v>
      </c>
    </row>
    <row r="494" spans="1:20" x14ac:dyDescent="0.3">
      <c r="A494" s="1">
        <v>45665</v>
      </c>
      <c r="B494" t="s">
        <v>15</v>
      </c>
      <c r="C494" s="4">
        <v>1906.3</v>
      </c>
      <c r="D494" s="4">
        <v>1938.5</v>
      </c>
      <c r="E494" s="4">
        <v>1894.55</v>
      </c>
      <c r="F494" s="4">
        <v>1915.9</v>
      </c>
      <c r="G494" s="4">
        <v>1932.9</v>
      </c>
      <c r="H494" s="4">
        <v>1932.25</v>
      </c>
      <c r="I494" s="4">
        <v>1915</v>
      </c>
      <c r="J494" s="4">
        <v>1992.1</v>
      </c>
      <c r="K494" s="4">
        <v>1235</v>
      </c>
      <c r="L494" s="2">
        <v>2372138</v>
      </c>
      <c r="M494" s="2">
        <v>4542649572.1999998</v>
      </c>
      <c r="N494">
        <v>161359</v>
      </c>
      <c r="O494" t="s">
        <v>17</v>
      </c>
      <c r="P494" s="8">
        <f t="shared" si="21"/>
        <v>9.6000000000001364</v>
      </c>
      <c r="Q494" t="s">
        <v>38</v>
      </c>
      <c r="R494">
        <f t="shared" si="22"/>
        <v>1</v>
      </c>
      <c r="S494" t="str">
        <f t="shared" si="23"/>
        <v>Jan</v>
      </c>
      <c r="T494" s="9">
        <f>VLOOKUP(O494, Annual_Summary!A:B, 2, 0)</f>
        <v>-0.15097152122178931</v>
      </c>
    </row>
    <row r="495" spans="1:20" x14ac:dyDescent="0.3">
      <c r="A495" s="1">
        <v>45664</v>
      </c>
      <c r="B495" t="s">
        <v>15</v>
      </c>
      <c r="C495" s="4">
        <v>1960</v>
      </c>
      <c r="D495" s="4">
        <v>1981</v>
      </c>
      <c r="E495" s="4">
        <v>1908.9</v>
      </c>
      <c r="F495" s="4">
        <v>1953.05</v>
      </c>
      <c r="G495" s="4">
        <v>1916.75</v>
      </c>
      <c r="H495" s="4">
        <v>1915.9</v>
      </c>
      <c r="I495" s="4">
        <v>1930.16</v>
      </c>
      <c r="J495" s="4">
        <v>1992.1</v>
      </c>
      <c r="K495" s="4">
        <v>1235</v>
      </c>
      <c r="L495" s="2">
        <v>2494547</v>
      </c>
      <c r="M495" s="2">
        <v>4814870548.3000002</v>
      </c>
      <c r="N495">
        <v>117446</v>
      </c>
      <c r="O495" t="s">
        <v>17</v>
      </c>
      <c r="P495" s="8">
        <f t="shared" si="21"/>
        <v>-6.9500000000000455</v>
      </c>
      <c r="Q495" t="s">
        <v>38</v>
      </c>
      <c r="R495">
        <f t="shared" si="22"/>
        <v>1</v>
      </c>
      <c r="S495" t="str">
        <f t="shared" si="23"/>
        <v>Jan</v>
      </c>
      <c r="T495" s="9">
        <f>VLOOKUP(O495, Annual_Summary!A:B, 2, 0)</f>
        <v>-0.15097152122178931</v>
      </c>
    </row>
    <row r="496" spans="1:20" x14ac:dyDescent="0.3">
      <c r="A496" s="1">
        <v>45663</v>
      </c>
      <c r="B496" t="s">
        <v>15</v>
      </c>
      <c r="C496" s="4">
        <v>1951.25</v>
      </c>
      <c r="D496" s="4">
        <v>1973.4</v>
      </c>
      <c r="E496" s="4">
        <v>1930</v>
      </c>
      <c r="F496" s="4">
        <v>1946.65</v>
      </c>
      <c r="G496" s="4">
        <v>1948.6</v>
      </c>
      <c r="H496" s="4">
        <v>1953.05</v>
      </c>
      <c r="I496" s="4">
        <v>1951.88</v>
      </c>
      <c r="J496" s="4">
        <v>1992.1</v>
      </c>
      <c r="K496" s="4">
        <v>1235</v>
      </c>
      <c r="L496" s="2">
        <v>1789037</v>
      </c>
      <c r="M496" s="2">
        <v>3491988428.3499999</v>
      </c>
      <c r="N496">
        <v>105379</v>
      </c>
      <c r="O496" t="s">
        <v>17</v>
      </c>
      <c r="P496" s="8">
        <f t="shared" si="21"/>
        <v>-4.5999999999999091</v>
      </c>
      <c r="Q496" t="s">
        <v>38</v>
      </c>
      <c r="R496">
        <f t="shared" si="22"/>
        <v>1</v>
      </c>
      <c r="S496" t="str">
        <f t="shared" si="23"/>
        <v>Jan</v>
      </c>
      <c r="T496" s="9">
        <f>VLOOKUP(O496, Annual_Summary!A:B, 2, 0)</f>
        <v>-0.15097152122178931</v>
      </c>
    </row>
    <row r="497" spans="1:20" x14ac:dyDescent="0.3">
      <c r="A497" s="1">
        <v>45660</v>
      </c>
      <c r="B497" t="s">
        <v>15</v>
      </c>
      <c r="C497" s="4">
        <v>1980</v>
      </c>
      <c r="D497" s="4">
        <v>1992.1</v>
      </c>
      <c r="E497" s="4">
        <v>1941</v>
      </c>
      <c r="F497" s="4">
        <v>1972.2</v>
      </c>
      <c r="G497" s="4">
        <v>1943</v>
      </c>
      <c r="H497" s="4">
        <v>1946.65</v>
      </c>
      <c r="I497" s="4">
        <v>1956.95</v>
      </c>
      <c r="J497" s="4">
        <v>1992.1</v>
      </c>
      <c r="K497" s="4">
        <v>1235</v>
      </c>
      <c r="L497" s="2">
        <v>2853344</v>
      </c>
      <c r="M497" s="2">
        <v>5583862264.8000002</v>
      </c>
      <c r="N497">
        <v>148177</v>
      </c>
      <c r="O497" t="s">
        <v>17</v>
      </c>
      <c r="P497" s="8">
        <f t="shared" si="21"/>
        <v>-7.7999999999999545</v>
      </c>
      <c r="Q497" t="s">
        <v>38</v>
      </c>
      <c r="R497">
        <f t="shared" si="22"/>
        <v>1</v>
      </c>
      <c r="S497" t="str">
        <f t="shared" si="23"/>
        <v>Jan</v>
      </c>
      <c r="T497" s="9">
        <f>VLOOKUP(O497, Annual_Summary!A:B, 2, 0)</f>
        <v>-0.15097152122178931</v>
      </c>
    </row>
    <row r="498" spans="1:20" x14ac:dyDescent="0.3">
      <c r="A498" s="1">
        <v>45659</v>
      </c>
      <c r="B498" t="s">
        <v>15</v>
      </c>
      <c r="C498" s="4">
        <v>1911.95</v>
      </c>
      <c r="D498" s="4">
        <v>1976.3</v>
      </c>
      <c r="E498" s="4">
        <v>1910.05</v>
      </c>
      <c r="F498" s="4">
        <v>1911.95</v>
      </c>
      <c r="G498" s="4">
        <v>1966.45</v>
      </c>
      <c r="H498" s="4">
        <v>1972.2</v>
      </c>
      <c r="I498" s="4">
        <v>1956.3</v>
      </c>
      <c r="J498" s="4">
        <v>1980</v>
      </c>
      <c r="K498" s="4">
        <v>1235</v>
      </c>
      <c r="L498" s="2">
        <v>3487645</v>
      </c>
      <c r="M498" s="2">
        <v>6822864745.3000002</v>
      </c>
      <c r="N498">
        <v>172843</v>
      </c>
      <c r="O498" t="s">
        <v>17</v>
      </c>
      <c r="P498" s="8">
        <f t="shared" si="21"/>
        <v>0</v>
      </c>
      <c r="Q498" t="s">
        <v>38</v>
      </c>
      <c r="R498">
        <f t="shared" si="22"/>
        <v>1</v>
      </c>
      <c r="S498" t="str">
        <f t="shared" si="23"/>
        <v>Jan</v>
      </c>
      <c r="T498" s="9">
        <f>VLOOKUP(O498, Annual_Summary!A:B, 2, 0)</f>
        <v>-0.15097152122178931</v>
      </c>
    </row>
    <row r="499" spans="1:20" x14ac:dyDescent="0.3">
      <c r="A499" s="1">
        <v>45658</v>
      </c>
      <c r="B499" t="s">
        <v>15</v>
      </c>
      <c r="C499" s="4">
        <v>1917.4</v>
      </c>
      <c r="D499" s="4">
        <v>1936.95</v>
      </c>
      <c r="E499" s="4">
        <v>1907.9</v>
      </c>
      <c r="F499" s="4">
        <v>1917.4</v>
      </c>
      <c r="G499" s="4">
        <v>1911.6</v>
      </c>
      <c r="H499" s="4">
        <v>1911.95</v>
      </c>
      <c r="I499" s="4">
        <v>1918.88</v>
      </c>
      <c r="J499" s="4">
        <v>1980</v>
      </c>
      <c r="K499" s="4">
        <v>1235</v>
      </c>
      <c r="L499" s="2">
        <v>880695</v>
      </c>
      <c r="M499" s="2">
        <v>1689945501.45</v>
      </c>
      <c r="N499">
        <v>53268</v>
      </c>
      <c r="O499" t="s">
        <v>17</v>
      </c>
      <c r="P499" s="8">
        <f t="shared" si="21"/>
        <v>0</v>
      </c>
      <c r="Q499" t="s">
        <v>38</v>
      </c>
      <c r="R499">
        <f t="shared" si="22"/>
        <v>1</v>
      </c>
      <c r="S499" t="str">
        <f t="shared" si="23"/>
        <v>Jan</v>
      </c>
      <c r="T499" s="9">
        <f>VLOOKUP(O499, Annual_Summary!A:B, 2, 0)</f>
        <v>-0.15097152122178931</v>
      </c>
    </row>
    <row r="500" spans="1:20" x14ac:dyDescent="0.3">
      <c r="A500" s="1">
        <v>46022</v>
      </c>
      <c r="B500" s="3" t="s">
        <v>15</v>
      </c>
      <c r="C500" s="3">
        <v>991</v>
      </c>
      <c r="D500" s="3">
        <v>997.6</v>
      </c>
      <c r="E500" s="3">
        <v>987.6</v>
      </c>
      <c r="F500" s="3">
        <v>990.9</v>
      </c>
      <c r="G500" s="3">
        <v>992.9</v>
      </c>
      <c r="H500" s="3">
        <v>991.2</v>
      </c>
      <c r="I500" s="3">
        <v>992.61</v>
      </c>
      <c r="J500" s="3">
        <v>2037.7</v>
      </c>
      <c r="K500" s="3">
        <v>939.1</v>
      </c>
      <c r="L500" s="5">
        <v>10963454</v>
      </c>
      <c r="M500" s="2">
        <v>10882483821.4</v>
      </c>
      <c r="N500">
        <v>193549</v>
      </c>
      <c r="O500" t="s">
        <v>18</v>
      </c>
      <c r="P500" s="8">
        <f t="shared" si="21"/>
        <v>-0.10000000000002274</v>
      </c>
      <c r="Q500" t="s">
        <v>39</v>
      </c>
      <c r="R500">
        <f t="shared" si="22"/>
        <v>12</v>
      </c>
      <c r="S500" t="str">
        <f t="shared" si="23"/>
        <v>Dec</v>
      </c>
      <c r="T500" s="9">
        <f>VLOOKUP(O500, Annual_Summary!A:B, 2, 0)</f>
        <v>-0.4440050483803113</v>
      </c>
    </row>
    <row r="501" spans="1:20" x14ac:dyDescent="0.3">
      <c r="A501" s="1">
        <v>46021</v>
      </c>
      <c r="B501" s="3" t="s">
        <v>15</v>
      </c>
      <c r="C501" s="3">
        <v>990.2</v>
      </c>
      <c r="D501" s="3">
        <v>995</v>
      </c>
      <c r="E501" s="3">
        <v>982.2</v>
      </c>
      <c r="F501" s="3">
        <v>991.7</v>
      </c>
      <c r="G501" s="3">
        <v>995</v>
      </c>
      <c r="H501" s="3">
        <v>990.9</v>
      </c>
      <c r="I501" s="3">
        <v>989.16</v>
      </c>
      <c r="J501" s="3">
        <v>2037.7</v>
      </c>
      <c r="K501" s="3">
        <v>939.1</v>
      </c>
      <c r="L501" s="5">
        <v>33155849</v>
      </c>
      <c r="M501" s="2">
        <v>32796279701.400002</v>
      </c>
      <c r="N501">
        <v>393869</v>
      </c>
      <c r="O501" t="s">
        <v>18</v>
      </c>
      <c r="P501" s="8">
        <f t="shared" si="21"/>
        <v>1.5</v>
      </c>
      <c r="Q501" t="s">
        <v>39</v>
      </c>
      <c r="R501">
        <f t="shared" si="22"/>
        <v>12</v>
      </c>
      <c r="S501" t="str">
        <f t="shared" si="23"/>
        <v>Dec</v>
      </c>
      <c r="T501" s="9">
        <f>VLOOKUP(O501, Annual_Summary!A:B, 2, 0)</f>
        <v>-0.4440050483803113</v>
      </c>
    </row>
    <row r="502" spans="1:20" x14ac:dyDescent="0.3">
      <c r="A502" s="1">
        <v>46020</v>
      </c>
      <c r="B502" s="3" t="s">
        <v>15</v>
      </c>
      <c r="C502" s="3">
        <v>993.1</v>
      </c>
      <c r="D502" s="3">
        <v>997.4</v>
      </c>
      <c r="E502" s="3">
        <v>987.2</v>
      </c>
      <c r="F502" s="3">
        <v>992.1</v>
      </c>
      <c r="G502" s="3">
        <v>992.8</v>
      </c>
      <c r="H502" s="3">
        <v>991.7</v>
      </c>
      <c r="I502" s="3">
        <v>991.31</v>
      </c>
      <c r="J502" s="3">
        <v>2037.7</v>
      </c>
      <c r="K502" s="3">
        <v>939.1</v>
      </c>
      <c r="L502" s="5">
        <v>13545749</v>
      </c>
      <c r="M502" s="2">
        <v>13427999756</v>
      </c>
      <c r="N502">
        <v>190711</v>
      </c>
      <c r="O502" t="s">
        <v>18</v>
      </c>
      <c r="P502" s="8">
        <f t="shared" si="21"/>
        <v>-1</v>
      </c>
      <c r="Q502" t="s">
        <v>39</v>
      </c>
      <c r="R502">
        <f t="shared" si="22"/>
        <v>12</v>
      </c>
      <c r="S502" t="str">
        <f t="shared" si="23"/>
        <v>Dec</v>
      </c>
      <c r="T502" s="9">
        <f>VLOOKUP(O502, Annual_Summary!A:B, 2, 0)</f>
        <v>-0.4440050483803113</v>
      </c>
    </row>
    <row r="503" spans="1:20" x14ac:dyDescent="0.3">
      <c r="A503" s="1">
        <v>46017</v>
      </c>
      <c r="B503" s="3" t="s">
        <v>15</v>
      </c>
      <c r="C503" s="3">
        <v>996</v>
      </c>
      <c r="D503" s="3">
        <v>997.2</v>
      </c>
      <c r="E503" s="3">
        <v>987.7</v>
      </c>
      <c r="F503" s="3">
        <v>997.2</v>
      </c>
      <c r="G503" s="3">
        <v>992</v>
      </c>
      <c r="H503" s="3">
        <v>992.1</v>
      </c>
      <c r="I503" s="3">
        <v>992.32</v>
      </c>
      <c r="J503" s="3">
        <v>2037.7</v>
      </c>
      <c r="K503" s="3">
        <v>939.1</v>
      </c>
      <c r="L503" s="5">
        <v>9360853</v>
      </c>
      <c r="M503" s="2">
        <v>9288952052.7000008</v>
      </c>
      <c r="N503">
        <v>196688</v>
      </c>
      <c r="O503" t="s">
        <v>18</v>
      </c>
      <c r="P503" s="8">
        <f t="shared" si="21"/>
        <v>1.2000000000000455</v>
      </c>
      <c r="Q503" t="s">
        <v>39</v>
      </c>
      <c r="R503">
        <f t="shared" si="22"/>
        <v>12</v>
      </c>
      <c r="S503" t="str">
        <f t="shared" si="23"/>
        <v>Dec</v>
      </c>
      <c r="T503" s="9">
        <f>VLOOKUP(O503, Annual_Summary!A:B, 2, 0)</f>
        <v>-0.4440050483803113</v>
      </c>
    </row>
    <row r="504" spans="1:20" x14ac:dyDescent="0.3">
      <c r="A504" s="1">
        <v>46015</v>
      </c>
      <c r="B504" s="3" t="s">
        <v>15</v>
      </c>
      <c r="C504" s="3">
        <v>993</v>
      </c>
      <c r="D504" s="3">
        <v>999.4</v>
      </c>
      <c r="E504" s="3">
        <v>993</v>
      </c>
      <c r="F504" s="3">
        <v>996.6</v>
      </c>
      <c r="G504" s="3">
        <v>995.3</v>
      </c>
      <c r="H504" s="3">
        <v>997.2</v>
      </c>
      <c r="I504" s="3">
        <v>996.34</v>
      </c>
      <c r="J504" s="3">
        <v>2037.7</v>
      </c>
      <c r="K504" s="3">
        <v>939.1</v>
      </c>
      <c r="L504" s="5">
        <v>13699996</v>
      </c>
      <c r="M504" s="2">
        <v>13649827358.4</v>
      </c>
      <c r="N504">
        <v>203107</v>
      </c>
      <c r="O504" t="s">
        <v>18</v>
      </c>
      <c r="P504" s="8">
        <f t="shared" si="21"/>
        <v>3.6000000000000227</v>
      </c>
      <c r="Q504" t="s">
        <v>39</v>
      </c>
      <c r="R504">
        <f t="shared" si="22"/>
        <v>12</v>
      </c>
      <c r="S504" t="str">
        <f t="shared" si="23"/>
        <v>Dec</v>
      </c>
      <c r="T504" s="9">
        <f>VLOOKUP(O504, Annual_Summary!A:B, 2, 0)</f>
        <v>-0.4440050483803113</v>
      </c>
    </row>
    <row r="505" spans="1:20" x14ac:dyDescent="0.3">
      <c r="A505" s="1">
        <v>46014</v>
      </c>
      <c r="B505" s="3" t="s">
        <v>15</v>
      </c>
      <c r="C505" s="3">
        <v>990.5</v>
      </c>
      <c r="D505" s="3">
        <v>998.9</v>
      </c>
      <c r="E505" s="3">
        <v>987.7</v>
      </c>
      <c r="F505" s="3">
        <v>987.7</v>
      </c>
      <c r="G505" s="3">
        <v>997</v>
      </c>
      <c r="H505" s="3">
        <v>996.6</v>
      </c>
      <c r="I505" s="3">
        <v>994.81</v>
      </c>
      <c r="J505" s="3">
        <v>2037.7</v>
      </c>
      <c r="K505" s="3">
        <v>939.1</v>
      </c>
      <c r="L505" s="5">
        <v>17927849</v>
      </c>
      <c r="M505" s="2">
        <v>17834864449.299999</v>
      </c>
      <c r="N505">
        <v>227121</v>
      </c>
      <c r="O505" t="s">
        <v>18</v>
      </c>
      <c r="P505" s="8">
        <f t="shared" si="21"/>
        <v>-2.7999999999999545</v>
      </c>
      <c r="Q505" t="s">
        <v>39</v>
      </c>
      <c r="R505">
        <f t="shared" si="22"/>
        <v>12</v>
      </c>
      <c r="S505" t="str">
        <f t="shared" si="23"/>
        <v>Dec</v>
      </c>
      <c r="T505" s="9">
        <f>VLOOKUP(O505, Annual_Summary!A:B, 2, 0)</f>
        <v>-0.4440050483803113</v>
      </c>
    </row>
    <row r="506" spans="1:20" x14ac:dyDescent="0.3">
      <c r="A506" s="1">
        <v>46013</v>
      </c>
      <c r="B506" s="3" t="s">
        <v>15</v>
      </c>
      <c r="C506" s="3">
        <v>988</v>
      </c>
      <c r="D506" s="3">
        <v>992.9</v>
      </c>
      <c r="E506" s="3">
        <v>983.9</v>
      </c>
      <c r="F506" s="3">
        <v>985.5</v>
      </c>
      <c r="G506" s="3">
        <v>987.2</v>
      </c>
      <c r="H506" s="3">
        <v>987.7</v>
      </c>
      <c r="I506" s="3">
        <v>987.63</v>
      </c>
      <c r="J506" s="3">
        <v>2037.7</v>
      </c>
      <c r="K506" s="3">
        <v>939.1</v>
      </c>
      <c r="L506" s="5">
        <v>13540411</v>
      </c>
      <c r="M506" s="2">
        <v>13372875582.700001</v>
      </c>
      <c r="N506">
        <v>253393</v>
      </c>
      <c r="O506" t="s">
        <v>18</v>
      </c>
      <c r="P506" s="8">
        <f t="shared" si="21"/>
        <v>-2.5</v>
      </c>
      <c r="Q506" t="s">
        <v>39</v>
      </c>
      <c r="R506">
        <f t="shared" si="22"/>
        <v>12</v>
      </c>
      <c r="S506" t="str">
        <f t="shared" si="23"/>
        <v>Dec</v>
      </c>
      <c r="T506" s="9">
        <f>VLOOKUP(O506, Annual_Summary!A:B, 2, 0)</f>
        <v>-0.4440050483803113</v>
      </c>
    </row>
    <row r="507" spans="1:20" x14ac:dyDescent="0.3">
      <c r="A507" s="1">
        <v>46010</v>
      </c>
      <c r="B507" s="3" t="s">
        <v>15</v>
      </c>
      <c r="C507" s="3">
        <v>987</v>
      </c>
      <c r="D507" s="3">
        <v>988</v>
      </c>
      <c r="E507" s="3">
        <v>978.7</v>
      </c>
      <c r="F507" s="3">
        <v>979.7</v>
      </c>
      <c r="G507" s="3">
        <v>985.2</v>
      </c>
      <c r="H507" s="3">
        <v>985.5</v>
      </c>
      <c r="I507" s="3">
        <v>984.91</v>
      </c>
      <c r="J507" s="3">
        <v>2037.7</v>
      </c>
      <c r="K507" s="3">
        <v>939.1</v>
      </c>
      <c r="L507" s="5">
        <v>25952384</v>
      </c>
      <c r="M507" s="2">
        <v>25560667946</v>
      </c>
      <c r="N507">
        <v>246675</v>
      </c>
      <c r="O507" t="s">
        <v>18</v>
      </c>
      <c r="P507" s="8">
        <f t="shared" si="21"/>
        <v>-7.2999999999999545</v>
      </c>
      <c r="Q507" t="s">
        <v>39</v>
      </c>
      <c r="R507">
        <f t="shared" si="22"/>
        <v>12</v>
      </c>
      <c r="S507" t="str">
        <f t="shared" si="23"/>
        <v>Dec</v>
      </c>
      <c r="T507" s="9">
        <f>VLOOKUP(O507, Annual_Summary!A:B, 2, 0)</f>
        <v>-0.4440050483803113</v>
      </c>
    </row>
    <row r="508" spans="1:20" x14ac:dyDescent="0.3">
      <c r="A508" s="1">
        <v>46009</v>
      </c>
      <c r="B508" s="3" t="s">
        <v>15</v>
      </c>
      <c r="C508" s="3">
        <v>973.3</v>
      </c>
      <c r="D508" s="3">
        <v>987.4</v>
      </c>
      <c r="E508" s="3">
        <v>973.3</v>
      </c>
      <c r="F508" s="3">
        <v>984</v>
      </c>
      <c r="G508" s="3">
        <v>980</v>
      </c>
      <c r="H508" s="3">
        <v>979.7</v>
      </c>
      <c r="I508" s="3">
        <v>981.48</v>
      </c>
      <c r="J508" s="3">
        <v>2037.7</v>
      </c>
      <c r="K508" s="3">
        <v>939.1</v>
      </c>
      <c r="L508" s="5">
        <v>14912404</v>
      </c>
      <c r="M508" s="2">
        <v>14636196743</v>
      </c>
      <c r="N508">
        <v>412559</v>
      </c>
      <c r="O508" t="s">
        <v>18</v>
      </c>
      <c r="P508" s="8">
        <f t="shared" si="21"/>
        <v>10.700000000000045</v>
      </c>
      <c r="Q508" t="s">
        <v>39</v>
      </c>
      <c r="R508">
        <f t="shared" si="22"/>
        <v>12</v>
      </c>
      <c r="S508" t="str">
        <f t="shared" si="23"/>
        <v>Dec</v>
      </c>
      <c r="T508" s="9">
        <f>VLOOKUP(O508, Annual_Summary!A:B, 2, 0)</f>
        <v>-0.4440050483803113</v>
      </c>
    </row>
    <row r="509" spans="1:20" x14ac:dyDescent="0.3">
      <c r="A509" s="1">
        <v>46008</v>
      </c>
      <c r="B509" s="3" t="s">
        <v>15</v>
      </c>
      <c r="C509" s="3">
        <v>996</v>
      </c>
      <c r="D509" s="3">
        <v>996</v>
      </c>
      <c r="E509" s="3">
        <v>980.8</v>
      </c>
      <c r="F509" s="3">
        <v>994.3</v>
      </c>
      <c r="G509" s="3">
        <v>985.2</v>
      </c>
      <c r="H509" s="3">
        <v>984</v>
      </c>
      <c r="I509" s="3">
        <v>985.22</v>
      </c>
      <c r="J509" s="3">
        <v>2037.7</v>
      </c>
      <c r="K509" s="3">
        <v>939.1</v>
      </c>
      <c r="L509" s="5">
        <v>19080922</v>
      </c>
      <c r="M509" s="2">
        <v>18798880243.799999</v>
      </c>
      <c r="N509">
        <v>288605</v>
      </c>
      <c r="O509" t="s">
        <v>18</v>
      </c>
      <c r="P509" s="8">
        <f t="shared" si="21"/>
        <v>-1.7000000000000455</v>
      </c>
      <c r="Q509" t="s">
        <v>39</v>
      </c>
      <c r="R509">
        <f t="shared" si="22"/>
        <v>12</v>
      </c>
      <c r="S509" t="str">
        <f t="shared" si="23"/>
        <v>Dec</v>
      </c>
      <c r="T509" s="9">
        <f>VLOOKUP(O509, Annual_Summary!A:B, 2, 0)</f>
        <v>-0.4440050483803113</v>
      </c>
    </row>
    <row r="510" spans="1:20" x14ac:dyDescent="0.3">
      <c r="A510" s="1">
        <v>46007</v>
      </c>
      <c r="B510" s="3" t="s">
        <v>15</v>
      </c>
      <c r="C510" s="3">
        <v>990.1</v>
      </c>
      <c r="D510" s="3">
        <v>998.7</v>
      </c>
      <c r="E510" s="3">
        <v>990.1</v>
      </c>
      <c r="F510" s="3">
        <v>996.1</v>
      </c>
      <c r="G510" s="3">
        <v>994.2</v>
      </c>
      <c r="H510" s="3">
        <v>994.3</v>
      </c>
      <c r="I510" s="3">
        <v>994.74</v>
      </c>
      <c r="J510" s="3">
        <v>2037.7</v>
      </c>
      <c r="K510" s="3">
        <v>939.1</v>
      </c>
      <c r="L510" s="5">
        <v>20049088</v>
      </c>
      <c r="M510" s="2">
        <v>19943698733.599998</v>
      </c>
      <c r="N510">
        <v>307140</v>
      </c>
      <c r="O510" t="s">
        <v>18</v>
      </c>
      <c r="P510" s="8">
        <f t="shared" si="21"/>
        <v>6</v>
      </c>
      <c r="Q510" t="s">
        <v>39</v>
      </c>
      <c r="R510">
        <f t="shared" si="22"/>
        <v>12</v>
      </c>
      <c r="S510" t="str">
        <f t="shared" si="23"/>
        <v>Dec</v>
      </c>
      <c r="T510" s="9">
        <f>VLOOKUP(O510, Annual_Summary!A:B, 2, 0)</f>
        <v>-0.4440050483803113</v>
      </c>
    </row>
    <row r="511" spans="1:20" x14ac:dyDescent="0.3">
      <c r="A511" s="1">
        <v>46006</v>
      </c>
      <c r="B511" s="3" t="s">
        <v>15</v>
      </c>
      <c r="C511" s="3">
        <v>992</v>
      </c>
      <c r="D511" s="3">
        <v>1001.8</v>
      </c>
      <c r="E511" s="3">
        <v>992</v>
      </c>
      <c r="F511" s="3">
        <v>1001.5</v>
      </c>
      <c r="G511" s="3">
        <v>995</v>
      </c>
      <c r="H511" s="3">
        <v>996.1</v>
      </c>
      <c r="I511" s="3">
        <v>995.95</v>
      </c>
      <c r="J511" s="3">
        <v>2037.7</v>
      </c>
      <c r="K511" s="3">
        <v>939.1</v>
      </c>
      <c r="L511" s="5">
        <v>9790060</v>
      </c>
      <c r="M511" s="2">
        <v>9750388373.6000004</v>
      </c>
      <c r="N511">
        <v>182612</v>
      </c>
      <c r="O511" t="s">
        <v>18</v>
      </c>
      <c r="P511" s="8">
        <f t="shared" si="21"/>
        <v>9.5</v>
      </c>
      <c r="Q511" t="s">
        <v>39</v>
      </c>
      <c r="R511">
        <f t="shared" si="22"/>
        <v>12</v>
      </c>
      <c r="S511" t="str">
        <f t="shared" si="23"/>
        <v>Dec</v>
      </c>
      <c r="T511" s="9">
        <f>VLOOKUP(O511, Annual_Summary!A:B, 2, 0)</f>
        <v>-0.4440050483803113</v>
      </c>
    </row>
    <row r="512" spans="1:20" x14ac:dyDescent="0.3">
      <c r="A512" s="1">
        <v>46003</v>
      </c>
      <c r="B512" s="3" t="s">
        <v>15</v>
      </c>
      <c r="C512" s="3">
        <v>1003</v>
      </c>
      <c r="D512" s="3">
        <v>1004.7</v>
      </c>
      <c r="E512" s="3">
        <v>998.2</v>
      </c>
      <c r="F512" s="3">
        <v>1000.3</v>
      </c>
      <c r="G512" s="3">
        <v>1002.9</v>
      </c>
      <c r="H512" s="3">
        <v>1001.5</v>
      </c>
      <c r="I512" s="3">
        <v>1001.52</v>
      </c>
      <c r="J512" s="3">
        <v>2037.7</v>
      </c>
      <c r="K512" s="3">
        <v>939.1</v>
      </c>
      <c r="L512" s="5">
        <v>11988618</v>
      </c>
      <c r="M512" s="2">
        <v>12006883854.1</v>
      </c>
      <c r="N512">
        <v>153825</v>
      </c>
      <c r="O512" t="s">
        <v>18</v>
      </c>
      <c r="P512" s="8">
        <f t="shared" si="21"/>
        <v>-2.7000000000000455</v>
      </c>
      <c r="Q512" t="s">
        <v>39</v>
      </c>
      <c r="R512">
        <f t="shared" si="22"/>
        <v>12</v>
      </c>
      <c r="S512" t="str">
        <f t="shared" si="23"/>
        <v>Dec</v>
      </c>
      <c r="T512" s="9">
        <f>VLOOKUP(O512, Annual_Summary!A:B, 2, 0)</f>
        <v>-0.4440050483803113</v>
      </c>
    </row>
    <row r="513" spans="1:20" x14ac:dyDescent="0.3">
      <c r="A513" s="1">
        <v>46002</v>
      </c>
      <c r="B513" s="3" t="s">
        <v>15</v>
      </c>
      <c r="C513" s="3">
        <v>990</v>
      </c>
      <c r="D513" s="3">
        <v>1002.7</v>
      </c>
      <c r="E513" s="3">
        <v>988.5</v>
      </c>
      <c r="F513" s="3">
        <v>989.8</v>
      </c>
      <c r="G513" s="3">
        <v>999.9</v>
      </c>
      <c r="H513" s="3">
        <v>1000.3</v>
      </c>
      <c r="I513" s="3">
        <v>996.96</v>
      </c>
      <c r="J513" s="3">
        <v>2037.7</v>
      </c>
      <c r="K513" s="3">
        <v>939.1</v>
      </c>
      <c r="L513" s="5">
        <v>11844809</v>
      </c>
      <c r="M513" s="2">
        <v>11808832354.299999</v>
      </c>
      <c r="N513">
        <v>177935</v>
      </c>
      <c r="O513" t="s">
        <v>18</v>
      </c>
      <c r="P513" s="8">
        <f t="shared" si="21"/>
        <v>-0.20000000000004547</v>
      </c>
      <c r="Q513" t="s">
        <v>39</v>
      </c>
      <c r="R513">
        <f t="shared" si="22"/>
        <v>12</v>
      </c>
      <c r="S513" t="str">
        <f t="shared" si="23"/>
        <v>Dec</v>
      </c>
      <c r="T513" s="9">
        <f>VLOOKUP(O513, Annual_Summary!A:B, 2, 0)</f>
        <v>-0.4440050483803113</v>
      </c>
    </row>
    <row r="514" spans="1:20" x14ac:dyDescent="0.3">
      <c r="A514" s="1">
        <v>46001</v>
      </c>
      <c r="B514" s="3" t="s">
        <v>15</v>
      </c>
      <c r="C514" s="3">
        <v>997.5</v>
      </c>
      <c r="D514" s="3">
        <v>998.5</v>
      </c>
      <c r="E514" s="3">
        <v>985.3</v>
      </c>
      <c r="F514" s="3">
        <v>997.1</v>
      </c>
      <c r="G514" s="3">
        <v>990.4</v>
      </c>
      <c r="H514" s="3">
        <v>989.8</v>
      </c>
      <c r="I514" s="3">
        <v>990.9</v>
      </c>
      <c r="J514" s="3">
        <v>2037.7</v>
      </c>
      <c r="K514" s="3">
        <v>939.1</v>
      </c>
      <c r="L514" s="5">
        <v>15322830</v>
      </c>
      <c r="M514" s="2">
        <v>15183409188.4</v>
      </c>
      <c r="N514">
        <v>275347</v>
      </c>
      <c r="O514" t="s">
        <v>18</v>
      </c>
      <c r="P514" s="8">
        <f t="shared" si="21"/>
        <v>-0.39999999999997726</v>
      </c>
      <c r="Q514" t="s">
        <v>39</v>
      </c>
      <c r="R514">
        <f t="shared" si="22"/>
        <v>12</v>
      </c>
      <c r="S514" t="str">
        <f t="shared" si="23"/>
        <v>Dec</v>
      </c>
      <c r="T514" s="9">
        <f>VLOOKUP(O514, Annual_Summary!A:B, 2, 0)</f>
        <v>-0.4440050483803113</v>
      </c>
    </row>
    <row r="515" spans="1:20" x14ac:dyDescent="0.3">
      <c r="A515" s="1">
        <v>46000</v>
      </c>
      <c r="B515" s="3" t="s">
        <v>15</v>
      </c>
      <c r="C515" s="3">
        <v>994.9</v>
      </c>
      <c r="D515" s="3">
        <v>1002.8</v>
      </c>
      <c r="E515" s="3">
        <v>994</v>
      </c>
      <c r="F515" s="3">
        <v>1003.1</v>
      </c>
      <c r="G515" s="3">
        <v>997</v>
      </c>
      <c r="H515" s="3">
        <v>997.1</v>
      </c>
      <c r="I515" s="3">
        <v>998.68</v>
      </c>
      <c r="J515" s="3">
        <v>2037.7</v>
      </c>
      <c r="K515" s="3">
        <v>939.1</v>
      </c>
      <c r="L515" s="5">
        <v>15294322</v>
      </c>
      <c r="M515" s="2">
        <v>15274186067.4</v>
      </c>
      <c r="N515">
        <v>206598</v>
      </c>
      <c r="O515" t="s">
        <v>18</v>
      </c>
      <c r="P515" s="8">
        <f t="shared" ref="P515:P578" si="24">F515-C515</f>
        <v>8.2000000000000455</v>
      </c>
      <c r="Q515" t="s">
        <v>39</v>
      </c>
      <c r="R515">
        <f t="shared" ref="R515:R578" si="25">MONTH(A515)</f>
        <v>12</v>
      </c>
      <c r="S515" t="str">
        <f t="shared" ref="S515:S578" si="26">TEXT(A515,"mmm")</f>
        <v>Dec</v>
      </c>
      <c r="T515" s="9">
        <f>VLOOKUP(O515, Annual_Summary!A:B, 2, 0)</f>
        <v>-0.4440050483803113</v>
      </c>
    </row>
    <row r="516" spans="1:20" x14ac:dyDescent="0.3">
      <c r="A516" s="1">
        <v>45999</v>
      </c>
      <c r="B516" s="3" t="s">
        <v>15</v>
      </c>
      <c r="C516" s="3">
        <v>1000</v>
      </c>
      <c r="D516" s="3">
        <v>1006.5</v>
      </c>
      <c r="E516" s="3">
        <v>997.5</v>
      </c>
      <c r="F516" s="3">
        <v>1003.3</v>
      </c>
      <c r="G516" s="3">
        <v>1001.8</v>
      </c>
      <c r="H516" s="3">
        <v>1003.1</v>
      </c>
      <c r="I516" s="3">
        <v>1002.21</v>
      </c>
      <c r="J516" s="3">
        <v>2037.7</v>
      </c>
      <c r="K516" s="3">
        <v>939.1</v>
      </c>
      <c r="L516" s="5">
        <v>12901022</v>
      </c>
      <c r="M516" s="2">
        <v>12929480947.9</v>
      </c>
      <c r="N516">
        <v>219872</v>
      </c>
      <c r="O516" t="s">
        <v>18</v>
      </c>
      <c r="P516" s="8">
        <f t="shared" si="24"/>
        <v>3.2999999999999545</v>
      </c>
      <c r="Q516" t="s">
        <v>39</v>
      </c>
      <c r="R516">
        <f t="shared" si="25"/>
        <v>12</v>
      </c>
      <c r="S516" t="str">
        <f t="shared" si="26"/>
        <v>Dec</v>
      </c>
      <c r="T516" s="9">
        <f>VLOOKUP(O516, Annual_Summary!A:B, 2, 0)</f>
        <v>-0.4440050483803113</v>
      </c>
    </row>
    <row r="517" spans="1:20" x14ac:dyDescent="0.3">
      <c r="A517" s="1">
        <v>45996</v>
      </c>
      <c r="B517" s="3" t="s">
        <v>15</v>
      </c>
      <c r="C517" s="3">
        <v>992</v>
      </c>
      <c r="D517" s="3">
        <v>1008</v>
      </c>
      <c r="E517" s="3">
        <v>990.2</v>
      </c>
      <c r="F517" s="3">
        <v>997.2</v>
      </c>
      <c r="G517" s="3">
        <v>1001.2</v>
      </c>
      <c r="H517" s="3">
        <v>1003.3</v>
      </c>
      <c r="I517" s="3">
        <v>1000.86</v>
      </c>
      <c r="J517" s="3">
        <v>2037.7</v>
      </c>
      <c r="K517" s="3">
        <v>939.1</v>
      </c>
      <c r="L517" s="5">
        <v>12843366</v>
      </c>
      <c r="M517" s="2">
        <v>12854350197.299999</v>
      </c>
      <c r="N517">
        <v>192024</v>
      </c>
      <c r="O517" t="s">
        <v>18</v>
      </c>
      <c r="P517" s="8">
        <f t="shared" si="24"/>
        <v>5.2000000000000455</v>
      </c>
      <c r="Q517" t="s">
        <v>39</v>
      </c>
      <c r="R517">
        <f t="shared" si="25"/>
        <v>12</v>
      </c>
      <c r="S517" t="str">
        <f t="shared" si="26"/>
        <v>Dec</v>
      </c>
      <c r="T517" s="9">
        <f>VLOOKUP(O517, Annual_Summary!A:B, 2, 0)</f>
        <v>-0.4440050483803113</v>
      </c>
    </row>
    <row r="518" spans="1:20" x14ac:dyDescent="0.3">
      <c r="A518" s="1">
        <v>45995</v>
      </c>
      <c r="B518" s="3" t="s">
        <v>15</v>
      </c>
      <c r="C518" s="3">
        <v>1000</v>
      </c>
      <c r="D518" s="3">
        <v>1004.7</v>
      </c>
      <c r="E518" s="3">
        <v>993</v>
      </c>
      <c r="F518" s="3">
        <v>1000.5</v>
      </c>
      <c r="G518" s="3">
        <v>998.5</v>
      </c>
      <c r="H518" s="3">
        <v>997.2</v>
      </c>
      <c r="I518" s="3">
        <v>998.28</v>
      </c>
      <c r="J518" s="3">
        <v>2037.7</v>
      </c>
      <c r="K518" s="3">
        <v>939.1</v>
      </c>
      <c r="L518" s="5">
        <v>14528169</v>
      </c>
      <c r="M518" s="2">
        <v>14503248744</v>
      </c>
      <c r="N518">
        <v>241847</v>
      </c>
      <c r="O518" t="s">
        <v>18</v>
      </c>
      <c r="P518" s="8">
        <f t="shared" si="24"/>
        <v>0.5</v>
      </c>
      <c r="Q518" t="s">
        <v>39</v>
      </c>
      <c r="R518">
        <f t="shared" si="25"/>
        <v>12</v>
      </c>
      <c r="S518" t="str">
        <f t="shared" si="26"/>
        <v>Dec</v>
      </c>
      <c r="T518" s="9">
        <f>VLOOKUP(O518, Annual_Summary!A:B, 2, 0)</f>
        <v>-0.4440050483803113</v>
      </c>
    </row>
    <row r="519" spans="1:20" x14ac:dyDescent="0.3">
      <c r="A519" s="1">
        <v>45994</v>
      </c>
      <c r="B519" s="3" t="s">
        <v>15</v>
      </c>
      <c r="C519" s="3">
        <v>986</v>
      </c>
      <c r="D519" s="3">
        <v>1002.3</v>
      </c>
      <c r="E519" s="3">
        <v>986</v>
      </c>
      <c r="F519" s="3">
        <v>989.8</v>
      </c>
      <c r="G519" s="3">
        <v>1000.1</v>
      </c>
      <c r="H519" s="3">
        <v>1000.5</v>
      </c>
      <c r="I519" s="3">
        <v>993.84</v>
      </c>
      <c r="J519" s="3">
        <v>2037.7</v>
      </c>
      <c r="K519" s="3">
        <v>939.1</v>
      </c>
      <c r="L519" s="5">
        <v>15448777</v>
      </c>
      <c r="M519" s="2">
        <v>15353618863.9</v>
      </c>
      <c r="N519">
        <v>222651</v>
      </c>
      <c r="O519" t="s">
        <v>18</v>
      </c>
      <c r="P519" s="8">
        <f t="shared" si="24"/>
        <v>3.7999999999999545</v>
      </c>
      <c r="Q519" t="s">
        <v>39</v>
      </c>
      <c r="R519">
        <f t="shared" si="25"/>
        <v>12</v>
      </c>
      <c r="S519" t="str">
        <f t="shared" si="26"/>
        <v>Dec</v>
      </c>
      <c r="T519" s="9">
        <f>VLOOKUP(O519, Annual_Summary!A:B, 2, 0)</f>
        <v>-0.4440050483803113</v>
      </c>
    </row>
    <row r="520" spans="1:20" x14ac:dyDescent="0.3">
      <c r="A520" s="1">
        <v>45993</v>
      </c>
      <c r="B520" s="3" t="s">
        <v>15</v>
      </c>
      <c r="C520" s="3">
        <v>988</v>
      </c>
      <c r="D520" s="3">
        <v>994.4</v>
      </c>
      <c r="E520" s="3">
        <v>985</v>
      </c>
      <c r="F520" s="3">
        <v>1002.1</v>
      </c>
      <c r="G520" s="3">
        <v>991.4</v>
      </c>
      <c r="H520" s="3">
        <v>989.8</v>
      </c>
      <c r="I520" s="3">
        <v>990.24</v>
      </c>
      <c r="J520" s="3">
        <v>2037.7</v>
      </c>
      <c r="K520" s="3">
        <v>939.1</v>
      </c>
      <c r="L520" s="5">
        <v>27316662</v>
      </c>
      <c r="M520" s="2">
        <v>27050186723.200001</v>
      </c>
      <c r="N520">
        <v>363303</v>
      </c>
      <c r="O520" t="s">
        <v>18</v>
      </c>
      <c r="P520" s="8">
        <f t="shared" si="24"/>
        <v>14.100000000000023</v>
      </c>
      <c r="Q520" t="s">
        <v>39</v>
      </c>
      <c r="R520">
        <f t="shared" si="25"/>
        <v>12</v>
      </c>
      <c r="S520" t="str">
        <f t="shared" si="26"/>
        <v>Dec</v>
      </c>
      <c r="T520" s="9">
        <f>VLOOKUP(O520, Annual_Summary!A:B, 2, 0)</f>
        <v>-0.4440050483803113</v>
      </c>
    </row>
    <row r="521" spans="1:20" x14ac:dyDescent="0.3">
      <c r="A521" s="1">
        <v>45992</v>
      </c>
      <c r="B521" s="3" t="s">
        <v>15</v>
      </c>
      <c r="C521" s="3">
        <v>1017.5</v>
      </c>
      <c r="D521" s="3">
        <v>1017.5</v>
      </c>
      <c r="E521" s="3">
        <v>999.3</v>
      </c>
      <c r="F521" s="3">
        <v>1007.6</v>
      </c>
      <c r="G521" s="3">
        <v>1002.9</v>
      </c>
      <c r="H521" s="3">
        <v>1002.1</v>
      </c>
      <c r="I521" s="3">
        <v>1005.66</v>
      </c>
      <c r="J521" s="3">
        <v>2037.7</v>
      </c>
      <c r="K521" s="3">
        <v>939.1</v>
      </c>
      <c r="L521" s="5">
        <v>16746566</v>
      </c>
      <c r="M521" s="2">
        <v>16841329243.200001</v>
      </c>
      <c r="N521">
        <v>282719</v>
      </c>
      <c r="O521" t="s">
        <v>18</v>
      </c>
      <c r="P521" s="8">
        <f t="shared" si="24"/>
        <v>-9.8999999999999773</v>
      </c>
      <c r="Q521" t="s">
        <v>39</v>
      </c>
      <c r="R521">
        <f t="shared" si="25"/>
        <v>12</v>
      </c>
      <c r="S521" t="str">
        <f t="shared" si="26"/>
        <v>Dec</v>
      </c>
      <c r="T521" s="9">
        <f>VLOOKUP(O521, Annual_Summary!A:B, 2, 0)</f>
        <v>-0.4440050483803113</v>
      </c>
    </row>
    <row r="522" spans="1:20" x14ac:dyDescent="0.3">
      <c r="A522" s="1">
        <v>45989</v>
      </c>
      <c r="B522" s="3" t="s">
        <v>15</v>
      </c>
      <c r="C522" s="3">
        <v>1007</v>
      </c>
      <c r="D522" s="3">
        <v>1012.05</v>
      </c>
      <c r="E522" s="3">
        <v>1004.2</v>
      </c>
      <c r="F522" s="3">
        <v>1009.5</v>
      </c>
      <c r="G522" s="3">
        <v>1006.7</v>
      </c>
      <c r="H522" s="3">
        <v>1007.6</v>
      </c>
      <c r="I522" s="3">
        <v>1008.93</v>
      </c>
      <c r="J522" s="3">
        <v>2037.7</v>
      </c>
      <c r="K522" s="3">
        <v>939.1</v>
      </c>
      <c r="L522" s="5">
        <v>15988807</v>
      </c>
      <c r="M522" s="2">
        <v>16131518093.4</v>
      </c>
      <c r="N522">
        <v>178196</v>
      </c>
      <c r="O522" t="s">
        <v>18</v>
      </c>
      <c r="P522" s="8">
        <f t="shared" si="24"/>
        <v>2.5</v>
      </c>
      <c r="Q522" t="s">
        <v>39</v>
      </c>
      <c r="R522">
        <f t="shared" si="25"/>
        <v>11</v>
      </c>
      <c r="S522" t="str">
        <f t="shared" si="26"/>
        <v>Nov</v>
      </c>
      <c r="T522" s="9">
        <f>VLOOKUP(O522, Annual_Summary!A:B, 2, 0)</f>
        <v>-0.4440050483803113</v>
      </c>
    </row>
    <row r="523" spans="1:20" x14ac:dyDescent="0.3">
      <c r="A523" s="1">
        <v>45988</v>
      </c>
      <c r="B523" s="3" t="s">
        <v>15</v>
      </c>
      <c r="C523" s="3">
        <v>1002.1</v>
      </c>
      <c r="D523" s="3">
        <v>1016.8</v>
      </c>
      <c r="E523" s="3">
        <v>1001</v>
      </c>
      <c r="F523" s="3">
        <v>1003.9</v>
      </c>
      <c r="G523" s="3">
        <v>1009.05</v>
      </c>
      <c r="H523" s="3">
        <v>1009.5</v>
      </c>
      <c r="I523" s="3">
        <v>1010.95</v>
      </c>
      <c r="J523" s="3">
        <v>2037.7</v>
      </c>
      <c r="K523" s="3">
        <v>939.1</v>
      </c>
      <c r="L523" s="5">
        <v>25536848</v>
      </c>
      <c r="M523" s="2">
        <v>25816356116.099998</v>
      </c>
      <c r="N523">
        <v>313073</v>
      </c>
      <c r="O523" t="s">
        <v>18</v>
      </c>
      <c r="P523" s="8">
        <f t="shared" si="24"/>
        <v>1.7999999999999545</v>
      </c>
      <c r="Q523" t="s">
        <v>39</v>
      </c>
      <c r="R523">
        <f t="shared" si="25"/>
        <v>11</v>
      </c>
      <c r="S523" t="str">
        <f t="shared" si="26"/>
        <v>Nov</v>
      </c>
      <c r="T523" s="9">
        <f>VLOOKUP(O523, Annual_Summary!A:B, 2, 0)</f>
        <v>-0.4440050483803113</v>
      </c>
    </row>
    <row r="524" spans="1:20" x14ac:dyDescent="0.3">
      <c r="A524" s="1">
        <v>45987</v>
      </c>
      <c r="B524" s="3" t="s">
        <v>15</v>
      </c>
      <c r="C524" s="3">
        <v>981.3</v>
      </c>
      <c r="D524" s="3">
        <v>1006.95</v>
      </c>
      <c r="E524" s="3">
        <v>981.3</v>
      </c>
      <c r="F524" s="3">
        <v>989.8</v>
      </c>
      <c r="G524" s="3">
        <v>1005</v>
      </c>
      <c r="H524" s="3">
        <v>1003.9</v>
      </c>
      <c r="I524" s="3">
        <v>999.58</v>
      </c>
      <c r="J524" s="3">
        <v>2037.7</v>
      </c>
      <c r="K524" s="3">
        <v>939.1</v>
      </c>
      <c r="L524" s="5">
        <v>19494356</v>
      </c>
      <c r="M524" s="2">
        <v>19486197443.700001</v>
      </c>
      <c r="N524">
        <v>207998</v>
      </c>
      <c r="O524" t="s">
        <v>18</v>
      </c>
      <c r="P524" s="8">
        <f t="shared" si="24"/>
        <v>8.5</v>
      </c>
      <c r="Q524" t="s">
        <v>39</v>
      </c>
      <c r="R524">
        <f t="shared" si="25"/>
        <v>11</v>
      </c>
      <c r="S524" t="str">
        <f t="shared" si="26"/>
        <v>Nov</v>
      </c>
      <c r="T524" s="9">
        <f>VLOOKUP(O524, Annual_Summary!A:B, 2, 0)</f>
        <v>-0.4440050483803113</v>
      </c>
    </row>
    <row r="525" spans="1:20" x14ac:dyDescent="0.3">
      <c r="A525" s="1">
        <v>45986</v>
      </c>
      <c r="B525" s="3" t="s">
        <v>15</v>
      </c>
      <c r="C525" s="3">
        <v>1004</v>
      </c>
      <c r="D525" s="3">
        <v>1006.1</v>
      </c>
      <c r="E525" s="3">
        <v>988.4</v>
      </c>
      <c r="F525" s="3">
        <v>999.15</v>
      </c>
      <c r="G525" s="3">
        <v>989.45</v>
      </c>
      <c r="H525" s="3">
        <v>989.8</v>
      </c>
      <c r="I525" s="3">
        <v>995.08</v>
      </c>
      <c r="J525" s="3">
        <v>2037.7</v>
      </c>
      <c r="K525" s="3">
        <v>939.1</v>
      </c>
      <c r="L525" s="5">
        <v>24989383</v>
      </c>
      <c r="M525" s="2">
        <v>24866505641.799999</v>
      </c>
      <c r="N525">
        <v>275451</v>
      </c>
      <c r="O525" t="s">
        <v>18</v>
      </c>
      <c r="P525" s="8">
        <f t="shared" si="24"/>
        <v>-4.8500000000000227</v>
      </c>
      <c r="Q525" t="s">
        <v>39</v>
      </c>
      <c r="R525">
        <f t="shared" si="25"/>
        <v>11</v>
      </c>
      <c r="S525" t="str">
        <f t="shared" si="26"/>
        <v>Nov</v>
      </c>
      <c r="T525" s="9">
        <f>VLOOKUP(O525, Annual_Summary!A:B, 2, 0)</f>
        <v>-0.4440050483803113</v>
      </c>
    </row>
    <row r="526" spans="1:20" x14ac:dyDescent="0.3">
      <c r="A526" s="1">
        <v>45985</v>
      </c>
      <c r="B526" s="3" t="s">
        <v>15</v>
      </c>
      <c r="C526" s="3">
        <v>1000</v>
      </c>
      <c r="D526" s="3">
        <v>1011.45</v>
      </c>
      <c r="E526" s="3">
        <v>993.6</v>
      </c>
      <c r="F526" s="3">
        <v>998.05</v>
      </c>
      <c r="G526" s="3">
        <v>997.85</v>
      </c>
      <c r="H526" s="3">
        <v>999.15</v>
      </c>
      <c r="I526" s="3">
        <v>1001.79</v>
      </c>
      <c r="J526" s="3">
        <v>2037.7</v>
      </c>
      <c r="K526" s="3">
        <v>939.1</v>
      </c>
      <c r="L526" s="5">
        <v>32204053</v>
      </c>
      <c r="M526" s="2">
        <v>32261618761.75</v>
      </c>
      <c r="N526">
        <v>280226</v>
      </c>
      <c r="O526" t="s">
        <v>18</v>
      </c>
      <c r="P526" s="8">
        <f t="shared" si="24"/>
        <v>-1.9500000000000455</v>
      </c>
      <c r="Q526" t="s">
        <v>39</v>
      </c>
      <c r="R526">
        <f t="shared" si="25"/>
        <v>11</v>
      </c>
      <c r="S526" t="str">
        <f t="shared" si="26"/>
        <v>Nov</v>
      </c>
      <c r="T526" s="9">
        <f>VLOOKUP(O526, Annual_Summary!A:B, 2, 0)</f>
        <v>-0.4440050483803113</v>
      </c>
    </row>
    <row r="527" spans="1:20" x14ac:dyDescent="0.3">
      <c r="A527" s="1">
        <v>45982</v>
      </c>
      <c r="B527" s="3" t="s">
        <v>15</v>
      </c>
      <c r="C527" s="3">
        <v>1003.1</v>
      </c>
      <c r="D527" s="3">
        <v>1008.3</v>
      </c>
      <c r="E527" s="3">
        <v>996.55</v>
      </c>
      <c r="F527" s="3">
        <v>1008.85</v>
      </c>
      <c r="G527" s="3">
        <v>998</v>
      </c>
      <c r="H527" s="3">
        <v>998.05</v>
      </c>
      <c r="I527" s="3">
        <v>1001.07</v>
      </c>
      <c r="J527" s="3">
        <v>2037.7</v>
      </c>
      <c r="K527" s="3">
        <v>939.1</v>
      </c>
      <c r="L527" s="5">
        <v>17499897</v>
      </c>
      <c r="M527" s="2">
        <v>17518694760</v>
      </c>
      <c r="N527">
        <v>271649</v>
      </c>
      <c r="O527" t="s">
        <v>18</v>
      </c>
      <c r="P527" s="8">
        <f t="shared" si="24"/>
        <v>5.75</v>
      </c>
      <c r="Q527" t="s">
        <v>39</v>
      </c>
      <c r="R527">
        <f t="shared" si="25"/>
        <v>11</v>
      </c>
      <c r="S527" t="str">
        <f t="shared" si="26"/>
        <v>Nov</v>
      </c>
      <c r="T527" s="9">
        <f>VLOOKUP(O527, Annual_Summary!A:B, 2, 0)</f>
        <v>-0.4440050483803113</v>
      </c>
    </row>
    <row r="528" spans="1:20" x14ac:dyDescent="0.3">
      <c r="A528" s="1">
        <v>45981</v>
      </c>
      <c r="B528" s="3" t="s">
        <v>15</v>
      </c>
      <c r="C528" s="3">
        <v>995.3</v>
      </c>
      <c r="D528" s="3">
        <v>1011.6</v>
      </c>
      <c r="E528" s="3">
        <v>992.45</v>
      </c>
      <c r="F528" s="3">
        <v>994.6</v>
      </c>
      <c r="G528" s="3">
        <v>1008.6</v>
      </c>
      <c r="H528" s="3">
        <v>1008.85</v>
      </c>
      <c r="I528" s="3">
        <v>1003.81</v>
      </c>
      <c r="J528" s="3">
        <v>2037.7</v>
      </c>
      <c r="K528" s="3">
        <v>939.1</v>
      </c>
      <c r="L528" s="5">
        <v>19850865</v>
      </c>
      <c r="M528" s="2">
        <v>19926417239.25</v>
      </c>
      <c r="N528">
        <v>254686</v>
      </c>
      <c r="O528" t="s">
        <v>18</v>
      </c>
      <c r="P528" s="8">
        <f t="shared" si="24"/>
        <v>-0.69999999999993179</v>
      </c>
      <c r="Q528" t="s">
        <v>39</v>
      </c>
      <c r="R528">
        <f t="shared" si="25"/>
        <v>11</v>
      </c>
      <c r="S528" t="str">
        <f t="shared" si="26"/>
        <v>Nov</v>
      </c>
      <c r="T528" s="9">
        <f>VLOOKUP(O528, Annual_Summary!A:B, 2, 0)</f>
        <v>-0.4440050483803113</v>
      </c>
    </row>
    <row r="529" spans="1:20" x14ac:dyDescent="0.3">
      <c r="A529" s="1">
        <v>45980</v>
      </c>
      <c r="B529" s="3" t="s">
        <v>15</v>
      </c>
      <c r="C529" s="3">
        <v>990</v>
      </c>
      <c r="D529" s="3">
        <v>996.55</v>
      </c>
      <c r="E529" s="3">
        <v>984</v>
      </c>
      <c r="F529" s="3">
        <v>992.45</v>
      </c>
      <c r="G529" s="3">
        <v>994.8</v>
      </c>
      <c r="H529" s="3">
        <v>994.6</v>
      </c>
      <c r="I529" s="3">
        <v>989.67</v>
      </c>
      <c r="J529" s="3">
        <v>2037.7</v>
      </c>
      <c r="K529" s="3">
        <v>939.1</v>
      </c>
      <c r="L529" s="5">
        <v>19813847</v>
      </c>
      <c r="M529" s="2">
        <v>19609199278.349998</v>
      </c>
      <c r="N529">
        <v>201324</v>
      </c>
      <c r="O529" t="s">
        <v>18</v>
      </c>
      <c r="P529" s="8">
        <f t="shared" si="24"/>
        <v>2.4500000000000455</v>
      </c>
      <c r="Q529" t="s">
        <v>39</v>
      </c>
      <c r="R529">
        <f t="shared" si="25"/>
        <v>11</v>
      </c>
      <c r="S529" t="str">
        <f t="shared" si="26"/>
        <v>Nov</v>
      </c>
      <c r="T529" s="9">
        <f>VLOOKUP(O529, Annual_Summary!A:B, 2, 0)</f>
        <v>-0.4440050483803113</v>
      </c>
    </row>
    <row r="530" spans="1:20" x14ac:dyDescent="0.3">
      <c r="A530" s="1">
        <v>45979</v>
      </c>
      <c r="B530" s="3" t="s">
        <v>15</v>
      </c>
      <c r="C530" s="3">
        <v>997.65</v>
      </c>
      <c r="D530" s="3">
        <v>999</v>
      </c>
      <c r="E530" s="3">
        <v>990</v>
      </c>
      <c r="F530" s="3">
        <v>996.55</v>
      </c>
      <c r="G530" s="3">
        <v>990.85</v>
      </c>
      <c r="H530" s="3">
        <v>992.45</v>
      </c>
      <c r="I530" s="3">
        <v>994.68</v>
      </c>
      <c r="J530" s="3">
        <v>2037.7</v>
      </c>
      <c r="K530" s="3">
        <v>939.1</v>
      </c>
      <c r="L530" s="5">
        <v>20002640</v>
      </c>
      <c r="M530" s="2">
        <v>19896287879.549999</v>
      </c>
      <c r="N530">
        <v>217914</v>
      </c>
      <c r="O530" t="s">
        <v>18</v>
      </c>
      <c r="P530" s="8">
        <f t="shared" si="24"/>
        <v>-1.1000000000000227</v>
      </c>
      <c r="Q530" t="s">
        <v>39</v>
      </c>
      <c r="R530">
        <f t="shared" si="25"/>
        <v>11</v>
      </c>
      <c r="S530" t="str">
        <f t="shared" si="26"/>
        <v>Nov</v>
      </c>
      <c r="T530" s="9">
        <f>VLOOKUP(O530, Annual_Summary!A:B, 2, 0)</f>
        <v>-0.4440050483803113</v>
      </c>
    </row>
    <row r="531" spans="1:20" x14ac:dyDescent="0.3">
      <c r="A531" s="1">
        <v>45978</v>
      </c>
      <c r="B531" s="3" t="s">
        <v>15</v>
      </c>
      <c r="C531" s="3">
        <v>991.25</v>
      </c>
      <c r="D531" s="3">
        <v>997.95</v>
      </c>
      <c r="E531" s="3">
        <v>985.6</v>
      </c>
      <c r="F531" s="3">
        <v>989.6</v>
      </c>
      <c r="G531" s="3">
        <v>996.45</v>
      </c>
      <c r="H531" s="3">
        <v>996.55</v>
      </c>
      <c r="I531" s="3">
        <v>993.87</v>
      </c>
      <c r="J531" s="3">
        <v>2037.7</v>
      </c>
      <c r="K531" s="3">
        <v>939.1</v>
      </c>
      <c r="L531" s="5">
        <v>18396408</v>
      </c>
      <c r="M531" s="2">
        <v>18283667280.450001</v>
      </c>
      <c r="N531">
        <v>197155</v>
      </c>
      <c r="O531" t="s">
        <v>18</v>
      </c>
      <c r="P531" s="8">
        <f t="shared" si="24"/>
        <v>-1.6499999999999773</v>
      </c>
      <c r="Q531" t="s">
        <v>39</v>
      </c>
      <c r="R531">
        <f t="shared" si="25"/>
        <v>11</v>
      </c>
      <c r="S531" t="str">
        <f t="shared" si="26"/>
        <v>Nov</v>
      </c>
      <c r="T531" s="9">
        <f>VLOOKUP(O531, Annual_Summary!A:B, 2, 0)</f>
        <v>-0.4440050483803113</v>
      </c>
    </row>
    <row r="532" spans="1:20" x14ac:dyDescent="0.3">
      <c r="A532" s="1">
        <v>45975</v>
      </c>
      <c r="B532" s="3" t="s">
        <v>15</v>
      </c>
      <c r="C532" s="3">
        <v>976.05</v>
      </c>
      <c r="D532" s="3">
        <v>991.65</v>
      </c>
      <c r="E532" s="3">
        <v>976.05</v>
      </c>
      <c r="F532" s="3">
        <v>986.65</v>
      </c>
      <c r="G532" s="3">
        <v>989</v>
      </c>
      <c r="H532" s="3">
        <v>989.6</v>
      </c>
      <c r="I532" s="3">
        <v>984.95</v>
      </c>
      <c r="J532" s="3">
        <v>2037.7</v>
      </c>
      <c r="K532" s="3">
        <v>939.1</v>
      </c>
      <c r="L532" s="5">
        <v>21386965</v>
      </c>
      <c r="M532" s="2">
        <v>21065033481.450001</v>
      </c>
      <c r="N532">
        <v>301431</v>
      </c>
      <c r="O532" t="s">
        <v>18</v>
      </c>
      <c r="P532" s="8">
        <f t="shared" si="24"/>
        <v>10.600000000000023</v>
      </c>
      <c r="Q532" t="s">
        <v>39</v>
      </c>
      <c r="R532">
        <f t="shared" si="25"/>
        <v>11</v>
      </c>
      <c r="S532" t="str">
        <f t="shared" si="26"/>
        <v>Nov</v>
      </c>
      <c r="T532" s="9">
        <f>VLOOKUP(O532, Annual_Summary!A:B, 2, 0)</f>
        <v>-0.4440050483803113</v>
      </c>
    </row>
    <row r="533" spans="1:20" x14ac:dyDescent="0.3">
      <c r="A533" s="1">
        <v>45974</v>
      </c>
      <c r="B533" s="3" t="s">
        <v>15</v>
      </c>
      <c r="C533" s="3">
        <v>984</v>
      </c>
      <c r="D533" s="3">
        <v>990.1</v>
      </c>
      <c r="E533" s="3">
        <v>982.6</v>
      </c>
      <c r="F533" s="3">
        <v>989.5</v>
      </c>
      <c r="G533" s="3">
        <v>985.75</v>
      </c>
      <c r="H533" s="3">
        <v>986.65</v>
      </c>
      <c r="I533" s="3">
        <v>986.34</v>
      </c>
      <c r="J533" s="3">
        <v>2037.7</v>
      </c>
      <c r="K533" s="3">
        <v>939.1</v>
      </c>
      <c r="L533" s="5">
        <v>14124839</v>
      </c>
      <c r="M533" s="2">
        <v>13931855903.950001</v>
      </c>
      <c r="N533">
        <v>289471</v>
      </c>
      <c r="O533" t="s">
        <v>18</v>
      </c>
      <c r="P533" s="8">
        <f t="shared" si="24"/>
        <v>5.5</v>
      </c>
      <c r="Q533" t="s">
        <v>39</v>
      </c>
      <c r="R533">
        <f t="shared" si="25"/>
        <v>11</v>
      </c>
      <c r="S533" t="str">
        <f t="shared" si="26"/>
        <v>Nov</v>
      </c>
      <c r="T533" s="9">
        <f>VLOOKUP(O533, Annual_Summary!A:B, 2, 0)</f>
        <v>-0.4440050483803113</v>
      </c>
    </row>
    <row r="534" spans="1:20" x14ac:dyDescent="0.3">
      <c r="A534" s="1">
        <v>45973</v>
      </c>
      <c r="B534" s="3" t="s">
        <v>15</v>
      </c>
      <c r="C534" s="3">
        <v>998.8</v>
      </c>
      <c r="D534" s="3">
        <v>999</v>
      </c>
      <c r="E534" s="3">
        <v>987.7</v>
      </c>
      <c r="F534" s="3">
        <v>991.7</v>
      </c>
      <c r="G534" s="3">
        <v>990.25</v>
      </c>
      <c r="H534" s="3">
        <v>989.5</v>
      </c>
      <c r="I534" s="3">
        <v>992.14</v>
      </c>
      <c r="J534" s="3">
        <v>2037.7</v>
      </c>
      <c r="K534" s="3">
        <v>939.1</v>
      </c>
      <c r="L534" s="5">
        <v>13137263</v>
      </c>
      <c r="M534" s="2">
        <v>13034039694.950001</v>
      </c>
      <c r="N534">
        <v>166500</v>
      </c>
      <c r="O534" t="s">
        <v>18</v>
      </c>
      <c r="P534" s="8">
        <f t="shared" si="24"/>
        <v>-7.0999999999999091</v>
      </c>
      <c r="Q534" t="s">
        <v>39</v>
      </c>
      <c r="R534">
        <f t="shared" si="25"/>
        <v>11</v>
      </c>
      <c r="S534" t="str">
        <f t="shared" si="26"/>
        <v>Nov</v>
      </c>
      <c r="T534" s="9">
        <f>VLOOKUP(O534, Annual_Summary!A:B, 2, 0)</f>
        <v>-0.4440050483803113</v>
      </c>
    </row>
    <row r="535" spans="1:20" x14ac:dyDescent="0.3">
      <c r="A535" s="1">
        <v>45972</v>
      </c>
      <c r="B535" s="3" t="s">
        <v>15</v>
      </c>
      <c r="C535" s="3">
        <v>983.5</v>
      </c>
      <c r="D535" s="3">
        <v>993.5</v>
      </c>
      <c r="E535" s="3">
        <v>978</v>
      </c>
      <c r="F535" s="3">
        <v>984.5</v>
      </c>
      <c r="G535" s="3">
        <v>992</v>
      </c>
      <c r="H535" s="3">
        <v>991.7</v>
      </c>
      <c r="I535" s="3">
        <v>987.26</v>
      </c>
      <c r="J535" s="3">
        <v>2037.7</v>
      </c>
      <c r="K535" s="3">
        <v>939.1</v>
      </c>
      <c r="L535" s="5">
        <v>10200530</v>
      </c>
      <c r="M535" s="2">
        <v>10070524484.25</v>
      </c>
      <c r="N535">
        <v>229810</v>
      </c>
      <c r="O535" t="s">
        <v>18</v>
      </c>
      <c r="P535" s="8">
        <f t="shared" si="24"/>
        <v>1</v>
      </c>
      <c r="Q535" t="s">
        <v>39</v>
      </c>
      <c r="R535">
        <f t="shared" si="25"/>
        <v>11</v>
      </c>
      <c r="S535" t="str">
        <f t="shared" si="26"/>
        <v>Nov</v>
      </c>
      <c r="T535" s="9">
        <f>VLOOKUP(O535, Annual_Summary!A:B, 2, 0)</f>
        <v>-0.4440050483803113</v>
      </c>
    </row>
    <row r="536" spans="1:20" x14ac:dyDescent="0.3">
      <c r="A536" s="1">
        <v>45971</v>
      </c>
      <c r="B536" s="3" t="s">
        <v>15</v>
      </c>
      <c r="C536" s="3">
        <v>982.3</v>
      </c>
      <c r="D536" s="3">
        <v>990.95</v>
      </c>
      <c r="E536" s="3">
        <v>980.2</v>
      </c>
      <c r="F536" s="3">
        <v>982.3</v>
      </c>
      <c r="G536" s="3">
        <v>984.6</v>
      </c>
      <c r="H536" s="3">
        <v>984.5</v>
      </c>
      <c r="I536" s="3">
        <v>986.19</v>
      </c>
      <c r="J536" s="3">
        <v>2037.7</v>
      </c>
      <c r="K536" s="3">
        <v>939.1</v>
      </c>
      <c r="L536" s="5">
        <v>15988262</v>
      </c>
      <c r="M536" s="2">
        <v>15767386584</v>
      </c>
      <c r="N536">
        <v>373004</v>
      </c>
      <c r="O536" t="s">
        <v>18</v>
      </c>
      <c r="P536" s="8">
        <f t="shared" si="24"/>
        <v>0</v>
      </c>
      <c r="Q536" t="s">
        <v>39</v>
      </c>
      <c r="R536">
        <f t="shared" si="25"/>
        <v>11</v>
      </c>
      <c r="S536" t="str">
        <f t="shared" si="26"/>
        <v>Nov</v>
      </c>
      <c r="T536" s="9">
        <f>VLOOKUP(O536, Annual_Summary!A:B, 2, 0)</f>
        <v>-0.4440050483803113</v>
      </c>
    </row>
    <row r="537" spans="1:20" x14ac:dyDescent="0.3">
      <c r="A537" s="1">
        <v>45968</v>
      </c>
      <c r="B537" s="3" t="s">
        <v>15</v>
      </c>
      <c r="C537" s="3">
        <v>980</v>
      </c>
      <c r="D537" s="3">
        <v>984.9</v>
      </c>
      <c r="E537" s="3">
        <v>974.75</v>
      </c>
      <c r="F537" s="3">
        <v>984.65</v>
      </c>
      <c r="G537" s="3">
        <v>984.3</v>
      </c>
      <c r="H537" s="3">
        <v>982.3</v>
      </c>
      <c r="I537" s="3">
        <v>979.96</v>
      </c>
      <c r="J537" s="3">
        <v>2037.7</v>
      </c>
      <c r="K537" s="3">
        <v>939.1</v>
      </c>
      <c r="L537" s="5">
        <v>15004568</v>
      </c>
      <c r="M537" s="2">
        <v>14703832279.799999</v>
      </c>
      <c r="N537">
        <v>315369</v>
      </c>
      <c r="O537" t="s">
        <v>18</v>
      </c>
      <c r="P537" s="8">
        <f t="shared" si="24"/>
        <v>4.6499999999999773</v>
      </c>
      <c r="Q537" t="s">
        <v>39</v>
      </c>
      <c r="R537">
        <f t="shared" si="25"/>
        <v>11</v>
      </c>
      <c r="S537" t="str">
        <f t="shared" si="26"/>
        <v>Nov</v>
      </c>
      <c r="T537" s="9">
        <f>VLOOKUP(O537, Annual_Summary!A:B, 2, 0)</f>
        <v>-0.4440050483803113</v>
      </c>
    </row>
    <row r="538" spans="1:20" x14ac:dyDescent="0.3">
      <c r="A538" s="1">
        <v>45967</v>
      </c>
      <c r="B538" s="3" t="s">
        <v>15</v>
      </c>
      <c r="C538" s="3">
        <v>981</v>
      </c>
      <c r="D538" s="3">
        <v>991.05</v>
      </c>
      <c r="E538" s="3">
        <v>974</v>
      </c>
      <c r="F538" s="3">
        <v>985.25</v>
      </c>
      <c r="G538" s="3">
        <v>987.5</v>
      </c>
      <c r="H538" s="3">
        <v>984.65</v>
      </c>
      <c r="I538" s="3">
        <v>984.48</v>
      </c>
      <c r="J538" s="3">
        <v>2037.7</v>
      </c>
      <c r="K538" s="3">
        <v>939.1</v>
      </c>
      <c r="L538" s="5">
        <v>22279516</v>
      </c>
      <c r="M538" s="2">
        <v>21933818395.900002</v>
      </c>
      <c r="N538">
        <v>278532</v>
      </c>
      <c r="O538" t="s">
        <v>18</v>
      </c>
      <c r="P538" s="8">
        <f t="shared" si="24"/>
        <v>4.25</v>
      </c>
      <c r="Q538" t="s">
        <v>39</v>
      </c>
      <c r="R538">
        <f t="shared" si="25"/>
        <v>11</v>
      </c>
      <c r="S538" t="str">
        <f t="shared" si="26"/>
        <v>Nov</v>
      </c>
      <c r="T538" s="9">
        <f>VLOOKUP(O538, Annual_Summary!A:B, 2, 0)</f>
        <v>-0.4440050483803113</v>
      </c>
    </row>
    <row r="539" spans="1:20" x14ac:dyDescent="0.3">
      <c r="A539" s="1">
        <v>45965</v>
      </c>
      <c r="B539" s="3" t="s">
        <v>15</v>
      </c>
      <c r="C539" s="3">
        <v>987</v>
      </c>
      <c r="D539" s="3">
        <v>997</v>
      </c>
      <c r="E539" s="3">
        <v>983.7</v>
      </c>
      <c r="F539" s="3">
        <v>992.65</v>
      </c>
      <c r="G539" s="3">
        <v>985.7</v>
      </c>
      <c r="H539" s="3">
        <v>985.25</v>
      </c>
      <c r="I539" s="3">
        <v>990.21</v>
      </c>
      <c r="J539" s="3">
        <v>2037.7</v>
      </c>
      <c r="K539" s="3">
        <v>939.1</v>
      </c>
      <c r="L539" s="5">
        <v>20024544</v>
      </c>
      <c r="M539" s="2">
        <v>19828527608.75</v>
      </c>
      <c r="N539">
        <v>302828</v>
      </c>
      <c r="O539" t="s">
        <v>18</v>
      </c>
      <c r="P539" s="8">
        <f t="shared" si="24"/>
        <v>5.6499999999999773</v>
      </c>
      <c r="Q539" t="s">
        <v>39</v>
      </c>
      <c r="R539">
        <f t="shared" si="25"/>
        <v>11</v>
      </c>
      <c r="S539" t="str">
        <f t="shared" si="26"/>
        <v>Nov</v>
      </c>
      <c r="T539" s="9">
        <f>VLOOKUP(O539, Annual_Summary!A:B, 2, 0)</f>
        <v>-0.4440050483803113</v>
      </c>
    </row>
    <row r="540" spans="1:20" x14ac:dyDescent="0.3">
      <c r="A540" s="1">
        <v>45964</v>
      </c>
      <c r="B540" s="3" t="s">
        <v>15</v>
      </c>
      <c r="C540" s="3">
        <v>985</v>
      </c>
      <c r="D540" s="3">
        <v>994.55</v>
      </c>
      <c r="E540" s="3">
        <v>983.3</v>
      </c>
      <c r="F540" s="3">
        <v>987.3</v>
      </c>
      <c r="G540" s="3">
        <v>993.4</v>
      </c>
      <c r="H540" s="3">
        <v>992.65</v>
      </c>
      <c r="I540" s="3">
        <v>991.15</v>
      </c>
      <c r="J540" s="3">
        <v>2037.7</v>
      </c>
      <c r="K540" s="3">
        <v>939.1</v>
      </c>
      <c r="L540" s="5">
        <v>16607180</v>
      </c>
      <c r="M540" s="2">
        <v>16460236700.549999</v>
      </c>
      <c r="N540">
        <v>288032</v>
      </c>
      <c r="O540" t="s">
        <v>18</v>
      </c>
      <c r="P540" s="8">
        <f t="shared" si="24"/>
        <v>2.2999999999999545</v>
      </c>
      <c r="Q540" t="s">
        <v>39</v>
      </c>
      <c r="R540">
        <f t="shared" si="25"/>
        <v>11</v>
      </c>
      <c r="S540" t="str">
        <f t="shared" si="26"/>
        <v>Nov</v>
      </c>
      <c r="T540" s="9">
        <f>VLOOKUP(O540, Annual_Summary!A:B, 2, 0)</f>
        <v>-0.4440050483803113</v>
      </c>
    </row>
    <row r="541" spans="1:20" x14ac:dyDescent="0.3">
      <c r="A541" s="1">
        <v>45961</v>
      </c>
      <c r="B541" s="3" t="s">
        <v>15</v>
      </c>
      <c r="C541" s="3">
        <v>994</v>
      </c>
      <c r="D541" s="3">
        <v>1004.45</v>
      </c>
      <c r="E541" s="3">
        <v>981.15</v>
      </c>
      <c r="F541" s="3">
        <v>998.15</v>
      </c>
      <c r="G541" s="3">
        <v>987.95</v>
      </c>
      <c r="H541" s="3">
        <v>987.3</v>
      </c>
      <c r="I541" s="3">
        <v>989.37</v>
      </c>
      <c r="J541" s="3">
        <v>2037.7</v>
      </c>
      <c r="K541" s="3">
        <v>939.1</v>
      </c>
      <c r="L541" s="5">
        <v>23221330</v>
      </c>
      <c r="M541" s="2">
        <v>22974558984.150002</v>
      </c>
      <c r="N541">
        <v>454775</v>
      </c>
      <c r="O541" t="s">
        <v>18</v>
      </c>
      <c r="P541" s="8">
        <f t="shared" si="24"/>
        <v>4.1499999999999773</v>
      </c>
      <c r="Q541" t="s">
        <v>39</v>
      </c>
      <c r="R541">
        <f t="shared" si="25"/>
        <v>10</v>
      </c>
      <c r="S541" t="str">
        <f t="shared" si="26"/>
        <v>Oct</v>
      </c>
      <c r="T541" s="9">
        <f>VLOOKUP(O541, Annual_Summary!A:B, 2, 0)</f>
        <v>-0.4440050483803113</v>
      </c>
    </row>
    <row r="542" spans="1:20" x14ac:dyDescent="0.3">
      <c r="A542" s="1">
        <v>45960</v>
      </c>
      <c r="B542" s="3" t="s">
        <v>15</v>
      </c>
      <c r="C542" s="3">
        <v>1000</v>
      </c>
      <c r="D542" s="3">
        <v>1009.5</v>
      </c>
      <c r="E542" s="3">
        <v>997.1</v>
      </c>
      <c r="F542" s="3">
        <v>1007.85</v>
      </c>
      <c r="G542" s="3">
        <v>999.95</v>
      </c>
      <c r="H542" s="3">
        <v>998.15</v>
      </c>
      <c r="I542" s="3">
        <v>1001.53</v>
      </c>
      <c r="J542" s="3">
        <v>2037.7</v>
      </c>
      <c r="K542" s="3">
        <v>939.1</v>
      </c>
      <c r="L542" s="5">
        <v>19962917</v>
      </c>
      <c r="M542" s="2">
        <v>19993506579.25</v>
      </c>
      <c r="N542">
        <v>365104</v>
      </c>
      <c r="O542" t="s">
        <v>18</v>
      </c>
      <c r="P542" s="8">
        <f t="shared" si="24"/>
        <v>7.8500000000000227</v>
      </c>
      <c r="Q542" t="s">
        <v>39</v>
      </c>
      <c r="R542">
        <f t="shared" si="25"/>
        <v>10</v>
      </c>
      <c r="S542" t="str">
        <f t="shared" si="26"/>
        <v>Oct</v>
      </c>
      <c r="T542" s="9">
        <f>VLOOKUP(O542, Annual_Summary!A:B, 2, 0)</f>
        <v>-0.4440050483803113</v>
      </c>
    </row>
    <row r="543" spans="1:20" x14ac:dyDescent="0.3">
      <c r="A543" s="1">
        <v>45959</v>
      </c>
      <c r="B543" s="3" t="s">
        <v>15</v>
      </c>
      <c r="C543" s="3">
        <v>1004.9</v>
      </c>
      <c r="D543" s="3">
        <v>1012.5</v>
      </c>
      <c r="E543" s="3">
        <v>1000</v>
      </c>
      <c r="F543" s="3">
        <v>1003.55</v>
      </c>
      <c r="G543" s="3">
        <v>1008.5</v>
      </c>
      <c r="H543" s="3">
        <v>1007.85</v>
      </c>
      <c r="I543" s="3">
        <v>1007.89</v>
      </c>
      <c r="J543" s="3">
        <v>2037.7</v>
      </c>
      <c r="K543" s="3">
        <v>939.1</v>
      </c>
      <c r="L543" s="5">
        <v>17769445</v>
      </c>
      <c r="M543" s="2">
        <v>17909676109.650002</v>
      </c>
      <c r="N543">
        <v>281715</v>
      </c>
      <c r="O543" t="s">
        <v>18</v>
      </c>
      <c r="P543" s="8">
        <f t="shared" si="24"/>
        <v>-1.3500000000000227</v>
      </c>
      <c r="Q543" t="s">
        <v>39</v>
      </c>
      <c r="R543">
        <f t="shared" si="25"/>
        <v>10</v>
      </c>
      <c r="S543" t="str">
        <f t="shared" si="26"/>
        <v>Oct</v>
      </c>
      <c r="T543" s="9">
        <f>VLOOKUP(O543, Annual_Summary!A:B, 2, 0)</f>
        <v>-0.4440050483803113</v>
      </c>
    </row>
    <row r="544" spans="1:20" x14ac:dyDescent="0.3">
      <c r="A544" s="1">
        <v>45958</v>
      </c>
      <c r="B544" s="3" t="s">
        <v>15</v>
      </c>
      <c r="C544" s="3">
        <v>997.65</v>
      </c>
      <c r="D544" s="3">
        <v>1008</v>
      </c>
      <c r="E544" s="3">
        <v>995</v>
      </c>
      <c r="F544" s="3">
        <v>1002.95</v>
      </c>
      <c r="G544" s="3">
        <v>1004.9</v>
      </c>
      <c r="H544" s="3">
        <v>1003.55</v>
      </c>
      <c r="I544" s="3">
        <v>1001.18</v>
      </c>
      <c r="J544" s="3">
        <v>2037.7</v>
      </c>
      <c r="K544" s="3">
        <v>939.1</v>
      </c>
      <c r="L544" s="5">
        <v>33904289</v>
      </c>
      <c r="M544" s="2">
        <v>33944177651.400002</v>
      </c>
      <c r="N544">
        <v>423621</v>
      </c>
      <c r="O544" t="s">
        <v>18</v>
      </c>
      <c r="P544" s="8">
        <f t="shared" si="24"/>
        <v>5.3000000000000682</v>
      </c>
      <c r="Q544" t="s">
        <v>39</v>
      </c>
      <c r="R544">
        <f t="shared" si="25"/>
        <v>10</v>
      </c>
      <c r="S544" t="str">
        <f t="shared" si="26"/>
        <v>Oct</v>
      </c>
      <c r="T544" s="9">
        <f>VLOOKUP(O544, Annual_Summary!A:B, 2, 0)</f>
        <v>-0.4440050483803113</v>
      </c>
    </row>
    <row r="545" spans="1:20" x14ac:dyDescent="0.3">
      <c r="A545" s="1">
        <v>45957</v>
      </c>
      <c r="B545" s="3" t="s">
        <v>15</v>
      </c>
      <c r="C545" s="3">
        <v>996.5</v>
      </c>
      <c r="D545" s="3">
        <v>1009.05</v>
      </c>
      <c r="E545" s="3">
        <v>996.2</v>
      </c>
      <c r="F545" s="3">
        <v>994.75</v>
      </c>
      <c r="G545" s="3">
        <v>1003.5</v>
      </c>
      <c r="H545" s="3">
        <v>1002.95</v>
      </c>
      <c r="I545" s="3">
        <v>1003.92</v>
      </c>
      <c r="J545" s="3">
        <v>2037.7</v>
      </c>
      <c r="K545" s="3">
        <v>939.1</v>
      </c>
      <c r="L545" s="5">
        <v>15700796</v>
      </c>
      <c r="M545" s="2">
        <v>15762265430.25</v>
      </c>
      <c r="N545">
        <v>297938</v>
      </c>
      <c r="O545" t="s">
        <v>18</v>
      </c>
      <c r="P545" s="8">
        <f t="shared" si="24"/>
        <v>-1.75</v>
      </c>
      <c r="Q545" t="s">
        <v>39</v>
      </c>
      <c r="R545">
        <f t="shared" si="25"/>
        <v>10</v>
      </c>
      <c r="S545" t="str">
        <f t="shared" si="26"/>
        <v>Oct</v>
      </c>
      <c r="T545" s="9">
        <f>VLOOKUP(O545, Annual_Summary!A:B, 2, 0)</f>
        <v>-0.4440050483803113</v>
      </c>
    </row>
    <row r="546" spans="1:20" x14ac:dyDescent="0.3">
      <c r="A546" s="1">
        <v>45954</v>
      </c>
      <c r="B546" s="3" t="s">
        <v>15</v>
      </c>
      <c r="C546" s="3">
        <v>1011</v>
      </c>
      <c r="D546" s="3">
        <v>1011.95</v>
      </c>
      <c r="E546" s="3">
        <v>991.3</v>
      </c>
      <c r="F546" s="3">
        <v>1008.8</v>
      </c>
      <c r="G546" s="3">
        <v>995.9</v>
      </c>
      <c r="H546" s="3">
        <v>994.75</v>
      </c>
      <c r="I546" s="3">
        <v>999.4</v>
      </c>
      <c r="J546" s="3">
        <v>2037.7</v>
      </c>
      <c r="K546" s="3">
        <v>939.1</v>
      </c>
      <c r="L546" s="5">
        <v>17707768</v>
      </c>
      <c r="M546" s="2">
        <v>17697089817.299999</v>
      </c>
      <c r="N546">
        <v>362016</v>
      </c>
      <c r="O546" t="s">
        <v>18</v>
      </c>
      <c r="P546" s="8">
        <f t="shared" si="24"/>
        <v>-2.2000000000000455</v>
      </c>
      <c r="Q546" t="s">
        <v>39</v>
      </c>
      <c r="R546">
        <f t="shared" si="25"/>
        <v>10</v>
      </c>
      <c r="S546" t="str">
        <f t="shared" si="26"/>
        <v>Oct</v>
      </c>
      <c r="T546" s="9">
        <f>VLOOKUP(O546, Annual_Summary!A:B, 2, 0)</f>
        <v>-0.4440050483803113</v>
      </c>
    </row>
    <row r="547" spans="1:20" x14ac:dyDescent="0.3">
      <c r="A547" s="1">
        <v>45953</v>
      </c>
      <c r="B547" s="3" t="s">
        <v>15</v>
      </c>
      <c r="C547" s="3">
        <v>1016</v>
      </c>
      <c r="D547" s="3">
        <v>1020.5</v>
      </c>
      <c r="E547" s="3">
        <v>1006</v>
      </c>
      <c r="F547" s="3">
        <v>1007.7</v>
      </c>
      <c r="G547" s="3">
        <v>1006.6</v>
      </c>
      <c r="H547" s="3">
        <v>1008.8</v>
      </c>
      <c r="I547" s="3">
        <v>1013.19</v>
      </c>
      <c r="J547" s="3">
        <v>2037.7</v>
      </c>
      <c r="K547" s="3">
        <v>939.1</v>
      </c>
      <c r="L547" s="5">
        <v>43526526</v>
      </c>
      <c r="M547" s="2">
        <v>44100430667.150002</v>
      </c>
      <c r="N547">
        <v>518216</v>
      </c>
      <c r="O547" t="s">
        <v>18</v>
      </c>
      <c r="P547" s="8">
        <f t="shared" si="24"/>
        <v>-8.2999999999999545</v>
      </c>
      <c r="Q547" t="s">
        <v>39</v>
      </c>
      <c r="R547">
        <f t="shared" si="25"/>
        <v>10</v>
      </c>
      <c r="S547" t="str">
        <f t="shared" si="26"/>
        <v>Oct</v>
      </c>
      <c r="T547" s="9">
        <f>VLOOKUP(O547, Annual_Summary!A:B, 2, 0)</f>
        <v>-0.4440050483803113</v>
      </c>
    </row>
    <row r="548" spans="1:20" x14ac:dyDescent="0.3">
      <c r="A548" s="1">
        <v>45951</v>
      </c>
      <c r="B548" s="3" t="s">
        <v>15</v>
      </c>
      <c r="C548" s="3">
        <v>1006</v>
      </c>
      <c r="D548" s="3">
        <v>1010</v>
      </c>
      <c r="E548" s="3">
        <v>1004</v>
      </c>
      <c r="F548" s="3">
        <v>1002.95</v>
      </c>
      <c r="G548" s="3">
        <v>1004</v>
      </c>
      <c r="H548" s="3">
        <v>1007.7</v>
      </c>
      <c r="I548" s="3">
        <v>1008.15</v>
      </c>
      <c r="J548" s="3">
        <v>2037.7</v>
      </c>
      <c r="K548" s="3">
        <v>939.1</v>
      </c>
      <c r="L548" s="5">
        <v>3471600</v>
      </c>
      <c r="M548" s="2">
        <v>3499906215.3499999</v>
      </c>
      <c r="N548">
        <v>88749</v>
      </c>
      <c r="O548" t="s">
        <v>18</v>
      </c>
      <c r="P548" s="8">
        <f t="shared" si="24"/>
        <v>-3.0499999999999545</v>
      </c>
      <c r="Q548" t="s">
        <v>39</v>
      </c>
      <c r="R548">
        <f t="shared" si="25"/>
        <v>10</v>
      </c>
      <c r="S548" t="str">
        <f t="shared" si="26"/>
        <v>Oct</v>
      </c>
      <c r="T548" s="9">
        <f>VLOOKUP(O548, Annual_Summary!A:B, 2, 0)</f>
        <v>-0.4440050483803113</v>
      </c>
    </row>
    <row r="549" spans="1:20" x14ac:dyDescent="0.3">
      <c r="A549" s="1">
        <v>45950</v>
      </c>
      <c r="B549" s="3" t="s">
        <v>15</v>
      </c>
      <c r="C549" s="3">
        <v>997</v>
      </c>
      <c r="D549" s="3">
        <v>1020</v>
      </c>
      <c r="E549" s="3">
        <v>997</v>
      </c>
      <c r="F549" s="3">
        <v>1002.55</v>
      </c>
      <c r="G549" s="3">
        <v>1003.6</v>
      </c>
      <c r="H549" s="3">
        <v>1002.95</v>
      </c>
      <c r="I549" s="3">
        <v>1005.08</v>
      </c>
      <c r="J549" s="3">
        <v>2037.7</v>
      </c>
      <c r="K549" s="3">
        <v>939.1</v>
      </c>
      <c r="L549" s="5">
        <v>22195202</v>
      </c>
      <c r="M549" s="2">
        <v>22307932790.700001</v>
      </c>
      <c r="N549">
        <v>416206</v>
      </c>
      <c r="O549" t="s">
        <v>18</v>
      </c>
      <c r="P549" s="8">
        <f t="shared" si="24"/>
        <v>5.5499999999999545</v>
      </c>
      <c r="Q549" t="s">
        <v>39</v>
      </c>
      <c r="R549">
        <f t="shared" si="25"/>
        <v>10</v>
      </c>
      <c r="S549" t="str">
        <f t="shared" si="26"/>
        <v>Oct</v>
      </c>
      <c r="T549" s="9">
        <f>VLOOKUP(O549, Annual_Summary!A:B, 2, 0)</f>
        <v>-0.4440050483803113</v>
      </c>
    </row>
    <row r="550" spans="1:20" x14ac:dyDescent="0.3">
      <c r="A550" s="1">
        <v>45947</v>
      </c>
      <c r="B550" s="3" t="s">
        <v>15</v>
      </c>
      <c r="C550" s="3">
        <v>993.95</v>
      </c>
      <c r="D550" s="3">
        <v>1009</v>
      </c>
      <c r="E550" s="3">
        <v>986</v>
      </c>
      <c r="F550" s="3">
        <v>994.35</v>
      </c>
      <c r="G550" s="3">
        <v>1000.6</v>
      </c>
      <c r="H550" s="3">
        <v>1002.55</v>
      </c>
      <c r="I550" s="3">
        <v>1001.76</v>
      </c>
      <c r="J550" s="3">
        <v>2037.7</v>
      </c>
      <c r="K550" s="3">
        <v>939.1</v>
      </c>
      <c r="L550" s="5">
        <v>25210511</v>
      </c>
      <c r="M550" s="2">
        <v>25254761309.799999</v>
      </c>
      <c r="N550">
        <v>371430</v>
      </c>
      <c r="O550" t="s">
        <v>18</v>
      </c>
      <c r="P550" s="8">
        <f t="shared" si="24"/>
        <v>0.39999999999997726</v>
      </c>
      <c r="Q550" t="s">
        <v>39</v>
      </c>
      <c r="R550">
        <f t="shared" si="25"/>
        <v>10</v>
      </c>
      <c r="S550" t="str">
        <f t="shared" si="26"/>
        <v>Oct</v>
      </c>
      <c r="T550" s="9">
        <f>VLOOKUP(O550, Annual_Summary!A:B, 2, 0)</f>
        <v>-0.4440050483803113</v>
      </c>
    </row>
    <row r="551" spans="1:20" x14ac:dyDescent="0.3">
      <c r="A551" s="1">
        <v>45946</v>
      </c>
      <c r="B551" s="3" t="s">
        <v>15</v>
      </c>
      <c r="C551" s="3">
        <v>982.65</v>
      </c>
      <c r="D551" s="3">
        <v>996.6</v>
      </c>
      <c r="E551" s="3">
        <v>981.5</v>
      </c>
      <c r="F551" s="3">
        <v>978.25</v>
      </c>
      <c r="G551" s="3">
        <v>993.6</v>
      </c>
      <c r="H551" s="3">
        <v>994.35</v>
      </c>
      <c r="I551" s="3">
        <v>989.28</v>
      </c>
      <c r="J551" s="3">
        <v>2037.7</v>
      </c>
      <c r="K551" s="3">
        <v>939.1</v>
      </c>
      <c r="L551" s="5">
        <v>22936566</v>
      </c>
      <c r="M551" s="2">
        <v>22690615843.349998</v>
      </c>
      <c r="N551">
        <v>362882</v>
      </c>
      <c r="O551" t="s">
        <v>18</v>
      </c>
      <c r="P551" s="8">
        <f t="shared" si="24"/>
        <v>-4.3999999999999773</v>
      </c>
      <c r="Q551" t="s">
        <v>39</v>
      </c>
      <c r="R551">
        <f t="shared" si="25"/>
        <v>10</v>
      </c>
      <c r="S551" t="str">
        <f t="shared" si="26"/>
        <v>Oct</v>
      </c>
      <c r="T551" s="9">
        <f>VLOOKUP(O551, Annual_Summary!A:B, 2, 0)</f>
        <v>-0.4440050483803113</v>
      </c>
    </row>
    <row r="552" spans="1:20" x14ac:dyDescent="0.3">
      <c r="A552" s="1">
        <v>45945</v>
      </c>
      <c r="B552" s="3" t="s">
        <v>15</v>
      </c>
      <c r="C552" s="3">
        <v>975</v>
      </c>
      <c r="D552" s="3">
        <v>984.9</v>
      </c>
      <c r="E552" s="3">
        <v>973.35</v>
      </c>
      <c r="F552" s="3">
        <v>977.15</v>
      </c>
      <c r="G552" s="3">
        <v>978.5</v>
      </c>
      <c r="H552" s="3">
        <v>978.25</v>
      </c>
      <c r="I552" s="3">
        <v>979.29</v>
      </c>
      <c r="J552" s="3">
        <v>2037.7</v>
      </c>
      <c r="K552" s="3">
        <v>939.1</v>
      </c>
      <c r="L552" s="5">
        <v>23310447</v>
      </c>
      <c r="M552" s="2">
        <v>22827742875.950001</v>
      </c>
      <c r="N552">
        <v>251500</v>
      </c>
      <c r="O552" t="s">
        <v>18</v>
      </c>
      <c r="P552" s="8">
        <f t="shared" si="24"/>
        <v>2.1499999999999773</v>
      </c>
      <c r="Q552" t="s">
        <v>39</v>
      </c>
      <c r="R552">
        <f t="shared" si="25"/>
        <v>10</v>
      </c>
      <c r="S552" t="str">
        <f t="shared" si="26"/>
        <v>Oct</v>
      </c>
      <c r="T552" s="9">
        <f>VLOOKUP(O552, Annual_Summary!A:B, 2, 0)</f>
        <v>-0.4440050483803113</v>
      </c>
    </row>
    <row r="553" spans="1:20" x14ac:dyDescent="0.3">
      <c r="A553" s="1">
        <v>45944</v>
      </c>
      <c r="B553" s="3" t="s">
        <v>15</v>
      </c>
      <c r="C553" s="3">
        <v>970</v>
      </c>
      <c r="D553" s="3">
        <v>980.45</v>
      </c>
      <c r="E553" s="3">
        <v>967</v>
      </c>
      <c r="F553" s="3">
        <v>977</v>
      </c>
      <c r="G553" s="3">
        <v>976.25</v>
      </c>
      <c r="H553" s="3">
        <v>977.15</v>
      </c>
      <c r="I553" s="3">
        <v>975.43</v>
      </c>
      <c r="J553" s="3">
        <v>2037.7</v>
      </c>
      <c r="K553" s="3">
        <v>939.1</v>
      </c>
      <c r="L553" s="5">
        <v>22934382</v>
      </c>
      <c r="M553" s="2">
        <v>22370980681.75</v>
      </c>
      <c r="N553">
        <v>217173</v>
      </c>
      <c r="O553" t="s">
        <v>18</v>
      </c>
      <c r="P553" s="8">
        <f t="shared" si="24"/>
        <v>7</v>
      </c>
      <c r="Q553" t="s">
        <v>39</v>
      </c>
      <c r="R553">
        <f t="shared" si="25"/>
        <v>10</v>
      </c>
      <c r="S553" t="str">
        <f t="shared" si="26"/>
        <v>Oct</v>
      </c>
      <c r="T553" s="9">
        <f>VLOOKUP(O553, Annual_Summary!A:B, 2, 0)</f>
        <v>-0.4440050483803113</v>
      </c>
    </row>
    <row r="554" spans="1:20" x14ac:dyDescent="0.3">
      <c r="A554" s="1">
        <v>45943</v>
      </c>
      <c r="B554" s="3" t="s">
        <v>15</v>
      </c>
      <c r="C554" s="3">
        <v>974.3</v>
      </c>
      <c r="D554" s="3">
        <v>981</v>
      </c>
      <c r="E554" s="3">
        <v>972</v>
      </c>
      <c r="F554" s="3">
        <v>980.9</v>
      </c>
      <c r="G554" s="3">
        <v>977.1</v>
      </c>
      <c r="H554" s="3">
        <v>977</v>
      </c>
      <c r="I554" s="3">
        <v>977.15</v>
      </c>
      <c r="J554" s="3">
        <v>2037.7</v>
      </c>
      <c r="K554" s="3">
        <v>939.1</v>
      </c>
      <c r="L554" s="5">
        <v>18634254</v>
      </c>
      <c r="M554" s="2">
        <v>18208400781.700001</v>
      </c>
      <c r="N554">
        <v>280003</v>
      </c>
      <c r="O554" t="s">
        <v>18</v>
      </c>
      <c r="P554" s="8">
        <f t="shared" si="24"/>
        <v>6.6000000000000227</v>
      </c>
      <c r="Q554" t="s">
        <v>39</v>
      </c>
      <c r="R554">
        <f t="shared" si="25"/>
        <v>10</v>
      </c>
      <c r="S554" t="str">
        <f t="shared" si="26"/>
        <v>Oct</v>
      </c>
      <c r="T554" s="9">
        <f>VLOOKUP(O554, Annual_Summary!A:B, 2, 0)</f>
        <v>-0.4440050483803113</v>
      </c>
    </row>
    <row r="555" spans="1:20" x14ac:dyDescent="0.3">
      <c r="A555" s="1">
        <v>45940</v>
      </c>
      <c r="B555" s="3" t="s">
        <v>15</v>
      </c>
      <c r="C555" s="3">
        <v>979</v>
      </c>
      <c r="D555" s="3">
        <v>986.2</v>
      </c>
      <c r="E555" s="3">
        <v>978.1</v>
      </c>
      <c r="F555" s="3">
        <v>977.1</v>
      </c>
      <c r="G555" s="3">
        <v>981.45</v>
      </c>
      <c r="H555" s="3">
        <v>980.9</v>
      </c>
      <c r="I555" s="3">
        <v>982.56</v>
      </c>
      <c r="J555" s="3">
        <v>2037.7</v>
      </c>
      <c r="K555" s="3">
        <v>939.1</v>
      </c>
      <c r="L555" s="5">
        <v>13757080</v>
      </c>
      <c r="M555" s="2">
        <v>13517176056.049999</v>
      </c>
      <c r="N555">
        <v>237034</v>
      </c>
      <c r="O555" t="s">
        <v>18</v>
      </c>
      <c r="P555" s="8">
        <f t="shared" si="24"/>
        <v>-1.8999999999999773</v>
      </c>
      <c r="Q555" t="s">
        <v>39</v>
      </c>
      <c r="R555">
        <f t="shared" si="25"/>
        <v>10</v>
      </c>
      <c r="S555" t="str">
        <f t="shared" si="26"/>
        <v>Oct</v>
      </c>
      <c r="T555" s="9">
        <f>VLOOKUP(O555, Annual_Summary!A:B, 2, 0)</f>
        <v>-0.4440050483803113</v>
      </c>
    </row>
    <row r="556" spans="1:20" x14ac:dyDescent="0.3">
      <c r="A556" s="1">
        <v>45939</v>
      </c>
      <c r="B556" s="3" t="s">
        <v>15</v>
      </c>
      <c r="C556" s="3">
        <v>974.5</v>
      </c>
      <c r="D556" s="3">
        <v>979</v>
      </c>
      <c r="E556" s="3">
        <v>970.15</v>
      </c>
      <c r="F556" s="3">
        <v>978.7</v>
      </c>
      <c r="G556" s="3">
        <v>975</v>
      </c>
      <c r="H556" s="3">
        <v>977.1</v>
      </c>
      <c r="I556" s="3">
        <v>976</v>
      </c>
      <c r="J556" s="3">
        <v>2037.7</v>
      </c>
      <c r="K556" s="3">
        <v>939.1</v>
      </c>
      <c r="L556" s="5">
        <v>15370950</v>
      </c>
      <c r="M556" s="2">
        <v>15001996973.25</v>
      </c>
      <c r="N556">
        <v>213008</v>
      </c>
      <c r="O556" t="s">
        <v>18</v>
      </c>
      <c r="P556" s="8">
        <f t="shared" si="24"/>
        <v>4.2000000000000455</v>
      </c>
      <c r="Q556" t="s">
        <v>39</v>
      </c>
      <c r="R556">
        <f t="shared" si="25"/>
        <v>10</v>
      </c>
      <c r="S556" t="str">
        <f t="shared" si="26"/>
        <v>Oct</v>
      </c>
      <c r="T556" s="9">
        <f>VLOOKUP(O556, Annual_Summary!A:B, 2, 0)</f>
        <v>-0.4440050483803113</v>
      </c>
    </row>
    <row r="557" spans="1:20" x14ac:dyDescent="0.3">
      <c r="A557" s="1">
        <v>45938</v>
      </c>
      <c r="B557" s="3" t="s">
        <v>15</v>
      </c>
      <c r="C557" s="3">
        <v>976</v>
      </c>
      <c r="D557" s="3">
        <v>985.9</v>
      </c>
      <c r="E557" s="3">
        <v>974.55</v>
      </c>
      <c r="F557" s="3">
        <v>982.5</v>
      </c>
      <c r="G557" s="3">
        <v>977.2</v>
      </c>
      <c r="H557" s="3">
        <v>978.7</v>
      </c>
      <c r="I557" s="3">
        <v>979.57</v>
      </c>
      <c r="J557" s="3">
        <v>2037.7</v>
      </c>
      <c r="K557" s="3">
        <v>939.1</v>
      </c>
      <c r="L557" s="5">
        <v>15939710</v>
      </c>
      <c r="M557" s="2">
        <v>15613997664.15</v>
      </c>
      <c r="N557">
        <v>209764</v>
      </c>
      <c r="O557" t="s">
        <v>18</v>
      </c>
      <c r="P557" s="8">
        <f t="shared" si="24"/>
        <v>6.5</v>
      </c>
      <c r="Q557" t="s">
        <v>39</v>
      </c>
      <c r="R557">
        <f t="shared" si="25"/>
        <v>10</v>
      </c>
      <c r="S557" t="str">
        <f t="shared" si="26"/>
        <v>Oct</v>
      </c>
      <c r="T557" s="9">
        <f>VLOOKUP(O557, Annual_Summary!A:B, 2, 0)</f>
        <v>-0.4440050483803113</v>
      </c>
    </row>
    <row r="558" spans="1:20" x14ac:dyDescent="0.3">
      <c r="A558" s="1">
        <v>45937</v>
      </c>
      <c r="B558" s="3" t="s">
        <v>15</v>
      </c>
      <c r="C558" s="3">
        <v>974</v>
      </c>
      <c r="D558" s="3">
        <v>989.85</v>
      </c>
      <c r="E558" s="3">
        <v>971</v>
      </c>
      <c r="F558" s="3">
        <v>973.45</v>
      </c>
      <c r="G558" s="3">
        <v>981.8</v>
      </c>
      <c r="H558" s="3">
        <v>982.5</v>
      </c>
      <c r="I558" s="3">
        <v>983.54</v>
      </c>
      <c r="J558" s="3">
        <v>2037.7</v>
      </c>
      <c r="K558" s="3">
        <v>939.1</v>
      </c>
      <c r="L558" s="5">
        <v>25535736</v>
      </c>
      <c r="M558" s="2">
        <v>25115433186.599998</v>
      </c>
      <c r="N558">
        <v>246182</v>
      </c>
      <c r="O558" t="s">
        <v>18</v>
      </c>
      <c r="P558" s="8">
        <f t="shared" si="24"/>
        <v>-0.54999999999995453</v>
      </c>
      <c r="Q558" t="s">
        <v>39</v>
      </c>
      <c r="R558">
        <f t="shared" si="25"/>
        <v>10</v>
      </c>
      <c r="S558" t="str">
        <f t="shared" si="26"/>
        <v>Oct</v>
      </c>
      <c r="T558" s="9">
        <f>VLOOKUP(O558, Annual_Summary!A:B, 2, 0)</f>
        <v>-0.4440050483803113</v>
      </c>
    </row>
    <row r="559" spans="1:20" x14ac:dyDescent="0.3">
      <c r="A559" s="1">
        <v>45936</v>
      </c>
      <c r="B559" s="3" t="s">
        <v>15</v>
      </c>
      <c r="C559" s="3">
        <v>971.9</v>
      </c>
      <c r="D559" s="3">
        <v>977.4</v>
      </c>
      <c r="E559" s="3">
        <v>962</v>
      </c>
      <c r="F559" s="3">
        <v>965.15</v>
      </c>
      <c r="G559" s="3">
        <v>973.9</v>
      </c>
      <c r="H559" s="3">
        <v>973.45</v>
      </c>
      <c r="I559" s="3">
        <v>973.33</v>
      </c>
      <c r="J559" s="3">
        <v>2037.7</v>
      </c>
      <c r="K559" s="3">
        <v>939.1</v>
      </c>
      <c r="L559" s="5">
        <v>18542683</v>
      </c>
      <c r="M559" s="2">
        <v>18048185820.200001</v>
      </c>
      <c r="N559">
        <v>242243</v>
      </c>
      <c r="O559" t="s">
        <v>18</v>
      </c>
      <c r="P559" s="8">
        <f t="shared" si="24"/>
        <v>-6.75</v>
      </c>
      <c r="Q559" t="s">
        <v>39</v>
      </c>
      <c r="R559">
        <f t="shared" si="25"/>
        <v>10</v>
      </c>
      <c r="S559" t="str">
        <f t="shared" si="26"/>
        <v>Oct</v>
      </c>
      <c r="T559" s="9">
        <f>VLOOKUP(O559, Annual_Summary!A:B, 2, 0)</f>
        <v>-0.4440050483803113</v>
      </c>
    </row>
    <row r="560" spans="1:20" x14ac:dyDescent="0.3">
      <c r="A560" s="1">
        <v>45933</v>
      </c>
      <c r="B560" s="3" t="s">
        <v>15</v>
      </c>
      <c r="C560" s="3">
        <v>952</v>
      </c>
      <c r="D560" s="3">
        <v>966.75</v>
      </c>
      <c r="E560" s="3">
        <v>952</v>
      </c>
      <c r="F560" s="3">
        <v>965.25</v>
      </c>
      <c r="G560" s="3">
        <v>963.7</v>
      </c>
      <c r="H560" s="3">
        <v>965.15</v>
      </c>
      <c r="I560" s="3">
        <v>960.81</v>
      </c>
      <c r="J560" s="3">
        <v>2037.7</v>
      </c>
      <c r="K560" s="3">
        <v>939.1</v>
      </c>
      <c r="L560" s="5">
        <v>26658296</v>
      </c>
      <c r="M560" s="2">
        <v>25613477189.5</v>
      </c>
      <c r="N560">
        <v>262320</v>
      </c>
      <c r="O560" t="s">
        <v>18</v>
      </c>
      <c r="P560" s="8">
        <f t="shared" si="24"/>
        <v>13.25</v>
      </c>
      <c r="Q560" t="s">
        <v>39</v>
      </c>
      <c r="R560">
        <f t="shared" si="25"/>
        <v>10</v>
      </c>
      <c r="S560" t="str">
        <f t="shared" si="26"/>
        <v>Oct</v>
      </c>
      <c r="T560" s="9">
        <f>VLOOKUP(O560, Annual_Summary!A:B, 2, 0)</f>
        <v>-0.4440050483803113</v>
      </c>
    </row>
    <row r="561" spans="1:20" x14ac:dyDescent="0.3">
      <c r="A561" s="1">
        <v>45931</v>
      </c>
      <c r="B561" s="3" t="s">
        <v>15</v>
      </c>
      <c r="C561" s="3">
        <v>952.7</v>
      </c>
      <c r="D561" s="3">
        <v>969.6</v>
      </c>
      <c r="E561" s="3">
        <v>946</v>
      </c>
      <c r="F561" s="3">
        <v>951</v>
      </c>
      <c r="G561" s="3">
        <v>965.8</v>
      </c>
      <c r="H561" s="3">
        <v>965.25</v>
      </c>
      <c r="I561" s="3">
        <v>961.75</v>
      </c>
      <c r="J561" s="3">
        <v>2037.7</v>
      </c>
      <c r="K561" s="3">
        <v>939.1</v>
      </c>
      <c r="L561" s="5">
        <v>25350832</v>
      </c>
      <c r="M561" s="2">
        <v>24381070597.700001</v>
      </c>
      <c r="N561">
        <v>284713</v>
      </c>
      <c r="O561" t="s">
        <v>18</v>
      </c>
      <c r="P561" s="8">
        <f t="shared" si="24"/>
        <v>-1.7000000000000455</v>
      </c>
      <c r="Q561" t="s">
        <v>39</v>
      </c>
      <c r="R561">
        <f t="shared" si="25"/>
        <v>10</v>
      </c>
      <c r="S561" t="str">
        <f t="shared" si="26"/>
        <v>Oct</v>
      </c>
      <c r="T561" s="9">
        <f>VLOOKUP(O561, Annual_Summary!A:B, 2, 0)</f>
        <v>-0.4440050483803113</v>
      </c>
    </row>
    <row r="562" spans="1:20" x14ac:dyDescent="0.3">
      <c r="A562" s="1">
        <v>45930</v>
      </c>
      <c r="B562" s="3" t="s">
        <v>15</v>
      </c>
      <c r="C562" s="3">
        <v>958.05</v>
      </c>
      <c r="D562" s="3">
        <v>960</v>
      </c>
      <c r="E562" s="3">
        <v>946.3</v>
      </c>
      <c r="F562" s="3">
        <v>950.3</v>
      </c>
      <c r="G562" s="3">
        <v>952.5</v>
      </c>
      <c r="H562" s="3">
        <v>951</v>
      </c>
      <c r="I562" s="3">
        <v>951.48</v>
      </c>
      <c r="J562" s="3">
        <v>2037.7</v>
      </c>
      <c r="K562" s="3">
        <v>939.1</v>
      </c>
      <c r="L562" s="5">
        <v>28296687</v>
      </c>
      <c r="M562" s="2">
        <v>26923671201.950001</v>
      </c>
      <c r="N562">
        <v>254597</v>
      </c>
      <c r="O562" t="s">
        <v>18</v>
      </c>
      <c r="P562" s="8">
        <f t="shared" si="24"/>
        <v>-7.75</v>
      </c>
      <c r="Q562" t="s">
        <v>39</v>
      </c>
      <c r="R562">
        <f t="shared" si="25"/>
        <v>9</v>
      </c>
      <c r="S562" t="str">
        <f t="shared" si="26"/>
        <v>Sep</v>
      </c>
      <c r="T562" s="9">
        <f>VLOOKUP(O562, Annual_Summary!A:B, 2, 0)</f>
        <v>-0.4440050483803113</v>
      </c>
    </row>
    <row r="563" spans="1:20" x14ac:dyDescent="0.3">
      <c r="A563" s="1">
        <v>45929</v>
      </c>
      <c r="B563" s="3" t="s">
        <v>15</v>
      </c>
      <c r="C563" s="3">
        <v>946.05</v>
      </c>
      <c r="D563" s="3">
        <v>956.8</v>
      </c>
      <c r="E563" s="3">
        <v>939.1</v>
      </c>
      <c r="F563" s="3">
        <v>945.05</v>
      </c>
      <c r="G563" s="3">
        <v>953.4</v>
      </c>
      <c r="H563" s="3">
        <v>950.3</v>
      </c>
      <c r="I563" s="3">
        <v>950.17</v>
      </c>
      <c r="J563" s="3">
        <v>2037.7</v>
      </c>
      <c r="K563" s="3">
        <v>939.1</v>
      </c>
      <c r="L563" s="5">
        <v>32398179</v>
      </c>
      <c r="M563" s="2">
        <v>30783888581.799999</v>
      </c>
      <c r="N563">
        <v>296694</v>
      </c>
      <c r="O563" t="s">
        <v>18</v>
      </c>
      <c r="P563" s="8">
        <f t="shared" si="24"/>
        <v>-1</v>
      </c>
      <c r="Q563" t="s">
        <v>39</v>
      </c>
      <c r="R563">
        <f t="shared" si="25"/>
        <v>9</v>
      </c>
      <c r="S563" t="str">
        <f t="shared" si="26"/>
        <v>Sep</v>
      </c>
      <c r="T563" s="9">
        <f>VLOOKUP(O563, Annual_Summary!A:B, 2, 0)</f>
        <v>-0.4440050483803113</v>
      </c>
    </row>
    <row r="564" spans="1:20" x14ac:dyDescent="0.3">
      <c r="A564" s="1">
        <v>45926</v>
      </c>
      <c r="B564" s="3" t="s">
        <v>15</v>
      </c>
      <c r="C564" s="3">
        <v>945.1</v>
      </c>
      <c r="D564" s="3">
        <v>951.45</v>
      </c>
      <c r="E564" s="3">
        <v>941.3</v>
      </c>
      <c r="F564" s="3">
        <v>949.85</v>
      </c>
      <c r="G564" s="3">
        <v>944.25</v>
      </c>
      <c r="H564" s="3">
        <v>945.05</v>
      </c>
      <c r="I564" s="3">
        <v>945.96</v>
      </c>
      <c r="J564" s="3">
        <v>2037.7</v>
      </c>
      <c r="K564" s="3">
        <v>940</v>
      </c>
      <c r="L564" s="5">
        <v>14874656</v>
      </c>
      <c r="M564" s="2">
        <v>14070786048.15</v>
      </c>
      <c r="N564">
        <v>209563</v>
      </c>
      <c r="O564" t="s">
        <v>18</v>
      </c>
      <c r="P564" s="8">
        <f t="shared" si="24"/>
        <v>4.75</v>
      </c>
      <c r="Q564" t="s">
        <v>39</v>
      </c>
      <c r="R564">
        <f t="shared" si="25"/>
        <v>9</v>
      </c>
      <c r="S564" t="str">
        <f t="shared" si="26"/>
        <v>Sep</v>
      </c>
      <c r="T564" s="9">
        <f>VLOOKUP(O564, Annual_Summary!A:B, 2, 0)</f>
        <v>-0.4440050483803113</v>
      </c>
    </row>
    <row r="565" spans="1:20" x14ac:dyDescent="0.3">
      <c r="A565" s="1">
        <v>45925</v>
      </c>
      <c r="B565" s="3" t="s">
        <v>15</v>
      </c>
      <c r="C565" s="3">
        <v>952.5</v>
      </c>
      <c r="D565" s="3">
        <v>958</v>
      </c>
      <c r="E565" s="3">
        <v>947.4</v>
      </c>
      <c r="F565" s="3">
        <v>951.05</v>
      </c>
      <c r="G565" s="3">
        <v>951.2</v>
      </c>
      <c r="H565" s="3">
        <v>949.85</v>
      </c>
      <c r="I565" s="3">
        <v>952.03</v>
      </c>
      <c r="J565" s="3">
        <v>2037.7</v>
      </c>
      <c r="K565" s="3">
        <v>940</v>
      </c>
      <c r="L565" s="5">
        <v>31413279</v>
      </c>
      <c r="M565" s="2">
        <v>29906381362.700001</v>
      </c>
      <c r="N565">
        <v>256060</v>
      </c>
      <c r="O565" t="s">
        <v>18</v>
      </c>
      <c r="P565" s="8">
        <f t="shared" si="24"/>
        <v>-1.4500000000000455</v>
      </c>
      <c r="Q565" t="s">
        <v>39</v>
      </c>
      <c r="R565">
        <f t="shared" si="25"/>
        <v>9</v>
      </c>
      <c r="S565" t="str">
        <f t="shared" si="26"/>
        <v>Sep</v>
      </c>
      <c r="T565" s="9">
        <f>VLOOKUP(O565, Annual_Summary!A:B, 2, 0)</f>
        <v>-0.4440050483803113</v>
      </c>
    </row>
    <row r="566" spans="1:20" x14ac:dyDescent="0.3">
      <c r="A566" s="1">
        <v>45924</v>
      </c>
      <c r="B566" s="3" t="s">
        <v>15</v>
      </c>
      <c r="C566" s="3">
        <v>952.2</v>
      </c>
      <c r="D566" s="3">
        <v>956.45</v>
      </c>
      <c r="E566" s="3">
        <v>943</v>
      </c>
      <c r="F566" s="3">
        <v>957.2</v>
      </c>
      <c r="G566" s="3">
        <v>951</v>
      </c>
      <c r="H566" s="3">
        <v>951.05</v>
      </c>
      <c r="I566" s="3">
        <v>949.21</v>
      </c>
      <c r="J566" s="3">
        <v>2037.7</v>
      </c>
      <c r="K566" s="3">
        <v>940</v>
      </c>
      <c r="L566" s="5">
        <v>15117220</v>
      </c>
      <c r="M566" s="2">
        <v>14349411269.75</v>
      </c>
      <c r="N566">
        <v>248417</v>
      </c>
      <c r="O566" t="s">
        <v>18</v>
      </c>
      <c r="P566" s="8">
        <f t="shared" si="24"/>
        <v>5</v>
      </c>
      <c r="Q566" t="s">
        <v>39</v>
      </c>
      <c r="R566">
        <f t="shared" si="25"/>
        <v>9</v>
      </c>
      <c r="S566" t="str">
        <f t="shared" si="26"/>
        <v>Sep</v>
      </c>
      <c r="T566" s="9">
        <f>VLOOKUP(O566, Annual_Summary!A:B, 2, 0)</f>
        <v>-0.4440050483803113</v>
      </c>
    </row>
    <row r="567" spans="1:20" x14ac:dyDescent="0.3">
      <c r="A567" s="1">
        <v>45923</v>
      </c>
      <c r="B567" s="3" t="s">
        <v>15</v>
      </c>
      <c r="C567" s="3">
        <v>967</v>
      </c>
      <c r="D567" s="3">
        <v>968.2</v>
      </c>
      <c r="E567" s="3">
        <v>955.5</v>
      </c>
      <c r="F567" s="3">
        <v>964.2</v>
      </c>
      <c r="G567" s="3">
        <v>958.45</v>
      </c>
      <c r="H567" s="3">
        <v>957.2</v>
      </c>
      <c r="I567" s="3">
        <v>960.1</v>
      </c>
      <c r="J567" s="3">
        <v>2037.7</v>
      </c>
      <c r="K567" s="3">
        <v>940</v>
      </c>
      <c r="L567" s="5">
        <v>21022298</v>
      </c>
      <c r="M567" s="2">
        <v>20183427172.900002</v>
      </c>
      <c r="N567">
        <v>190721</v>
      </c>
      <c r="O567" t="s">
        <v>18</v>
      </c>
      <c r="P567" s="8">
        <f t="shared" si="24"/>
        <v>-2.7999999999999545</v>
      </c>
      <c r="Q567" t="s">
        <v>39</v>
      </c>
      <c r="R567">
        <f t="shared" si="25"/>
        <v>9</v>
      </c>
      <c r="S567" t="str">
        <f t="shared" si="26"/>
        <v>Sep</v>
      </c>
      <c r="T567" s="9">
        <f>VLOOKUP(O567, Annual_Summary!A:B, 2, 0)</f>
        <v>-0.4440050483803113</v>
      </c>
    </row>
    <row r="568" spans="1:20" x14ac:dyDescent="0.3">
      <c r="A568" s="1">
        <v>45922</v>
      </c>
      <c r="B568" s="3" t="s">
        <v>15</v>
      </c>
      <c r="C568" s="3">
        <v>964</v>
      </c>
      <c r="D568" s="3">
        <v>971.2</v>
      </c>
      <c r="E568" s="3">
        <v>961.95</v>
      </c>
      <c r="F568" s="3">
        <v>966.9</v>
      </c>
      <c r="G568" s="3">
        <v>965.4</v>
      </c>
      <c r="H568" s="3">
        <v>964.2</v>
      </c>
      <c r="I568" s="3">
        <v>966.4</v>
      </c>
      <c r="J568" s="3">
        <v>2037.7</v>
      </c>
      <c r="K568" s="3">
        <v>940</v>
      </c>
      <c r="L568" s="5">
        <v>10854415</v>
      </c>
      <c r="M568" s="2">
        <v>10489724995.75</v>
      </c>
      <c r="N568">
        <v>139126</v>
      </c>
      <c r="O568" t="s">
        <v>18</v>
      </c>
      <c r="P568" s="8">
        <f t="shared" si="24"/>
        <v>2.8999999999999773</v>
      </c>
      <c r="Q568" t="s">
        <v>39</v>
      </c>
      <c r="R568">
        <f t="shared" si="25"/>
        <v>9</v>
      </c>
      <c r="S568" t="str">
        <f t="shared" si="26"/>
        <v>Sep</v>
      </c>
      <c r="T568" s="9">
        <f>VLOOKUP(O568, Annual_Summary!A:B, 2, 0)</f>
        <v>-0.4440050483803113</v>
      </c>
    </row>
    <row r="569" spans="1:20" x14ac:dyDescent="0.3">
      <c r="A569" s="1">
        <v>45919</v>
      </c>
      <c r="B569" s="3" t="s">
        <v>15</v>
      </c>
      <c r="C569" s="3">
        <v>974.9</v>
      </c>
      <c r="D569" s="3">
        <v>976.7</v>
      </c>
      <c r="E569" s="3">
        <v>962.1</v>
      </c>
      <c r="F569" s="3">
        <v>976.9</v>
      </c>
      <c r="G569" s="3">
        <v>967</v>
      </c>
      <c r="H569" s="3">
        <v>966.9</v>
      </c>
      <c r="I569" s="3">
        <v>967.22</v>
      </c>
      <c r="J569" s="3">
        <v>2037.7</v>
      </c>
      <c r="K569" s="3">
        <v>940</v>
      </c>
      <c r="L569" s="5">
        <v>31243267</v>
      </c>
      <c r="M569" s="2">
        <v>30219230008.150002</v>
      </c>
      <c r="N569">
        <v>220137</v>
      </c>
      <c r="O569" t="s">
        <v>18</v>
      </c>
      <c r="P569" s="8">
        <f t="shared" si="24"/>
        <v>2</v>
      </c>
      <c r="Q569" t="s">
        <v>39</v>
      </c>
      <c r="R569">
        <f t="shared" si="25"/>
        <v>9</v>
      </c>
      <c r="S569" t="str">
        <f t="shared" si="26"/>
        <v>Sep</v>
      </c>
      <c r="T569" s="9">
        <f>VLOOKUP(O569, Annual_Summary!A:B, 2, 0)</f>
        <v>-0.4440050483803113</v>
      </c>
    </row>
    <row r="570" spans="1:20" x14ac:dyDescent="0.3">
      <c r="A570" s="1">
        <v>45918</v>
      </c>
      <c r="B570" s="3" t="s">
        <v>15</v>
      </c>
      <c r="C570" s="3">
        <v>973.3</v>
      </c>
      <c r="D570" s="3">
        <v>979.65</v>
      </c>
      <c r="E570" s="3">
        <v>969.25</v>
      </c>
      <c r="F570" s="3">
        <v>966.5</v>
      </c>
      <c r="G570" s="3">
        <v>976</v>
      </c>
      <c r="H570" s="3">
        <v>976.9</v>
      </c>
      <c r="I570" s="3">
        <v>974.66</v>
      </c>
      <c r="J570" s="3">
        <v>2037.7</v>
      </c>
      <c r="K570" s="3">
        <v>940</v>
      </c>
      <c r="L570" s="5">
        <v>17791598</v>
      </c>
      <c r="M570" s="2">
        <v>17340847521.599998</v>
      </c>
      <c r="N570">
        <v>267040</v>
      </c>
      <c r="O570" t="s">
        <v>18</v>
      </c>
      <c r="P570" s="8">
        <f t="shared" si="24"/>
        <v>-6.7999999999999545</v>
      </c>
      <c r="Q570" t="s">
        <v>39</v>
      </c>
      <c r="R570">
        <f t="shared" si="25"/>
        <v>9</v>
      </c>
      <c r="S570" t="str">
        <f t="shared" si="26"/>
        <v>Sep</v>
      </c>
      <c r="T570" s="9">
        <f>VLOOKUP(O570, Annual_Summary!A:B, 2, 0)</f>
        <v>-0.4440050483803113</v>
      </c>
    </row>
    <row r="571" spans="1:20" x14ac:dyDescent="0.3">
      <c r="A571" s="1">
        <v>45917</v>
      </c>
      <c r="B571" s="3" t="s">
        <v>15</v>
      </c>
      <c r="C571" s="3">
        <v>965.15</v>
      </c>
      <c r="D571" s="3">
        <v>974.4</v>
      </c>
      <c r="E571" s="3">
        <v>964.35</v>
      </c>
      <c r="F571" s="3">
        <v>966.85</v>
      </c>
      <c r="G571" s="3">
        <v>967</v>
      </c>
      <c r="H571" s="3">
        <v>966.5</v>
      </c>
      <c r="I571" s="3">
        <v>968.39</v>
      </c>
      <c r="J571" s="3">
        <v>2037.7</v>
      </c>
      <c r="K571" s="3">
        <v>940</v>
      </c>
      <c r="L571" s="5">
        <v>17361476</v>
      </c>
      <c r="M571" s="2">
        <v>16812655777.9</v>
      </c>
      <c r="N571">
        <v>269236</v>
      </c>
      <c r="O571" t="s">
        <v>18</v>
      </c>
      <c r="P571" s="8">
        <f t="shared" si="24"/>
        <v>1.7000000000000455</v>
      </c>
      <c r="Q571" t="s">
        <v>39</v>
      </c>
      <c r="R571">
        <f t="shared" si="25"/>
        <v>9</v>
      </c>
      <c r="S571" t="str">
        <f t="shared" si="26"/>
        <v>Sep</v>
      </c>
      <c r="T571" s="9">
        <f>VLOOKUP(O571, Annual_Summary!A:B, 2, 0)</f>
        <v>-0.4440050483803113</v>
      </c>
    </row>
    <row r="572" spans="1:20" x14ac:dyDescent="0.3">
      <c r="A572" s="1">
        <v>45916</v>
      </c>
      <c r="B572" s="3" t="s">
        <v>15</v>
      </c>
      <c r="C572" s="3">
        <v>961.2</v>
      </c>
      <c r="D572" s="3">
        <v>969.35</v>
      </c>
      <c r="E572" s="3">
        <v>961.2</v>
      </c>
      <c r="F572" s="3">
        <v>967.05</v>
      </c>
      <c r="G572" s="3">
        <v>966.3</v>
      </c>
      <c r="H572" s="3">
        <v>966.85</v>
      </c>
      <c r="I572" s="3">
        <v>966.32</v>
      </c>
      <c r="J572" s="3">
        <v>2037.7</v>
      </c>
      <c r="K572" s="3">
        <v>940</v>
      </c>
      <c r="L572" s="5">
        <v>18661794</v>
      </c>
      <c r="M572" s="2">
        <v>18033279292.75</v>
      </c>
      <c r="N572">
        <v>201920</v>
      </c>
      <c r="O572" t="s">
        <v>18</v>
      </c>
      <c r="P572" s="8">
        <f t="shared" si="24"/>
        <v>5.8499999999999091</v>
      </c>
      <c r="Q572" t="s">
        <v>39</v>
      </c>
      <c r="R572">
        <f t="shared" si="25"/>
        <v>9</v>
      </c>
      <c r="S572" t="str">
        <f t="shared" si="26"/>
        <v>Sep</v>
      </c>
      <c r="T572" s="9">
        <f>VLOOKUP(O572, Annual_Summary!A:B, 2, 0)</f>
        <v>-0.4440050483803113</v>
      </c>
    </row>
    <row r="573" spans="1:20" x14ac:dyDescent="0.3">
      <c r="A573" s="1">
        <v>45915</v>
      </c>
      <c r="B573" s="3" t="s">
        <v>15</v>
      </c>
      <c r="C573" s="3">
        <v>969.6</v>
      </c>
      <c r="D573" s="3">
        <v>972.35</v>
      </c>
      <c r="E573" s="3">
        <v>965</v>
      </c>
      <c r="F573" s="3">
        <v>967.3</v>
      </c>
      <c r="G573" s="3">
        <v>966.1</v>
      </c>
      <c r="H573" s="3">
        <v>967.05</v>
      </c>
      <c r="I573" s="3">
        <v>968.58</v>
      </c>
      <c r="J573" s="3">
        <v>2037.7</v>
      </c>
      <c r="K573" s="3">
        <v>940</v>
      </c>
      <c r="L573" s="5">
        <v>14486377</v>
      </c>
      <c r="M573" s="2">
        <v>14031209535.6</v>
      </c>
      <c r="N573">
        <v>198502</v>
      </c>
      <c r="O573" t="s">
        <v>18</v>
      </c>
      <c r="P573" s="8">
        <f t="shared" si="24"/>
        <v>-2.3000000000000682</v>
      </c>
      <c r="Q573" t="s">
        <v>39</v>
      </c>
      <c r="R573">
        <f t="shared" si="25"/>
        <v>9</v>
      </c>
      <c r="S573" t="str">
        <f t="shared" si="26"/>
        <v>Sep</v>
      </c>
      <c r="T573" s="9">
        <f>VLOOKUP(O573, Annual_Summary!A:B, 2, 0)</f>
        <v>-0.4440050483803113</v>
      </c>
    </row>
    <row r="574" spans="1:20" x14ac:dyDescent="0.3">
      <c r="A574" s="1">
        <v>45912</v>
      </c>
      <c r="B574" s="3" t="s">
        <v>15</v>
      </c>
      <c r="C574" s="3">
        <v>969.9</v>
      </c>
      <c r="D574" s="3">
        <v>970.75</v>
      </c>
      <c r="E574" s="3">
        <v>962.25</v>
      </c>
      <c r="F574" s="3">
        <v>967.8</v>
      </c>
      <c r="G574" s="3">
        <v>966.9</v>
      </c>
      <c r="H574" s="3">
        <v>967.3</v>
      </c>
      <c r="I574" s="3">
        <v>966.65</v>
      </c>
      <c r="J574" s="3">
        <v>2037.7</v>
      </c>
      <c r="K574" s="3">
        <v>940</v>
      </c>
      <c r="L574" s="5">
        <v>14363519</v>
      </c>
      <c r="M574" s="2">
        <v>13884430847.5</v>
      </c>
      <c r="N574">
        <v>265851</v>
      </c>
      <c r="O574" t="s">
        <v>18</v>
      </c>
      <c r="P574" s="8">
        <f t="shared" si="24"/>
        <v>-2.1000000000000227</v>
      </c>
      <c r="Q574" t="s">
        <v>39</v>
      </c>
      <c r="R574">
        <f t="shared" si="25"/>
        <v>9</v>
      </c>
      <c r="S574" t="str">
        <f t="shared" si="26"/>
        <v>Sep</v>
      </c>
      <c r="T574" s="9">
        <f>VLOOKUP(O574, Annual_Summary!A:B, 2, 0)</f>
        <v>-0.4440050483803113</v>
      </c>
    </row>
    <row r="575" spans="1:20" x14ac:dyDescent="0.3">
      <c r="A575" s="1">
        <v>45911</v>
      </c>
      <c r="B575" s="3" t="s">
        <v>15</v>
      </c>
      <c r="C575" s="3">
        <v>960.3</v>
      </c>
      <c r="D575" s="3">
        <v>969.25</v>
      </c>
      <c r="E575" s="3">
        <v>959.9</v>
      </c>
      <c r="F575" s="3">
        <v>965.9</v>
      </c>
      <c r="G575" s="3">
        <v>966.5</v>
      </c>
      <c r="H575" s="3">
        <v>967.8</v>
      </c>
      <c r="I575" s="3">
        <v>965.95</v>
      </c>
      <c r="J575" s="3">
        <v>2037.7</v>
      </c>
      <c r="K575" s="3">
        <v>940</v>
      </c>
      <c r="L575" s="5">
        <v>15113633</v>
      </c>
      <c r="M575" s="2">
        <v>14598945433.15</v>
      </c>
      <c r="N575">
        <v>220801</v>
      </c>
      <c r="O575" t="s">
        <v>18</v>
      </c>
      <c r="P575" s="8">
        <f t="shared" si="24"/>
        <v>5.6000000000000227</v>
      </c>
      <c r="Q575" t="s">
        <v>39</v>
      </c>
      <c r="R575">
        <f t="shared" si="25"/>
        <v>9</v>
      </c>
      <c r="S575" t="str">
        <f t="shared" si="26"/>
        <v>Sep</v>
      </c>
      <c r="T575" s="9">
        <f>VLOOKUP(O575, Annual_Summary!A:B, 2, 0)</f>
        <v>-0.4440050483803113</v>
      </c>
    </row>
    <row r="576" spans="1:20" x14ac:dyDescent="0.3">
      <c r="A576" s="1">
        <v>45910</v>
      </c>
      <c r="B576" s="3" t="s">
        <v>15</v>
      </c>
      <c r="C576" s="3">
        <v>973.9</v>
      </c>
      <c r="D576" s="3">
        <v>973.9</v>
      </c>
      <c r="E576" s="3">
        <v>961.7</v>
      </c>
      <c r="F576" s="3">
        <v>965.15</v>
      </c>
      <c r="G576" s="3">
        <v>965.5</v>
      </c>
      <c r="H576" s="3">
        <v>965.9</v>
      </c>
      <c r="I576" s="3">
        <v>966.21</v>
      </c>
      <c r="J576" s="3">
        <v>2037.7</v>
      </c>
      <c r="K576" s="3">
        <v>940</v>
      </c>
      <c r="L576" s="5">
        <v>18091100</v>
      </c>
      <c r="M576" s="2">
        <v>17479779505.299999</v>
      </c>
      <c r="N576">
        <v>218336</v>
      </c>
      <c r="O576" t="s">
        <v>18</v>
      </c>
      <c r="P576" s="8">
        <f t="shared" si="24"/>
        <v>-8.75</v>
      </c>
      <c r="Q576" t="s">
        <v>39</v>
      </c>
      <c r="R576">
        <f t="shared" si="25"/>
        <v>9</v>
      </c>
      <c r="S576" t="str">
        <f t="shared" si="26"/>
        <v>Sep</v>
      </c>
      <c r="T576" s="9">
        <f>VLOOKUP(O576, Annual_Summary!A:B, 2, 0)</f>
        <v>-0.4440050483803113</v>
      </c>
    </row>
    <row r="577" spans="1:20" x14ac:dyDescent="0.3">
      <c r="A577" s="1">
        <v>45909</v>
      </c>
      <c r="B577" s="3" t="s">
        <v>15</v>
      </c>
      <c r="C577" s="3">
        <v>974</v>
      </c>
      <c r="D577" s="3">
        <v>974.4</v>
      </c>
      <c r="E577" s="3">
        <v>962.7</v>
      </c>
      <c r="F577" s="3">
        <v>966</v>
      </c>
      <c r="G577" s="3">
        <v>966.45</v>
      </c>
      <c r="H577" s="3">
        <v>965.15</v>
      </c>
      <c r="I577" s="3">
        <v>967.81</v>
      </c>
      <c r="J577" s="3">
        <v>2037.7</v>
      </c>
      <c r="K577" s="3">
        <v>940</v>
      </c>
      <c r="L577" s="5">
        <v>13985539</v>
      </c>
      <c r="M577" s="2">
        <v>13535396477.200001</v>
      </c>
      <c r="N577">
        <v>181800</v>
      </c>
      <c r="O577" t="s">
        <v>18</v>
      </c>
      <c r="P577" s="8">
        <f t="shared" si="24"/>
        <v>-8</v>
      </c>
      <c r="Q577" t="s">
        <v>39</v>
      </c>
      <c r="R577">
        <f t="shared" si="25"/>
        <v>9</v>
      </c>
      <c r="S577" t="str">
        <f t="shared" si="26"/>
        <v>Sep</v>
      </c>
      <c r="T577" s="9">
        <f>VLOOKUP(O577, Annual_Summary!A:B, 2, 0)</f>
        <v>-0.4440050483803113</v>
      </c>
    </row>
    <row r="578" spans="1:20" x14ac:dyDescent="0.3">
      <c r="A578" s="1">
        <v>45908</v>
      </c>
      <c r="B578" s="3" t="s">
        <v>15</v>
      </c>
      <c r="C578" s="3">
        <v>969</v>
      </c>
      <c r="D578" s="3">
        <v>973.15</v>
      </c>
      <c r="E578" s="3">
        <v>960.45</v>
      </c>
      <c r="F578" s="3">
        <v>963.4</v>
      </c>
      <c r="G578" s="3">
        <v>967.35</v>
      </c>
      <c r="H578" s="3">
        <v>966</v>
      </c>
      <c r="I578" s="3">
        <v>967.58</v>
      </c>
      <c r="J578" s="3">
        <v>2037.7</v>
      </c>
      <c r="K578" s="3">
        <v>940</v>
      </c>
      <c r="L578" s="5">
        <v>11711307</v>
      </c>
      <c r="M578" s="2">
        <v>11331677355.700001</v>
      </c>
      <c r="N578">
        <v>193535</v>
      </c>
      <c r="O578" t="s">
        <v>18</v>
      </c>
      <c r="P578" s="8">
        <f t="shared" si="24"/>
        <v>-5.6000000000000227</v>
      </c>
      <c r="Q578" t="s">
        <v>39</v>
      </c>
      <c r="R578">
        <f t="shared" si="25"/>
        <v>9</v>
      </c>
      <c r="S578" t="str">
        <f t="shared" si="26"/>
        <v>Sep</v>
      </c>
      <c r="T578" s="9">
        <f>VLOOKUP(O578, Annual_Summary!A:B, 2, 0)</f>
        <v>-0.4440050483803113</v>
      </c>
    </row>
    <row r="579" spans="1:20" x14ac:dyDescent="0.3">
      <c r="A579" s="1">
        <v>45905</v>
      </c>
      <c r="B579" s="3" t="s">
        <v>15</v>
      </c>
      <c r="C579" s="3">
        <v>967.5</v>
      </c>
      <c r="D579" s="3">
        <v>967.5</v>
      </c>
      <c r="E579" s="3">
        <v>954.05</v>
      </c>
      <c r="F579" s="3">
        <v>961.25</v>
      </c>
      <c r="G579" s="3">
        <v>962.6</v>
      </c>
      <c r="H579" s="3">
        <v>963.4</v>
      </c>
      <c r="I579" s="3">
        <v>960.7</v>
      </c>
      <c r="J579" s="3">
        <v>2037.7</v>
      </c>
      <c r="K579" s="3">
        <v>940</v>
      </c>
      <c r="L579" s="5">
        <v>11602111</v>
      </c>
      <c r="M579" s="2">
        <v>11146202039.65</v>
      </c>
      <c r="N579">
        <v>210037</v>
      </c>
      <c r="O579" t="s">
        <v>18</v>
      </c>
      <c r="P579" s="8">
        <f t="shared" ref="P579:P642" si="27">F579-C579</f>
        <v>-6.25</v>
      </c>
      <c r="Q579" t="s">
        <v>39</v>
      </c>
      <c r="R579">
        <f t="shared" ref="R579:R642" si="28">MONTH(A579)</f>
        <v>9</v>
      </c>
      <c r="S579" t="str">
        <f t="shared" ref="S579:S642" si="29">TEXT(A579,"mmm")</f>
        <v>Sep</v>
      </c>
      <c r="T579" s="9">
        <f>VLOOKUP(O579, Annual_Summary!A:B, 2, 0)</f>
        <v>-0.4440050483803113</v>
      </c>
    </row>
    <row r="580" spans="1:20" x14ac:dyDescent="0.3">
      <c r="A580" s="1">
        <v>45904</v>
      </c>
      <c r="B580" s="3" t="s">
        <v>15</v>
      </c>
      <c r="C580" s="3">
        <v>960.2</v>
      </c>
      <c r="D580" s="3">
        <v>965.7</v>
      </c>
      <c r="E580" s="3">
        <v>956.25</v>
      </c>
      <c r="F580" s="3">
        <v>954.45</v>
      </c>
      <c r="G580" s="3">
        <v>960.95</v>
      </c>
      <c r="H580" s="3">
        <v>961.25</v>
      </c>
      <c r="I580" s="3">
        <v>961.34</v>
      </c>
      <c r="J580" s="3">
        <v>2037.7</v>
      </c>
      <c r="K580" s="3">
        <v>940</v>
      </c>
      <c r="L580" s="5">
        <v>17597657</v>
      </c>
      <c r="M580" s="2">
        <v>16917300954.6</v>
      </c>
      <c r="N580">
        <v>212281</v>
      </c>
      <c r="O580" t="s">
        <v>18</v>
      </c>
      <c r="P580" s="8">
        <f t="shared" si="27"/>
        <v>-5.75</v>
      </c>
      <c r="Q580" t="s">
        <v>39</v>
      </c>
      <c r="R580">
        <f t="shared" si="28"/>
        <v>9</v>
      </c>
      <c r="S580" t="str">
        <f t="shared" si="29"/>
        <v>Sep</v>
      </c>
      <c r="T580" s="9">
        <f>VLOOKUP(O580, Annual_Summary!A:B, 2, 0)</f>
        <v>-0.4440050483803113</v>
      </c>
    </row>
    <row r="581" spans="1:20" x14ac:dyDescent="0.3">
      <c r="A581" s="1">
        <v>45903</v>
      </c>
      <c r="B581" s="3" t="s">
        <v>15</v>
      </c>
      <c r="C581" s="3">
        <v>945</v>
      </c>
      <c r="D581" s="3">
        <v>956.3</v>
      </c>
      <c r="E581" s="3">
        <v>940</v>
      </c>
      <c r="F581" s="3">
        <v>944.5</v>
      </c>
      <c r="G581" s="3">
        <v>953.95</v>
      </c>
      <c r="H581" s="3">
        <v>954.45</v>
      </c>
      <c r="I581" s="3">
        <v>947.66</v>
      </c>
      <c r="J581" s="3">
        <v>2037.7</v>
      </c>
      <c r="K581" s="3">
        <v>940</v>
      </c>
      <c r="L581" s="5">
        <v>16083481</v>
      </c>
      <c r="M581" s="2">
        <v>15241746460.65</v>
      </c>
      <c r="N581">
        <v>288240</v>
      </c>
      <c r="O581" t="s">
        <v>18</v>
      </c>
      <c r="P581" s="8">
        <f t="shared" si="27"/>
        <v>-0.5</v>
      </c>
      <c r="Q581" t="s">
        <v>39</v>
      </c>
      <c r="R581">
        <f t="shared" si="28"/>
        <v>9</v>
      </c>
      <c r="S581" t="str">
        <f t="shared" si="29"/>
        <v>Sep</v>
      </c>
      <c r="T581" s="9">
        <f>VLOOKUP(O581, Annual_Summary!A:B, 2, 0)</f>
        <v>-0.4440050483803113</v>
      </c>
    </row>
    <row r="582" spans="1:20" x14ac:dyDescent="0.3">
      <c r="A582" s="1">
        <v>45902</v>
      </c>
      <c r="B582" s="3" t="s">
        <v>15</v>
      </c>
      <c r="C582" s="3">
        <v>951</v>
      </c>
      <c r="D582" s="3">
        <v>954.8</v>
      </c>
      <c r="E582" s="3">
        <v>944</v>
      </c>
      <c r="F582" s="3">
        <v>950.6</v>
      </c>
      <c r="G582" s="3">
        <v>944.7</v>
      </c>
      <c r="H582" s="3">
        <v>944.5</v>
      </c>
      <c r="I582" s="3">
        <v>948.8</v>
      </c>
      <c r="J582" s="3">
        <v>2037.7</v>
      </c>
      <c r="K582" s="3">
        <v>944</v>
      </c>
      <c r="L582" s="5">
        <v>14196320</v>
      </c>
      <c r="M582" s="2">
        <v>13469417784.700001</v>
      </c>
      <c r="N582">
        <v>343637</v>
      </c>
      <c r="O582" t="s">
        <v>18</v>
      </c>
      <c r="P582" s="8">
        <f t="shared" si="27"/>
        <v>-0.39999999999997726</v>
      </c>
      <c r="Q582" t="s">
        <v>39</v>
      </c>
      <c r="R582">
        <f t="shared" si="28"/>
        <v>9</v>
      </c>
      <c r="S582" t="str">
        <f t="shared" si="29"/>
        <v>Sep</v>
      </c>
      <c r="T582" s="9">
        <f>VLOOKUP(O582, Annual_Summary!A:B, 2, 0)</f>
        <v>-0.4440050483803113</v>
      </c>
    </row>
    <row r="583" spans="1:20" x14ac:dyDescent="0.3">
      <c r="A583" s="1">
        <v>45901</v>
      </c>
      <c r="B583" s="3" t="s">
        <v>15</v>
      </c>
      <c r="C583" s="3">
        <v>949.6</v>
      </c>
      <c r="D583" s="3">
        <v>957.45</v>
      </c>
      <c r="E583" s="3">
        <v>946.35</v>
      </c>
      <c r="F583" s="3">
        <v>951.6</v>
      </c>
      <c r="G583" s="3">
        <v>950.8</v>
      </c>
      <c r="H583" s="3">
        <v>950.6</v>
      </c>
      <c r="I583" s="3">
        <v>950.62</v>
      </c>
      <c r="J583" s="3">
        <v>2037.7</v>
      </c>
      <c r="K583" s="3">
        <v>946.35</v>
      </c>
      <c r="L583" s="5">
        <v>20178344</v>
      </c>
      <c r="M583" s="2">
        <v>19181919082.150002</v>
      </c>
      <c r="N583">
        <v>410933</v>
      </c>
      <c r="O583" t="s">
        <v>18</v>
      </c>
      <c r="P583" s="8">
        <f t="shared" si="27"/>
        <v>2</v>
      </c>
      <c r="Q583" t="s">
        <v>39</v>
      </c>
      <c r="R583">
        <f t="shared" si="28"/>
        <v>9</v>
      </c>
      <c r="S583" t="str">
        <f t="shared" si="29"/>
        <v>Sep</v>
      </c>
      <c r="T583" s="9">
        <f>VLOOKUP(O583, Annual_Summary!A:B, 2, 0)</f>
        <v>-0.4440050483803113</v>
      </c>
    </row>
    <row r="584" spans="1:20" x14ac:dyDescent="0.3">
      <c r="A584" s="1">
        <v>45898</v>
      </c>
      <c r="B584" s="3" t="s">
        <v>15</v>
      </c>
      <c r="C584" s="3">
        <v>954</v>
      </c>
      <c r="D584" s="3">
        <v>963.3</v>
      </c>
      <c r="E584" s="3">
        <v>950.1</v>
      </c>
      <c r="F584" s="3">
        <v>957.8</v>
      </c>
      <c r="G584" s="3">
        <v>953.4</v>
      </c>
      <c r="H584" s="3">
        <v>951.6</v>
      </c>
      <c r="I584" s="3">
        <v>955.24</v>
      </c>
      <c r="J584" s="3">
        <v>2037.7</v>
      </c>
      <c r="K584" s="3">
        <v>950.1</v>
      </c>
      <c r="L584" s="5">
        <v>14823813</v>
      </c>
      <c r="M584" s="2">
        <v>14160314228.1</v>
      </c>
      <c r="N584">
        <v>260839</v>
      </c>
      <c r="O584" t="s">
        <v>18</v>
      </c>
      <c r="P584" s="8">
        <f t="shared" si="27"/>
        <v>3.7999999999999545</v>
      </c>
      <c r="Q584" t="s">
        <v>39</v>
      </c>
      <c r="R584">
        <f t="shared" si="28"/>
        <v>8</v>
      </c>
      <c r="S584" t="str">
        <f t="shared" si="29"/>
        <v>Aug</v>
      </c>
      <c r="T584" s="9">
        <f>VLOOKUP(O584, Annual_Summary!A:B, 2, 0)</f>
        <v>-0.4440050483803113</v>
      </c>
    </row>
    <row r="585" spans="1:20" x14ac:dyDescent="0.3">
      <c r="A585" s="1">
        <v>45897</v>
      </c>
      <c r="B585" s="3" t="s">
        <v>15</v>
      </c>
      <c r="C585" s="3">
        <v>967</v>
      </c>
      <c r="D585" s="3">
        <v>972.2</v>
      </c>
      <c r="E585" s="3">
        <v>955</v>
      </c>
      <c r="F585" s="3">
        <v>973.4</v>
      </c>
      <c r="G585" s="3">
        <v>961.8</v>
      </c>
      <c r="H585" s="3">
        <v>957.8</v>
      </c>
      <c r="I585" s="3">
        <v>962.09</v>
      </c>
      <c r="J585" s="3">
        <v>2037.7</v>
      </c>
      <c r="K585" s="3">
        <v>955</v>
      </c>
      <c r="L585" s="5">
        <v>25438255</v>
      </c>
      <c r="M585" s="2">
        <v>24473886027.799999</v>
      </c>
      <c r="N585">
        <v>377835</v>
      </c>
      <c r="O585" t="s">
        <v>18</v>
      </c>
      <c r="P585" s="8">
        <f t="shared" si="27"/>
        <v>6.3999999999999773</v>
      </c>
      <c r="Q585" t="s">
        <v>39</v>
      </c>
      <c r="R585">
        <f t="shared" si="28"/>
        <v>8</v>
      </c>
      <c r="S585" t="str">
        <f t="shared" si="29"/>
        <v>Aug</v>
      </c>
      <c r="T585" s="9">
        <f>VLOOKUP(O585, Annual_Summary!A:B, 2, 0)</f>
        <v>-0.4440050483803113</v>
      </c>
    </row>
    <row r="586" spans="1:20" x14ac:dyDescent="0.3">
      <c r="A586" s="1">
        <v>45895</v>
      </c>
      <c r="B586" s="3" t="s">
        <v>15</v>
      </c>
      <c r="C586" s="3">
        <v>979.5</v>
      </c>
      <c r="D586" s="3">
        <v>985.7</v>
      </c>
      <c r="E586" s="3">
        <v>968</v>
      </c>
      <c r="F586" s="3">
        <v>1964.1</v>
      </c>
      <c r="G586" s="3">
        <v>972.3</v>
      </c>
      <c r="H586" s="3">
        <v>973.4</v>
      </c>
      <c r="I586" s="3">
        <v>973.26</v>
      </c>
      <c r="J586" s="3">
        <v>2037.7</v>
      </c>
      <c r="K586" s="3">
        <v>968</v>
      </c>
      <c r="L586" s="5">
        <v>16917731</v>
      </c>
      <c r="M586" s="2">
        <v>16465410030.9</v>
      </c>
      <c r="N586">
        <v>296302</v>
      </c>
      <c r="O586" t="s">
        <v>18</v>
      </c>
      <c r="P586" s="8">
        <f t="shared" si="27"/>
        <v>984.59999999999991</v>
      </c>
      <c r="Q586" t="s">
        <v>39</v>
      </c>
      <c r="R586">
        <f t="shared" si="28"/>
        <v>8</v>
      </c>
      <c r="S586" t="str">
        <f t="shared" si="29"/>
        <v>Aug</v>
      </c>
      <c r="T586" s="9">
        <f>VLOOKUP(O586, Annual_Summary!A:B, 2, 0)</f>
        <v>-0.4440050483803113</v>
      </c>
    </row>
    <row r="587" spans="1:20" x14ac:dyDescent="0.3">
      <c r="A587" s="1">
        <v>45894</v>
      </c>
      <c r="B587" s="3" t="s">
        <v>15</v>
      </c>
      <c r="C587" s="3">
        <v>1960.2</v>
      </c>
      <c r="D587" s="3">
        <v>1977.4</v>
      </c>
      <c r="E587" s="3">
        <v>1957</v>
      </c>
      <c r="F587" s="3">
        <v>1964.6</v>
      </c>
      <c r="G587" s="3">
        <v>1969.2</v>
      </c>
      <c r="H587" s="3">
        <v>1964.1</v>
      </c>
      <c r="I587" s="3">
        <v>1967.27</v>
      </c>
      <c r="J587" s="3">
        <v>2037.7</v>
      </c>
      <c r="K587" s="3">
        <v>1613</v>
      </c>
      <c r="L587" s="5">
        <v>8759022</v>
      </c>
      <c r="M587" s="2">
        <v>17231388424.400002</v>
      </c>
      <c r="N587">
        <v>217503</v>
      </c>
      <c r="O587" t="s">
        <v>18</v>
      </c>
      <c r="P587" s="8">
        <f t="shared" si="27"/>
        <v>4.3999999999998636</v>
      </c>
      <c r="Q587" t="s">
        <v>39</v>
      </c>
      <c r="R587">
        <f t="shared" si="28"/>
        <v>8</v>
      </c>
      <c r="S587" t="str">
        <f t="shared" si="29"/>
        <v>Aug</v>
      </c>
      <c r="T587" s="9">
        <f>VLOOKUP(O587, Annual_Summary!A:B, 2, 0)</f>
        <v>-0.4440050483803113</v>
      </c>
    </row>
    <row r="588" spans="1:20" x14ac:dyDescent="0.3">
      <c r="A588" s="1">
        <v>45891</v>
      </c>
      <c r="B588" s="3" t="s">
        <v>15</v>
      </c>
      <c r="C588" s="3">
        <v>1989.9</v>
      </c>
      <c r="D588" s="3">
        <v>1996</v>
      </c>
      <c r="E588" s="3">
        <v>1957.1</v>
      </c>
      <c r="F588" s="3">
        <v>1991.2</v>
      </c>
      <c r="G588" s="3">
        <v>1965.5</v>
      </c>
      <c r="H588" s="3">
        <v>1964.6</v>
      </c>
      <c r="I588" s="3">
        <v>1968.66</v>
      </c>
      <c r="J588" s="3">
        <v>2037.7</v>
      </c>
      <c r="K588" s="3">
        <v>1613</v>
      </c>
      <c r="L588" s="5">
        <v>9916751</v>
      </c>
      <c r="M588" s="2">
        <v>19522714269.099998</v>
      </c>
      <c r="N588">
        <v>253318</v>
      </c>
      <c r="O588" t="s">
        <v>18</v>
      </c>
      <c r="P588" s="8">
        <f t="shared" si="27"/>
        <v>1.2999999999999545</v>
      </c>
      <c r="Q588" t="s">
        <v>39</v>
      </c>
      <c r="R588">
        <f t="shared" si="28"/>
        <v>8</v>
      </c>
      <c r="S588" t="str">
        <f t="shared" si="29"/>
        <v>Aug</v>
      </c>
      <c r="T588" s="9">
        <f>VLOOKUP(O588, Annual_Summary!A:B, 2, 0)</f>
        <v>-0.4440050483803113</v>
      </c>
    </row>
    <row r="589" spans="1:20" x14ac:dyDescent="0.3">
      <c r="A589" s="1">
        <v>45890</v>
      </c>
      <c r="B589" s="3" t="s">
        <v>15</v>
      </c>
      <c r="C589" s="3">
        <v>1997.5</v>
      </c>
      <c r="D589" s="3">
        <v>1997.5</v>
      </c>
      <c r="E589" s="3">
        <v>1983.2</v>
      </c>
      <c r="F589" s="3">
        <v>1988.2</v>
      </c>
      <c r="G589" s="3">
        <v>1990.5</v>
      </c>
      <c r="H589" s="3">
        <v>1991.2</v>
      </c>
      <c r="I589" s="3">
        <v>1991.62</v>
      </c>
      <c r="J589" s="3">
        <v>2037.7</v>
      </c>
      <c r="K589" s="3">
        <v>1613</v>
      </c>
      <c r="L589" s="5">
        <v>6219925</v>
      </c>
      <c r="M589" s="2">
        <v>12387722464</v>
      </c>
      <c r="N589">
        <v>160599</v>
      </c>
      <c r="O589" t="s">
        <v>18</v>
      </c>
      <c r="P589" s="8">
        <f t="shared" si="27"/>
        <v>-9.2999999999999545</v>
      </c>
      <c r="Q589" t="s">
        <v>39</v>
      </c>
      <c r="R589">
        <f t="shared" si="28"/>
        <v>8</v>
      </c>
      <c r="S589" t="str">
        <f t="shared" si="29"/>
        <v>Aug</v>
      </c>
      <c r="T589" s="9">
        <f>VLOOKUP(O589, Annual_Summary!A:B, 2, 0)</f>
        <v>-0.4440050483803113</v>
      </c>
    </row>
    <row r="590" spans="1:20" x14ac:dyDescent="0.3">
      <c r="A590" s="1">
        <v>45889</v>
      </c>
      <c r="B590" s="3" t="s">
        <v>15</v>
      </c>
      <c r="C590" s="3">
        <v>1987</v>
      </c>
      <c r="D590" s="3">
        <v>1992</v>
      </c>
      <c r="E590" s="3">
        <v>1979</v>
      </c>
      <c r="F590" s="3">
        <v>1991.1</v>
      </c>
      <c r="G590" s="3">
        <v>1988.3</v>
      </c>
      <c r="H590" s="3">
        <v>1988.2</v>
      </c>
      <c r="I590" s="3">
        <v>1985.13</v>
      </c>
      <c r="J590" s="3">
        <v>2037.7</v>
      </c>
      <c r="K590" s="3">
        <v>1613</v>
      </c>
      <c r="L590" s="5">
        <v>4975114</v>
      </c>
      <c r="M590" s="2">
        <v>9876263155.2999992</v>
      </c>
      <c r="N590">
        <v>173424</v>
      </c>
      <c r="O590" t="s">
        <v>18</v>
      </c>
      <c r="P590" s="8">
        <f t="shared" si="27"/>
        <v>4.0999999999999091</v>
      </c>
      <c r="Q590" t="s">
        <v>39</v>
      </c>
      <c r="R590">
        <f t="shared" si="28"/>
        <v>8</v>
      </c>
      <c r="S590" t="str">
        <f t="shared" si="29"/>
        <v>Aug</v>
      </c>
      <c r="T590" s="9">
        <f>VLOOKUP(O590, Annual_Summary!A:B, 2, 0)</f>
        <v>-0.4440050483803113</v>
      </c>
    </row>
    <row r="591" spans="1:20" x14ac:dyDescent="0.3">
      <c r="A591" s="1">
        <v>45888</v>
      </c>
      <c r="B591" s="3" t="s">
        <v>15</v>
      </c>
      <c r="C591" s="3">
        <v>1998.3</v>
      </c>
      <c r="D591" s="3">
        <v>2006.1</v>
      </c>
      <c r="E591" s="3">
        <v>1986.7</v>
      </c>
      <c r="F591" s="3">
        <v>2003.6</v>
      </c>
      <c r="G591" s="3">
        <v>1990</v>
      </c>
      <c r="H591" s="3">
        <v>1991.1</v>
      </c>
      <c r="I591" s="3">
        <v>1995.49</v>
      </c>
      <c r="J591" s="3">
        <v>2037.7</v>
      </c>
      <c r="K591" s="3">
        <v>1613</v>
      </c>
      <c r="L591" s="5">
        <v>6176219</v>
      </c>
      <c r="M591" s="2">
        <v>12324574114.9</v>
      </c>
      <c r="N591">
        <v>170899</v>
      </c>
      <c r="O591" t="s">
        <v>18</v>
      </c>
      <c r="P591" s="8">
        <f t="shared" si="27"/>
        <v>5.2999999999999545</v>
      </c>
      <c r="Q591" t="s">
        <v>39</v>
      </c>
      <c r="R591">
        <f t="shared" si="28"/>
        <v>8</v>
      </c>
      <c r="S591" t="str">
        <f t="shared" si="29"/>
        <v>Aug</v>
      </c>
      <c r="T591" s="9">
        <f>VLOOKUP(O591, Annual_Summary!A:B, 2, 0)</f>
        <v>-0.4440050483803113</v>
      </c>
    </row>
    <row r="592" spans="1:20" x14ac:dyDescent="0.3">
      <c r="A592" s="1">
        <v>45887</v>
      </c>
      <c r="B592" s="3" t="s">
        <v>15</v>
      </c>
      <c r="C592" s="3">
        <v>2010</v>
      </c>
      <c r="D592" s="3">
        <v>2026.6</v>
      </c>
      <c r="E592" s="3">
        <v>1995.6</v>
      </c>
      <c r="F592" s="3">
        <v>1991.1</v>
      </c>
      <c r="G592" s="3">
        <v>2005</v>
      </c>
      <c r="H592" s="3">
        <v>2003.6</v>
      </c>
      <c r="I592" s="3">
        <v>2008.73</v>
      </c>
      <c r="J592" s="3">
        <v>2037.7</v>
      </c>
      <c r="K592" s="3">
        <v>1613</v>
      </c>
      <c r="L592" s="5">
        <v>9642398</v>
      </c>
      <c r="M592" s="2">
        <v>19368989917.900002</v>
      </c>
      <c r="N592">
        <v>220027</v>
      </c>
      <c r="O592" t="s">
        <v>18</v>
      </c>
      <c r="P592" s="8">
        <f t="shared" si="27"/>
        <v>-18.900000000000091</v>
      </c>
      <c r="Q592" t="s">
        <v>39</v>
      </c>
      <c r="R592">
        <f t="shared" si="28"/>
        <v>8</v>
      </c>
      <c r="S592" t="str">
        <f t="shared" si="29"/>
        <v>Aug</v>
      </c>
      <c r="T592" s="9">
        <f>VLOOKUP(O592, Annual_Summary!A:B, 2, 0)</f>
        <v>-0.4440050483803113</v>
      </c>
    </row>
    <row r="593" spans="1:20" x14ac:dyDescent="0.3">
      <c r="A593" s="1">
        <v>45883</v>
      </c>
      <c r="B593" s="3" t="s">
        <v>15</v>
      </c>
      <c r="C593" s="3">
        <v>1978</v>
      </c>
      <c r="D593" s="3">
        <v>1996</v>
      </c>
      <c r="E593" s="3">
        <v>1971.2</v>
      </c>
      <c r="F593" s="3">
        <v>1980.3</v>
      </c>
      <c r="G593" s="3">
        <v>1989.5</v>
      </c>
      <c r="H593" s="3">
        <v>1991.1</v>
      </c>
      <c r="I593" s="3">
        <v>1990.18</v>
      </c>
      <c r="J593" s="3">
        <v>2037.7</v>
      </c>
      <c r="K593" s="3">
        <v>1601.15</v>
      </c>
      <c r="L593" s="5">
        <v>8755858</v>
      </c>
      <c r="M593" s="2">
        <v>17425742818.700001</v>
      </c>
      <c r="N593">
        <v>174342</v>
      </c>
      <c r="O593" t="s">
        <v>18</v>
      </c>
      <c r="P593" s="8">
        <f t="shared" si="27"/>
        <v>2.2999999999999545</v>
      </c>
      <c r="Q593" t="s">
        <v>39</v>
      </c>
      <c r="R593">
        <f t="shared" si="28"/>
        <v>8</v>
      </c>
      <c r="S593" t="str">
        <f t="shared" si="29"/>
        <v>Aug</v>
      </c>
      <c r="T593" s="9">
        <f>VLOOKUP(O593, Annual_Summary!A:B, 2, 0)</f>
        <v>-0.4440050483803113</v>
      </c>
    </row>
    <row r="594" spans="1:20" x14ac:dyDescent="0.3">
      <c r="A594" s="1">
        <v>45882</v>
      </c>
      <c r="B594" s="3" t="s">
        <v>15</v>
      </c>
      <c r="C594" s="3">
        <v>1994</v>
      </c>
      <c r="D594" s="3">
        <v>1994</v>
      </c>
      <c r="E594" s="3">
        <v>1969.1</v>
      </c>
      <c r="F594" s="3">
        <v>1969.9</v>
      </c>
      <c r="G594" s="3">
        <v>1979.9</v>
      </c>
      <c r="H594" s="3">
        <v>1980.3</v>
      </c>
      <c r="I594" s="3">
        <v>1977.14</v>
      </c>
      <c r="J594" s="3">
        <v>2037.7</v>
      </c>
      <c r="K594" s="3">
        <v>1601.15</v>
      </c>
      <c r="L594" s="5">
        <v>6788698</v>
      </c>
      <c r="M594" s="2">
        <v>13422176534.1</v>
      </c>
      <c r="N594">
        <v>177703</v>
      </c>
      <c r="O594" t="s">
        <v>18</v>
      </c>
      <c r="P594" s="8">
        <f t="shared" si="27"/>
        <v>-24.099999999999909</v>
      </c>
      <c r="Q594" t="s">
        <v>39</v>
      </c>
      <c r="R594">
        <f t="shared" si="28"/>
        <v>8</v>
      </c>
      <c r="S594" t="str">
        <f t="shared" si="29"/>
        <v>Aug</v>
      </c>
      <c r="T594" s="9">
        <f>VLOOKUP(O594, Annual_Summary!A:B, 2, 0)</f>
        <v>-0.4440050483803113</v>
      </c>
    </row>
    <row r="595" spans="1:20" x14ac:dyDescent="0.3">
      <c r="A595" s="1">
        <v>45881</v>
      </c>
      <c r="B595" s="3" t="s">
        <v>15</v>
      </c>
      <c r="C595" s="3">
        <v>1991.9</v>
      </c>
      <c r="D595" s="3">
        <v>1996</v>
      </c>
      <c r="E595" s="3">
        <v>1967.5</v>
      </c>
      <c r="F595" s="3">
        <v>1995.6</v>
      </c>
      <c r="G595" s="3">
        <v>1969.7</v>
      </c>
      <c r="H595" s="3">
        <v>1969.9</v>
      </c>
      <c r="I595" s="3">
        <v>1978.54</v>
      </c>
      <c r="J595" s="3">
        <v>2037.7</v>
      </c>
      <c r="K595" s="3">
        <v>1601.15</v>
      </c>
      <c r="L595" s="5">
        <v>6468901</v>
      </c>
      <c r="M595" s="2">
        <v>12798999218.200001</v>
      </c>
      <c r="N595">
        <v>237925</v>
      </c>
      <c r="O595" t="s">
        <v>18</v>
      </c>
      <c r="P595" s="8">
        <f t="shared" si="27"/>
        <v>3.6999999999998181</v>
      </c>
      <c r="Q595" t="s">
        <v>39</v>
      </c>
      <c r="R595">
        <f t="shared" si="28"/>
        <v>8</v>
      </c>
      <c r="S595" t="str">
        <f t="shared" si="29"/>
        <v>Aug</v>
      </c>
      <c r="T595" s="9">
        <f>VLOOKUP(O595, Annual_Summary!A:B, 2, 0)</f>
        <v>-0.4440050483803113</v>
      </c>
    </row>
    <row r="596" spans="1:20" x14ac:dyDescent="0.3">
      <c r="A596" s="1">
        <v>45880</v>
      </c>
      <c r="B596" s="3" t="s">
        <v>15</v>
      </c>
      <c r="C596" s="3">
        <v>1975.9</v>
      </c>
      <c r="D596" s="3">
        <v>1997.6</v>
      </c>
      <c r="E596" s="3">
        <v>1973.1</v>
      </c>
      <c r="F596" s="3">
        <v>1973.9</v>
      </c>
      <c r="G596" s="3">
        <v>1992</v>
      </c>
      <c r="H596" s="3">
        <v>1995.6</v>
      </c>
      <c r="I596" s="3">
        <v>1986.89</v>
      </c>
      <c r="J596" s="3">
        <v>2037.7</v>
      </c>
      <c r="K596" s="3">
        <v>1601.15</v>
      </c>
      <c r="L596" s="5">
        <v>4552927</v>
      </c>
      <c r="M596" s="2">
        <v>9046155578.7000008</v>
      </c>
      <c r="N596">
        <v>165998</v>
      </c>
      <c r="O596" t="s">
        <v>18</v>
      </c>
      <c r="P596" s="8">
        <f t="shared" si="27"/>
        <v>-2</v>
      </c>
      <c r="Q596" t="s">
        <v>39</v>
      </c>
      <c r="R596">
        <f t="shared" si="28"/>
        <v>8</v>
      </c>
      <c r="S596" t="str">
        <f t="shared" si="29"/>
        <v>Aug</v>
      </c>
      <c r="T596" s="9">
        <f>VLOOKUP(O596, Annual_Summary!A:B, 2, 0)</f>
        <v>-0.4440050483803113</v>
      </c>
    </row>
    <row r="597" spans="1:20" x14ac:dyDescent="0.3">
      <c r="A597" s="1">
        <v>45877</v>
      </c>
      <c r="B597" s="3" t="s">
        <v>15</v>
      </c>
      <c r="C597" s="3">
        <v>1987.1</v>
      </c>
      <c r="D597" s="3">
        <v>1992.8</v>
      </c>
      <c r="E597" s="3">
        <v>1970</v>
      </c>
      <c r="F597" s="3">
        <v>1995.4</v>
      </c>
      <c r="G597" s="3">
        <v>1972</v>
      </c>
      <c r="H597" s="3">
        <v>1973.9</v>
      </c>
      <c r="I597" s="3">
        <v>1978.99</v>
      </c>
      <c r="J597" s="3">
        <v>2037.7</v>
      </c>
      <c r="K597" s="3">
        <v>1593.3</v>
      </c>
      <c r="L597" s="5">
        <v>6947632</v>
      </c>
      <c r="M597" s="2">
        <v>13749288126.4</v>
      </c>
      <c r="N597">
        <v>178320</v>
      </c>
      <c r="O597" t="s">
        <v>18</v>
      </c>
      <c r="P597" s="8">
        <f t="shared" si="27"/>
        <v>8.3000000000001819</v>
      </c>
      <c r="Q597" t="s">
        <v>39</v>
      </c>
      <c r="R597">
        <f t="shared" si="28"/>
        <v>8</v>
      </c>
      <c r="S597" t="str">
        <f t="shared" si="29"/>
        <v>Aug</v>
      </c>
      <c r="T597" s="9">
        <f>VLOOKUP(O597, Annual_Summary!A:B, 2, 0)</f>
        <v>-0.4440050483803113</v>
      </c>
    </row>
    <row r="598" spans="1:20" x14ac:dyDescent="0.3">
      <c r="A598" s="1">
        <v>45876</v>
      </c>
      <c r="B598" s="3" t="s">
        <v>15</v>
      </c>
      <c r="C598" s="3">
        <v>1980.1</v>
      </c>
      <c r="D598" s="3">
        <v>2001.6</v>
      </c>
      <c r="E598" s="3">
        <v>1976.8</v>
      </c>
      <c r="F598" s="3">
        <v>1985.3</v>
      </c>
      <c r="G598" s="3">
        <v>1998</v>
      </c>
      <c r="H598" s="3">
        <v>1995.4</v>
      </c>
      <c r="I598" s="3">
        <v>1986.09</v>
      </c>
      <c r="J598" s="3">
        <v>2037.7</v>
      </c>
      <c r="K598" s="3">
        <v>1593.3</v>
      </c>
      <c r="L598" s="5">
        <v>6540593</v>
      </c>
      <c r="M598" s="2">
        <v>12990237207.700001</v>
      </c>
      <c r="N598">
        <v>223527</v>
      </c>
      <c r="O598" t="s">
        <v>18</v>
      </c>
      <c r="P598" s="8">
        <f t="shared" si="27"/>
        <v>5.2000000000000455</v>
      </c>
      <c r="Q598" t="s">
        <v>39</v>
      </c>
      <c r="R598">
        <f t="shared" si="28"/>
        <v>8</v>
      </c>
      <c r="S598" t="str">
        <f t="shared" si="29"/>
        <v>Aug</v>
      </c>
      <c r="T598" s="9">
        <f>VLOOKUP(O598, Annual_Summary!A:B, 2, 0)</f>
        <v>-0.4440050483803113</v>
      </c>
    </row>
    <row r="599" spans="1:20" x14ac:dyDescent="0.3">
      <c r="A599" s="1">
        <v>45875</v>
      </c>
      <c r="B599" s="3" t="s">
        <v>15</v>
      </c>
      <c r="C599" s="3">
        <v>1971.1</v>
      </c>
      <c r="D599" s="3">
        <v>1988</v>
      </c>
      <c r="E599" s="3">
        <v>1970</v>
      </c>
      <c r="F599" s="3">
        <v>1977.6</v>
      </c>
      <c r="G599" s="3">
        <v>1987</v>
      </c>
      <c r="H599" s="3">
        <v>1985.3</v>
      </c>
      <c r="I599" s="3">
        <v>1978.39</v>
      </c>
      <c r="J599" s="3">
        <v>2037.7</v>
      </c>
      <c r="K599" s="3">
        <v>1593.3</v>
      </c>
      <c r="L599" s="5">
        <v>7040102</v>
      </c>
      <c r="M599" s="2">
        <v>13928074705.9</v>
      </c>
      <c r="N599">
        <v>211058</v>
      </c>
      <c r="O599" t="s">
        <v>18</v>
      </c>
      <c r="P599" s="8">
        <f t="shared" si="27"/>
        <v>6.5</v>
      </c>
      <c r="Q599" t="s">
        <v>39</v>
      </c>
      <c r="R599">
        <f t="shared" si="28"/>
        <v>8</v>
      </c>
      <c r="S599" t="str">
        <f t="shared" si="29"/>
        <v>Aug</v>
      </c>
      <c r="T599" s="9">
        <f>VLOOKUP(O599, Annual_Summary!A:B, 2, 0)</f>
        <v>-0.4440050483803113</v>
      </c>
    </row>
    <row r="600" spans="1:20" x14ac:dyDescent="0.3">
      <c r="A600" s="1">
        <v>45874</v>
      </c>
      <c r="B600" s="3" t="s">
        <v>15</v>
      </c>
      <c r="C600" s="3">
        <v>1986.5</v>
      </c>
      <c r="D600" s="3">
        <v>1994.4</v>
      </c>
      <c r="E600" s="3">
        <v>1965.5</v>
      </c>
      <c r="F600" s="3">
        <v>1992</v>
      </c>
      <c r="G600" s="3">
        <v>1981</v>
      </c>
      <c r="H600" s="3">
        <v>1977.6</v>
      </c>
      <c r="I600" s="3">
        <v>1975.61</v>
      </c>
      <c r="J600" s="3">
        <v>2037.7</v>
      </c>
      <c r="K600" s="3">
        <v>1593.3</v>
      </c>
      <c r="L600" s="5">
        <v>11989029</v>
      </c>
      <c r="M600" s="2">
        <v>23685633703.599998</v>
      </c>
      <c r="N600">
        <v>194332</v>
      </c>
      <c r="O600" t="s">
        <v>18</v>
      </c>
      <c r="P600" s="8">
        <f t="shared" si="27"/>
        <v>5.5</v>
      </c>
      <c r="Q600" t="s">
        <v>39</v>
      </c>
      <c r="R600">
        <f t="shared" si="28"/>
        <v>8</v>
      </c>
      <c r="S600" t="str">
        <f t="shared" si="29"/>
        <v>Aug</v>
      </c>
      <c r="T600" s="9">
        <f>VLOOKUP(O600, Annual_Summary!A:B, 2, 0)</f>
        <v>-0.4440050483803113</v>
      </c>
    </row>
    <row r="601" spans="1:20" x14ac:dyDescent="0.3">
      <c r="A601" s="1">
        <v>45873</v>
      </c>
      <c r="B601" s="3" t="s">
        <v>15</v>
      </c>
      <c r="C601" s="3">
        <v>2010.1</v>
      </c>
      <c r="D601" s="3">
        <v>2018.5</v>
      </c>
      <c r="E601" s="3">
        <v>1988.1</v>
      </c>
      <c r="F601" s="3">
        <v>2012.2</v>
      </c>
      <c r="G601" s="3">
        <v>1994.4</v>
      </c>
      <c r="H601" s="3">
        <v>1992</v>
      </c>
      <c r="I601" s="3">
        <v>1997.96</v>
      </c>
      <c r="J601" s="3">
        <v>2037.7</v>
      </c>
      <c r="K601" s="3">
        <v>1593.3</v>
      </c>
      <c r="L601" s="5">
        <v>6966973</v>
      </c>
      <c r="M601" s="2">
        <v>13919756957.200001</v>
      </c>
      <c r="N601">
        <v>248150</v>
      </c>
      <c r="O601" t="s">
        <v>18</v>
      </c>
      <c r="P601" s="8">
        <f t="shared" si="27"/>
        <v>2.1000000000001364</v>
      </c>
      <c r="Q601" t="s">
        <v>39</v>
      </c>
      <c r="R601">
        <f t="shared" si="28"/>
        <v>8</v>
      </c>
      <c r="S601" t="str">
        <f t="shared" si="29"/>
        <v>Aug</v>
      </c>
      <c r="T601" s="9">
        <f>VLOOKUP(O601, Annual_Summary!A:B, 2, 0)</f>
        <v>-0.4440050483803113</v>
      </c>
    </row>
    <row r="602" spans="1:20" x14ac:dyDescent="0.3">
      <c r="A602" s="1">
        <v>45870</v>
      </c>
      <c r="B602" s="3" t="s">
        <v>15</v>
      </c>
      <c r="C602" s="3">
        <v>2014</v>
      </c>
      <c r="D602" s="3">
        <v>2028.3</v>
      </c>
      <c r="E602" s="3">
        <v>2009.3</v>
      </c>
      <c r="F602" s="3">
        <v>2018.2</v>
      </c>
      <c r="G602" s="3">
        <v>2016.9</v>
      </c>
      <c r="H602" s="3">
        <v>2012.2</v>
      </c>
      <c r="I602" s="3">
        <v>2015.24</v>
      </c>
      <c r="J602" s="3">
        <v>2037.7</v>
      </c>
      <c r="K602" s="3">
        <v>1593.3</v>
      </c>
      <c r="L602" s="5">
        <v>5658629</v>
      </c>
      <c r="M602" s="2">
        <v>11403473962.299999</v>
      </c>
      <c r="N602">
        <v>138595</v>
      </c>
      <c r="O602" t="s">
        <v>18</v>
      </c>
      <c r="P602" s="8">
        <f t="shared" si="27"/>
        <v>4.2000000000000455</v>
      </c>
      <c r="Q602" t="s">
        <v>39</v>
      </c>
      <c r="R602">
        <f t="shared" si="28"/>
        <v>8</v>
      </c>
      <c r="S602" t="str">
        <f t="shared" si="29"/>
        <v>Aug</v>
      </c>
      <c r="T602" s="9">
        <f>VLOOKUP(O602, Annual_Summary!A:B, 2, 0)</f>
        <v>-0.4440050483803113</v>
      </c>
    </row>
    <row r="603" spans="1:20" x14ac:dyDescent="0.3">
      <c r="A603" s="1">
        <v>45869</v>
      </c>
      <c r="B603" s="3" t="s">
        <v>15</v>
      </c>
      <c r="C603" s="3">
        <v>2014.6</v>
      </c>
      <c r="D603" s="3">
        <v>2031.4</v>
      </c>
      <c r="E603" s="3">
        <v>2008</v>
      </c>
      <c r="F603" s="3">
        <v>2025.8</v>
      </c>
      <c r="G603" s="3">
        <v>2018</v>
      </c>
      <c r="H603" s="3">
        <v>2018.2</v>
      </c>
      <c r="I603" s="3">
        <v>2020.81</v>
      </c>
      <c r="J603" s="3">
        <v>2037.7</v>
      </c>
      <c r="K603" s="3">
        <v>1593.3</v>
      </c>
      <c r="L603" s="5">
        <v>11091516</v>
      </c>
      <c r="M603" s="2">
        <v>22413795872.200001</v>
      </c>
      <c r="N603">
        <v>199191</v>
      </c>
      <c r="O603" t="s">
        <v>18</v>
      </c>
      <c r="P603" s="8">
        <f t="shared" si="27"/>
        <v>11.200000000000045</v>
      </c>
      <c r="Q603" t="s">
        <v>39</v>
      </c>
      <c r="R603">
        <f t="shared" si="28"/>
        <v>7</v>
      </c>
      <c r="S603" t="str">
        <f t="shared" si="29"/>
        <v>Jul</v>
      </c>
      <c r="T603" s="9">
        <f>VLOOKUP(O603, Annual_Summary!A:B, 2, 0)</f>
        <v>-0.4440050483803113</v>
      </c>
    </row>
    <row r="604" spans="1:20" x14ac:dyDescent="0.3">
      <c r="A604" s="1">
        <v>45868</v>
      </c>
      <c r="B604" s="3" t="s">
        <v>15</v>
      </c>
      <c r="C604" s="3">
        <v>2028</v>
      </c>
      <c r="D604" s="3">
        <v>2032.6</v>
      </c>
      <c r="E604" s="3">
        <v>2017</v>
      </c>
      <c r="F604" s="3">
        <v>2021.6</v>
      </c>
      <c r="G604" s="3">
        <v>2025.9</v>
      </c>
      <c r="H604" s="3">
        <v>2025.8</v>
      </c>
      <c r="I604" s="3">
        <v>2023.94</v>
      </c>
      <c r="J604" s="3">
        <v>2037.7</v>
      </c>
      <c r="K604" s="3">
        <v>1593.3</v>
      </c>
      <c r="L604" s="5">
        <v>7577018</v>
      </c>
      <c r="M604" s="2">
        <v>15335457713.700001</v>
      </c>
      <c r="N604">
        <v>152763</v>
      </c>
      <c r="O604" t="s">
        <v>18</v>
      </c>
      <c r="P604" s="8">
        <f t="shared" si="27"/>
        <v>-6.4000000000000909</v>
      </c>
      <c r="Q604" t="s">
        <v>39</v>
      </c>
      <c r="R604">
        <f t="shared" si="28"/>
        <v>7</v>
      </c>
      <c r="S604" t="str">
        <f t="shared" si="29"/>
        <v>Jul</v>
      </c>
      <c r="T604" s="9">
        <f>VLOOKUP(O604, Annual_Summary!A:B, 2, 0)</f>
        <v>-0.4440050483803113</v>
      </c>
    </row>
    <row r="605" spans="1:20" x14ac:dyDescent="0.3">
      <c r="A605" s="1">
        <v>45867</v>
      </c>
      <c r="B605" s="3" t="s">
        <v>15</v>
      </c>
      <c r="C605" s="3">
        <v>1999.9</v>
      </c>
      <c r="D605" s="3">
        <v>2026.5</v>
      </c>
      <c r="E605" s="3">
        <v>1996.3</v>
      </c>
      <c r="F605" s="3">
        <v>2008.5</v>
      </c>
      <c r="G605" s="3">
        <v>2023</v>
      </c>
      <c r="H605" s="3">
        <v>2021.6</v>
      </c>
      <c r="I605" s="3">
        <v>2015.07</v>
      </c>
      <c r="J605" s="3">
        <v>2037.7</v>
      </c>
      <c r="K605" s="3">
        <v>1593.3</v>
      </c>
      <c r="L605" s="5">
        <v>9947848</v>
      </c>
      <c r="M605" s="2">
        <v>20045635384.900002</v>
      </c>
      <c r="N605">
        <v>234546</v>
      </c>
      <c r="O605" t="s">
        <v>18</v>
      </c>
      <c r="P605" s="8">
        <f t="shared" si="27"/>
        <v>8.5999999999999091</v>
      </c>
      <c r="Q605" t="s">
        <v>39</v>
      </c>
      <c r="R605">
        <f t="shared" si="28"/>
        <v>7</v>
      </c>
      <c r="S605" t="str">
        <f t="shared" si="29"/>
        <v>Jul</v>
      </c>
      <c r="T605" s="9">
        <f>VLOOKUP(O605, Annual_Summary!A:B, 2, 0)</f>
        <v>-0.4440050483803113</v>
      </c>
    </row>
    <row r="606" spans="1:20" x14ac:dyDescent="0.3">
      <c r="A606" s="1">
        <v>45866</v>
      </c>
      <c r="B606" s="3" t="s">
        <v>15</v>
      </c>
      <c r="C606" s="3">
        <v>2003</v>
      </c>
      <c r="D606" s="3">
        <v>2021.4</v>
      </c>
      <c r="E606" s="3">
        <v>2000.5</v>
      </c>
      <c r="F606" s="3">
        <v>2004.6</v>
      </c>
      <c r="G606" s="3">
        <v>2009.9</v>
      </c>
      <c r="H606" s="3">
        <v>2008.5</v>
      </c>
      <c r="I606" s="3">
        <v>2011.08</v>
      </c>
      <c r="J606" s="3">
        <v>2037.7</v>
      </c>
      <c r="K606" s="3">
        <v>1593.3</v>
      </c>
      <c r="L606" s="5">
        <v>6029790</v>
      </c>
      <c r="M606" s="2">
        <v>12126412272.799999</v>
      </c>
      <c r="N606">
        <v>219624</v>
      </c>
      <c r="O606" t="s">
        <v>18</v>
      </c>
      <c r="P606" s="8">
        <f t="shared" si="27"/>
        <v>1.5999999999999091</v>
      </c>
      <c r="Q606" t="s">
        <v>39</v>
      </c>
      <c r="R606">
        <f t="shared" si="28"/>
        <v>7</v>
      </c>
      <c r="S606" t="str">
        <f t="shared" si="29"/>
        <v>Jul</v>
      </c>
      <c r="T606" s="9">
        <f>VLOOKUP(O606, Annual_Summary!A:B, 2, 0)</f>
        <v>-0.4440050483803113</v>
      </c>
    </row>
    <row r="607" spans="1:20" x14ac:dyDescent="0.3">
      <c r="A607" s="1">
        <v>45863</v>
      </c>
      <c r="B607" s="3" t="s">
        <v>15</v>
      </c>
      <c r="C607" s="3">
        <v>2015</v>
      </c>
      <c r="D607" s="3">
        <v>2015</v>
      </c>
      <c r="E607" s="3">
        <v>1999</v>
      </c>
      <c r="F607" s="3">
        <v>2014.2</v>
      </c>
      <c r="G607" s="3">
        <v>2005</v>
      </c>
      <c r="H607" s="3">
        <v>2004.6</v>
      </c>
      <c r="I607" s="3">
        <v>2005.63</v>
      </c>
      <c r="J607" s="3">
        <v>2037.7</v>
      </c>
      <c r="K607" s="3">
        <v>1588.05</v>
      </c>
      <c r="L607" s="5">
        <v>4653299</v>
      </c>
      <c r="M607" s="2">
        <v>9332802398.7999992</v>
      </c>
      <c r="N607">
        <v>163735</v>
      </c>
      <c r="O607" t="s">
        <v>18</v>
      </c>
      <c r="P607" s="8">
        <f t="shared" si="27"/>
        <v>-0.79999999999995453</v>
      </c>
      <c r="Q607" t="s">
        <v>39</v>
      </c>
      <c r="R607">
        <f t="shared" si="28"/>
        <v>7</v>
      </c>
      <c r="S607" t="str">
        <f t="shared" si="29"/>
        <v>Jul</v>
      </c>
      <c r="T607" s="9">
        <f>VLOOKUP(O607, Annual_Summary!A:B, 2, 0)</f>
        <v>-0.4440050483803113</v>
      </c>
    </row>
    <row r="608" spans="1:20" x14ac:dyDescent="0.3">
      <c r="A608" s="1">
        <v>45862</v>
      </c>
      <c r="B608" s="3" t="s">
        <v>15</v>
      </c>
      <c r="C608" s="3">
        <v>2037.7</v>
      </c>
      <c r="D608" s="3">
        <v>2037.7</v>
      </c>
      <c r="E608" s="3">
        <v>2008.4</v>
      </c>
      <c r="F608" s="3">
        <v>2024.3</v>
      </c>
      <c r="G608" s="3">
        <v>2011.7</v>
      </c>
      <c r="H608" s="3">
        <v>2014.2</v>
      </c>
      <c r="I608" s="3">
        <v>2019.12</v>
      </c>
      <c r="J608" s="3">
        <v>2037.7</v>
      </c>
      <c r="K608" s="3">
        <v>1588.05</v>
      </c>
      <c r="L608" s="5">
        <v>9553588</v>
      </c>
      <c r="M608" s="2">
        <v>19289876404.200001</v>
      </c>
      <c r="N608">
        <v>183573</v>
      </c>
      <c r="O608" t="s">
        <v>18</v>
      </c>
      <c r="P608" s="8">
        <f t="shared" si="27"/>
        <v>-13.400000000000091</v>
      </c>
      <c r="Q608" t="s">
        <v>39</v>
      </c>
      <c r="R608">
        <f t="shared" si="28"/>
        <v>7</v>
      </c>
      <c r="S608" t="str">
        <f t="shared" si="29"/>
        <v>Jul</v>
      </c>
      <c r="T608" s="9">
        <f>VLOOKUP(O608, Annual_Summary!A:B, 2, 0)</f>
        <v>-0.4440050483803113</v>
      </c>
    </row>
    <row r="609" spans="1:20" x14ac:dyDescent="0.3">
      <c r="A609" s="1">
        <v>45861</v>
      </c>
      <c r="B609" s="3" t="s">
        <v>15</v>
      </c>
      <c r="C609" s="3">
        <v>2011</v>
      </c>
      <c r="D609" s="3">
        <v>2029.8</v>
      </c>
      <c r="E609" s="3">
        <v>2003</v>
      </c>
      <c r="F609" s="3">
        <v>2007.1</v>
      </c>
      <c r="G609" s="3">
        <v>2024.5</v>
      </c>
      <c r="H609" s="3">
        <v>2024.3</v>
      </c>
      <c r="I609" s="3">
        <v>2019.97</v>
      </c>
      <c r="J609" s="3">
        <v>2029.8</v>
      </c>
      <c r="K609" s="3">
        <v>1588.05</v>
      </c>
      <c r="L609" s="5">
        <v>6817458</v>
      </c>
      <c r="M609" s="2">
        <v>13771089884.700001</v>
      </c>
      <c r="N609">
        <v>191989</v>
      </c>
      <c r="O609" t="s">
        <v>18</v>
      </c>
      <c r="P609" s="8">
        <f t="shared" si="27"/>
        <v>-3.9000000000000909</v>
      </c>
      <c r="Q609" t="s">
        <v>39</v>
      </c>
      <c r="R609">
        <f t="shared" si="28"/>
        <v>7</v>
      </c>
      <c r="S609" t="str">
        <f t="shared" si="29"/>
        <v>Jul</v>
      </c>
      <c r="T609" s="9">
        <f>VLOOKUP(O609, Annual_Summary!A:B, 2, 0)</f>
        <v>-0.4440050483803113</v>
      </c>
    </row>
    <row r="610" spans="1:20" x14ac:dyDescent="0.3">
      <c r="A610" s="1">
        <v>45860</v>
      </c>
      <c r="B610" s="3" t="s">
        <v>15</v>
      </c>
      <c r="C610" s="3">
        <v>2013.1</v>
      </c>
      <c r="D610" s="3">
        <v>2018</v>
      </c>
      <c r="E610" s="3">
        <v>2003</v>
      </c>
      <c r="F610" s="3">
        <v>2000.5</v>
      </c>
      <c r="G610" s="3">
        <v>2005</v>
      </c>
      <c r="H610" s="3">
        <v>2007.1</v>
      </c>
      <c r="I610" s="3">
        <v>2009.05</v>
      </c>
      <c r="J610" s="3">
        <v>2027.1</v>
      </c>
      <c r="K610" s="3">
        <v>1588.05</v>
      </c>
      <c r="L610" s="5">
        <v>7418407</v>
      </c>
      <c r="M610" s="2">
        <v>14903939836.299999</v>
      </c>
      <c r="N610">
        <v>226727</v>
      </c>
      <c r="O610" t="s">
        <v>18</v>
      </c>
      <c r="P610" s="8">
        <f t="shared" si="27"/>
        <v>-12.599999999999909</v>
      </c>
      <c r="Q610" t="s">
        <v>39</v>
      </c>
      <c r="R610">
        <f t="shared" si="28"/>
        <v>7</v>
      </c>
      <c r="S610" t="str">
        <f t="shared" si="29"/>
        <v>Jul</v>
      </c>
      <c r="T610" s="9">
        <f>VLOOKUP(O610, Annual_Summary!A:B, 2, 0)</f>
        <v>-0.4440050483803113</v>
      </c>
    </row>
    <row r="611" spans="1:20" x14ac:dyDescent="0.3">
      <c r="A611" s="1">
        <v>45859</v>
      </c>
      <c r="B611" s="3" t="s">
        <v>15</v>
      </c>
      <c r="C611" s="3">
        <v>1978.2</v>
      </c>
      <c r="D611" s="3">
        <v>2002</v>
      </c>
      <c r="E611" s="3">
        <v>1976.5</v>
      </c>
      <c r="F611" s="3">
        <v>1957.4</v>
      </c>
      <c r="G611" s="3">
        <v>2001.5</v>
      </c>
      <c r="H611" s="3">
        <v>2000.5</v>
      </c>
      <c r="I611" s="3">
        <v>1993.45</v>
      </c>
      <c r="J611" s="3">
        <v>2027.1</v>
      </c>
      <c r="K611" s="3">
        <v>1588.05</v>
      </c>
      <c r="L611" s="5">
        <v>11154539</v>
      </c>
      <c r="M611" s="2">
        <v>22236041336.400002</v>
      </c>
      <c r="N611">
        <v>275691</v>
      </c>
      <c r="O611" t="s">
        <v>18</v>
      </c>
      <c r="P611" s="8">
        <f t="shared" si="27"/>
        <v>-20.799999999999955</v>
      </c>
      <c r="Q611" t="s">
        <v>39</v>
      </c>
      <c r="R611">
        <f t="shared" si="28"/>
        <v>7</v>
      </c>
      <c r="S611" t="str">
        <f t="shared" si="29"/>
        <v>Jul</v>
      </c>
      <c r="T611" s="9">
        <f>VLOOKUP(O611, Annual_Summary!A:B, 2, 0)</f>
        <v>-0.4440050483803113</v>
      </c>
    </row>
    <row r="612" spans="1:20" x14ac:dyDescent="0.3">
      <c r="A612" s="1">
        <v>45856</v>
      </c>
      <c r="B612" s="3" t="s">
        <v>15</v>
      </c>
      <c r="C612" s="3">
        <v>1986.9</v>
      </c>
      <c r="D612" s="3">
        <v>1997</v>
      </c>
      <c r="E612" s="3">
        <v>1953</v>
      </c>
      <c r="F612" s="3">
        <v>1986.9</v>
      </c>
      <c r="G612" s="3">
        <v>1956</v>
      </c>
      <c r="H612" s="3">
        <v>1957.4</v>
      </c>
      <c r="I612" s="3">
        <v>1968.8</v>
      </c>
      <c r="J612" s="3">
        <v>2027.1</v>
      </c>
      <c r="K612" s="3">
        <v>1588.05</v>
      </c>
      <c r="L612" s="5">
        <v>8064723</v>
      </c>
      <c r="M612" s="2">
        <v>15877808287.5</v>
      </c>
      <c r="N612">
        <v>221823</v>
      </c>
      <c r="O612" t="s">
        <v>18</v>
      </c>
      <c r="P612" s="8">
        <f t="shared" si="27"/>
        <v>0</v>
      </c>
      <c r="Q612" t="s">
        <v>39</v>
      </c>
      <c r="R612">
        <f t="shared" si="28"/>
        <v>7</v>
      </c>
      <c r="S612" t="str">
        <f t="shared" si="29"/>
        <v>Jul</v>
      </c>
      <c r="T612" s="9">
        <f>VLOOKUP(O612, Annual_Summary!A:B, 2, 0)</f>
        <v>-0.4440050483803113</v>
      </c>
    </row>
    <row r="613" spans="1:20" x14ac:dyDescent="0.3">
      <c r="A613" s="1">
        <v>45855</v>
      </c>
      <c r="B613" s="3" t="s">
        <v>15</v>
      </c>
      <c r="C613" s="3">
        <v>2004</v>
      </c>
      <c r="D613" s="3">
        <v>2004.8</v>
      </c>
      <c r="E613" s="3">
        <v>1982.7</v>
      </c>
      <c r="F613" s="3">
        <v>1996.3</v>
      </c>
      <c r="G613" s="3">
        <v>1986</v>
      </c>
      <c r="H613" s="3">
        <v>1986.9</v>
      </c>
      <c r="I613" s="3">
        <v>1991.85</v>
      </c>
      <c r="J613" s="3">
        <v>2027.1</v>
      </c>
      <c r="K613" s="3">
        <v>1588.05</v>
      </c>
      <c r="L613" s="5">
        <v>11264579</v>
      </c>
      <c r="M613" s="2">
        <v>22437406105.599998</v>
      </c>
      <c r="N613">
        <v>256020</v>
      </c>
      <c r="O613" t="s">
        <v>18</v>
      </c>
      <c r="P613" s="8">
        <f t="shared" si="27"/>
        <v>-7.7000000000000455</v>
      </c>
      <c r="Q613" t="s">
        <v>39</v>
      </c>
      <c r="R613">
        <f t="shared" si="28"/>
        <v>7</v>
      </c>
      <c r="S613" t="str">
        <f t="shared" si="29"/>
        <v>Jul</v>
      </c>
      <c r="T613" s="9">
        <f>VLOOKUP(O613, Annual_Summary!A:B, 2, 0)</f>
        <v>-0.4440050483803113</v>
      </c>
    </row>
    <row r="614" spans="1:20" x14ac:dyDescent="0.3">
      <c r="A614" s="1">
        <v>45854</v>
      </c>
      <c r="B614" s="3" t="s">
        <v>15</v>
      </c>
      <c r="C614" s="3">
        <v>2018</v>
      </c>
      <c r="D614" s="3">
        <v>2022.7</v>
      </c>
      <c r="E614" s="3">
        <v>1992.6</v>
      </c>
      <c r="F614" s="3">
        <v>1995.5</v>
      </c>
      <c r="G614" s="3">
        <v>1996</v>
      </c>
      <c r="H614" s="3">
        <v>1996.3</v>
      </c>
      <c r="I614" s="3">
        <v>2005.54</v>
      </c>
      <c r="J614" s="3">
        <v>2027.1</v>
      </c>
      <c r="K614" s="3">
        <v>1588.05</v>
      </c>
      <c r="L614" s="5">
        <v>8997306</v>
      </c>
      <c r="M614" s="2">
        <v>18044432313.400002</v>
      </c>
      <c r="N614">
        <v>216845</v>
      </c>
      <c r="O614" t="s">
        <v>18</v>
      </c>
      <c r="P614" s="8">
        <f t="shared" si="27"/>
        <v>-22.5</v>
      </c>
      <c r="Q614" t="s">
        <v>39</v>
      </c>
      <c r="R614">
        <f t="shared" si="28"/>
        <v>7</v>
      </c>
      <c r="S614" t="str">
        <f t="shared" si="29"/>
        <v>Jul</v>
      </c>
      <c r="T614" s="9">
        <f>VLOOKUP(O614, Annual_Summary!A:B, 2, 0)</f>
        <v>-0.4440050483803113</v>
      </c>
    </row>
    <row r="615" spans="1:20" x14ac:dyDescent="0.3">
      <c r="A615" s="1">
        <v>45853</v>
      </c>
      <c r="B615" s="3" t="s">
        <v>15</v>
      </c>
      <c r="C615" s="3">
        <v>1973</v>
      </c>
      <c r="D615" s="3">
        <v>2003.6</v>
      </c>
      <c r="E615" s="3">
        <v>1973</v>
      </c>
      <c r="F615" s="3">
        <v>1983</v>
      </c>
      <c r="G615" s="3">
        <v>1998</v>
      </c>
      <c r="H615" s="3">
        <v>1995.5</v>
      </c>
      <c r="I615" s="3">
        <v>1993.02</v>
      </c>
      <c r="J615" s="3">
        <v>2027.1</v>
      </c>
      <c r="K615" s="3">
        <v>1588.05</v>
      </c>
      <c r="L615" s="5">
        <v>7249084</v>
      </c>
      <c r="M615" s="2">
        <v>14447599382.1</v>
      </c>
      <c r="N615">
        <v>157806</v>
      </c>
      <c r="O615" t="s">
        <v>18</v>
      </c>
      <c r="P615" s="8">
        <f t="shared" si="27"/>
        <v>10</v>
      </c>
      <c r="Q615" t="s">
        <v>39</v>
      </c>
      <c r="R615">
        <f t="shared" si="28"/>
        <v>7</v>
      </c>
      <c r="S615" t="str">
        <f t="shared" si="29"/>
        <v>Jul</v>
      </c>
      <c r="T615" s="9">
        <f>VLOOKUP(O615, Annual_Summary!A:B, 2, 0)</f>
        <v>-0.4440050483803113</v>
      </c>
    </row>
    <row r="616" spans="1:20" x14ac:dyDescent="0.3">
      <c r="A616" s="1">
        <v>45852</v>
      </c>
      <c r="B616" s="3" t="s">
        <v>15</v>
      </c>
      <c r="C616" s="3">
        <v>1983</v>
      </c>
      <c r="D616" s="3">
        <v>1988.7</v>
      </c>
      <c r="E616" s="3">
        <v>1970.6</v>
      </c>
      <c r="F616" s="3">
        <v>1983.7</v>
      </c>
      <c r="G616" s="3">
        <v>1982.9</v>
      </c>
      <c r="H616" s="3">
        <v>1983</v>
      </c>
      <c r="I616" s="3">
        <v>1978.8</v>
      </c>
      <c r="J616" s="3">
        <v>2027.1</v>
      </c>
      <c r="K616" s="3">
        <v>1588.05</v>
      </c>
      <c r="L616" s="5">
        <v>6544425</v>
      </c>
      <c r="M616" s="2">
        <v>12950097345.9</v>
      </c>
      <c r="N616">
        <v>132854</v>
      </c>
      <c r="O616" t="s">
        <v>18</v>
      </c>
      <c r="P616" s="8">
        <f t="shared" si="27"/>
        <v>0.70000000000004547</v>
      </c>
      <c r="Q616" t="s">
        <v>39</v>
      </c>
      <c r="R616">
        <f t="shared" si="28"/>
        <v>7</v>
      </c>
      <c r="S616" t="str">
        <f t="shared" si="29"/>
        <v>Jul</v>
      </c>
      <c r="T616" s="9">
        <f>VLOOKUP(O616, Annual_Summary!A:B, 2, 0)</f>
        <v>-0.4440050483803113</v>
      </c>
    </row>
    <row r="617" spans="1:20" x14ac:dyDescent="0.3">
      <c r="A617" s="1">
        <v>45849</v>
      </c>
      <c r="B617" s="3" t="s">
        <v>15</v>
      </c>
      <c r="C617" s="3">
        <v>1998</v>
      </c>
      <c r="D617" s="3">
        <v>2004.8</v>
      </c>
      <c r="E617" s="3">
        <v>1980.9</v>
      </c>
      <c r="F617" s="3">
        <v>2006.2</v>
      </c>
      <c r="G617" s="3">
        <v>1983</v>
      </c>
      <c r="H617" s="3">
        <v>1983.7</v>
      </c>
      <c r="I617" s="3">
        <v>1987.41</v>
      </c>
      <c r="J617" s="3">
        <v>2027.1</v>
      </c>
      <c r="K617" s="3">
        <v>1588.05</v>
      </c>
      <c r="L617" s="5">
        <v>6258461</v>
      </c>
      <c r="M617" s="2">
        <v>12438153798.200001</v>
      </c>
      <c r="N617">
        <v>125871</v>
      </c>
      <c r="O617" t="s">
        <v>18</v>
      </c>
      <c r="P617" s="8">
        <f t="shared" si="27"/>
        <v>8.2000000000000455</v>
      </c>
      <c r="Q617" t="s">
        <v>39</v>
      </c>
      <c r="R617">
        <f t="shared" si="28"/>
        <v>7</v>
      </c>
      <c r="S617" t="str">
        <f t="shared" si="29"/>
        <v>Jul</v>
      </c>
      <c r="T617" s="9">
        <f>VLOOKUP(O617, Annual_Summary!A:B, 2, 0)</f>
        <v>-0.4440050483803113</v>
      </c>
    </row>
    <row r="618" spans="1:20" x14ac:dyDescent="0.3">
      <c r="A618" s="1">
        <v>45848</v>
      </c>
      <c r="B618" s="3" t="s">
        <v>15</v>
      </c>
      <c r="C618" s="3">
        <v>2016</v>
      </c>
      <c r="D618" s="3">
        <v>2017</v>
      </c>
      <c r="E618" s="3">
        <v>2000</v>
      </c>
      <c r="F618" s="3">
        <v>2011.2</v>
      </c>
      <c r="G618" s="3">
        <v>2002.8</v>
      </c>
      <c r="H618" s="3">
        <v>2006.2</v>
      </c>
      <c r="I618" s="3">
        <v>2008.54</v>
      </c>
      <c r="J618" s="3">
        <v>2027.1</v>
      </c>
      <c r="K618" s="3">
        <v>1588.05</v>
      </c>
      <c r="L618" s="5">
        <v>8515155</v>
      </c>
      <c r="M618" s="2">
        <v>17103052403.799999</v>
      </c>
      <c r="N618">
        <v>184619</v>
      </c>
      <c r="O618" t="s">
        <v>18</v>
      </c>
      <c r="P618" s="8">
        <f t="shared" si="27"/>
        <v>-4.7999999999999545</v>
      </c>
      <c r="Q618" t="s">
        <v>39</v>
      </c>
      <c r="R618">
        <f t="shared" si="28"/>
        <v>7</v>
      </c>
      <c r="S618" t="str">
        <f t="shared" si="29"/>
        <v>Jul</v>
      </c>
      <c r="T618" s="9">
        <f>VLOOKUP(O618, Annual_Summary!A:B, 2, 0)</f>
        <v>-0.4440050483803113</v>
      </c>
    </row>
    <row r="619" spans="1:20" x14ac:dyDescent="0.3">
      <c r="A619" s="1">
        <v>45847</v>
      </c>
      <c r="B619" s="3" t="s">
        <v>15</v>
      </c>
      <c r="C619" s="3">
        <v>2007</v>
      </c>
      <c r="D619" s="3">
        <v>2013.8</v>
      </c>
      <c r="E619" s="3">
        <v>1998.1</v>
      </c>
      <c r="F619" s="3">
        <v>2001.4</v>
      </c>
      <c r="G619" s="3">
        <v>2008.5</v>
      </c>
      <c r="H619" s="3">
        <v>2011.2</v>
      </c>
      <c r="I619" s="3">
        <v>2007.1</v>
      </c>
      <c r="J619" s="3">
        <v>2027.1</v>
      </c>
      <c r="K619" s="3">
        <v>1588.05</v>
      </c>
      <c r="L619" s="5">
        <v>6930714</v>
      </c>
      <c r="M619" s="2">
        <v>13910645549.4</v>
      </c>
      <c r="N619">
        <v>151284</v>
      </c>
      <c r="O619" t="s">
        <v>18</v>
      </c>
      <c r="P619" s="8">
        <f t="shared" si="27"/>
        <v>-5.5999999999999091</v>
      </c>
      <c r="Q619" t="s">
        <v>39</v>
      </c>
      <c r="R619">
        <f t="shared" si="28"/>
        <v>7</v>
      </c>
      <c r="S619" t="str">
        <f t="shared" si="29"/>
        <v>Jul</v>
      </c>
      <c r="T619" s="9">
        <f>VLOOKUP(O619, Annual_Summary!A:B, 2, 0)</f>
        <v>-0.4440050483803113</v>
      </c>
    </row>
    <row r="620" spans="1:20" x14ac:dyDescent="0.3">
      <c r="A620" s="1">
        <v>45846</v>
      </c>
      <c r="B620" s="3" t="s">
        <v>15</v>
      </c>
      <c r="C620" s="3">
        <v>1977</v>
      </c>
      <c r="D620" s="3">
        <v>2005</v>
      </c>
      <c r="E620" s="3">
        <v>1977</v>
      </c>
      <c r="F620" s="3">
        <v>1987.4</v>
      </c>
      <c r="G620" s="3">
        <v>1999.4</v>
      </c>
      <c r="H620" s="3">
        <v>2001.4</v>
      </c>
      <c r="I620" s="3">
        <v>1992.88</v>
      </c>
      <c r="J620" s="3">
        <v>2027.1</v>
      </c>
      <c r="K620" s="3">
        <v>1588.05</v>
      </c>
      <c r="L620" s="5">
        <v>7612158</v>
      </c>
      <c r="M620" s="2">
        <v>15170095365.5</v>
      </c>
      <c r="N620">
        <v>199823</v>
      </c>
      <c r="O620" t="s">
        <v>18</v>
      </c>
      <c r="P620" s="8">
        <f t="shared" si="27"/>
        <v>10.400000000000091</v>
      </c>
      <c r="Q620" t="s">
        <v>39</v>
      </c>
      <c r="R620">
        <f t="shared" si="28"/>
        <v>7</v>
      </c>
      <c r="S620" t="str">
        <f t="shared" si="29"/>
        <v>Jul</v>
      </c>
      <c r="T620" s="9">
        <f>VLOOKUP(O620, Annual_Summary!A:B, 2, 0)</f>
        <v>-0.4440050483803113</v>
      </c>
    </row>
    <row r="621" spans="1:20" x14ac:dyDescent="0.3">
      <c r="A621" s="1">
        <v>45845</v>
      </c>
      <c r="B621" s="3" t="s">
        <v>15</v>
      </c>
      <c r="C621" s="3">
        <v>1989</v>
      </c>
      <c r="D621" s="3">
        <v>1998.4</v>
      </c>
      <c r="E621" s="3">
        <v>1983.8</v>
      </c>
      <c r="F621" s="3">
        <v>1989.3</v>
      </c>
      <c r="G621" s="3">
        <v>1985.5</v>
      </c>
      <c r="H621" s="3">
        <v>1987.4</v>
      </c>
      <c r="I621" s="3">
        <v>1989.37</v>
      </c>
      <c r="J621" s="3">
        <v>2027.1</v>
      </c>
      <c r="K621" s="3">
        <v>1588.05</v>
      </c>
      <c r="L621" s="5">
        <v>5674713</v>
      </c>
      <c r="M621" s="2">
        <v>11289078543</v>
      </c>
      <c r="N621">
        <v>163393</v>
      </c>
      <c r="O621" t="s">
        <v>18</v>
      </c>
      <c r="P621" s="8">
        <f t="shared" si="27"/>
        <v>0.29999999999995453</v>
      </c>
      <c r="Q621" t="s">
        <v>39</v>
      </c>
      <c r="R621">
        <f t="shared" si="28"/>
        <v>7</v>
      </c>
      <c r="S621" t="str">
        <f t="shared" si="29"/>
        <v>Jul</v>
      </c>
      <c r="T621" s="9">
        <f>VLOOKUP(O621, Annual_Summary!A:B, 2, 0)</f>
        <v>-0.4440050483803113</v>
      </c>
    </row>
    <row r="622" spans="1:20" x14ac:dyDescent="0.3">
      <c r="A622" s="1">
        <v>45842</v>
      </c>
      <c r="B622" s="3" t="s">
        <v>15</v>
      </c>
      <c r="C622" s="3">
        <v>1987.1</v>
      </c>
      <c r="D622" s="3">
        <v>2003.5</v>
      </c>
      <c r="E622" s="3">
        <v>1980</v>
      </c>
      <c r="F622" s="3">
        <v>1987.1</v>
      </c>
      <c r="G622" s="3">
        <v>1992.7</v>
      </c>
      <c r="H622" s="3">
        <v>1989.3</v>
      </c>
      <c r="I622" s="3">
        <v>1987.51</v>
      </c>
      <c r="J622" s="3">
        <v>2027.1</v>
      </c>
      <c r="K622" s="3">
        <v>1588.05</v>
      </c>
      <c r="L622" s="5">
        <v>3931972</v>
      </c>
      <c r="M622" s="2">
        <v>7814832915.6000004</v>
      </c>
      <c r="N622">
        <v>150676</v>
      </c>
      <c r="O622" t="s">
        <v>18</v>
      </c>
      <c r="P622" s="8">
        <f t="shared" si="27"/>
        <v>0</v>
      </c>
      <c r="Q622" t="s">
        <v>39</v>
      </c>
      <c r="R622">
        <f t="shared" si="28"/>
        <v>7</v>
      </c>
      <c r="S622" t="str">
        <f t="shared" si="29"/>
        <v>Jul</v>
      </c>
      <c r="T622" s="9">
        <f>VLOOKUP(O622, Annual_Summary!A:B, 2, 0)</f>
        <v>-0.4440050483803113</v>
      </c>
    </row>
    <row r="623" spans="1:20" x14ac:dyDescent="0.3">
      <c r="A623" s="1">
        <v>45841</v>
      </c>
      <c r="B623" s="3" t="s">
        <v>15</v>
      </c>
      <c r="C623" s="3">
        <v>1994.9</v>
      </c>
      <c r="D623" s="3">
        <v>2008</v>
      </c>
      <c r="E623" s="3">
        <v>1984.3</v>
      </c>
      <c r="F623" s="3">
        <v>1986</v>
      </c>
      <c r="G623" s="3">
        <v>1985.9</v>
      </c>
      <c r="H623" s="3">
        <v>1987.1</v>
      </c>
      <c r="I623" s="3">
        <v>1993.22</v>
      </c>
      <c r="J623" s="3">
        <v>2027.1</v>
      </c>
      <c r="K623" s="3">
        <v>1588.05</v>
      </c>
      <c r="L623" s="5">
        <v>8430253</v>
      </c>
      <c r="M623" s="2">
        <v>16803371805.6</v>
      </c>
      <c r="N623">
        <v>182242</v>
      </c>
      <c r="O623" t="s">
        <v>18</v>
      </c>
      <c r="P623" s="8">
        <f t="shared" si="27"/>
        <v>-8.9000000000000909</v>
      </c>
      <c r="Q623" t="s">
        <v>39</v>
      </c>
      <c r="R623">
        <f t="shared" si="28"/>
        <v>7</v>
      </c>
      <c r="S623" t="str">
        <f t="shared" si="29"/>
        <v>Jul</v>
      </c>
      <c r="T623" s="9">
        <f>VLOOKUP(O623, Annual_Summary!A:B, 2, 0)</f>
        <v>-0.4440050483803113</v>
      </c>
    </row>
    <row r="624" spans="1:20" x14ac:dyDescent="0.3">
      <c r="A624" s="1">
        <v>45840</v>
      </c>
      <c r="B624" s="3" t="s">
        <v>15</v>
      </c>
      <c r="C624" s="3">
        <v>2019.9</v>
      </c>
      <c r="D624" s="3">
        <v>2019.9</v>
      </c>
      <c r="E624" s="3">
        <v>1977.9</v>
      </c>
      <c r="F624" s="3">
        <v>2012.1</v>
      </c>
      <c r="G624" s="3">
        <v>1985.5</v>
      </c>
      <c r="H624" s="3">
        <v>1986</v>
      </c>
      <c r="I624" s="3">
        <v>1990.25</v>
      </c>
      <c r="J624" s="3">
        <v>2027.1</v>
      </c>
      <c r="K624" s="3">
        <v>1588.05</v>
      </c>
      <c r="L624" s="5">
        <v>9439125</v>
      </c>
      <c r="M624" s="2">
        <v>18786219250.599998</v>
      </c>
      <c r="N624">
        <v>268429</v>
      </c>
      <c r="O624" t="s">
        <v>18</v>
      </c>
      <c r="P624" s="8">
        <f t="shared" si="27"/>
        <v>-7.8000000000001819</v>
      </c>
      <c r="Q624" t="s">
        <v>39</v>
      </c>
      <c r="R624">
        <f t="shared" si="28"/>
        <v>7</v>
      </c>
      <c r="S624" t="str">
        <f t="shared" si="29"/>
        <v>Jul</v>
      </c>
      <c r="T624" s="9">
        <f>VLOOKUP(O624, Annual_Summary!A:B, 2, 0)</f>
        <v>-0.4440050483803113</v>
      </c>
    </row>
    <row r="625" spans="1:20" x14ac:dyDescent="0.3">
      <c r="A625" s="1">
        <v>45839</v>
      </c>
      <c r="B625" s="3" t="s">
        <v>15</v>
      </c>
      <c r="C625" s="3">
        <v>2005</v>
      </c>
      <c r="D625" s="3">
        <v>2016</v>
      </c>
      <c r="E625" s="3">
        <v>2004</v>
      </c>
      <c r="F625" s="3">
        <v>2001.5</v>
      </c>
      <c r="G625" s="3">
        <v>2011.1</v>
      </c>
      <c r="H625" s="3">
        <v>2012.1</v>
      </c>
      <c r="I625" s="3">
        <v>2010.15</v>
      </c>
      <c r="J625" s="3">
        <v>2027.1</v>
      </c>
      <c r="K625" s="3">
        <v>1588.05</v>
      </c>
      <c r="L625" s="5">
        <v>7194693</v>
      </c>
      <c r="M625" s="2">
        <v>14462421818.6</v>
      </c>
      <c r="N625">
        <v>169976</v>
      </c>
      <c r="O625" t="s">
        <v>18</v>
      </c>
      <c r="P625" s="8">
        <f t="shared" si="27"/>
        <v>-3.5</v>
      </c>
      <c r="Q625" t="s">
        <v>39</v>
      </c>
      <c r="R625">
        <f t="shared" si="28"/>
        <v>7</v>
      </c>
      <c r="S625" t="str">
        <f t="shared" si="29"/>
        <v>Jul</v>
      </c>
      <c r="T625" s="9">
        <f>VLOOKUP(O625, Annual_Summary!A:B, 2, 0)</f>
        <v>-0.4440050483803113</v>
      </c>
    </row>
    <row r="626" spans="1:20" x14ac:dyDescent="0.3">
      <c r="A626" s="1">
        <v>45838</v>
      </c>
      <c r="B626" s="3" t="s">
        <v>15</v>
      </c>
      <c r="C626" s="3">
        <v>2011.5</v>
      </c>
      <c r="D626" s="3">
        <v>2013.8</v>
      </c>
      <c r="E626" s="3">
        <v>1995.5</v>
      </c>
      <c r="F626" s="3">
        <v>2014.9</v>
      </c>
      <c r="G626" s="3">
        <v>2000</v>
      </c>
      <c r="H626" s="3">
        <v>2001.5</v>
      </c>
      <c r="I626" s="3">
        <v>2001.16</v>
      </c>
      <c r="J626" s="3">
        <v>2027.1</v>
      </c>
      <c r="K626" s="3">
        <v>1588.05</v>
      </c>
      <c r="L626" s="5">
        <v>6824510</v>
      </c>
      <c r="M626" s="2">
        <v>13656939181</v>
      </c>
      <c r="N626">
        <v>199780</v>
      </c>
      <c r="O626" t="s">
        <v>18</v>
      </c>
      <c r="P626" s="8">
        <f t="shared" si="27"/>
        <v>3.4000000000000909</v>
      </c>
      <c r="Q626" t="s">
        <v>39</v>
      </c>
      <c r="R626">
        <f t="shared" si="28"/>
        <v>6</v>
      </c>
      <c r="S626" t="str">
        <f t="shared" si="29"/>
        <v>Jun</v>
      </c>
      <c r="T626" s="9">
        <f>VLOOKUP(O626, Annual_Summary!A:B, 2, 0)</f>
        <v>-0.4440050483803113</v>
      </c>
    </row>
    <row r="627" spans="1:20" x14ac:dyDescent="0.3">
      <c r="A627" s="1">
        <v>45835</v>
      </c>
      <c r="B627" s="3" t="s">
        <v>15</v>
      </c>
      <c r="C627" s="3">
        <v>2013</v>
      </c>
      <c r="D627" s="3">
        <v>2019.8</v>
      </c>
      <c r="E627" s="3">
        <v>1993.4</v>
      </c>
      <c r="F627" s="3">
        <v>2021.8</v>
      </c>
      <c r="G627" s="3">
        <v>2011.5</v>
      </c>
      <c r="H627" s="3">
        <v>2014.9</v>
      </c>
      <c r="I627" s="3">
        <v>2011.75</v>
      </c>
      <c r="J627" s="3">
        <v>2027.1</v>
      </c>
      <c r="K627" s="3">
        <v>1588.05</v>
      </c>
      <c r="L627" s="5">
        <v>14106692</v>
      </c>
      <c r="M627" s="2">
        <v>28379071385.700001</v>
      </c>
      <c r="N627">
        <v>226961</v>
      </c>
      <c r="O627" t="s">
        <v>18</v>
      </c>
      <c r="P627" s="8">
        <f t="shared" si="27"/>
        <v>8.7999999999999545</v>
      </c>
      <c r="Q627" t="s">
        <v>39</v>
      </c>
      <c r="R627">
        <f t="shared" si="28"/>
        <v>6</v>
      </c>
      <c r="S627" t="str">
        <f t="shared" si="29"/>
        <v>Jun</v>
      </c>
      <c r="T627" s="9">
        <f>VLOOKUP(O627, Annual_Summary!A:B, 2, 0)</f>
        <v>-0.4440050483803113</v>
      </c>
    </row>
    <row r="628" spans="1:20" x14ac:dyDescent="0.3">
      <c r="A628" s="1">
        <v>45834</v>
      </c>
      <c r="B628" s="3" t="s">
        <v>15</v>
      </c>
      <c r="C628" s="3">
        <v>1981.4</v>
      </c>
      <c r="D628" s="3">
        <v>2027.1</v>
      </c>
      <c r="E628" s="3">
        <v>1980</v>
      </c>
      <c r="F628" s="3">
        <v>1980.2</v>
      </c>
      <c r="G628" s="3">
        <v>2017.7</v>
      </c>
      <c r="H628" s="3">
        <v>2021.8</v>
      </c>
      <c r="I628" s="3">
        <v>2011.21</v>
      </c>
      <c r="J628" s="3">
        <v>2027.1</v>
      </c>
      <c r="K628" s="3">
        <v>1588.05</v>
      </c>
      <c r="L628" s="5">
        <v>25042415</v>
      </c>
      <c r="M628" s="2">
        <v>50365656414.5</v>
      </c>
      <c r="N628">
        <v>343662</v>
      </c>
      <c r="O628" t="s">
        <v>18</v>
      </c>
      <c r="P628" s="8">
        <f t="shared" si="27"/>
        <v>-1.2000000000000455</v>
      </c>
      <c r="Q628" t="s">
        <v>39</v>
      </c>
      <c r="R628">
        <f t="shared" si="28"/>
        <v>6</v>
      </c>
      <c r="S628" t="str">
        <f t="shared" si="29"/>
        <v>Jun</v>
      </c>
      <c r="T628" s="9">
        <f>VLOOKUP(O628, Annual_Summary!A:B, 2, 0)</f>
        <v>-0.4440050483803113</v>
      </c>
    </row>
    <row r="629" spans="1:20" x14ac:dyDescent="0.3">
      <c r="A629" s="1">
        <v>45833</v>
      </c>
      <c r="B629" s="3" t="s">
        <v>15</v>
      </c>
      <c r="C629" s="3">
        <v>1966</v>
      </c>
      <c r="D629" s="3">
        <v>1982</v>
      </c>
      <c r="E629" s="3">
        <v>1963.9</v>
      </c>
      <c r="F629" s="3">
        <v>1960.9</v>
      </c>
      <c r="G629" s="3">
        <v>1980</v>
      </c>
      <c r="H629" s="3">
        <v>1980.2</v>
      </c>
      <c r="I629" s="3">
        <v>1977.13</v>
      </c>
      <c r="J629" s="3">
        <v>1996.3</v>
      </c>
      <c r="K629" s="3">
        <v>1588.05</v>
      </c>
      <c r="L629" s="5">
        <v>9202966</v>
      </c>
      <c r="M629" s="2">
        <v>18195446515.700001</v>
      </c>
      <c r="N629">
        <v>206190</v>
      </c>
      <c r="O629" t="s">
        <v>18</v>
      </c>
      <c r="P629" s="8">
        <f t="shared" si="27"/>
        <v>-5.0999999999999091</v>
      </c>
      <c r="Q629" t="s">
        <v>39</v>
      </c>
      <c r="R629">
        <f t="shared" si="28"/>
        <v>6</v>
      </c>
      <c r="S629" t="str">
        <f t="shared" si="29"/>
        <v>Jun</v>
      </c>
      <c r="T629" s="9">
        <f>VLOOKUP(O629, Annual_Summary!A:B, 2, 0)</f>
        <v>-0.4440050483803113</v>
      </c>
    </row>
    <row r="630" spans="1:20" x14ac:dyDescent="0.3">
      <c r="A630" s="1">
        <v>45832</v>
      </c>
      <c r="B630" s="3" t="s">
        <v>15</v>
      </c>
      <c r="C630" s="3">
        <v>1965</v>
      </c>
      <c r="D630" s="3">
        <v>1979</v>
      </c>
      <c r="E630" s="3">
        <v>1955.6</v>
      </c>
      <c r="F630" s="3">
        <v>1948.4</v>
      </c>
      <c r="G630" s="3">
        <v>1963.7</v>
      </c>
      <c r="H630" s="3">
        <v>1960.9</v>
      </c>
      <c r="I630" s="3">
        <v>1964.12</v>
      </c>
      <c r="J630" s="3">
        <v>1996.3</v>
      </c>
      <c r="K630" s="3">
        <v>1588.05</v>
      </c>
      <c r="L630" s="5">
        <v>11312661</v>
      </c>
      <c r="M630" s="2">
        <v>22219442191.5</v>
      </c>
      <c r="N630">
        <v>231814</v>
      </c>
      <c r="O630" t="s">
        <v>18</v>
      </c>
      <c r="P630" s="8">
        <f t="shared" si="27"/>
        <v>-16.599999999999909</v>
      </c>
      <c r="Q630" t="s">
        <v>39</v>
      </c>
      <c r="R630">
        <f t="shared" si="28"/>
        <v>6</v>
      </c>
      <c r="S630" t="str">
        <f t="shared" si="29"/>
        <v>Jun</v>
      </c>
      <c r="T630" s="9">
        <f>VLOOKUP(O630, Annual_Summary!A:B, 2, 0)</f>
        <v>-0.4440050483803113</v>
      </c>
    </row>
    <row r="631" spans="1:20" x14ac:dyDescent="0.3">
      <c r="A631" s="1">
        <v>45831</v>
      </c>
      <c r="B631" s="3" t="s">
        <v>15</v>
      </c>
      <c r="C631" s="3">
        <v>1948.4</v>
      </c>
      <c r="D631" s="3">
        <v>1957.9</v>
      </c>
      <c r="E631" s="3">
        <v>1941.8</v>
      </c>
      <c r="F631" s="3">
        <v>1964.7</v>
      </c>
      <c r="G631" s="3">
        <v>1948.1</v>
      </c>
      <c r="H631" s="3">
        <v>1948.4</v>
      </c>
      <c r="I631" s="3">
        <v>1948.19</v>
      </c>
      <c r="J631" s="3">
        <v>1996.3</v>
      </c>
      <c r="K631" s="3">
        <v>1588.05</v>
      </c>
      <c r="L631" s="5">
        <v>5869759</v>
      </c>
      <c r="M631" s="2">
        <v>11435395881.1</v>
      </c>
      <c r="N631">
        <v>176324</v>
      </c>
      <c r="O631" t="s">
        <v>18</v>
      </c>
      <c r="P631" s="8">
        <f t="shared" si="27"/>
        <v>16.299999999999955</v>
      </c>
      <c r="Q631" t="s">
        <v>39</v>
      </c>
      <c r="R631">
        <f t="shared" si="28"/>
        <v>6</v>
      </c>
      <c r="S631" t="str">
        <f t="shared" si="29"/>
        <v>Jun</v>
      </c>
      <c r="T631" s="9">
        <f>VLOOKUP(O631, Annual_Summary!A:B, 2, 0)</f>
        <v>-0.4440050483803113</v>
      </c>
    </row>
    <row r="632" spans="1:20" x14ac:dyDescent="0.3">
      <c r="A632" s="1">
        <v>45828</v>
      </c>
      <c r="B632" s="3" t="s">
        <v>15</v>
      </c>
      <c r="C632" s="3">
        <v>1931.6</v>
      </c>
      <c r="D632" s="3">
        <v>1969.9</v>
      </c>
      <c r="E632" s="3">
        <v>1931.6</v>
      </c>
      <c r="F632" s="3">
        <v>1935.3</v>
      </c>
      <c r="G632" s="3">
        <v>1963.1</v>
      </c>
      <c r="H632" s="3">
        <v>1964.7</v>
      </c>
      <c r="I632" s="3">
        <v>1960.39</v>
      </c>
      <c r="J632" s="3">
        <v>1996.3</v>
      </c>
      <c r="K632" s="3">
        <v>1588.05</v>
      </c>
      <c r="L632" s="5">
        <v>16450204</v>
      </c>
      <c r="M632" s="2">
        <v>32248839586.400002</v>
      </c>
      <c r="N632">
        <v>261970</v>
      </c>
      <c r="O632" t="s">
        <v>18</v>
      </c>
      <c r="P632" s="8">
        <f t="shared" si="27"/>
        <v>3.7000000000000455</v>
      </c>
      <c r="Q632" t="s">
        <v>39</v>
      </c>
      <c r="R632">
        <f t="shared" si="28"/>
        <v>6</v>
      </c>
      <c r="S632" t="str">
        <f t="shared" si="29"/>
        <v>Jun</v>
      </c>
      <c r="T632" s="9">
        <f>VLOOKUP(O632, Annual_Summary!A:B, 2, 0)</f>
        <v>-0.4440050483803113</v>
      </c>
    </row>
    <row r="633" spans="1:20" x14ac:dyDescent="0.3">
      <c r="A633" s="1">
        <v>45827</v>
      </c>
      <c r="B633" s="3" t="s">
        <v>15</v>
      </c>
      <c r="C633" s="3">
        <v>1933.9</v>
      </c>
      <c r="D633" s="3">
        <v>1946.8</v>
      </c>
      <c r="E633" s="3">
        <v>1925.6</v>
      </c>
      <c r="F633" s="3">
        <v>1933.9</v>
      </c>
      <c r="G633" s="3">
        <v>1933.1</v>
      </c>
      <c r="H633" s="3">
        <v>1935.3</v>
      </c>
      <c r="I633" s="3">
        <v>1937.61</v>
      </c>
      <c r="J633" s="3">
        <v>1996.3</v>
      </c>
      <c r="K633" s="3">
        <v>1588.05</v>
      </c>
      <c r="L633" s="5">
        <v>8438110</v>
      </c>
      <c r="M633" s="2">
        <v>16349732658.700001</v>
      </c>
      <c r="N633">
        <v>202215</v>
      </c>
      <c r="O633" t="s">
        <v>18</v>
      </c>
      <c r="P633" s="8">
        <f t="shared" si="27"/>
        <v>0</v>
      </c>
      <c r="Q633" t="s">
        <v>39</v>
      </c>
      <c r="R633">
        <f t="shared" si="28"/>
        <v>6</v>
      </c>
      <c r="S633" t="str">
        <f t="shared" si="29"/>
        <v>Jun</v>
      </c>
      <c r="T633" s="9">
        <f>VLOOKUP(O633, Annual_Summary!A:B, 2, 0)</f>
        <v>-0.4440050483803113</v>
      </c>
    </row>
    <row r="634" spans="1:20" x14ac:dyDescent="0.3">
      <c r="A634" s="1">
        <v>45826</v>
      </c>
      <c r="B634" s="3" t="s">
        <v>15</v>
      </c>
      <c r="C634" s="3">
        <v>1917</v>
      </c>
      <c r="D634" s="3">
        <v>1936.3</v>
      </c>
      <c r="E634" s="3">
        <v>1917</v>
      </c>
      <c r="F634" s="3">
        <v>1929.6</v>
      </c>
      <c r="G634" s="3">
        <v>1932.5</v>
      </c>
      <c r="H634" s="3">
        <v>1933.9</v>
      </c>
      <c r="I634" s="3">
        <v>1928.12</v>
      </c>
      <c r="J634" s="3">
        <v>1996.3</v>
      </c>
      <c r="K634" s="3">
        <v>1588.05</v>
      </c>
      <c r="L634" s="5">
        <v>9216908</v>
      </c>
      <c r="M634" s="2">
        <v>17771302525.400002</v>
      </c>
      <c r="N634">
        <v>251910</v>
      </c>
      <c r="O634" t="s">
        <v>18</v>
      </c>
      <c r="P634" s="8">
        <f t="shared" si="27"/>
        <v>12.599999999999909</v>
      </c>
      <c r="Q634" t="s">
        <v>39</v>
      </c>
      <c r="R634">
        <f t="shared" si="28"/>
        <v>6</v>
      </c>
      <c r="S634" t="str">
        <f t="shared" si="29"/>
        <v>Jun</v>
      </c>
      <c r="T634" s="9">
        <f>VLOOKUP(O634, Annual_Summary!A:B, 2, 0)</f>
        <v>-0.4440050483803113</v>
      </c>
    </row>
    <row r="635" spans="1:20" x14ac:dyDescent="0.3">
      <c r="A635" s="1">
        <v>45825</v>
      </c>
      <c r="B635" s="3" t="s">
        <v>15</v>
      </c>
      <c r="C635" s="3">
        <v>1937</v>
      </c>
      <c r="D635" s="3">
        <v>1941.6</v>
      </c>
      <c r="E635" s="3">
        <v>1919.1</v>
      </c>
      <c r="F635" s="3">
        <v>1935.4</v>
      </c>
      <c r="G635" s="3">
        <v>1926</v>
      </c>
      <c r="H635" s="3">
        <v>1929.6</v>
      </c>
      <c r="I635" s="3">
        <v>1927.55</v>
      </c>
      <c r="J635" s="3">
        <v>1996.3</v>
      </c>
      <c r="K635" s="3">
        <v>1588.05</v>
      </c>
      <c r="L635" s="5">
        <v>8489368</v>
      </c>
      <c r="M635" s="2">
        <v>16363691276.799999</v>
      </c>
      <c r="N635">
        <v>219738</v>
      </c>
      <c r="O635" t="s">
        <v>18</v>
      </c>
      <c r="P635" s="8">
        <f t="shared" si="27"/>
        <v>-1.5999999999999091</v>
      </c>
      <c r="Q635" t="s">
        <v>39</v>
      </c>
      <c r="R635">
        <f t="shared" si="28"/>
        <v>6</v>
      </c>
      <c r="S635" t="str">
        <f t="shared" si="29"/>
        <v>Jun</v>
      </c>
      <c r="T635" s="9">
        <f>VLOOKUP(O635, Annual_Summary!A:B, 2, 0)</f>
        <v>-0.4440050483803113</v>
      </c>
    </row>
    <row r="636" spans="1:20" x14ac:dyDescent="0.3">
      <c r="A636" s="1">
        <v>45824</v>
      </c>
      <c r="B636" s="3" t="s">
        <v>15</v>
      </c>
      <c r="C636" s="3">
        <v>1924</v>
      </c>
      <c r="D636" s="3">
        <v>1938.9</v>
      </c>
      <c r="E636" s="3">
        <v>1920.1</v>
      </c>
      <c r="F636" s="3">
        <v>1917.6</v>
      </c>
      <c r="G636" s="3">
        <v>1936.9</v>
      </c>
      <c r="H636" s="3">
        <v>1935.4</v>
      </c>
      <c r="I636" s="3">
        <v>1933.31</v>
      </c>
      <c r="J636" s="3">
        <v>1996.3</v>
      </c>
      <c r="K636" s="3">
        <v>1588.05</v>
      </c>
      <c r="L636" s="5">
        <v>8256873</v>
      </c>
      <c r="M636" s="2">
        <v>15963122374.700001</v>
      </c>
      <c r="N636">
        <v>199177</v>
      </c>
      <c r="O636" t="s">
        <v>18</v>
      </c>
      <c r="P636" s="8">
        <f t="shared" si="27"/>
        <v>-6.4000000000000909</v>
      </c>
      <c r="Q636" t="s">
        <v>39</v>
      </c>
      <c r="R636">
        <f t="shared" si="28"/>
        <v>6</v>
      </c>
      <c r="S636" t="str">
        <f t="shared" si="29"/>
        <v>Jun</v>
      </c>
      <c r="T636" s="9">
        <f>VLOOKUP(O636, Annual_Summary!A:B, 2, 0)</f>
        <v>-0.4440050483803113</v>
      </c>
    </row>
    <row r="637" spans="1:20" x14ac:dyDescent="0.3">
      <c r="A637" s="1">
        <v>45821</v>
      </c>
      <c r="B637" s="3" t="s">
        <v>15</v>
      </c>
      <c r="C637" s="3">
        <v>1920</v>
      </c>
      <c r="D637" s="3">
        <v>1933</v>
      </c>
      <c r="E637" s="3">
        <v>1913</v>
      </c>
      <c r="F637" s="3">
        <v>1943.4</v>
      </c>
      <c r="G637" s="3">
        <v>1919.5</v>
      </c>
      <c r="H637" s="3">
        <v>1917.6</v>
      </c>
      <c r="I637" s="3">
        <v>1920.08</v>
      </c>
      <c r="J637" s="3">
        <v>1996.3</v>
      </c>
      <c r="K637" s="3">
        <v>1552.2</v>
      </c>
      <c r="L637" s="5">
        <v>6058881</v>
      </c>
      <c r="M637" s="2">
        <v>11633522704.6</v>
      </c>
      <c r="N637">
        <v>187789</v>
      </c>
      <c r="O637" t="s">
        <v>18</v>
      </c>
      <c r="P637" s="8">
        <f t="shared" si="27"/>
        <v>23.400000000000091</v>
      </c>
      <c r="Q637" t="s">
        <v>39</v>
      </c>
      <c r="R637">
        <f t="shared" si="28"/>
        <v>6</v>
      </c>
      <c r="S637" t="str">
        <f t="shared" si="29"/>
        <v>Jun</v>
      </c>
      <c r="T637" s="9">
        <f>VLOOKUP(O637, Annual_Summary!A:B, 2, 0)</f>
        <v>-0.4440050483803113</v>
      </c>
    </row>
    <row r="638" spans="1:20" x14ac:dyDescent="0.3">
      <c r="A638" s="1">
        <v>45820</v>
      </c>
      <c r="B638" s="3" t="s">
        <v>15</v>
      </c>
      <c r="C638" s="3">
        <v>1950</v>
      </c>
      <c r="D638" s="3">
        <v>1961</v>
      </c>
      <c r="E638" s="3">
        <v>1935.3</v>
      </c>
      <c r="F638" s="3">
        <v>1950.4</v>
      </c>
      <c r="G638" s="3">
        <v>1940</v>
      </c>
      <c r="H638" s="3">
        <v>1943.4</v>
      </c>
      <c r="I638" s="3">
        <v>1945.18</v>
      </c>
      <c r="J638" s="3">
        <v>1996.3</v>
      </c>
      <c r="K638" s="3">
        <v>1552.2</v>
      </c>
      <c r="L638" s="5">
        <v>8174565</v>
      </c>
      <c r="M638" s="2">
        <v>15901014848.9</v>
      </c>
      <c r="N638">
        <v>179174</v>
      </c>
      <c r="O638" t="s">
        <v>18</v>
      </c>
      <c r="P638" s="8">
        <f t="shared" si="27"/>
        <v>0.40000000000009095</v>
      </c>
      <c r="Q638" t="s">
        <v>39</v>
      </c>
      <c r="R638">
        <f t="shared" si="28"/>
        <v>6</v>
      </c>
      <c r="S638" t="str">
        <f t="shared" si="29"/>
        <v>Jun</v>
      </c>
      <c r="T638" s="9">
        <f>VLOOKUP(O638, Annual_Summary!A:B, 2, 0)</f>
        <v>-0.4440050483803113</v>
      </c>
    </row>
    <row r="639" spans="1:20" x14ac:dyDescent="0.3">
      <c r="A639" s="1">
        <v>45819</v>
      </c>
      <c r="B639" s="3" t="s">
        <v>15</v>
      </c>
      <c r="C639" s="3">
        <v>1967.6</v>
      </c>
      <c r="D639" s="3">
        <v>1967.6</v>
      </c>
      <c r="E639" s="3">
        <v>1947</v>
      </c>
      <c r="F639" s="3">
        <v>1965.3</v>
      </c>
      <c r="G639" s="3">
        <v>1947.9</v>
      </c>
      <c r="H639" s="3">
        <v>1950.4</v>
      </c>
      <c r="I639" s="3">
        <v>1956.28</v>
      </c>
      <c r="J639" s="3">
        <v>1996.3</v>
      </c>
      <c r="K639" s="3">
        <v>1552.2</v>
      </c>
      <c r="L639" s="5">
        <v>5548197</v>
      </c>
      <c r="M639" s="2">
        <v>10853832767</v>
      </c>
      <c r="N639">
        <v>181762</v>
      </c>
      <c r="O639" t="s">
        <v>18</v>
      </c>
      <c r="P639" s="8">
        <f t="shared" si="27"/>
        <v>-2.2999999999999545</v>
      </c>
      <c r="Q639" t="s">
        <v>39</v>
      </c>
      <c r="R639">
        <f t="shared" si="28"/>
        <v>6</v>
      </c>
      <c r="S639" t="str">
        <f t="shared" si="29"/>
        <v>Jun</v>
      </c>
      <c r="T639" s="9">
        <f>VLOOKUP(O639, Annual_Summary!A:B, 2, 0)</f>
        <v>-0.4440050483803113</v>
      </c>
    </row>
    <row r="640" spans="1:20" x14ac:dyDescent="0.3">
      <c r="A640" s="1">
        <v>45818</v>
      </c>
      <c r="B640" s="3" t="s">
        <v>15</v>
      </c>
      <c r="C640" s="3">
        <v>1982.8</v>
      </c>
      <c r="D640" s="3">
        <v>1982.8</v>
      </c>
      <c r="E640" s="3">
        <v>1961.1</v>
      </c>
      <c r="F640" s="3">
        <v>1978.9</v>
      </c>
      <c r="G640" s="3">
        <v>1962.8</v>
      </c>
      <c r="H640" s="3">
        <v>1965.3</v>
      </c>
      <c r="I640" s="3">
        <v>1967.94</v>
      </c>
      <c r="J640" s="3">
        <v>1996.3</v>
      </c>
      <c r="K640" s="3">
        <v>1552.2</v>
      </c>
      <c r="L640" s="5">
        <v>7766563</v>
      </c>
      <c r="M640" s="2">
        <v>15284154944.5</v>
      </c>
      <c r="N640">
        <v>281306</v>
      </c>
      <c r="O640" t="s">
        <v>18</v>
      </c>
      <c r="P640" s="8">
        <f t="shared" si="27"/>
        <v>-3.8999999999998636</v>
      </c>
      <c r="Q640" t="s">
        <v>39</v>
      </c>
      <c r="R640">
        <f t="shared" si="28"/>
        <v>6</v>
      </c>
      <c r="S640" t="str">
        <f t="shared" si="29"/>
        <v>Jun</v>
      </c>
      <c r="T640" s="9">
        <f>VLOOKUP(O640, Annual_Summary!A:B, 2, 0)</f>
        <v>-0.4440050483803113</v>
      </c>
    </row>
    <row r="641" spans="1:20" x14ac:dyDescent="0.3">
      <c r="A641" s="1">
        <v>45817</v>
      </c>
      <c r="B641" s="3" t="s">
        <v>15</v>
      </c>
      <c r="C641" s="3">
        <v>1995</v>
      </c>
      <c r="D641" s="3">
        <v>1995</v>
      </c>
      <c r="E641" s="3">
        <v>1975.9</v>
      </c>
      <c r="F641" s="3">
        <v>1978.7</v>
      </c>
      <c r="G641" s="3">
        <v>1980.1</v>
      </c>
      <c r="H641" s="3">
        <v>1978.9</v>
      </c>
      <c r="I641" s="3">
        <v>1982.15</v>
      </c>
      <c r="J641" s="3">
        <v>1996.3</v>
      </c>
      <c r="K641" s="3">
        <v>1552.2</v>
      </c>
      <c r="L641" s="5">
        <v>6601294</v>
      </c>
      <c r="M641" s="2">
        <v>13084780209.799999</v>
      </c>
      <c r="N641">
        <v>203285</v>
      </c>
      <c r="O641" t="s">
        <v>18</v>
      </c>
      <c r="P641" s="8">
        <f t="shared" si="27"/>
        <v>-16.299999999999955</v>
      </c>
      <c r="Q641" t="s">
        <v>39</v>
      </c>
      <c r="R641">
        <f t="shared" si="28"/>
        <v>6</v>
      </c>
      <c r="S641" t="str">
        <f t="shared" si="29"/>
        <v>Jun</v>
      </c>
      <c r="T641" s="9">
        <f>VLOOKUP(O641, Annual_Summary!A:B, 2, 0)</f>
        <v>-0.4440050483803113</v>
      </c>
    </row>
    <row r="642" spans="1:20" x14ac:dyDescent="0.3">
      <c r="A642" s="1">
        <v>45814</v>
      </c>
      <c r="B642" s="3" t="s">
        <v>15</v>
      </c>
      <c r="C642" s="3">
        <v>1944</v>
      </c>
      <c r="D642" s="3">
        <v>1996.3</v>
      </c>
      <c r="E642" s="3">
        <v>1942.7</v>
      </c>
      <c r="F642" s="3">
        <v>1949.6</v>
      </c>
      <c r="G642" s="3">
        <v>1978</v>
      </c>
      <c r="H642" s="3">
        <v>1978.7</v>
      </c>
      <c r="I642" s="3">
        <v>1976.03</v>
      </c>
      <c r="J642" s="3">
        <v>1996.3</v>
      </c>
      <c r="K642" s="3">
        <v>1454</v>
      </c>
      <c r="L642" s="5">
        <v>15063504</v>
      </c>
      <c r="M642" s="2">
        <v>29765991590.299999</v>
      </c>
      <c r="N642">
        <v>354572</v>
      </c>
      <c r="O642" t="s">
        <v>18</v>
      </c>
      <c r="P642" s="8">
        <f t="shared" si="27"/>
        <v>5.5999999999999091</v>
      </c>
      <c r="Q642" t="s">
        <v>39</v>
      </c>
      <c r="R642">
        <f t="shared" si="28"/>
        <v>6</v>
      </c>
      <c r="S642" t="str">
        <f t="shared" si="29"/>
        <v>Jun</v>
      </c>
      <c r="T642" s="9">
        <f>VLOOKUP(O642, Annual_Summary!A:B, 2, 0)</f>
        <v>-0.4440050483803113</v>
      </c>
    </row>
    <row r="643" spans="1:20" x14ac:dyDescent="0.3">
      <c r="A643" s="1">
        <v>45813</v>
      </c>
      <c r="B643" s="3" t="s">
        <v>15</v>
      </c>
      <c r="C643" s="3">
        <v>1948</v>
      </c>
      <c r="D643" s="3">
        <v>1958.9</v>
      </c>
      <c r="E643" s="3">
        <v>1940.2</v>
      </c>
      <c r="F643" s="3">
        <v>1941.2</v>
      </c>
      <c r="G643" s="3">
        <v>1952</v>
      </c>
      <c r="H643" s="3">
        <v>1949.6</v>
      </c>
      <c r="I643" s="3">
        <v>1950.15</v>
      </c>
      <c r="J643" s="3">
        <v>1978.9</v>
      </c>
      <c r="K643" s="3">
        <v>1454</v>
      </c>
      <c r="L643" s="5">
        <v>11127709</v>
      </c>
      <c r="M643" s="2">
        <v>21700698216.200001</v>
      </c>
      <c r="N643">
        <v>216860</v>
      </c>
      <c r="O643" t="s">
        <v>18</v>
      </c>
      <c r="P643" s="8">
        <f t="shared" ref="P643:P706" si="30">F643-C643</f>
        <v>-6.7999999999999545</v>
      </c>
      <c r="Q643" t="s">
        <v>39</v>
      </c>
      <c r="R643">
        <f t="shared" ref="R643:R706" si="31">MONTH(A643)</f>
        <v>6</v>
      </c>
      <c r="S643" t="str">
        <f t="shared" ref="S643:S706" si="32">TEXT(A643,"mmm")</f>
        <v>Jun</v>
      </c>
      <c r="T643" s="9">
        <f>VLOOKUP(O643, Annual_Summary!A:B, 2, 0)</f>
        <v>-0.4440050483803113</v>
      </c>
    </row>
    <row r="644" spans="1:20" x14ac:dyDescent="0.3">
      <c r="A644" s="1">
        <v>45812</v>
      </c>
      <c r="B644" s="3" t="s">
        <v>15</v>
      </c>
      <c r="C644" s="3">
        <v>1921</v>
      </c>
      <c r="D644" s="3">
        <v>1943.3</v>
      </c>
      <c r="E644" s="3">
        <v>1920.9</v>
      </c>
      <c r="F644" s="3">
        <v>1924.6</v>
      </c>
      <c r="G644" s="3">
        <v>1939.5</v>
      </c>
      <c r="H644" s="3">
        <v>1941.2</v>
      </c>
      <c r="I644" s="3">
        <v>1935.52</v>
      </c>
      <c r="J644" s="3">
        <v>1978.9</v>
      </c>
      <c r="K644" s="3">
        <v>1454</v>
      </c>
      <c r="L644" s="5">
        <v>6480771</v>
      </c>
      <c r="M644" s="2">
        <v>12543693178.6</v>
      </c>
      <c r="N644">
        <v>205372</v>
      </c>
      <c r="O644" t="s">
        <v>18</v>
      </c>
      <c r="P644" s="8">
        <f t="shared" si="30"/>
        <v>3.5999999999999091</v>
      </c>
      <c r="Q644" t="s">
        <v>39</v>
      </c>
      <c r="R644">
        <f t="shared" si="31"/>
        <v>6</v>
      </c>
      <c r="S644" t="str">
        <f t="shared" si="32"/>
        <v>Jun</v>
      </c>
      <c r="T644" s="9">
        <f>VLOOKUP(O644, Annual_Summary!A:B, 2, 0)</f>
        <v>-0.4440050483803113</v>
      </c>
    </row>
    <row r="645" spans="1:20" x14ac:dyDescent="0.3">
      <c r="A645" s="1">
        <v>45811</v>
      </c>
      <c r="B645" s="3" t="s">
        <v>15</v>
      </c>
      <c r="C645" s="3">
        <v>1938</v>
      </c>
      <c r="D645" s="3">
        <v>1952</v>
      </c>
      <c r="E645" s="3">
        <v>1920</v>
      </c>
      <c r="F645" s="3">
        <v>1932.1</v>
      </c>
      <c r="G645" s="3">
        <v>1923.5</v>
      </c>
      <c r="H645" s="3">
        <v>1924.6</v>
      </c>
      <c r="I645" s="3">
        <v>1933.85</v>
      </c>
      <c r="J645" s="3">
        <v>1978.9</v>
      </c>
      <c r="K645" s="3">
        <v>1454</v>
      </c>
      <c r="L645" s="5">
        <v>12188792</v>
      </c>
      <c r="M645" s="2">
        <v>23571332796.700001</v>
      </c>
      <c r="N645">
        <v>202204</v>
      </c>
      <c r="O645" t="s">
        <v>18</v>
      </c>
      <c r="P645" s="8">
        <f t="shared" si="30"/>
        <v>-5.9000000000000909</v>
      </c>
      <c r="Q645" t="s">
        <v>39</v>
      </c>
      <c r="R645">
        <f t="shared" si="31"/>
        <v>6</v>
      </c>
      <c r="S645" t="str">
        <f t="shared" si="32"/>
        <v>Jun</v>
      </c>
      <c r="T645" s="9">
        <f>VLOOKUP(O645, Annual_Summary!A:B, 2, 0)</f>
        <v>-0.4440050483803113</v>
      </c>
    </row>
    <row r="646" spans="1:20" x14ac:dyDescent="0.3">
      <c r="A646" s="1">
        <v>45810</v>
      </c>
      <c r="B646" s="3" t="s">
        <v>15</v>
      </c>
      <c r="C646" s="3">
        <v>1930.1</v>
      </c>
      <c r="D646" s="3">
        <v>1936</v>
      </c>
      <c r="E646" s="3">
        <v>1908</v>
      </c>
      <c r="F646" s="3">
        <v>1944.9</v>
      </c>
      <c r="G646" s="3">
        <v>1931</v>
      </c>
      <c r="H646" s="3">
        <v>1932.1</v>
      </c>
      <c r="I646" s="3">
        <v>1924.65</v>
      </c>
      <c r="J646" s="3">
        <v>1978.9</v>
      </c>
      <c r="K646" s="3">
        <v>1454</v>
      </c>
      <c r="L646" s="5">
        <v>7334411</v>
      </c>
      <c r="M646" s="2">
        <v>14116152681.299999</v>
      </c>
      <c r="N646">
        <v>202297</v>
      </c>
      <c r="O646" t="s">
        <v>18</v>
      </c>
      <c r="P646" s="8">
        <f t="shared" si="30"/>
        <v>14.800000000000182</v>
      </c>
      <c r="Q646" t="s">
        <v>39</v>
      </c>
      <c r="R646">
        <f t="shared" si="31"/>
        <v>6</v>
      </c>
      <c r="S646" t="str">
        <f t="shared" si="32"/>
        <v>Jun</v>
      </c>
      <c r="T646" s="9">
        <f>VLOOKUP(O646, Annual_Summary!A:B, 2, 0)</f>
        <v>-0.4440050483803113</v>
      </c>
    </row>
    <row r="647" spans="1:20" x14ac:dyDescent="0.3">
      <c r="A647" s="1">
        <v>45807</v>
      </c>
      <c r="B647" s="3" t="s">
        <v>15</v>
      </c>
      <c r="C647" s="3">
        <v>1931.9</v>
      </c>
      <c r="D647" s="3">
        <v>1948.8</v>
      </c>
      <c r="E647" s="3">
        <v>1925.4</v>
      </c>
      <c r="F647" s="3">
        <v>1927.5</v>
      </c>
      <c r="G647" s="3">
        <v>1941.5</v>
      </c>
      <c r="H647" s="3">
        <v>1944.9</v>
      </c>
      <c r="I647" s="3">
        <v>1939.36</v>
      </c>
      <c r="J647" s="3">
        <v>1978.9</v>
      </c>
      <c r="K647" s="3">
        <v>1454</v>
      </c>
      <c r="L647" s="5">
        <v>14374039</v>
      </c>
      <c r="M647" s="2">
        <v>27876395261.099998</v>
      </c>
      <c r="N647">
        <v>152055</v>
      </c>
      <c r="O647" t="s">
        <v>18</v>
      </c>
      <c r="P647" s="8">
        <f t="shared" si="30"/>
        <v>-4.4000000000000909</v>
      </c>
      <c r="Q647" t="s">
        <v>39</v>
      </c>
      <c r="R647">
        <f t="shared" si="31"/>
        <v>5</v>
      </c>
      <c r="S647" t="str">
        <f t="shared" si="32"/>
        <v>May</v>
      </c>
      <c r="T647" s="9">
        <f>VLOOKUP(O647, Annual_Summary!A:B, 2, 0)</f>
        <v>-0.4440050483803113</v>
      </c>
    </row>
    <row r="648" spans="1:20" x14ac:dyDescent="0.3">
      <c r="A648" s="1">
        <v>45806</v>
      </c>
      <c r="B648" s="3" t="s">
        <v>15</v>
      </c>
      <c r="C648" s="3">
        <v>1928</v>
      </c>
      <c r="D648" s="3">
        <v>1940.8</v>
      </c>
      <c r="E648" s="3">
        <v>1907.3</v>
      </c>
      <c r="F648" s="3">
        <v>1923.5</v>
      </c>
      <c r="G648" s="3">
        <v>1937.6</v>
      </c>
      <c r="H648" s="3">
        <v>1927.5</v>
      </c>
      <c r="I648" s="3">
        <v>1921.28</v>
      </c>
      <c r="J648" s="3">
        <v>1978.9</v>
      </c>
      <c r="K648" s="3">
        <v>1454</v>
      </c>
      <c r="L648" s="5">
        <v>14458897</v>
      </c>
      <c r="M648" s="2">
        <v>27779560938.599998</v>
      </c>
      <c r="N648">
        <v>215462</v>
      </c>
      <c r="O648" t="s">
        <v>18</v>
      </c>
      <c r="P648" s="8">
        <f t="shared" si="30"/>
        <v>-4.5</v>
      </c>
      <c r="Q648" t="s">
        <v>39</v>
      </c>
      <c r="R648">
        <f t="shared" si="31"/>
        <v>5</v>
      </c>
      <c r="S648" t="str">
        <f t="shared" si="32"/>
        <v>May</v>
      </c>
      <c r="T648" s="9">
        <f>VLOOKUP(O648, Annual_Summary!A:B, 2, 0)</f>
        <v>-0.4440050483803113</v>
      </c>
    </row>
    <row r="649" spans="1:20" x14ac:dyDescent="0.3">
      <c r="A649" s="1">
        <v>45805</v>
      </c>
      <c r="B649" s="3" t="s">
        <v>15</v>
      </c>
      <c r="C649" s="3">
        <v>1920.2</v>
      </c>
      <c r="D649" s="3">
        <v>1934.5</v>
      </c>
      <c r="E649" s="3">
        <v>1917.7</v>
      </c>
      <c r="F649" s="3">
        <v>1926.3</v>
      </c>
      <c r="G649" s="3">
        <v>1928.4</v>
      </c>
      <c r="H649" s="3">
        <v>1923.5</v>
      </c>
      <c r="I649" s="3">
        <v>1922.92</v>
      </c>
      <c r="J649" s="3">
        <v>1978.9</v>
      </c>
      <c r="K649" s="3">
        <v>1454</v>
      </c>
      <c r="L649" s="5">
        <v>9078797</v>
      </c>
      <c r="M649" s="2">
        <v>17457806722.099998</v>
      </c>
      <c r="N649">
        <v>179687</v>
      </c>
      <c r="O649" t="s">
        <v>18</v>
      </c>
      <c r="P649" s="8">
        <f t="shared" si="30"/>
        <v>6.0999999999999091</v>
      </c>
      <c r="Q649" t="s">
        <v>39</v>
      </c>
      <c r="R649">
        <f t="shared" si="31"/>
        <v>5</v>
      </c>
      <c r="S649" t="str">
        <f t="shared" si="32"/>
        <v>May</v>
      </c>
      <c r="T649" s="9">
        <f>VLOOKUP(O649, Annual_Summary!A:B, 2, 0)</f>
        <v>-0.4440050483803113</v>
      </c>
    </row>
    <row r="650" spans="1:20" x14ac:dyDescent="0.3">
      <c r="A650" s="1">
        <v>45804</v>
      </c>
      <c r="B650" s="3" t="s">
        <v>15</v>
      </c>
      <c r="C650" s="3">
        <v>1931.6</v>
      </c>
      <c r="D650" s="3">
        <v>1948</v>
      </c>
      <c r="E650" s="3">
        <v>1916.3</v>
      </c>
      <c r="F650" s="3">
        <v>1940.2</v>
      </c>
      <c r="G650" s="3">
        <v>1926.8</v>
      </c>
      <c r="H650" s="3">
        <v>1926.3</v>
      </c>
      <c r="I650" s="3">
        <v>1927.12</v>
      </c>
      <c r="J650" s="3">
        <v>1978.9</v>
      </c>
      <c r="K650" s="3">
        <v>1454</v>
      </c>
      <c r="L650" s="5">
        <v>13081074</v>
      </c>
      <c r="M650" s="2">
        <v>25208751300.700001</v>
      </c>
      <c r="N650">
        <v>202672</v>
      </c>
      <c r="O650" t="s">
        <v>18</v>
      </c>
      <c r="P650" s="8">
        <f t="shared" si="30"/>
        <v>8.6000000000001364</v>
      </c>
      <c r="Q650" t="s">
        <v>39</v>
      </c>
      <c r="R650">
        <f t="shared" si="31"/>
        <v>5</v>
      </c>
      <c r="S650" t="str">
        <f t="shared" si="32"/>
        <v>May</v>
      </c>
      <c r="T650" s="9">
        <f>VLOOKUP(O650, Annual_Summary!A:B, 2, 0)</f>
        <v>-0.4440050483803113</v>
      </c>
    </row>
    <row r="651" spans="1:20" x14ac:dyDescent="0.3">
      <c r="A651" s="1">
        <v>45803</v>
      </c>
      <c r="B651" s="3" t="s">
        <v>15</v>
      </c>
      <c r="C651" s="3">
        <v>1935</v>
      </c>
      <c r="D651" s="3">
        <v>1949.9</v>
      </c>
      <c r="E651" s="3">
        <v>1926.9</v>
      </c>
      <c r="F651" s="3">
        <v>1933.6</v>
      </c>
      <c r="G651" s="3">
        <v>1940.3</v>
      </c>
      <c r="H651" s="3">
        <v>1940.2</v>
      </c>
      <c r="I651" s="3">
        <v>1939.47</v>
      </c>
      <c r="J651" s="3">
        <v>1978.9</v>
      </c>
      <c r="K651" s="3">
        <v>1454</v>
      </c>
      <c r="L651" s="5">
        <v>5401430</v>
      </c>
      <c r="M651" s="2">
        <v>10475911940.9</v>
      </c>
      <c r="N651">
        <v>201842</v>
      </c>
      <c r="O651" t="s">
        <v>18</v>
      </c>
      <c r="P651" s="8">
        <f t="shared" si="30"/>
        <v>-1.4000000000000909</v>
      </c>
      <c r="Q651" t="s">
        <v>39</v>
      </c>
      <c r="R651">
        <f t="shared" si="31"/>
        <v>5</v>
      </c>
      <c r="S651" t="str">
        <f t="shared" si="32"/>
        <v>May</v>
      </c>
      <c r="T651" s="9">
        <f>VLOOKUP(O651, Annual_Summary!A:B, 2, 0)</f>
        <v>-0.4440050483803113</v>
      </c>
    </row>
    <row r="652" spans="1:20" x14ac:dyDescent="0.3">
      <c r="A652" s="1">
        <v>45800</v>
      </c>
      <c r="B652" s="3" t="s">
        <v>15</v>
      </c>
      <c r="C652" s="3">
        <v>1920.1</v>
      </c>
      <c r="D652" s="3">
        <v>1937</v>
      </c>
      <c r="E652" s="3">
        <v>1914.5</v>
      </c>
      <c r="F652" s="3">
        <v>1919.9</v>
      </c>
      <c r="G652" s="3">
        <v>1933.5</v>
      </c>
      <c r="H652" s="3">
        <v>1933.6</v>
      </c>
      <c r="I652" s="3">
        <v>1929.98</v>
      </c>
      <c r="J652" s="3">
        <v>1978.9</v>
      </c>
      <c r="K652" s="3">
        <v>1448.15</v>
      </c>
      <c r="L652" s="5">
        <v>4783036</v>
      </c>
      <c r="M652" s="2">
        <v>9231150800.3999996</v>
      </c>
      <c r="N652">
        <v>116301</v>
      </c>
      <c r="O652" t="s">
        <v>18</v>
      </c>
      <c r="P652" s="8">
        <f t="shared" si="30"/>
        <v>-0.1999999999998181</v>
      </c>
      <c r="Q652" t="s">
        <v>39</v>
      </c>
      <c r="R652">
        <f t="shared" si="31"/>
        <v>5</v>
      </c>
      <c r="S652" t="str">
        <f t="shared" si="32"/>
        <v>May</v>
      </c>
      <c r="T652" s="9">
        <f>VLOOKUP(O652, Annual_Summary!A:B, 2, 0)</f>
        <v>-0.4440050483803113</v>
      </c>
    </row>
    <row r="653" spans="1:20" x14ac:dyDescent="0.3">
      <c r="A653" s="1">
        <v>45799</v>
      </c>
      <c r="B653" s="3" t="s">
        <v>15</v>
      </c>
      <c r="C653" s="3">
        <v>1915.2</v>
      </c>
      <c r="D653" s="3">
        <v>1924.2</v>
      </c>
      <c r="E653" s="3">
        <v>1905.2</v>
      </c>
      <c r="F653" s="3">
        <v>1926.8</v>
      </c>
      <c r="G653" s="3">
        <v>1924</v>
      </c>
      <c r="H653" s="3">
        <v>1919.9</v>
      </c>
      <c r="I653" s="3">
        <v>1914.84</v>
      </c>
      <c r="J653" s="3">
        <v>1978.9</v>
      </c>
      <c r="K653" s="3">
        <v>1448.15</v>
      </c>
      <c r="L653" s="5">
        <v>10653335</v>
      </c>
      <c r="M653" s="2">
        <v>20399411133.400002</v>
      </c>
      <c r="N653">
        <v>255429</v>
      </c>
      <c r="O653" t="s">
        <v>18</v>
      </c>
      <c r="P653" s="8">
        <f t="shared" si="30"/>
        <v>11.599999999999909</v>
      </c>
      <c r="Q653" t="s">
        <v>39</v>
      </c>
      <c r="R653">
        <f t="shared" si="31"/>
        <v>5</v>
      </c>
      <c r="S653" t="str">
        <f t="shared" si="32"/>
        <v>May</v>
      </c>
      <c r="T653" s="9">
        <f>VLOOKUP(O653, Annual_Summary!A:B, 2, 0)</f>
        <v>-0.4440050483803113</v>
      </c>
    </row>
    <row r="654" spans="1:20" x14ac:dyDescent="0.3">
      <c r="A654" s="1">
        <v>45798</v>
      </c>
      <c r="B654" s="3" t="s">
        <v>15</v>
      </c>
      <c r="C654" s="3">
        <v>1927</v>
      </c>
      <c r="D654" s="3">
        <v>1946.9</v>
      </c>
      <c r="E654" s="3">
        <v>1921.1</v>
      </c>
      <c r="F654" s="3">
        <v>1914.9</v>
      </c>
      <c r="G654" s="3">
        <v>1925.2</v>
      </c>
      <c r="H654" s="3">
        <v>1926.8</v>
      </c>
      <c r="I654" s="3">
        <v>1930.42</v>
      </c>
      <c r="J654" s="3">
        <v>1978.9</v>
      </c>
      <c r="K654" s="3">
        <v>1448.15</v>
      </c>
      <c r="L654" s="5">
        <v>7566020</v>
      </c>
      <c r="M654" s="2">
        <v>14605582585.700001</v>
      </c>
      <c r="N654">
        <v>205548</v>
      </c>
      <c r="O654" t="s">
        <v>18</v>
      </c>
      <c r="P654" s="8">
        <f t="shared" si="30"/>
        <v>-12.099999999999909</v>
      </c>
      <c r="Q654" t="s">
        <v>39</v>
      </c>
      <c r="R654">
        <f t="shared" si="31"/>
        <v>5</v>
      </c>
      <c r="S654" t="str">
        <f t="shared" si="32"/>
        <v>May</v>
      </c>
      <c r="T654" s="9">
        <f>VLOOKUP(O654, Annual_Summary!A:B, 2, 0)</f>
        <v>-0.4440050483803113</v>
      </c>
    </row>
    <row r="655" spans="1:20" x14ac:dyDescent="0.3">
      <c r="A655" s="1">
        <v>45797</v>
      </c>
      <c r="B655" s="3" t="s">
        <v>15</v>
      </c>
      <c r="C655" s="3">
        <v>1928.1</v>
      </c>
      <c r="D655" s="3">
        <v>1934.6</v>
      </c>
      <c r="E655" s="3">
        <v>1913</v>
      </c>
      <c r="F655" s="3">
        <v>1938.7</v>
      </c>
      <c r="G655" s="3">
        <v>1917.1</v>
      </c>
      <c r="H655" s="3">
        <v>1914.9</v>
      </c>
      <c r="I655" s="3">
        <v>1918.55</v>
      </c>
      <c r="J655" s="3">
        <v>1978.9</v>
      </c>
      <c r="K655" s="3">
        <v>1448.15</v>
      </c>
      <c r="L655" s="5">
        <v>11939545</v>
      </c>
      <c r="M655" s="2">
        <v>22906655882.099998</v>
      </c>
      <c r="N655">
        <v>176524</v>
      </c>
      <c r="O655" t="s">
        <v>18</v>
      </c>
      <c r="P655" s="8">
        <f t="shared" si="30"/>
        <v>10.600000000000136</v>
      </c>
      <c r="Q655" t="s">
        <v>39</v>
      </c>
      <c r="R655">
        <f t="shared" si="31"/>
        <v>5</v>
      </c>
      <c r="S655" t="str">
        <f t="shared" si="32"/>
        <v>May</v>
      </c>
      <c r="T655" s="9">
        <f>VLOOKUP(O655, Annual_Summary!A:B, 2, 0)</f>
        <v>-0.4440050483803113</v>
      </c>
    </row>
    <row r="656" spans="1:20" x14ac:dyDescent="0.3">
      <c r="A656" s="1">
        <v>45796</v>
      </c>
      <c r="B656" s="3" t="s">
        <v>15</v>
      </c>
      <c r="C656" s="3">
        <v>1937</v>
      </c>
      <c r="D656" s="3">
        <v>1945</v>
      </c>
      <c r="E656" s="3">
        <v>1931</v>
      </c>
      <c r="F656" s="3">
        <v>1934.7</v>
      </c>
      <c r="G656" s="3">
        <v>1937.1</v>
      </c>
      <c r="H656" s="3">
        <v>1938.7</v>
      </c>
      <c r="I656" s="3">
        <v>1938.13</v>
      </c>
      <c r="J656" s="3">
        <v>1978.9</v>
      </c>
      <c r="K656" s="3">
        <v>1448.15</v>
      </c>
      <c r="L656" s="5">
        <v>5101482</v>
      </c>
      <c r="M656" s="2">
        <v>9887338159.2000008</v>
      </c>
      <c r="N656">
        <v>156815</v>
      </c>
      <c r="O656" t="s">
        <v>18</v>
      </c>
      <c r="P656" s="8">
        <f t="shared" si="30"/>
        <v>-2.2999999999999545</v>
      </c>
      <c r="Q656" t="s">
        <v>39</v>
      </c>
      <c r="R656">
        <f t="shared" si="31"/>
        <v>5</v>
      </c>
      <c r="S656" t="str">
        <f t="shared" si="32"/>
        <v>May</v>
      </c>
      <c r="T656" s="9">
        <f>VLOOKUP(O656, Annual_Summary!A:B, 2, 0)</f>
        <v>-0.4440050483803113</v>
      </c>
    </row>
    <row r="657" spans="1:20" x14ac:dyDescent="0.3">
      <c r="A657" s="1">
        <v>45793</v>
      </c>
      <c r="B657" s="3" t="s">
        <v>15</v>
      </c>
      <c r="C657" s="3">
        <v>1933.8</v>
      </c>
      <c r="D657" s="3">
        <v>1943.8</v>
      </c>
      <c r="E657" s="3">
        <v>1928.4</v>
      </c>
      <c r="F657" s="3">
        <v>1933.8</v>
      </c>
      <c r="G657" s="3">
        <v>1934.5</v>
      </c>
      <c r="H657" s="3">
        <v>1934.7</v>
      </c>
      <c r="I657" s="3">
        <v>1933.5</v>
      </c>
      <c r="J657" s="3">
        <v>1978.9</v>
      </c>
      <c r="K657" s="3">
        <v>1430.3</v>
      </c>
      <c r="L657" s="5">
        <v>7934005</v>
      </c>
      <c r="M657" s="2">
        <v>15340426257</v>
      </c>
      <c r="N657">
        <v>175140</v>
      </c>
      <c r="O657" t="s">
        <v>18</v>
      </c>
      <c r="P657" s="8">
        <f t="shared" si="30"/>
        <v>0</v>
      </c>
      <c r="Q657" t="s">
        <v>39</v>
      </c>
      <c r="R657">
        <f t="shared" si="31"/>
        <v>5</v>
      </c>
      <c r="S657" t="str">
        <f t="shared" si="32"/>
        <v>May</v>
      </c>
      <c r="T657" s="9">
        <f>VLOOKUP(O657, Annual_Summary!A:B, 2, 0)</f>
        <v>-0.4440050483803113</v>
      </c>
    </row>
    <row r="658" spans="1:20" x14ac:dyDescent="0.3">
      <c r="A658" s="1">
        <v>45792</v>
      </c>
      <c r="B658" s="3" t="s">
        <v>15</v>
      </c>
      <c r="C658" s="3">
        <v>1913.5</v>
      </c>
      <c r="D658" s="3">
        <v>1944.8</v>
      </c>
      <c r="E658" s="3">
        <v>1897</v>
      </c>
      <c r="F658" s="3">
        <v>1910.6</v>
      </c>
      <c r="G658" s="3">
        <v>1933.8</v>
      </c>
      <c r="H658" s="3">
        <v>1933.8</v>
      </c>
      <c r="I658" s="3">
        <v>1923.01</v>
      </c>
      <c r="J658" s="3">
        <v>1978.9</v>
      </c>
      <c r="K658" s="3">
        <v>1430.3</v>
      </c>
      <c r="L658" s="5">
        <v>16120729</v>
      </c>
      <c r="M658" s="2">
        <v>31000329957.900002</v>
      </c>
      <c r="N658">
        <v>224596</v>
      </c>
      <c r="O658" t="s">
        <v>18</v>
      </c>
      <c r="P658" s="8">
        <f t="shared" si="30"/>
        <v>-2.9000000000000909</v>
      </c>
      <c r="Q658" t="s">
        <v>39</v>
      </c>
      <c r="R658">
        <f t="shared" si="31"/>
        <v>5</v>
      </c>
      <c r="S658" t="str">
        <f t="shared" si="32"/>
        <v>May</v>
      </c>
      <c r="T658" s="9">
        <f>VLOOKUP(O658, Annual_Summary!A:B, 2, 0)</f>
        <v>-0.4440050483803113</v>
      </c>
    </row>
    <row r="659" spans="1:20" x14ac:dyDescent="0.3">
      <c r="A659" s="1">
        <v>45791</v>
      </c>
      <c r="B659" s="3" t="s">
        <v>15</v>
      </c>
      <c r="C659" s="3">
        <v>1922.1</v>
      </c>
      <c r="D659" s="3">
        <v>1930.2</v>
      </c>
      <c r="E659" s="3">
        <v>1903</v>
      </c>
      <c r="F659" s="3">
        <v>1922.6</v>
      </c>
      <c r="G659" s="3">
        <v>1913.5</v>
      </c>
      <c r="H659" s="3">
        <v>1910.6</v>
      </c>
      <c r="I659" s="3">
        <v>1914.76</v>
      </c>
      <c r="J659" s="3">
        <v>1978.9</v>
      </c>
      <c r="K659" s="3">
        <v>1430.3</v>
      </c>
      <c r="L659" s="5">
        <v>7722654</v>
      </c>
      <c r="M659" s="2">
        <v>14787000374.5</v>
      </c>
      <c r="N659">
        <v>189542</v>
      </c>
      <c r="O659" t="s">
        <v>18</v>
      </c>
      <c r="P659" s="8">
        <f t="shared" si="30"/>
        <v>0.5</v>
      </c>
      <c r="Q659" t="s">
        <v>39</v>
      </c>
      <c r="R659">
        <f t="shared" si="31"/>
        <v>5</v>
      </c>
      <c r="S659" t="str">
        <f t="shared" si="32"/>
        <v>May</v>
      </c>
      <c r="T659" s="9">
        <f>VLOOKUP(O659, Annual_Summary!A:B, 2, 0)</f>
        <v>-0.4440050483803113</v>
      </c>
    </row>
    <row r="660" spans="1:20" x14ac:dyDescent="0.3">
      <c r="A660" s="1">
        <v>45790</v>
      </c>
      <c r="B660" s="3" t="s">
        <v>15</v>
      </c>
      <c r="C660" s="3">
        <v>1950</v>
      </c>
      <c r="D660" s="3">
        <v>1961.7</v>
      </c>
      <c r="E660" s="3">
        <v>1920</v>
      </c>
      <c r="F660" s="3">
        <v>1957.2</v>
      </c>
      <c r="G660" s="3">
        <v>1924.9</v>
      </c>
      <c r="H660" s="3">
        <v>1922.6</v>
      </c>
      <c r="I660" s="3">
        <v>1930.6</v>
      </c>
      <c r="J660" s="3">
        <v>1978.9</v>
      </c>
      <c r="K660" s="3">
        <v>1430.3</v>
      </c>
      <c r="L660" s="5">
        <v>12121051</v>
      </c>
      <c r="M660" s="2">
        <v>23400936924.400002</v>
      </c>
      <c r="N660">
        <v>234495</v>
      </c>
      <c r="O660" t="s">
        <v>18</v>
      </c>
      <c r="P660" s="8">
        <f t="shared" si="30"/>
        <v>7.2000000000000455</v>
      </c>
      <c r="Q660" t="s">
        <v>39</v>
      </c>
      <c r="R660">
        <f t="shared" si="31"/>
        <v>5</v>
      </c>
      <c r="S660" t="str">
        <f t="shared" si="32"/>
        <v>May</v>
      </c>
      <c r="T660" s="9">
        <f>VLOOKUP(O660, Annual_Summary!A:B, 2, 0)</f>
        <v>-0.4440050483803113</v>
      </c>
    </row>
    <row r="661" spans="1:20" x14ac:dyDescent="0.3">
      <c r="A661" s="1">
        <v>45789</v>
      </c>
      <c r="B661" s="3" t="s">
        <v>15</v>
      </c>
      <c r="C661" s="3">
        <v>1917.6</v>
      </c>
      <c r="D661" s="3">
        <v>1959.9</v>
      </c>
      <c r="E661" s="3">
        <v>1912.3</v>
      </c>
      <c r="F661" s="3">
        <v>1889.7</v>
      </c>
      <c r="G661" s="3">
        <v>1956.4</v>
      </c>
      <c r="H661" s="3">
        <v>1957.2</v>
      </c>
      <c r="I661" s="3">
        <v>1948.86</v>
      </c>
      <c r="J661" s="3">
        <v>1978.9</v>
      </c>
      <c r="K661" s="3">
        <v>1430.3</v>
      </c>
      <c r="L661" s="5">
        <v>9309486</v>
      </c>
      <c r="M661" s="2">
        <v>18142865391.200001</v>
      </c>
      <c r="N661">
        <v>207249</v>
      </c>
      <c r="O661" t="s">
        <v>18</v>
      </c>
      <c r="P661" s="8">
        <f t="shared" si="30"/>
        <v>-27.899999999999864</v>
      </c>
      <c r="Q661" t="s">
        <v>39</v>
      </c>
      <c r="R661">
        <f t="shared" si="31"/>
        <v>5</v>
      </c>
      <c r="S661" t="str">
        <f t="shared" si="32"/>
        <v>May</v>
      </c>
      <c r="T661" s="9">
        <f>VLOOKUP(O661, Annual_Summary!A:B, 2, 0)</f>
        <v>-0.4440050483803113</v>
      </c>
    </row>
    <row r="662" spans="1:20" x14ac:dyDescent="0.3">
      <c r="A662" s="1">
        <v>45786</v>
      </c>
      <c r="B662" s="3" t="s">
        <v>15</v>
      </c>
      <c r="C662" s="3">
        <v>1910.1</v>
      </c>
      <c r="D662" s="3">
        <v>1919</v>
      </c>
      <c r="E662" s="3">
        <v>1886.8</v>
      </c>
      <c r="F662" s="3">
        <v>1928.5</v>
      </c>
      <c r="G662" s="3">
        <v>1893.3</v>
      </c>
      <c r="H662" s="3">
        <v>1889.7</v>
      </c>
      <c r="I662" s="3">
        <v>1894.97</v>
      </c>
      <c r="J662" s="3">
        <v>1978.9</v>
      </c>
      <c r="K662" s="3">
        <v>1426.8</v>
      </c>
      <c r="L662" s="5">
        <v>8594398</v>
      </c>
      <c r="M662" s="2">
        <v>16286144558.6</v>
      </c>
      <c r="N662">
        <v>292155</v>
      </c>
      <c r="O662" t="s">
        <v>18</v>
      </c>
      <c r="P662" s="8">
        <f t="shared" si="30"/>
        <v>18.400000000000091</v>
      </c>
      <c r="Q662" t="s">
        <v>39</v>
      </c>
      <c r="R662">
        <f t="shared" si="31"/>
        <v>5</v>
      </c>
      <c r="S662" t="str">
        <f t="shared" si="32"/>
        <v>May</v>
      </c>
      <c r="T662" s="9">
        <f>VLOOKUP(O662, Annual_Summary!A:B, 2, 0)</f>
        <v>-0.4440050483803113</v>
      </c>
    </row>
    <row r="663" spans="1:20" x14ac:dyDescent="0.3">
      <c r="A663" s="1">
        <v>45785</v>
      </c>
      <c r="B663" s="3" t="s">
        <v>15</v>
      </c>
      <c r="C663" s="3">
        <v>1954.8</v>
      </c>
      <c r="D663" s="3">
        <v>1954.8</v>
      </c>
      <c r="E663" s="3">
        <v>1919.1</v>
      </c>
      <c r="F663" s="3">
        <v>1945.6</v>
      </c>
      <c r="G663" s="3">
        <v>1921.5</v>
      </c>
      <c r="H663" s="3">
        <v>1928.5</v>
      </c>
      <c r="I663" s="3">
        <v>1933.8</v>
      </c>
      <c r="J663" s="3">
        <v>1978.9</v>
      </c>
      <c r="K663" s="3">
        <v>1426.8</v>
      </c>
      <c r="L663" s="5">
        <v>17401715</v>
      </c>
      <c r="M663" s="2">
        <v>33651432174.299999</v>
      </c>
      <c r="N663">
        <v>280256</v>
      </c>
      <c r="O663" t="s">
        <v>18</v>
      </c>
      <c r="P663" s="8">
        <f t="shared" si="30"/>
        <v>-9.2000000000000455</v>
      </c>
      <c r="Q663" t="s">
        <v>39</v>
      </c>
      <c r="R663">
        <f t="shared" si="31"/>
        <v>5</v>
      </c>
      <c r="S663" t="str">
        <f t="shared" si="32"/>
        <v>May</v>
      </c>
      <c r="T663" s="9">
        <f>VLOOKUP(O663, Annual_Summary!A:B, 2, 0)</f>
        <v>-0.4440050483803113</v>
      </c>
    </row>
    <row r="664" spans="1:20" x14ac:dyDescent="0.3">
      <c r="A664" s="1">
        <v>45784</v>
      </c>
      <c r="B664" s="3" t="s">
        <v>15</v>
      </c>
      <c r="C664" s="3">
        <v>1934</v>
      </c>
      <c r="D664" s="3">
        <v>1948.7</v>
      </c>
      <c r="E664" s="3">
        <v>1922.4</v>
      </c>
      <c r="F664" s="3">
        <v>1931.7</v>
      </c>
      <c r="G664" s="3">
        <v>1945</v>
      </c>
      <c r="H664" s="3">
        <v>1945.6</v>
      </c>
      <c r="I664" s="3">
        <v>1939.91</v>
      </c>
      <c r="J664" s="3">
        <v>1978.9</v>
      </c>
      <c r="K664" s="3">
        <v>1426.8</v>
      </c>
      <c r="L664" s="5">
        <v>10710389</v>
      </c>
      <c r="M664" s="2">
        <v>20777145511</v>
      </c>
      <c r="N664">
        <v>178998</v>
      </c>
      <c r="O664" t="s">
        <v>18</v>
      </c>
      <c r="P664" s="8">
        <f t="shared" si="30"/>
        <v>-2.2999999999999545</v>
      </c>
      <c r="Q664" t="s">
        <v>39</v>
      </c>
      <c r="R664">
        <f t="shared" si="31"/>
        <v>5</v>
      </c>
      <c r="S664" t="str">
        <f t="shared" si="32"/>
        <v>May</v>
      </c>
      <c r="T664" s="9">
        <f>VLOOKUP(O664, Annual_Summary!A:B, 2, 0)</f>
        <v>-0.4440050483803113</v>
      </c>
    </row>
    <row r="665" spans="1:20" x14ac:dyDescent="0.3">
      <c r="A665" s="1">
        <v>45783</v>
      </c>
      <c r="B665" s="3" t="s">
        <v>15</v>
      </c>
      <c r="C665" s="3">
        <v>1930</v>
      </c>
      <c r="D665" s="3">
        <v>1940.1</v>
      </c>
      <c r="E665" s="3">
        <v>1924.3</v>
      </c>
      <c r="F665" s="3">
        <v>1936.8</v>
      </c>
      <c r="G665" s="3">
        <v>1928.6</v>
      </c>
      <c r="H665" s="3">
        <v>1931.7</v>
      </c>
      <c r="I665" s="3">
        <v>1931.89</v>
      </c>
      <c r="J665" s="3">
        <v>1978.9</v>
      </c>
      <c r="K665" s="3">
        <v>1426.8</v>
      </c>
      <c r="L665" s="5">
        <v>8745078</v>
      </c>
      <c r="M665" s="2">
        <v>16894488689.1</v>
      </c>
      <c r="N665">
        <v>140830</v>
      </c>
      <c r="O665" t="s">
        <v>18</v>
      </c>
      <c r="P665" s="8">
        <f t="shared" si="30"/>
        <v>6.7999999999999545</v>
      </c>
      <c r="Q665" t="s">
        <v>39</v>
      </c>
      <c r="R665">
        <f t="shared" si="31"/>
        <v>5</v>
      </c>
      <c r="S665" t="str">
        <f t="shared" si="32"/>
        <v>May</v>
      </c>
      <c r="T665" s="9">
        <f>VLOOKUP(O665, Annual_Summary!A:B, 2, 0)</f>
        <v>-0.4440050483803113</v>
      </c>
    </row>
    <row r="666" spans="1:20" x14ac:dyDescent="0.3">
      <c r="A666" s="1">
        <v>45782</v>
      </c>
      <c r="B666" s="3" t="s">
        <v>15</v>
      </c>
      <c r="C666" s="3">
        <v>1939</v>
      </c>
      <c r="D666" s="3">
        <v>1952</v>
      </c>
      <c r="E666" s="3">
        <v>1932.3</v>
      </c>
      <c r="F666" s="3">
        <v>1925</v>
      </c>
      <c r="G666" s="3">
        <v>1935.8</v>
      </c>
      <c r="H666" s="3">
        <v>1936.8</v>
      </c>
      <c r="I666" s="3">
        <v>1940.79</v>
      </c>
      <c r="J666" s="3">
        <v>1978.9</v>
      </c>
      <c r="K666" s="3">
        <v>1426.8</v>
      </c>
      <c r="L666" s="5">
        <v>7534012</v>
      </c>
      <c r="M666" s="2">
        <v>14621940034</v>
      </c>
      <c r="N666">
        <v>160044</v>
      </c>
      <c r="O666" t="s">
        <v>18</v>
      </c>
      <c r="P666" s="8">
        <f t="shared" si="30"/>
        <v>-14</v>
      </c>
      <c r="Q666" t="s">
        <v>39</v>
      </c>
      <c r="R666">
        <f t="shared" si="31"/>
        <v>5</v>
      </c>
      <c r="S666" t="str">
        <f t="shared" si="32"/>
        <v>May</v>
      </c>
      <c r="T666" s="9">
        <f>VLOOKUP(O666, Annual_Summary!A:B, 2, 0)</f>
        <v>-0.4440050483803113</v>
      </c>
    </row>
    <row r="667" spans="1:20" x14ac:dyDescent="0.3">
      <c r="A667" s="1">
        <v>45779</v>
      </c>
      <c r="B667" s="3" t="s">
        <v>15</v>
      </c>
      <c r="C667" s="3">
        <v>1929.8</v>
      </c>
      <c r="D667" s="3">
        <v>1941.9</v>
      </c>
      <c r="E667" s="3">
        <v>1920</v>
      </c>
      <c r="F667" s="3">
        <v>1925</v>
      </c>
      <c r="G667" s="3">
        <v>1923.5</v>
      </c>
      <c r="H667" s="3">
        <v>1925</v>
      </c>
      <c r="I667" s="3">
        <v>1930.63</v>
      </c>
      <c r="J667" s="3">
        <v>1978.9</v>
      </c>
      <c r="K667" s="3">
        <v>1426.8</v>
      </c>
      <c r="L667" s="5">
        <v>11406024</v>
      </c>
      <c r="M667" s="2">
        <v>22020820771.5</v>
      </c>
      <c r="N667">
        <v>236285</v>
      </c>
      <c r="O667" t="s">
        <v>18</v>
      </c>
      <c r="P667" s="8">
        <f t="shared" si="30"/>
        <v>-4.7999999999999545</v>
      </c>
      <c r="Q667" t="s">
        <v>39</v>
      </c>
      <c r="R667">
        <f t="shared" si="31"/>
        <v>5</v>
      </c>
      <c r="S667" t="str">
        <f t="shared" si="32"/>
        <v>May</v>
      </c>
      <c r="T667" s="9">
        <f>VLOOKUP(O667, Annual_Summary!A:B, 2, 0)</f>
        <v>-0.4440050483803113</v>
      </c>
    </row>
    <row r="668" spans="1:20" x14ac:dyDescent="0.3">
      <c r="A668" s="1">
        <v>45777</v>
      </c>
      <c r="B668" s="3" t="s">
        <v>15</v>
      </c>
      <c r="C668" s="3">
        <v>1913</v>
      </c>
      <c r="D668" s="3">
        <v>1936.9</v>
      </c>
      <c r="E668" s="3">
        <v>1910.3</v>
      </c>
      <c r="F668" s="3">
        <v>1908.8</v>
      </c>
      <c r="G668" s="3">
        <v>1920.1</v>
      </c>
      <c r="H668" s="3">
        <v>1925</v>
      </c>
      <c r="I668" s="3">
        <v>1925.02</v>
      </c>
      <c r="J668" s="3">
        <v>1978.9</v>
      </c>
      <c r="K668" s="3">
        <v>1426.8</v>
      </c>
      <c r="L668" s="5">
        <v>15968435</v>
      </c>
      <c r="M668" s="2">
        <v>30739492241.200001</v>
      </c>
      <c r="N668">
        <v>275126</v>
      </c>
      <c r="O668" t="s">
        <v>18</v>
      </c>
      <c r="P668" s="8">
        <f t="shared" si="30"/>
        <v>-4.2000000000000455</v>
      </c>
      <c r="Q668" t="s">
        <v>39</v>
      </c>
      <c r="R668">
        <f t="shared" si="31"/>
        <v>4</v>
      </c>
      <c r="S668" t="str">
        <f t="shared" si="32"/>
        <v>Apr</v>
      </c>
      <c r="T668" s="9">
        <f>VLOOKUP(O668, Annual_Summary!A:B, 2, 0)</f>
        <v>-0.4440050483803113</v>
      </c>
    </row>
    <row r="669" spans="1:20" x14ac:dyDescent="0.3">
      <c r="A669" s="1">
        <v>45776</v>
      </c>
      <c r="B669" s="3" t="s">
        <v>15</v>
      </c>
      <c r="C669" s="3">
        <v>1918.8</v>
      </c>
      <c r="D669" s="3">
        <v>1928.8</v>
      </c>
      <c r="E669" s="3">
        <v>1900.2</v>
      </c>
      <c r="F669" s="3">
        <v>1920.2</v>
      </c>
      <c r="G669" s="3">
        <v>1906</v>
      </c>
      <c r="H669" s="3">
        <v>1908.8</v>
      </c>
      <c r="I669" s="3">
        <v>1909.52</v>
      </c>
      <c r="J669" s="3">
        <v>1978.9</v>
      </c>
      <c r="K669" s="3">
        <v>1426.8</v>
      </c>
      <c r="L669" s="5">
        <v>9459154</v>
      </c>
      <c r="M669" s="2">
        <v>18062438512.299999</v>
      </c>
      <c r="N669">
        <v>186299</v>
      </c>
      <c r="O669" t="s">
        <v>18</v>
      </c>
      <c r="P669" s="8">
        <f t="shared" si="30"/>
        <v>1.4000000000000909</v>
      </c>
      <c r="Q669" t="s">
        <v>39</v>
      </c>
      <c r="R669">
        <f t="shared" si="31"/>
        <v>4</v>
      </c>
      <c r="S669" t="str">
        <f t="shared" si="32"/>
        <v>Apr</v>
      </c>
      <c r="T669" s="9">
        <f>VLOOKUP(O669, Annual_Summary!A:B, 2, 0)</f>
        <v>-0.4440050483803113</v>
      </c>
    </row>
    <row r="670" spans="1:20" x14ac:dyDescent="0.3">
      <c r="A670" s="1">
        <v>45775</v>
      </c>
      <c r="B670" s="3" t="s">
        <v>15</v>
      </c>
      <c r="C670" s="3">
        <v>1911.2</v>
      </c>
      <c r="D670" s="3">
        <v>1929.7</v>
      </c>
      <c r="E670" s="3">
        <v>1908.4</v>
      </c>
      <c r="F670" s="3">
        <v>1911.2</v>
      </c>
      <c r="G670" s="3">
        <v>1921</v>
      </c>
      <c r="H670" s="3">
        <v>1920.2</v>
      </c>
      <c r="I670" s="3">
        <v>1922.17</v>
      </c>
      <c r="J670" s="3">
        <v>1978.9</v>
      </c>
      <c r="K670" s="3">
        <v>1426.8</v>
      </c>
      <c r="L670" s="5">
        <v>6960246</v>
      </c>
      <c r="M670" s="2">
        <v>13378745824.700001</v>
      </c>
      <c r="N670">
        <v>155527</v>
      </c>
      <c r="O670" t="s">
        <v>18</v>
      </c>
      <c r="P670" s="8">
        <f t="shared" si="30"/>
        <v>0</v>
      </c>
      <c r="Q670" t="s">
        <v>39</v>
      </c>
      <c r="R670">
        <f t="shared" si="31"/>
        <v>4</v>
      </c>
      <c r="S670" t="str">
        <f t="shared" si="32"/>
        <v>Apr</v>
      </c>
      <c r="T670" s="9">
        <f>VLOOKUP(O670, Annual_Summary!A:B, 2, 0)</f>
        <v>-0.4440050483803113</v>
      </c>
    </row>
    <row r="671" spans="1:20" x14ac:dyDescent="0.3">
      <c r="A671" s="1">
        <v>45772</v>
      </c>
      <c r="B671" s="3" t="s">
        <v>15</v>
      </c>
      <c r="C671" s="3">
        <v>1924.8</v>
      </c>
      <c r="D671" s="3">
        <v>1933</v>
      </c>
      <c r="E671" s="3">
        <v>1891.8</v>
      </c>
      <c r="F671" s="3">
        <v>1916.8</v>
      </c>
      <c r="G671" s="3">
        <v>1908</v>
      </c>
      <c r="H671" s="3">
        <v>1911.2</v>
      </c>
      <c r="I671" s="3">
        <v>1911.37</v>
      </c>
      <c r="J671" s="3">
        <v>1978.9</v>
      </c>
      <c r="K671" s="3">
        <v>1426.8</v>
      </c>
      <c r="L671" s="5">
        <v>9250439</v>
      </c>
      <c r="M671" s="2">
        <v>17681017343.799999</v>
      </c>
      <c r="N671">
        <v>201781</v>
      </c>
      <c r="O671" t="s">
        <v>18</v>
      </c>
      <c r="P671" s="8">
        <f t="shared" si="30"/>
        <v>-8</v>
      </c>
      <c r="Q671" t="s">
        <v>39</v>
      </c>
      <c r="R671">
        <f t="shared" si="31"/>
        <v>4</v>
      </c>
      <c r="S671" t="str">
        <f t="shared" si="32"/>
        <v>Apr</v>
      </c>
      <c r="T671" s="9">
        <f>VLOOKUP(O671, Annual_Summary!A:B, 2, 0)</f>
        <v>-0.4440050483803113</v>
      </c>
    </row>
    <row r="672" spans="1:20" x14ac:dyDescent="0.3">
      <c r="A672" s="1">
        <v>45771</v>
      </c>
      <c r="B672" s="3" t="s">
        <v>15</v>
      </c>
      <c r="C672" s="3">
        <v>1910</v>
      </c>
      <c r="D672" s="3">
        <v>1923.9</v>
      </c>
      <c r="E672" s="3">
        <v>1905.1</v>
      </c>
      <c r="F672" s="3">
        <v>1923.9</v>
      </c>
      <c r="G672" s="3">
        <v>1914.9</v>
      </c>
      <c r="H672" s="3">
        <v>1916.8</v>
      </c>
      <c r="I672" s="3">
        <v>1916.73</v>
      </c>
      <c r="J672" s="3">
        <v>1978.9</v>
      </c>
      <c r="K672" s="3">
        <v>1426.8</v>
      </c>
      <c r="L672" s="5">
        <v>12965877</v>
      </c>
      <c r="M672" s="2">
        <v>24852091752.799999</v>
      </c>
      <c r="N672">
        <v>227034</v>
      </c>
      <c r="O672" t="s">
        <v>18</v>
      </c>
      <c r="P672" s="8">
        <f t="shared" si="30"/>
        <v>13.900000000000091</v>
      </c>
      <c r="Q672" t="s">
        <v>39</v>
      </c>
      <c r="R672">
        <f t="shared" si="31"/>
        <v>4</v>
      </c>
      <c r="S672" t="str">
        <f t="shared" si="32"/>
        <v>Apr</v>
      </c>
      <c r="T672" s="9">
        <f>VLOOKUP(O672, Annual_Summary!A:B, 2, 0)</f>
        <v>-0.4440050483803113</v>
      </c>
    </row>
    <row r="673" spans="1:20" x14ac:dyDescent="0.3">
      <c r="A673" s="1">
        <v>45770</v>
      </c>
      <c r="B673" s="3" t="s">
        <v>15</v>
      </c>
      <c r="C673" s="3">
        <v>1978.9</v>
      </c>
      <c r="D673" s="3">
        <v>1978.9</v>
      </c>
      <c r="E673" s="3">
        <v>1920.5</v>
      </c>
      <c r="F673" s="3">
        <v>1961.7</v>
      </c>
      <c r="G673" s="3">
        <v>1920.7</v>
      </c>
      <c r="H673" s="3">
        <v>1923.9</v>
      </c>
      <c r="I673" s="3">
        <v>1939.04</v>
      </c>
      <c r="J673" s="3">
        <v>1978.9</v>
      </c>
      <c r="K673" s="3">
        <v>1426.8</v>
      </c>
      <c r="L673" s="5">
        <v>15285321</v>
      </c>
      <c r="M673" s="2">
        <v>29638923676.099998</v>
      </c>
      <c r="N673">
        <v>247823</v>
      </c>
      <c r="O673" t="s">
        <v>18</v>
      </c>
      <c r="P673" s="8">
        <f t="shared" si="30"/>
        <v>-17.200000000000045</v>
      </c>
      <c r="Q673" t="s">
        <v>39</v>
      </c>
      <c r="R673">
        <f t="shared" si="31"/>
        <v>4</v>
      </c>
      <c r="S673" t="str">
        <f t="shared" si="32"/>
        <v>Apr</v>
      </c>
      <c r="T673" s="9">
        <f>VLOOKUP(O673, Annual_Summary!A:B, 2, 0)</f>
        <v>-0.4440050483803113</v>
      </c>
    </row>
    <row r="674" spans="1:20" x14ac:dyDescent="0.3">
      <c r="A674" s="1">
        <v>45769</v>
      </c>
      <c r="B674" s="3" t="s">
        <v>15</v>
      </c>
      <c r="C674" s="3">
        <v>1935</v>
      </c>
      <c r="D674" s="3">
        <v>1970.6</v>
      </c>
      <c r="E674" s="3">
        <v>1935</v>
      </c>
      <c r="F674" s="3">
        <v>1927.1</v>
      </c>
      <c r="G674" s="3">
        <v>1960</v>
      </c>
      <c r="H674" s="3">
        <v>1961.7</v>
      </c>
      <c r="I674" s="3">
        <v>1957.16</v>
      </c>
      <c r="J674" s="3">
        <v>1970.6</v>
      </c>
      <c r="K674" s="3">
        <v>1426.8</v>
      </c>
      <c r="L674" s="5">
        <v>22980875</v>
      </c>
      <c r="M674" s="2">
        <v>44977215852.400002</v>
      </c>
      <c r="N674">
        <v>512026</v>
      </c>
      <c r="O674" t="s">
        <v>18</v>
      </c>
      <c r="P674" s="8">
        <f t="shared" si="30"/>
        <v>-7.9000000000000909</v>
      </c>
      <c r="Q674" t="s">
        <v>39</v>
      </c>
      <c r="R674">
        <f t="shared" si="31"/>
        <v>4</v>
      </c>
      <c r="S674" t="str">
        <f t="shared" si="32"/>
        <v>Apr</v>
      </c>
      <c r="T674" s="9">
        <f>VLOOKUP(O674, Annual_Summary!A:B, 2, 0)</f>
        <v>-0.4440050483803113</v>
      </c>
    </row>
    <row r="675" spans="1:20" x14ac:dyDescent="0.3">
      <c r="A675" s="1">
        <v>45768</v>
      </c>
      <c r="B675" s="3" t="s">
        <v>15</v>
      </c>
      <c r="C675" s="3">
        <v>1924</v>
      </c>
      <c r="D675" s="3">
        <v>1950.7</v>
      </c>
      <c r="E675" s="3">
        <v>1910</v>
      </c>
      <c r="F675" s="3">
        <v>1906.7</v>
      </c>
      <c r="G675" s="3">
        <v>1925.2</v>
      </c>
      <c r="H675" s="3">
        <v>1927.1</v>
      </c>
      <c r="I675" s="3">
        <v>1930.83</v>
      </c>
      <c r="J675" s="3">
        <v>1950.7</v>
      </c>
      <c r="K675" s="3">
        <v>1426.8</v>
      </c>
      <c r="L675" s="5">
        <v>17123649</v>
      </c>
      <c r="M675" s="2">
        <v>33062832499.299999</v>
      </c>
      <c r="N675">
        <v>411337</v>
      </c>
      <c r="O675" t="s">
        <v>18</v>
      </c>
      <c r="P675" s="8">
        <f t="shared" si="30"/>
        <v>-17.299999999999955</v>
      </c>
      <c r="Q675" t="s">
        <v>39</v>
      </c>
      <c r="R675">
        <f t="shared" si="31"/>
        <v>4</v>
      </c>
      <c r="S675" t="str">
        <f t="shared" si="32"/>
        <v>Apr</v>
      </c>
      <c r="T675" s="9">
        <f>VLOOKUP(O675, Annual_Summary!A:B, 2, 0)</f>
        <v>-0.4440050483803113</v>
      </c>
    </row>
    <row r="676" spans="1:20" x14ac:dyDescent="0.3">
      <c r="A676" s="1">
        <v>45764</v>
      </c>
      <c r="B676" s="3" t="s">
        <v>15</v>
      </c>
      <c r="C676" s="3">
        <v>1882</v>
      </c>
      <c r="D676" s="3">
        <v>1919.7</v>
      </c>
      <c r="E676" s="3">
        <v>1876.7</v>
      </c>
      <c r="F676" s="3">
        <v>1878</v>
      </c>
      <c r="G676" s="3">
        <v>1905.8</v>
      </c>
      <c r="H676" s="3">
        <v>1906.7</v>
      </c>
      <c r="I676" s="3">
        <v>1901.41</v>
      </c>
      <c r="J676" s="3">
        <v>1919.7</v>
      </c>
      <c r="K676" s="3">
        <v>1426.8</v>
      </c>
      <c r="L676" s="5">
        <v>17851542</v>
      </c>
      <c r="M676" s="2">
        <v>33943168763.200001</v>
      </c>
      <c r="N676">
        <v>394807</v>
      </c>
      <c r="O676" t="s">
        <v>18</v>
      </c>
      <c r="P676" s="8">
        <f t="shared" si="30"/>
        <v>-4</v>
      </c>
      <c r="Q676" t="s">
        <v>39</v>
      </c>
      <c r="R676">
        <f t="shared" si="31"/>
        <v>4</v>
      </c>
      <c r="S676" t="str">
        <f t="shared" si="32"/>
        <v>Apr</v>
      </c>
      <c r="T676" s="9">
        <f>VLOOKUP(O676, Annual_Summary!A:B, 2, 0)</f>
        <v>-0.4440050483803113</v>
      </c>
    </row>
    <row r="677" spans="1:20" x14ac:dyDescent="0.3">
      <c r="A677" s="1">
        <v>45763</v>
      </c>
      <c r="B677" s="3" t="s">
        <v>15</v>
      </c>
      <c r="C677" s="3">
        <v>1883.8</v>
      </c>
      <c r="D677" s="3">
        <v>1883.8</v>
      </c>
      <c r="E677" s="3">
        <v>1860.5</v>
      </c>
      <c r="F677" s="3">
        <v>1864.9</v>
      </c>
      <c r="G677" s="3">
        <v>1875.9</v>
      </c>
      <c r="H677" s="3">
        <v>1878</v>
      </c>
      <c r="I677" s="3">
        <v>1874.15</v>
      </c>
      <c r="J677" s="3">
        <v>1883.8</v>
      </c>
      <c r="K677" s="3">
        <v>1426.8</v>
      </c>
      <c r="L677" s="5">
        <v>9568410</v>
      </c>
      <c r="M677" s="2">
        <v>17932665363.900002</v>
      </c>
      <c r="N677">
        <v>252887</v>
      </c>
      <c r="O677" t="s">
        <v>18</v>
      </c>
      <c r="P677" s="8">
        <f t="shared" si="30"/>
        <v>-18.899999999999864</v>
      </c>
      <c r="Q677" t="s">
        <v>39</v>
      </c>
      <c r="R677">
        <f t="shared" si="31"/>
        <v>4</v>
      </c>
      <c r="S677" t="str">
        <f t="shared" si="32"/>
        <v>Apr</v>
      </c>
      <c r="T677" s="9">
        <f>VLOOKUP(O677, Annual_Summary!A:B, 2, 0)</f>
        <v>-0.4440050483803113</v>
      </c>
    </row>
    <row r="678" spans="1:20" x14ac:dyDescent="0.3">
      <c r="A678" s="1">
        <v>45762</v>
      </c>
      <c r="B678" s="3" t="s">
        <v>15</v>
      </c>
      <c r="C678" s="3">
        <v>1865</v>
      </c>
      <c r="D678" s="3">
        <v>1876.8</v>
      </c>
      <c r="E678" s="3">
        <v>1855</v>
      </c>
      <c r="F678" s="3">
        <v>1806.75</v>
      </c>
      <c r="G678" s="3">
        <v>1865.6</v>
      </c>
      <c r="H678" s="3">
        <v>1864.9</v>
      </c>
      <c r="I678" s="3">
        <v>1866.76</v>
      </c>
      <c r="J678" s="3">
        <v>1880</v>
      </c>
      <c r="K678" s="3">
        <v>1426.8</v>
      </c>
      <c r="L678" s="5">
        <v>24649172</v>
      </c>
      <c r="M678" s="2">
        <v>46014108976</v>
      </c>
      <c r="N678">
        <v>360194</v>
      </c>
      <c r="O678" t="s">
        <v>18</v>
      </c>
      <c r="P678" s="8">
        <f t="shared" si="30"/>
        <v>-58.25</v>
      </c>
      <c r="Q678" t="s">
        <v>39</v>
      </c>
      <c r="R678">
        <f t="shared" si="31"/>
        <v>4</v>
      </c>
      <c r="S678" t="str">
        <f t="shared" si="32"/>
        <v>Apr</v>
      </c>
      <c r="T678" s="9">
        <f>VLOOKUP(O678, Annual_Summary!A:B, 2, 0)</f>
        <v>-0.4440050483803113</v>
      </c>
    </row>
    <row r="679" spans="1:20" x14ac:dyDescent="0.3">
      <c r="A679" s="1">
        <v>45758</v>
      </c>
      <c r="B679" s="3" t="s">
        <v>15</v>
      </c>
      <c r="C679" s="3">
        <v>1774.75</v>
      </c>
      <c r="D679" s="3">
        <v>1819.4</v>
      </c>
      <c r="E679" s="3">
        <v>1774.75</v>
      </c>
      <c r="F679" s="3">
        <v>1765</v>
      </c>
      <c r="G679" s="3">
        <v>1805.2</v>
      </c>
      <c r="H679" s="3">
        <v>1806.75</v>
      </c>
      <c r="I679" s="3">
        <v>1803.31</v>
      </c>
      <c r="J679" s="3">
        <v>1880</v>
      </c>
      <c r="K679" s="3">
        <v>1426.8</v>
      </c>
      <c r="L679" s="5">
        <v>16387883</v>
      </c>
      <c r="M679" s="2">
        <v>29552499474.849998</v>
      </c>
      <c r="N679">
        <v>395826</v>
      </c>
      <c r="O679" t="s">
        <v>18</v>
      </c>
      <c r="P679" s="8">
        <f t="shared" si="30"/>
        <v>-9.75</v>
      </c>
      <c r="Q679" t="s">
        <v>39</v>
      </c>
      <c r="R679">
        <f t="shared" si="31"/>
        <v>4</v>
      </c>
      <c r="S679" t="str">
        <f t="shared" si="32"/>
        <v>Apr</v>
      </c>
      <c r="T679" s="9">
        <f>VLOOKUP(O679, Annual_Summary!A:B, 2, 0)</f>
        <v>-0.4440050483803113</v>
      </c>
    </row>
    <row r="680" spans="1:20" x14ac:dyDescent="0.3">
      <c r="A680" s="1">
        <v>45756</v>
      </c>
      <c r="B680" s="3" t="s">
        <v>15</v>
      </c>
      <c r="C680" s="3">
        <v>1765</v>
      </c>
      <c r="D680" s="3">
        <v>1775</v>
      </c>
      <c r="E680" s="3">
        <v>1753.5</v>
      </c>
      <c r="F680" s="3">
        <v>1769.15</v>
      </c>
      <c r="G680" s="3">
        <v>1765.3</v>
      </c>
      <c r="H680" s="3">
        <v>1765</v>
      </c>
      <c r="I680" s="3">
        <v>1761.66</v>
      </c>
      <c r="J680" s="3">
        <v>1880</v>
      </c>
      <c r="K680" s="3">
        <v>1426.8</v>
      </c>
      <c r="L680" s="5">
        <v>11227304</v>
      </c>
      <c r="M680" s="2">
        <v>19778728957.549999</v>
      </c>
      <c r="N680">
        <v>207950</v>
      </c>
      <c r="O680" t="s">
        <v>18</v>
      </c>
      <c r="P680" s="8">
        <f t="shared" si="30"/>
        <v>4.1500000000000909</v>
      </c>
      <c r="Q680" t="s">
        <v>39</v>
      </c>
      <c r="R680">
        <f t="shared" si="31"/>
        <v>4</v>
      </c>
      <c r="S680" t="str">
        <f t="shared" si="32"/>
        <v>Apr</v>
      </c>
      <c r="T680" s="9">
        <f>VLOOKUP(O680, Annual_Summary!A:B, 2, 0)</f>
        <v>-0.4440050483803113</v>
      </c>
    </row>
    <row r="681" spans="1:20" x14ac:dyDescent="0.3">
      <c r="A681" s="1">
        <v>45755</v>
      </c>
      <c r="B681" s="3" t="s">
        <v>15</v>
      </c>
      <c r="C681" s="3">
        <v>1765</v>
      </c>
      <c r="D681" s="3">
        <v>1782</v>
      </c>
      <c r="E681" s="3">
        <v>1750.3</v>
      </c>
      <c r="F681" s="3">
        <v>1757.7</v>
      </c>
      <c r="G681" s="3">
        <v>1770.15</v>
      </c>
      <c r="H681" s="3">
        <v>1769.15</v>
      </c>
      <c r="I681" s="3">
        <v>1769.16</v>
      </c>
      <c r="J681" s="3">
        <v>1880</v>
      </c>
      <c r="K681" s="3">
        <v>1426.8</v>
      </c>
      <c r="L681" s="5">
        <v>17781936</v>
      </c>
      <c r="M681" s="2">
        <v>31459003790.150002</v>
      </c>
      <c r="N681">
        <v>355184</v>
      </c>
      <c r="O681" t="s">
        <v>18</v>
      </c>
      <c r="P681" s="8">
        <f t="shared" si="30"/>
        <v>-7.2999999999999545</v>
      </c>
      <c r="Q681" t="s">
        <v>39</v>
      </c>
      <c r="R681">
        <f t="shared" si="31"/>
        <v>4</v>
      </c>
      <c r="S681" t="str">
        <f t="shared" si="32"/>
        <v>Apr</v>
      </c>
      <c r="T681" s="9">
        <f>VLOOKUP(O681, Annual_Summary!A:B, 2, 0)</f>
        <v>-0.4440050483803113</v>
      </c>
    </row>
    <row r="682" spans="1:20" x14ac:dyDescent="0.3">
      <c r="A682" s="1">
        <v>45754</v>
      </c>
      <c r="B682" s="3" t="s">
        <v>15</v>
      </c>
      <c r="C682" s="3">
        <v>1762.8</v>
      </c>
      <c r="D682" s="3">
        <v>1779.85</v>
      </c>
      <c r="E682" s="3">
        <v>1738.2</v>
      </c>
      <c r="F682" s="3">
        <v>1817.3</v>
      </c>
      <c r="G682" s="3">
        <v>1760.05</v>
      </c>
      <c r="H682" s="3">
        <v>1757.7</v>
      </c>
      <c r="I682" s="3">
        <v>1759.15</v>
      </c>
      <c r="J682" s="3">
        <v>1880</v>
      </c>
      <c r="K682" s="3">
        <v>1426.8</v>
      </c>
      <c r="L682" s="5">
        <v>18997725</v>
      </c>
      <c r="M682" s="2">
        <v>33419875202</v>
      </c>
      <c r="N682">
        <v>374557</v>
      </c>
      <c r="O682" t="s">
        <v>18</v>
      </c>
      <c r="P682" s="8">
        <f t="shared" si="30"/>
        <v>54.5</v>
      </c>
      <c r="Q682" t="s">
        <v>39</v>
      </c>
      <c r="R682">
        <f t="shared" si="31"/>
        <v>4</v>
      </c>
      <c r="S682" t="str">
        <f t="shared" si="32"/>
        <v>Apr</v>
      </c>
      <c r="T682" s="9">
        <f>VLOOKUP(O682, Annual_Summary!A:B, 2, 0)</f>
        <v>-0.4440050483803113</v>
      </c>
    </row>
    <row r="683" spans="1:20" x14ac:dyDescent="0.3">
      <c r="A683" s="1">
        <v>45751</v>
      </c>
      <c r="B683" s="3" t="s">
        <v>15</v>
      </c>
      <c r="C683" s="3">
        <v>1813</v>
      </c>
      <c r="D683" s="3">
        <v>1841.95</v>
      </c>
      <c r="E683" s="3">
        <v>1811.1</v>
      </c>
      <c r="F683" s="3">
        <v>1794.85</v>
      </c>
      <c r="G683" s="3">
        <v>1816.8</v>
      </c>
      <c r="H683" s="3">
        <v>1817.3</v>
      </c>
      <c r="I683" s="3">
        <v>1824.22</v>
      </c>
      <c r="J683" s="3">
        <v>1880</v>
      </c>
      <c r="K683" s="3">
        <v>1426.8</v>
      </c>
      <c r="L683" s="5">
        <v>16770227</v>
      </c>
      <c r="M683" s="2">
        <v>30592639918.200001</v>
      </c>
      <c r="N683">
        <v>316416</v>
      </c>
      <c r="O683" t="s">
        <v>18</v>
      </c>
      <c r="P683" s="8">
        <f t="shared" si="30"/>
        <v>-18.150000000000091</v>
      </c>
      <c r="Q683" t="s">
        <v>39</v>
      </c>
      <c r="R683">
        <f t="shared" si="31"/>
        <v>4</v>
      </c>
      <c r="S683" t="str">
        <f t="shared" si="32"/>
        <v>Apr</v>
      </c>
      <c r="T683" s="9">
        <f>VLOOKUP(O683, Annual_Summary!A:B, 2, 0)</f>
        <v>-0.4440050483803113</v>
      </c>
    </row>
    <row r="684" spans="1:20" x14ac:dyDescent="0.3">
      <c r="A684" s="1">
        <v>45750</v>
      </c>
      <c r="B684" s="3" t="s">
        <v>15</v>
      </c>
      <c r="C684" s="3">
        <v>1781.1</v>
      </c>
      <c r="D684" s="3">
        <v>1804</v>
      </c>
      <c r="E684" s="3">
        <v>1777</v>
      </c>
      <c r="F684" s="3">
        <v>1796.9</v>
      </c>
      <c r="G684" s="3">
        <v>1792.8</v>
      </c>
      <c r="H684" s="3">
        <v>1794.85</v>
      </c>
      <c r="I684" s="3">
        <v>1794.09</v>
      </c>
      <c r="J684" s="3">
        <v>1880</v>
      </c>
      <c r="K684" s="3">
        <v>1426.8</v>
      </c>
      <c r="L684" s="5">
        <v>5625019</v>
      </c>
      <c r="M684" s="2">
        <v>10091817304.1</v>
      </c>
      <c r="N684">
        <v>147618</v>
      </c>
      <c r="O684" t="s">
        <v>18</v>
      </c>
      <c r="P684" s="8">
        <f t="shared" si="30"/>
        <v>15.800000000000182</v>
      </c>
      <c r="Q684" t="s">
        <v>39</v>
      </c>
      <c r="R684">
        <f t="shared" si="31"/>
        <v>4</v>
      </c>
      <c r="S684" t="str">
        <f t="shared" si="32"/>
        <v>Apr</v>
      </c>
      <c r="T684" s="9">
        <f>VLOOKUP(O684, Annual_Summary!A:B, 2, 0)</f>
        <v>-0.4440050483803113</v>
      </c>
    </row>
    <row r="685" spans="1:20" x14ac:dyDescent="0.3">
      <c r="A685" s="1">
        <v>45749</v>
      </c>
      <c r="B685" s="3" t="s">
        <v>15</v>
      </c>
      <c r="C685" s="3">
        <v>1770.7</v>
      </c>
      <c r="D685" s="3">
        <v>1799.2</v>
      </c>
      <c r="E685" s="3">
        <v>1770.7</v>
      </c>
      <c r="F685" s="3">
        <v>1767.85</v>
      </c>
      <c r="G685" s="3">
        <v>1798.9</v>
      </c>
      <c r="H685" s="3">
        <v>1796.9</v>
      </c>
      <c r="I685" s="3">
        <v>1791.24</v>
      </c>
      <c r="J685" s="3">
        <v>1880</v>
      </c>
      <c r="K685" s="3">
        <v>1426.8</v>
      </c>
      <c r="L685" s="5">
        <v>5786782</v>
      </c>
      <c r="M685" s="2">
        <v>10365535361.9</v>
      </c>
      <c r="N685">
        <v>144509</v>
      </c>
      <c r="O685" t="s">
        <v>18</v>
      </c>
      <c r="P685" s="8">
        <f t="shared" si="30"/>
        <v>-2.8500000000001364</v>
      </c>
      <c r="Q685" t="s">
        <v>39</v>
      </c>
      <c r="R685">
        <f t="shared" si="31"/>
        <v>4</v>
      </c>
      <c r="S685" t="str">
        <f t="shared" si="32"/>
        <v>Apr</v>
      </c>
      <c r="T685" s="9">
        <f>VLOOKUP(O685, Annual_Summary!A:B, 2, 0)</f>
        <v>-0.4440050483803113</v>
      </c>
    </row>
    <row r="686" spans="1:20" x14ac:dyDescent="0.3">
      <c r="A686" s="1">
        <v>45748</v>
      </c>
      <c r="B686" s="3" t="s">
        <v>15</v>
      </c>
      <c r="C686" s="3">
        <v>1802</v>
      </c>
      <c r="D686" s="3">
        <v>1809.9</v>
      </c>
      <c r="E686" s="3">
        <v>1765.35</v>
      </c>
      <c r="F686" s="3">
        <v>1828.2</v>
      </c>
      <c r="G686" s="3">
        <v>1769.9</v>
      </c>
      <c r="H686" s="3">
        <v>1767.85</v>
      </c>
      <c r="I686" s="3">
        <v>1781.74</v>
      </c>
      <c r="J686" s="3">
        <v>1880</v>
      </c>
      <c r="K686" s="3">
        <v>1426.8</v>
      </c>
      <c r="L686" s="5">
        <v>14255503</v>
      </c>
      <c r="M686" s="2">
        <v>25399632617.349998</v>
      </c>
      <c r="N686">
        <v>409481</v>
      </c>
      <c r="O686" t="s">
        <v>18</v>
      </c>
      <c r="P686" s="8">
        <f t="shared" si="30"/>
        <v>26.200000000000045</v>
      </c>
      <c r="Q686" t="s">
        <v>39</v>
      </c>
      <c r="R686">
        <f t="shared" si="31"/>
        <v>4</v>
      </c>
      <c r="S686" t="str">
        <f t="shared" si="32"/>
        <v>Apr</v>
      </c>
      <c r="T686" s="9">
        <f>VLOOKUP(O686, Annual_Summary!A:B, 2, 0)</f>
        <v>-0.4440050483803113</v>
      </c>
    </row>
    <row r="687" spans="1:20" x14ac:dyDescent="0.3">
      <c r="A687" s="1">
        <v>45744</v>
      </c>
      <c r="B687" s="3" t="s">
        <v>15</v>
      </c>
      <c r="C687" s="3">
        <v>1829</v>
      </c>
      <c r="D687" s="3">
        <v>1836</v>
      </c>
      <c r="E687" s="3">
        <v>1805.85</v>
      </c>
      <c r="F687" s="3">
        <v>1825.35</v>
      </c>
      <c r="G687" s="3">
        <v>1825.5</v>
      </c>
      <c r="H687" s="3">
        <v>1828.2</v>
      </c>
      <c r="I687" s="3">
        <v>1821.88</v>
      </c>
      <c r="J687" s="3">
        <v>1880</v>
      </c>
      <c r="K687" s="3">
        <v>1421.25</v>
      </c>
      <c r="L687" s="5">
        <v>14386824</v>
      </c>
      <c r="M687" s="2">
        <v>26211031845.900002</v>
      </c>
      <c r="N687">
        <v>276619</v>
      </c>
      <c r="O687" t="s">
        <v>18</v>
      </c>
      <c r="P687" s="8">
        <f t="shared" si="30"/>
        <v>-3.6500000000000909</v>
      </c>
      <c r="Q687" t="s">
        <v>39</v>
      </c>
      <c r="R687">
        <f t="shared" si="31"/>
        <v>3</v>
      </c>
      <c r="S687" t="str">
        <f t="shared" si="32"/>
        <v>Mar</v>
      </c>
      <c r="T687" s="9">
        <f>VLOOKUP(O687, Annual_Summary!A:B, 2, 0)</f>
        <v>-0.4440050483803113</v>
      </c>
    </row>
    <row r="688" spans="1:20" x14ac:dyDescent="0.3">
      <c r="A688" s="1">
        <v>45743</v>
      </c>
      <c r="B688" s="3" t="s">
        <v>15</v>
      </c>
      <c r="C688" s="3">
        <v>1800</v>
      </c>
      <c r="D688" s="3">
        <v>1841</v>
      </c>
      <c r="E688" s="3">
        <v>1798.1</v>
      </c>
      <c r="F688" s="3">
        <v>1806.55</v>
      </c>
      <c r="G688" s="3">
        <v>1821.2</v>
      </c>
      <c r="H688" s="3">
        <v>1825.35</v>
      </c>
      <c r="I688" s="3">
        <v>1827.55</v>
      </c>
      <c r="J688" s="3">
        <v>1880</v>
      </c>
      <c r="K688" s="3">
        <v>1421.25</v>
      </c>
      <c r="L688" s="5">
        <v>20829050</v>
      </c>
      <c r="M688" s="2">
        <v>38066130418.300003</v>
      </c>
      <c r="N688">
        <v>416415</v>
      </c>
      <c r="O688" t="s">
        <v>18</v>
      </c>
      <c r="P688" s="8">
        <f t="shared" si="30"/>
        <v>6.5499999999999545</v>
      </c>
      <c r="Q688" t="s">
        <v>39</v>
      </c>
      <c r="R688">
        <f t="shared" si="31"/>
        <v>3</v>
      </c>
      <c r="S688" t="str">
        <f t="shared" si="32"/>
        <v>Mar</v>
      </c>
      <c r="T688" s="9">
        <f>VLOOKUP(O688, Annual_Summary!A:B, 2, 0)</f>
        <v>-0.4440050483803113</v>
      </c>
    </row>
    <row r="689" spans="1:20" x14ac:dyDescent="0.3">
      <c r="A689" s="1">
        <v>45742</v>
      </c>
      <c r="B689" s="3" t="s">
        <v>15</v>
      </c>
      <c r="C689" s="3">
        <v>1825</v>
      </c>
      <c r="D689" s="3">
        <v>1827.5</v>
      </c>
      <c r="E689" s="3">
        <v>1802</v>
      </c>
      <c r="F689" s="3">
        <v>1821.45</v>
      </c>
      <c r="G689" s="3">
        <v>1803</v>
      </c>
      <c r="H689" s="3">
        <v>1806.55</v>
      </c>
      <c r="I689" s="3">
        <v>1814.11</v>
      </c>
      <c r="J689" s="3">
        <v>1880</v>
      </c>
      <c r="K689" s="3">
        <v>1421.25</v>
      </c>
      <c r="L689" s="5">
        <v>12239221</v>
      </c>
      <c r="M689" s="2">
        <v>22203311052.099998</v>
      </c>
      <c r="N689">
        <v>265431</v>
      </c>
      <c r="O689" t="s">
        <v>18</v>
      </c>
      <c r="P689" s="8">
        <f t="shared" si="30"/>
        <v>-3.5499999999999545</v>
      </c>
      <c r="Q689" t="s">
        <v>39</v>
      </c>
      <c r="R689">
        <f t="shared" si="31"/>
        <v>3</v>
      </c>
      <c r="S689" t="str">
        <f t="shared" si="32"/>
        <v>Mar</v>
      </c>
      <c r="T689" s="9">
        <f>VLOOKUP(O689, Annual_Summary!A:B, 2, 0)</f>
        <v>-0.4440050483803113</v>
      </c>
    </row>
    <row r="690" spans="1:20" x14ac:dyDescent="0.3">
      <c r="A690" s="1">
        <v>45741</v>
      </c>
      <c r="B690" s="3" t="s">
        <v>15</v>
      </c>
      <c r="C690" s="3">
        <v>1804.9</v>
      </c>
      <c r="D690" s="3">
        <v>1843.7</v>
      </c>
      <c r="E690" s="3">
        <v>1801.5</v>
      </c>
      <c r="F690" s="3">
        <v>1800</v>
      </c>
      <c r="G690" s="3">
        <v>1816</v>
      </c>
      <c r="H690" s="3">
        <v>1821.45</v>
      </c>
      <c r="I690" s="3">
        <v>1825.84</v>
      </c>
      <c r="J690" s="3">
        <v>1880</v>
      </c>
      <c r="K690" s="3">
        <v>1421.25</v>
      </c>
      <c r="L690" s="5">
        <v>19550708</v>
      </c>
      <c r="M690" s="2">
        <v>35696516139.199997</v>
      </c>
      <c r="N690">
        <v>407401</v>
      </c>
      <c r="O690" t="s">
        <v>18</v>
      </c>
      <c r="P690" s="8">
        <f t="shared" si="30"/>
        <v>-4.9000000000000909</v>
      </c>
      <c r="Q690" t="s">
        <v>39</v>
      </c>
      <c r="R690">
        <f t="shared" si="31"/>
        <v>3</v>
      </c>
      <c r="S690" t="str">
        <f t="shared" si="32"/>
        <v>Mar</v>
      </c>
      <c r="T690" s="9">
        <f>VLOOKUP(O690, Annual_Summary!A:B, 2, 0)</f>
        <v>-0.4440050483803113</v>
      </c>
    </row>
    <row r="691" spans="1:20" x14ac:dyDescent="0.3">
      <c r="A691" s="1">
        <v>45740</v>
      </c>
      <c r="B691" s="3" t="s">
        <v>15</v>
      </c>
      <c r="C691" s="3">
        <v>1779</v>
      </c>
      <c r="D691" s="3">
        <v>1804.4</v>
      </c>
      <c r="E691" s="3">
        <v>1773.65</v>
      </c>
      <c r="F691" s="3">
        <v>1770.35</v>
      </c>
      <c r="G691" s="3">
        <v>1802.8</v>
      </c>
      <c r="H691" s="3">
        <v>1800</v>
      </c>
      <c r="I691" s="3">
        <v>1794.28</v>
      </c>
      <c r="J691" s="3">
        <v>1880</v>
      </c>
      <c r="K691" s="3">
        <v>1421.25</v>
      </c>
      <c r="L691" s="5">
        <v>8696868</v>
      </c>
      <c r="M691" s="2">
        <v>15604655158.799999</v>
      </c>
      <c r="N691">
        <v>286856</v>
      </c>
      <c r="O691" t="s">
        <v>18</v>
      </c>
      <c r="P691" s="8">
        <f t="shared" si="30"/>
        <v>-8.6500000000000909</v>
      </c>
      <c r="Q691" t="s">
        <v>39</v>
      </c>
      <c r="R691">
        <f t="shared" si="31"/>
        <v>3</v>
      </c>
      <c r="S691" t="str">
        <f t="shared" si="32"/>
        <v>Mar</v>
      </c>
      <c r="T691" s="9">
        <f>VLOOKUP(O691, Annual_Summary!A:B, 2, 0)</f>
        <v>-0.4440050483803113</v>
      </c>
    </row>
    <row r="692" spans="1:20" x14ac:dyDescent="0.3">
      <c r="A692" s="1">
        <v>45737</v>
      </c>
      <c r="B692" s="3" t="s">
        <v>15</v>
      </c>
      <c r="C692" s="3">
        <v>1755.55</v>
      </c>
      <c r="D692" s="3">
        <v>1774.1</v>
      </c>
      <c r="E692" s="3">
        <v>1755.55</v>
      </c>
      <c r="F692" s="3">
        <v>1768.75</v>
      </c>
      <c r="G692" s="3">
        <v>1772.5</v>
      </c>
      <c r="H692" s="3">
        <v>1770.35</v>
      </c>
      <c r="I692" s="3">
        <v>1766.98</v>
      </c>
      <c r="J692" s="3">
        <v>1880</v>
      </c>
      <c r="K692" s="3">
        <v>1421.25</v>
      </c>
      <c r="L692" s="5">
        <v>16754132</v>
      </c>
      <c r="M692" s="2">
        <v>29604196148.950001</v>
      </c>
      <c r="N692">
        <v>210244</v>
      </c>
      <c r="O692" t="s">
        <v>18</v>
      </c>
      <c r="P692" s="8">
        <f t="shared" si="30"/>
        <v>13.200000000000045</v>
      </c>
      <c r="Q692" t="s">
        <v>39</v>
      </c>
      <c r="R692">
        <f t="shared" si="31"/>
        <v>3</v>
      </c>
      <c r="S692" t="str">
        <f t="shared" si="32"/>
        <v>Mar</v>
      </c>
      <c r="T692" s="9">
        <f>VLOOKUP(O692, Annual_Summary!A:B, 2, 0)</f>
        <v>-0.4440050483803113</v>
      </c>
    </row>
    <row r="693" spans="1:20" x14ac:dyDescent="0.3">
      <c r="A693" s="1">
        <v>45736</v>
      </c>
      <c r="B693" s="3" t="s">
        <v>15</v>
      </c>
      <c r="C693" s="3">
        <v>1754</v>
      </c>
      <c r="D693" s="3">
        <v>1774</v>
      </c>
      <c r="E693" s="3">
        <v>1749.3</v>
      </c>
      <c r="F693" s="3">
        <v>1744.1</v>
      </c>
      <c r="G693" s="3">
        <v>1766.6</v>
      </c>
      <c r="H693" s="3">
        <v>1768.75</v>
      </c>
      <c r="I693" s="3">
        <v>1760.62</v>
      </c>
      <c r="J693" s="3">
        <v>1880</v>
      </c>
      <c r="K693" s="3">
        <v>1421.25</v>
      </c>
      <c r="L693" s="5">
        <v>8916989</v>
      </c>
      <c r="M693" s="2">
        <v>15699398473.15</v>
      </c>
      <c r="N693">
        <v>218030</v>
      </c>
      <c r="O693" t="s">
        <v>18</v>
      </c>
      <c r="P693" s="8">
        <f t="shared" si="30"/>
        <v>-9.9000000000000909</v>
      </c>
      <c r="Q693" t="s">
        <v>39</v>
      </c>
      <c r="R693">
        <f t="shared" si="31"/>
        <v>3</v>
      </c>
      <c r="S693" t="str">
        <f t="shared" si="32"/>
        <v>Mar</v>
      </c>
      <c r="T693" s="9">
        <f>VLOOKUP(O693, Annual_Summary!A:B, 2, 0)</f>
        <v>-0.4440050483803113</v>
      </c>
    </row>
    <row r="694" spans="1:20" x14ac:dyDescent="0.3">
      <c r="A694" s="1">
        <v>45735</v>
      </c>
      <c r="B694" s="3" t="s">
        <v>15</v>
      </c>
      <c r="C694" s="3">
        <v>1735</v>
      </c>
      <c r="D694" s="3">
        <v>1751</v>
      </c>
      <c r="E694" s="3">
        <v>1732.2</v>
      </c>
      <c r="F694" s="3">
        <v>1732.2</v>
      </c>
      <c r="G694" s="3">
        <v>1743.95</v>
      </c>
      <c r="H694" s="3">
        <v>1744.1</v>
      </c>
      <c r="I694" s="3">
        <v>1743.72</v>
      </c>
      <c r="J694" s="3">
        <v>1880</v>
      </c>
      <c r="K694" s="3">
        <v>1421.25</v>
      </c>
      <c r="L694" s="5">
        <v>7610703</v>
      </c>
      <c r="M694" s="2">
        <v>13270934759.25</v>
      </c>
      <c r="N694">
        <v>201878</v>
      </c>
      <c r="O694" t="s">
        <v>18</v>
      </c>
      <c r="P694" s="8">
        <f t="shared" si="30"/>
        <v>-2.7999999999999545</v>
      </c>
      <c r="Q694" t="s">
        <v>39</v>
      </c>
      <c r="R694">
        <f t="shared" si="31"/>
        <v>3</v>
      </c>
      <c r="S694" t="str">
        <f t="shared" si="32"/>
        <v>Mar</v>
      </c>
      <c r="T694" s="9">
        <f>VLOOKUP(O694, Annual_Summary!A:B, 2, 0)</f>
        <v>-0.4440050483803113</v>
      </c>
    </row>
    <row r="695" spans="1:20" x14ac:dyDescent="0.3">
      <c r="A695" s="1">
        <v>45734</v>
      </c>
      <c r="B695" s="3" t="s">
        <v>15</v>
      </c>
      <c r="C695" s="3">
        <v>1728</v>
      </c>
      <c r="D695" s="3">
        <v>1737.4</v>
      </c>
      <c r="E695" s="3">
        <v>1715.05</v>
      </c>
      <c r="F695" s="3">
        <v>1710.4</v>
      </c>
      <c r="G695" s="3">
        <v>1735.6</v>
      </c>
      <c r="H695" s="3">
        <v>1732.2</v>
      </c>
      <c r="I695" s="3">
        <v>1729.28</v>
      </c>
      <c r="J695" s="3">
        <v>1880</v>
      </c>
      <c r="K695" s="3">
        <v>1421.25</v>
      </c>
      <c r="L695" s="5">
        <v>10953589</v>
      </c>
      <c r="M695" s="2">
        <v>18941785563.700001</v>
      </c>
      <c r="N695">
        <v>248631</v>
      </c>
      <c r="O695" t="s">
        <v>18</v>
      </c>
      <c r="P695" s="8">
        <f t="shared" si="30"/>
        <v>-17.599999999999909</v>
      </c>
      <c r="Q695" t="s">
        <v>39</v>
      </c>
      <c r="R695">
        <f t="shared" si="31"/>
        <v>3</v>
      </c>
      <c r="S695" t="str">
        <f t="shared" si="32"/>
        <v>Mar</v>
      </c>
      <c r="T695" s="9">
        <f>VLOOKUP(O695, Annual_Summary!A:B, 2, 0)</f>
        <v>-0.4440050483803113</v>
      </c>
    </row>
    <row r="696" spans="1:20" x14ac:dyDescent="0.3">
      <c r="A696" s="1">
        <v>45733</v>
      </c>
      <c r="B696" s="3" t="s">
        <v>15</v>
      </c>
      <c r="C696" s="3">
        <v>1705</v>
      </c>
      <c r="D696" s="3">
        <v>1724</v>
      </c>
      <c r="E696" s="3">
        <v>1705</v>
      </c>
      <c r="F696" s="3">
        <v>1706.6</v>
      </c>
      <c r="G696" s="3">
        <v>1710.5</v>
      </c>
      <c r="H696" s="3">
        <v>1710.4</v>
      </c>
      <c r="I696" s="3">
        <v>1711.13</v>
      </c>
      <c r="J696" s="3">
        <v>1880</v>
      </c>
      <c r="K696" s="3">
        <v>1421.25</v>
      </c>
      <c r="L696" s="5">
        <v>9475957</v>
      </c>
      <c r="M696" s="2">
        <v>16214635449.549999</v>
      </c>
      <c r="N696">
        <v>365060</v>
      </c>
      <c r="O696" t="s">
        <v>18</v>
      </c>
      <c r="P696" s="8">
        <f t="shared" si="30"/>
        <v>1.5999999999999091</v>
      </c>
      <c r="Q696" t="s">
        <v>39</v>
      </c>
      <c r="R696">
        <f t="shared" si="31"/>
        <v>3</v>
      </c>
      <c r="S696" t="str">
        <f t="shared" si="32"/>
        <v>Mar</v>
      </c>
      <c r="T696" s="9">
        <f>VLOOKUP(O696, Annual_Summary!A:B, 2, 0)</f>
        <v>-0.4440050483803113</v>
      </c>
    </row>
    <row r="697" spans="1:20" x14ac:dyDescent="0.3">
      <c r="A697" s="1">
        <v>45729</v>
      </c>
      <c r="B697" s="3" t="s">
        <v>15</v>
      </c>
      <c r="C697" s="3">
        <v>1716.05</v>
      </c>
      <c r="D697" s="3">
        <v>1720.8</v>
      </c>
      <c r="E697" s="3">
        <v>1700.05</v>
      </c>
      <c r="F697" s="3">
        <v>1711.15</v>
      </c>
      <c r="G697" s="3">
        <v>1705</v>
      </c>
      <c r="H697" s="3">
        <v>1706.6</v>
      </c>
      <c r="I697" s="3">
        <v>1711.11</v>
      </c>
      <c r="J697" s="3">
        <v>1880</v>
      </c>
      <c r="K697" s="3">
        <v>1421.25</v>
      </c>
      <c r="L697" s="5">
        <v>7868132</v>
      </c>
      <c r="M697" s="2">
        <v>13463215400.700001</v>
      </c>
      <c r="N697">
        <v>185351</v>
      </c>
      <c r="O697" t="s">
        <v>18</v>
      </c>
      <c r="P697" s="8">
        <f t="shared" si="30"/>
        <v>-4.8999999999998636</v>
      </c>
      <c r="Q697" t="s">
        <v>39</v>
      </c>
      <c r="R697">
        <f t="shared" si="31"/>
        <v>3</v>
      </c>
      <c r="S697" t="str">
        <f t="shared" si="32"/>
        <v>Mar</v>
      </c>
      <c r="T697" s="9">
        <f>VLOOKUP(O697, Annual_Summary!A:B, 2, 0)</f>
        <v>-0.4440050483803113</v>
      </c>
    </row>
    <row r="698" spans="1:20" x14ac:dyDescent="0.3">
      <c r="A698" s="1">
        <v>45728</v>
      </c>
      <c r="B698" s="3" t="s">
        <v>15</v>
      </c>
      <c r="C698" s="3">
        <v>1691.55</v>
      </c>
      <c r="D698" s="3">
        <v>1718.5</v>
      </c>
      <c r="E698" s="3">
        <v>1691.55</v>
      </c>
      <c r="F698" s="3">
        <v>1685.5</v>
      </c>
      <c r="G698" s="3">
        <v>1711.8</v>
      </c>
      <c r="H698" s="3">
        <v>1711.15</v>
      </c>
      <c r="I698" s="3">
        <v>1710.44</v>
      </c>
      <c r="J698" s="3">
        <v>1880</v>
      </c>
      <c r="K698" s="3">
        <v>1421.25</v>
      </c>
      <c r="L698" s="5">
        <v>9392053</v>
      </c>
      <c r="M698" s="2">
        <v>16064564334.1</v>
      </c>
      <c r="N698">
        <v>277146</v>
      </c>
      <c r="O698" t="s">
        <v>18</v>
      </c>
      <c r="P698" s="8">
        <f t="shared" si="30"/>
        <v>-6.0499999999999545</v>
      </c>
      <c r="Q698" t="s">
        <v>39</v>
      </c>
      <c r="R698">
        <f t="shared" si="31"/>
        <v>3</v>
      </c>
      <c r="S698" t="str">
        <f t="shared" si="32"/>
        <v>Mar</v>
      </c>
      <c r="T698" s="9">
        <f>VLOOKUP(O698, Annual_Summary!A:B, 2, 0)</f>
        <v>-0.4440050483803113</v>
      </c>
    </row>
    <row r="699" spans="1:20" x14ac:dyDescent="0.3">
      <c r="A699" s="1">
        <v>45727</v>
      </c>
      <c r="B699" s="3" t="s">
        <v>15</v>
      </c>
      <c r="C699" s="3">
        <v>1682.4</v>
      </c>
      <c r="D699" s="3">
        <v>1694</v>
      </c>
      <c r="E699" s="3">
        <v>1670.05</v>
      </c>
      <c r="F699" s="3">
        <v>1687.5</v>
      </c>
      <c r="G699" s="3">
        <v>1687.9</v>
      </c>
      <c r="H699" s="3">
        <v>1685.5</v>
      </c>
      <c r="I699" s="3">
        <v>1685.65</v>
      </c>
      <c r="J699" s="3">
        <v>1880</v>
      </c>
      <c r="K699" s="3">
        <v>1421.25</v>
      </c>
      <c r="L699" s="5">
        <v>9949215</v>
      </c>
      <c r="M699" s="2">
        <v>16770918814.65</v>
      </c>
      <c r="N699">
        <v>272484</v>
      </c>
      <c r="O699" t="s">
        <v>18</v>
      </c>
      <c r="P699" s="8">
        <f t="shared" si="30"/>
        <v>5.0999999999999091</v>
      </c>
      <c r="Q699" t="s">
        <v>39</v>
      </c>
      <c r="R699">
        <f t="shared" si="31"/>
        <v>3</v>
      </c>
      <c r="S699" t="str">
        <f t="shared" si="32"/>
        <v>Mar</v>
      </c>
      <c r="T699" s="9">
        <f>VLOOKUP(O699, Annual_Summary!A:B, 2, 0)</f>
        <v>-0.4440050483803113</v>
      </c>
    </row>
    <row r="700" spans="1:20" x14ac:dyDescent="0.3">
      <c r="A700" s="1">
        <v>45726</v>
      </c>
      <c r="B700" s="3" t="s">
        <v>15</v>
      </c>
      <c r="C700" s="3">
        <v>1689</v>
      </c>
      <c r="D700" s="3">
        <v>1699.9</v>
      </c>
      <c r="E700" s="3">
        <v>1683.05</v>
      </c>
      <c r="F700" s="3">
        <v>1689.25</v>
      </c>
      <c r="G700" s="3">
        <v>1688.7</v>
      </c>
      <c r="H700" s="3">
        <v>1687.5</v>
      </c>
      <c r="I700" s="3">
        <v>1689.67</v>
      </c>
      <c r="J700" s="3">
        <v>1880</v>
      </c>
      <c r="K700" s="3">
        <v>1421.25</v>
      </c>
      <c r="L700" s="5">
        <v>7802025</v>
      </c>
      <c r="M700" s="2">
        <v>13182846005.049999</v>
      </c>
      <c r="N700">
        <v>284969</v>
      </c>
      <c r="O700" t="s">
        <v>18</v>
      </c>
      <c r="P700" s="8">
        <f t="shared" si="30"/>
        <v>0.25</v>
      </c>
      <c r="Q700" t="s">
        <v>39</v>
      </c>
      <c r="R700">
        <f t="shared" si="31"/>
        <v>3</v>
      </c>
      <c r="S700" t="str">
        <f t="shared" si="32"/>
        <v>Mar</v>
      </c>
      <c r="T700" s="9">
        <f>VLOOKUP(O700, Annual_Summary!A:B, 2, 0)</f>
        <v>-0.4440050483803113</v>
      </c>
    </row>
    <row r="701" spans="1:20" x14ac:dyDescent="0.3">
      <c r="A701" s="1">
        <v>45723</v>
      </c>
      <c r="B701" s="3" t="s">
        <v>15</v>
      </c>
      <c r="C701" s="3">
        <v>1682</v>
      </c>
      <c r="D701" s="3">
        <v>1701.15</v>
      </c>
      <c r="E701" s="3">
        <v>1677.6</v>
      </c>
      <c r="F701" s="3">
        <v>1691.2</v>
      </c>
      <c r="G701" s="3">
        <v>1688</v>
      </c>
      <c r="H701" s="3">
        <v>1689.25</v>
      </c>
      <c r="I701" s="3">
        <v>1690.66</v>
      </c>
      <c r="J701" s="3">
        <v>1880</v>
      </c>
      <c r="K701" s="3">
        <v>1421.25</v>
      </c>
      <c r="L701" s="5">
        <v>6686457</v>
      </c>
      <c r="M701" s="2">
        <v>11304555576.9</v>
      </c>
      <c r="N701">
        <v>191461</v>
      </c>
      <c r="O701" t="s">
        <v>18</v>
      </c>
      <c r="P701" s="8">
        <f t="shared" si="30"/>
        <v>9.2000000000000455</v>
      </c>
      <c r="Q701" t="s">
        <v>39</v>
      </c>
      <c r="R701">
        <f t="shared" si="31"/>
        <v>3</v>
      </c>
      <c r="S701" t="str">
        <f t="shared" si="32"/>
        <v>Mar</v>
      </c>
      <c r="T701" s="9">
        <f>VLOOKUP(O701, Annual_Summary!A:B, 2, 0)</f>
        <v>-0.4440050483803113</v>
      </c>
    </row>
    <row r="702" spans="1:20" x14ac:dyDescent="0.3">
      <c r="A702" s="1">
        <v>45722</v>
      </c>
      <c r="B702" s="3" t="s">
        <v>15</v>
      </c>
      <c r="C702" s="3">
        <v>1687</v>
      </c>
      <c r="D702" s="3">
        <v>1699.9</v>
      </c>
      <c r="E702" s="3">
        <v>1672.25</v>
      </c>
      <c r="F702" s="3">
        <v>1690</v>
      </c>
      <c r="G702" s="3">
        <v>1692.4</v>
      </c>
      <c r="H702" s="3">
        <v>1691.2</v>
      </c>
      <c r="I702" s="3">
        <v>1686.14</v>
      </c>
      <c r="J702" s="3">
        <v>1880</v>
      </c>
      <c r="K702" s="3">
        <v>1421.25</v>
      </c>
      <c r="L702" s="5">
        <v>16483044</v>
      </c>
      <c r="M702" s="2">
        <v>27792685275.849998</v>
      </c>
      <c r="N702">
        <v>399697</v>
      </c>
      <c r="O702" t="s">
        <v>18</v>
      </c>
      <c r="P702" s="8">
        <f t="shared" si="30"/>
        <v>3</v>
      </c>
      <c r="Q702" t="s">
        <v>39</v>
      </c>
      <c r="R702">
        <f t="shared" si="31"/>
        <v>3</v>
      </c>
      <c r="S702" t="str">
        <f t="shared" si="32"/>
        <v>Mar</v>
      </c>
      <c r="T702" s="9">
        <f>VLOOKUP(O702, Annual_Summary!A:B, 2, 0)</f>
        <v>-0.4440050483803113</v>
      </c>
    </row>
    <row r="703" spans="1:20" x14ac:dyDescent="0.3">
      <c r="A703" s="1">
        <v>45721</v>
      </c>
      <c r="B703" s="3" t="s">
        <v>15</v>
      </c>
      <c r="C703" s="3">
        <v>1701.95</v>
      </c>
      <c r="D703" s="3">
        <v>1710.8</v>
      </c>
      <c r="E703" s="3">
        <v>1688.25</v>
      </c>
      <c r="F703" s="3">
        <v>1710</v>
      </c>
      <c r="G703" s="3">
        <v>1692.1</v>
      </c>
      <c r="H703" s="3">
        <v>1690</v>
      </c>
      <c r="I703" s="3">
        <v>1695.97</v>
      </c>
      <c r="J703" s="3">
        <v>1880</v>
      </c>
      <c r="K703" s="3">
        <v>1421.25</v>
      </c>
      <c r="L703" s="5">
        <v>10791936</v>
      </c>
      <c r="M703" s="2">
        <v>18302795483</v>
      </c>
      <c r="N703">
        <v>361183</v>
      </c>
      <c r="O703" t="s">
        <v>18</v>
      </c>
      <c r="P703" s="8">
        <f t="shared" si="30"/>
        <v>8.0499999999999545</v>
      </c>
      <c r="Q703" t="s">
        <v>39</v>
      </c>
      <c r="R703">
        <f t="shared" si="31"/>
        <v>3</v>
      </c>
      <c r="S703" t="str">
        <f t="shared" si="32"/>
        <v>Mar</v>
      </c>
      <c r="T703" s="9">
        <f>VLOOKUP(O703, Annual_Summary!A:B, 2, 0)</f>
        <v>-0.4440050483803113</v>
      </c>
    </row>
    <row r="704" spans="1:20" x14ac:dyDescent="0.3">
      <c r="A704" s="1">
        <v>45720</v>
      </c>
      <c r="B704" s="3" t="s">
        <v>15</v>
      </c>
      <c r="C704" s="3">
        <v>1698</v>
      </c>
      <c r="D704" s="3">
        <v>1714.3</v>
      </c>
      <c r="E704" s="3">
        <v>1693.25</v>
      </c>
      <c r="F704" s="3">
        <v>1701.55</v>
      </c>
      <c r="G704" s="3">
        <v>1711.3</v>
      </c>
      <c r="H704" s="3">
        <v>1710</v>
      </c>
      <c r="I704" s="3">
        <v>1706.3</v>
      </c>
      <c r="J704" s="3">
        <v>1880</v>
      </c>
      <c r="K704" s="3">
        <v>1421.25</v>
      </c>
      <c r="L704" s="5">
        <v>9960479</v>
      </c>
      <c r="M704" s="2">
        <v>16995592810.65</v>
      </c>
      <c r="N704">
        <v>323741</v>
      </c>
      <c r="O704" t="s">
        <v>18</v>
      </c>
      <c r="P704" s="8">
        <f t="shared" si="30"/>
        <v>3.5499999999999545</v>
      </c>
      <c r="Q704" t="s">
        <v>39</v>
      </c>
      <c r="R704">
        <f t="shared" si="31"/>
        <v>3</v>
      </c>
      <c r="S704" t="str">
        <f t="shared" si="32"/>
        <v>Mar</v>
      </c>
      <c r="T704" s="9">
        <f>VLOOKUP(O704, Annual_Summary!A:B, 2, 0)</f>
        <v>-0.4440050483803113</v>
      </c>
    </row>
    <row r="705" spans="1:20" x14ac:dyDescent="0.3">
      <c r="A705" s="1">
        <v>45719</v>
      </c>
      <c r="B705" s="3" t="s">
        <v>15</v>
      </c>
      <c r="C705" s="3">
        <v>1739.8</v>
      </c>
      <c r="D705" s="3">
        <v>1743.05</v>
      </c>
      <c r="E705" s="3">
        <v>1694.1</v>
      </c>
      <c r="F705" s="3">
        <v>1732.4</v>
      </c>
      <c r="G705" s="3">
        <v>1703.55</v>
      </c>
      <c r="H705" s="3">
        <v>1701.55</v>
      </c>
      <c r="I705" s="3">
        <v>1709.27</v>
      </c>
      <c r="J705" s="3">
        <v>1880</v>
      </c>
      <c r="K705" s="3">
        <v>1421.25</v>
      </c>
      <c r="L705" s="5">
        <v>10602682</v>
      </c>
      <c r="M705" s="2">
        <v>18122815702.349998</v>
      </c>
      <c r="N705">
        <v>298350</v>
      </c>
      <c r="O705" t="s">
        <v>18</v>
      </c>
      <c r="P705" s="8">
        <f t="shared" si="30"/>
        <v>-7.3999999999998636</v>
      </c>
      <c r="Q705" t="s">
        <v>39</v>
      </c>
      <c r="R705">
        <f t="shared" si="31"/>
        <v>3</v>
      </c>
      <c r="S705" t="str">
        <f t="shared" si="32"/>
        <v>Mar</v>
      </c>
      <c r="T705" s="9">
        <f>VLOOKUP(O705, Annual_Summary!A:B, 2, 0)</f>
        <v>-0.4440050483803113</v>
      </c>
    </row>
    <row r="706" spans="1:20" x14ac:dyDescent="0.3">
      <c r="A706" s="1">
        <v>45716</v>
      </c>
      <c r="B706" s="3" t="s">
        <v>15</v>
      </c>
      <c r="C706" s="3">
        <v>1685</v>
      </c>
      <c r="D706" s="3">
        <v>1737.25</v>
      </c>
      <c r="E706" s="3">
        <v>1685</v>
      </c>
      <c r="F706" s="3">
        <v>1700.7</v>
      </c>
      <c r="G706" s="3">
        <v>1730.15</v>
      </c>
      <c r="H706" s="3">
        <v>1732.4</v>
      </c>
      <c r="I706" s="3">
        <v>1721.14</v>
      </c>
      <c r="J706" s="3">
        <v>1880</v>
      </c>
      <c r="K706" s="3">
        <v>1397.3</v>
      </c>
      <c r="L706" s="5">
        <v>27258364</v>
      </c>
      <c r="M706" s="2">
        <v>46915554649.050003</v>
      </c>
      <c r="N706">
        <v>439035</v>
      </c>
      <c r="O706" t="s">
        <v>18</v>
      </c>
      <c r="P706" s="8">
        <f t="shared" si="30"/>
        <v>15.700000000000045</v>
      </c>
      <c r="Q706" t="s">
        <v>39</v>
      </c>
      <c r="R706">
        <f t="shared" si="31"/>
        <v>2</v>
      </c>
      <c r="S706" t="str">
        <f t="shared" si="32"/>
        <v>Feb</v>
      </c>
      <c r="T706" s="9">
        <f>VLOOKUP(O706, Annual_Summary!A:B, 2, 0)</f>
        <v>-0.4440050483803113</v>
      </c>
    </row>
    <row r="707" spans="1:20" x14ac:dyDescent="0.3">
      <c r="A707" s="1">
        <v>45715</v>
      </c>
      <c r="B707" s="3" t="s">
        <v>15</v>
      </c>
      <c r="C707" s="3">
        <v>1682.55</v>
      </c>
      <c r="D707" s="3">
        <v>1710.75</v>
      </c>
      <c r="E707" s="3">
        <v>1682.55</v>
      </c>
      <c r="F707" s="3">
        <v>1682.35</v>
      </c>
      <c r="G707" s="3">
        <v>1698.25</v>
      </c>
      <c r="H707" s="3">
        <v>1700.7</v>
      </c>
      <c r="I707" s="3">
        <v>1701.04</v>
      </c>
      <c r="J707" s="3">
        <v>1880</v>
      </c>
      <c r="K707" s="3">
        <v>1397.3</v>
      </c>
      <c r="L707" s="5">
        <v>17893400</v>
      </c>
      <c r="M707" s="2">
        <v>30437323745</v>
      </c>
      <c r="N707">
        <v>333728</v>
      </c>
      <c r="O707" t="s">
        <v>18</v>
      </c>
      <c r="P707" s="8">
        <f t="shared" ref="P707:P770" si="33">F707-C707</f>
        <v>-0.20000000000004547</v>
      </c>
      <c r="Q707" t="s">
        <v>39</v>
      </c>
      <c r="R707">
        <f t="shared" ref="R707:R770" si="34">MONTH(A707)</f>
        <v>2</v>
      </c>
      <c r="S707" t="str">
        <f t="shared" ref="S707:S770" si="35">TEXT(A707,"mmm")</f>
        <v>Feb</v>
      </c>
      <c r="T707" s="9">
        <f>VLOOKUP(O707, Annual_Summary!A:B, 2, 0)</f>
        <v>-0.4440050483803113</v>
      </c>
    </row>
    <row r="708" spans="1:20" x14ac:dyDescent="0.3">
      <c r="A708" s="1">
        <v>45713</v>
      </c>
      <c r="B708" s="3" t="s">
        <v>15</v>
      </c>
      <c r="C708" s="3">
        <v>1671.1</v>
      </c>
      <c r="D708" s="3">
        <v>1688</v>
      </c>
      <c r="E708" s="3">
        <v>1671.1</v>
      </c>
      <c r="F708" s="3">
        <v>1677.1</v>
      </c>
      <c r="G708" s="3">
        <v>1680.85</v>
      </c>
      <c r="H708" s="3">
        <v>1682.35</v>
      </c>
      <c r="I708" s="3">
        <v>1681.8</v>
      </c>
      <c r="J708" s="3">
        <v>1880</v>
      </c>
      <c r="K708" s="3">
        <v>1397.3</v>
      </c>
      <c r="L708" s="5">
        <v>12069354</v>
      </c>
      <c r="M708" s="2">
        <v>20298255600.950001</v>
      </c>
      <c r="N708">
        <v>222521</v>
      </c>
      <c r="O708" t="s">
        <v>18</v>
      </c>
      <c r="P708" s="8">
        <f t="shared" si="33"/>
        <v>6</v>
      </c>
      <c r="Q708" t="s">
        <v>39</v>
      </c>
      <c r="R708">
        <f t="shared" si="34"/>
        <v>2</v>
      </c>
      <c r="S708" t="str">
        <f t="shared" si="35"/>
        <v>Feb</v>
      </c>
      <c r="T708" s="9">
        <f>VLOOKUP(O708, Annual_Summary!A:B, 2, 0)</f>
        <v>-0.4440050483803113</v>
      </c>
    </row>
    <row r="709" spans="1:20" x14ac:dyDescent="0.3">
      <c r="A709" s="1">
        <v>45712</v>
      </c>
      <c r="B709" s="3" t="s">
        <v>15</v>
      </c>
      <c r="C709" s="3">
        <v>1681.1</v>
      </c>
      <c r="D709" s="3">
        <v>1684.2</v>
      </c>
      <c r="E709" s="3">
        <v>1661.1</v>
      </c>
      <c r="F709" s="3">
        <v>1692.5</v>
      </c>
      <c r="G709" s="3">
        <v>1677</v>
      </c>
      <c r="H709" s="3">
        <v>1677.1</v>
      </c>
      <c r="I709" s="3">
        <v>1672.34</v>
      </c>
      <c r="J709" s="3">
        <v>1880</v>
      </c>
      <c r="K709" s="3">
        <v>1397.3</v>
      </c>
      <c r="L709" s="5">
        <v>10346823</v>
      </c>
      <c r="M709" s="2">
        <v>17303402535.099998</v>
      </c>
      <c r="N709">
        <v>245559</v>
      </c>
      <c r="O709" t="s">
        <v>18</v>
      </c>
      <c r="P709" s="8">
        <f t="shared" si="33"/>
        <v>11.400000000000091</v>
      </c>
      <c r="Q709" t="s">
        <v>39</v>
      </c>
      <c r="R709">
        <f t="shared" si="34"/>
        <v>2</v>
      </c>
      <c r="S709" t="str">
        <f t="shared" si="35"/>
        <v>Feb</v>
      </c>
      <c r="T709" s="9">
        <f>VLOOKUP(O709, Annual_Summary!A:B, 2, 0)</f>
        <v>-0.4440050483803113</v>
      </c>
    </row>
    <row r="710" spans="1:20" x14ac:dyDescent="0.3">
      <c r="A710" s="1">
        <v>45709</v>
      </c>
      <c r="B710" s="3" t="s">
        <v>15</v>
      </c>
      <c r="C710" s="3">
        <v>1680.9</v>
      </c>
      <c r="D710" s="3">
        <v>1694.95</v>
      </c>
      <c r="E710" s="3">
        <v>1677.25</v>
      </c>
      <c r="F710" s="3">
        <v>1687.1</v>
      </c>
      <c r="G710" s="3">
        <v>1690</v>
      </c>
      <c r="H710" s="3">
        <v>1692.5</v>
      </c>
      <c r="I710" s="3">
        <v>1686.23</v>
      </c>
      <c r="J710" s="3">
        <v>1880</v>
      </c>
      <c r="K710" s="3">
        <v>1397.3</v>
      </c>
      <c r="L710" s="5">
        <v>7840470</v>
      </c>
      <c r="M710" s="2">
        <v>13220829593.15</v>
      </c>
      <c r="N710">
        <v>292907</v>
      </c>
      <c r="O710" t="s">
        <v>18</v>
      </c>
      <c r="P710" s="8">
        <f t="shared" si="33"/>
        <v>6.1999999999998181</v>
      </c>
      <c r="Q710" t="s">
        <v>39</v>
      </c>
      <c r="R710">
        <f t="shared" si="34"/>
        <v>2</v>
      </c>
      <c r="S710" t="str">
        <f t="shared" si="35"/>
        <v>Feb</v>
      </c>
      <c r="T710" s="9">
        <f>VLOOKUP(O710, Annual_Summary!A:B, 2, 0)</f>
        <v>-0.4440050483803113</v>
      </c>
    </row>
    <row r="711" spans="1:20" x14ac:dyDescent="0.3">
      <c r="A711" s="1">
        <v>45708</v>
      </c>
      <c r="B711" s="3" t="s">
        <v>15</v>
      </c>
      <c r="C711" s="3">
        <v>1711</v>
      </c>
      <c r="D711" s="3">
        <v>1714.7</v>
      </c>
      <c r="E711" s="3">
        <v>1685.3</v>
      </c>
      <c r="F711" s="3">
        <v>1727.2</v>
      </c>
      <c r="G711" s="3">
        <v>1685.95</v>
      </c>
      <c r="H711" s="3">
        <v>1687.1</v>
      </c>
      <c r="I711" s="3">
        <v>1695.04</v>
      </c>
      <c r="J711" s="3">
        <v>1880</v>
      </c>
      <c r="K711" s="3">
        <v>1397.3</v>
      </c>
      <c r="L711" s="5">
        <v>13195255</v>
      </c>
      <c r="M711" s="2">
        <v>22366435828.299999</v>
      </c>
      <c r="N711">
        <v>246655</v>
      </c>
      <c r="O711" t="s">
        <v>18</v>
      </c>
      <c r="P711" s="8">
        <f t="shared" si="33"/>
        <v>16.200000000000045</v>
      </c>
      <c r="Q711" t="s">
        <v>39</v>
      </c>
      <c r="R711">
        <f t="shared" si="34"/>
        <v>2</v>
      </c>
      <c r="S711" t="str">
        <f t="shared" si="35"/>
        <v>Feb</v>
      </c>
      <c r="T711" s="9">
        <f>VLOOKUP(O711, Annual_Summary!A:B, 2, 0)</f>
        <v>-0.4440050483803113</v>
      </c>
    </row>
    <row r="712" spans="1:20" x14ac:dyDescent="0.3">
      <c r="A712" s="1">
        <v>45707</v>
      </c>
      <c r="B712" s="3" t="s">
        <v>15</v>
      </c>
      <c r="C712" s="3">
        <v>1717</v>
      </c>
      <c r="D712" s="3">
        <v>1737.9</v>
      </c>
      <c r="E712" s="3">
        <v>1712.45</v>
      </c>
      <c r="F712" s="3">
        <v>1723.05</v>
      </c>
      <c r="G712" s="3">
        <v>1725.05</v>
      </c>
      <c r="H712" s="3">
        <v>1727.2</v>
      </c>
      <c r="I712" s="3">
        <v>1727.42</v>
      </c>
      <c r="J712" s="3">
        <v>1880</v>
      </c>
      <c r="K712" s="3">
        <v>1397.3</v>
      </c>
      <c r="L712" s="5">
        <v>5942056</v>
      </c>
      <c r="M712" s="2">
        <v>10264454339.75</v>
      </c>
      <c r="N712">
        <v>300603</v>
      </c>
      <c r="O712" t="s">
        <v>18</v>
      </c>
      <c r="P712" s="8">
        <f t="shared" si="33"/>
        <v>6.0499999999999545</v>
      </c>
      <c r="Q712" t="s">
        <v>39</v>
      </c>
      <c r="R712">
        <f t="shared" si="34"/>
        <v>2</v>
      </c>
      <c r="S712" t="str">
        <f t="shared" si="35"/>
        <v>Feb</v>
      </c>
      <c r="T712" s="9">
        <f>VLOOKUP(O712, Annual_Summary!A:B, 2, 0)</f>
        <v>-0.4440050483803113</v>
      </c>
    </row>
    <row r="713" spans="1:20" x14ac:dyDescent="0.3">
      <c r="A713" s="1">
        <v>45706</v>
      </c>
      <c r="B713" s="3" t="s">
        <v>15</v>
      </c>
      <c r="C713" s="3">
        <v>1713.05</v>
      </c>
      <c r="D713" s="3">
        <v>1731.55</v>
      </c>
      <c r="E713" s="3">
        <v>1706.15</v>
      </c>
      <c r="F713" s="3">
        <v>1717.35</v>
      </c>
      <c r="G713" s="3">
        <v>1723</v>
      </c>
      <c r="H713" s="3">
        <v>1723.05</v>
      </c>
      <c r="I713" s="3">
        <v>1721.09</v>
      </c>
      <c r="J713" s="3">
        <v>1880</v>
      </c>
      <c r="K713" s="3">
        <v>1397.3</v>
      </c>
      <c r="L713" s="5">
        <v>8175455</v>
      </c>
      <c r="M713" s="2">
        <v>14070671116.4</v>
      </c>
      <c r="N713">
        <v>322226</v>
      </c>
      <c r="O713" t="s">
        <v>18</v>
      </c>
      <c r="P713" s="8">
        <f t="shared" si="33"/>
        <v>4.2999999999999545</v>
      </c>
      <c r="Q713" t="s">
        <v>39</v>
      </c>
      <c r="R713">
        <f t="shared" si="34"/>
        <v>2</v>
      </c>
      <c r="S713" t="str">
        <f t="shared" si="35"/>
        <v>Feb</v>
      </c>
      <c r="T713" s="9">
        <f>VLOOKUP(O713, Annual_Summary!A:B, 2, 0)</f>
        <v>-0.4440050483803113</v>
      </c>
    </row>
    <row r="714" spans="1:20" x14ac:dyDescent="0.3">
      <c r="A714" s="1">
        <v>45705</v>
      </c>
      <c r="B714" s="3" t="s">
        <v>15</v>
      </c>
      <c r="C714" s="3">
        <v>1685.2</v>
      </c>
      <c r="D714" s="3">
        <v>1720</v>
      </c>
      <c r="E714" s="3">
        <v>1681.25</v>
      </c>
      <c r="F714" s="3">
        <v>1694.85</v>
      </c>
      <c r="G714" s="3">
        <v>1719</v>
      </c>
      <c r="H714" s="3">
        <v>1717.35</v>
      </c>
      <c r="I714" s="3">
        <v>1702.14</v>
      </c>
      <c r="J714" s="3">
        <v>1880</v>
      </c>
      <c r="K714" s="3">
        <v>1397.3</v>
      </c>
      <c r="L714" s="5">
        <v>6469473</v>
      </c>
      <c r="M714" s="2">
        <v>11011975039</v>
      </c>
      <c r="N714">
        <v>262946</v>
      </c>
      <c r="O714" t="s">
        <v>18</v>
      </c>
      <c r="P714" s="8">
        <f t="shared" si="33"/>
        <v>9.6499999999998636</v>
      </c>
      <c r="Q714" t="s">
        <v>39</v>
      </c>
      <c r="R714">
        <f t="shared" si="34"/>
        <v>2</v>
      </c>
      <c r="S714" t="str">
        <f t="shared" si="35"/>
        <v>Feb</v>
      </c>
      <c r="T714" s="9">
        <f>VLOOKUP(O714, Annual_Summary!A:B, 2, 0)</f>
        <v>-0.4440050483803113</v>
      </c>
    </row>
    <row r="715" spans="1:20" x14ac:dyDescent="0.3">
      <c r="A715" s="1">
        <v>45702</v>
      </c>
      <c r="B715" s="3" t="s">
        <v>15</v>
      </c>
      <c r="C715" s="3">
        <v>1701.9</v>
      </c>
      <c r="D715" s="3">
        <v>1701.9</v>
      </c>
      <c r="E715" s="3">
        <v>1680</v>
      </c>
      <c r="F715" s="3">
        <v>1697.7</v>
      </c>
      <c r="G715" s="3">
        <v>1694.4</v>
      </c>
      <c r="H715" s="3">
        <v>1694.85</v>
      </c>
      <c r="I715" s="3">
        <v>1690.46</v>
      </c>
      <c r="J715" s="3">
        <v>1880</v>
      </c>
      <c r="K715" s="3">
        <v>1363.55</v>
      </c>
      <c r="L715" s="5">
        <v>9979946</v>
      </c>
      <c r="M715" s="2">
        <v>16870660139.450001</v>
      </c>
      <c r="N715">
        <v>309031</v>
      </c>
      <c r="O715" t="s">
        <v>18</v>
      </c>
      <c r="P715" s="8">
        <f t="shared" si="33"/>
        <v>-4.2000000000000455</v>
      </c>
      <c r="Q715" t="s">
        <v>39</v>
      </c>
      <c r="R715">
        <f t="shared" si="34"/>
        <v>2</v>
      </c>
      <c r="S715" t="str">
        <f t="shared" si="35"/>
        <v>Feb</v>
      </c>
      <c r="T715" s="9">
        <f>VLOOKUP(O715, Annual_Summary!A:B, 2, 0)</f>
        <v>-0.4440050483803113</v>
      </c>
    </row>
    <row r="716" spans="1:20" x14ac:dyDescent="0.3">
      <c r="A716" s="1">
        <v>45701</v>
      </c>
      <c r="B716" s="3" t="s">
        <v>15</v>
      </c>
      <c r="C716" s="3">
        <v>1699</v>
      </c>
      <c r="D716" s="3">
        <v>1714.25</v>
      </c>
      <c r="E716" s="3">
        <v>1693.55</v>
      </c>
      <c r="F716" s="3">
        <v>1706.8</v>
      </c>
      <c r="G716" s="3">
        <v>1698.95</v>
      </c>
      <c r="H716" s="3">
        <v>1697.7</v>
      </c>
      <c r="I716" s="3">
        <v>1702.88</v>
      </c>
      <c r="J716" s="3">
        <v>1880</v>
      </c>
      <c r="K716" s="3">
        <v>1363.55</v>
      </c>
      <c r="L716" s="5">
        <v>6301217</v>
      </c>
      <c r="M716" s="2">
        <v>10730216799.15</v>
      </c>
      <c r="N716">
        <v>200278</v>
      </c>
      <c r="O716" t="s">
        <v>18</v>
      </c>
      <c r="P716" s="8">
        <f t="shared" si="33"/>
        <v>7.7999999999999545</v>
      </c>
      <c r="Q716" t="s">
        <v>39</v>
      </c>
      <c r="R716">
        <f t="shared" si="34"/>
        <v>2</v>
      </c>
      <c r="S716" t="str">
        <f t="shared" si="35"/>
        <v>Feb</v>
      </c>
      <c r="T716" s="9">
        <f>VLOOKUP(O716, Annual_Summary!A:B, 2, 0)</f>
        <v>-0.4440050483803113</v>
      </c>
    </row>
    <row r="717" spans="1:20" x14ac:dyDescent="0.3">
      <c r="A717" s="1">
        <v>45700</v>
      </c>
      <c r="B717" s="3" t="s">
        <v>15</v>
      </c>
      <c r="C717" s="3">
        <v>1693</v>
      </c>
      <c r="D717" s="3">
        <v>1712</v>
      </c>
      <c r="E717" s="3">
        <v>1681.2</v>
      </c>
      <c r="F717" s="3">
        <v>1701.4</v>
      </c>
      <c r="G717" s="3">
        <v>1710.65</v>
      </c>
      <c r="H717" s="3">
        <v>1706.8</v>
      </c>
      <c r="I717" s="3">
        <v>1696.59</v>
      </c>
      <c r="J717" s="3">
        <v>1880</v>
      </c>
      <c r="K717" s="3">
        <v>1363.55</v>
      </c>
      <c r="L717" s="5">
        <v>11404785</v>
      </c>
      <c r="M717" s="2">
        <v>19349271431.549999</v>
      </c>
      <c r="N717">
        <v>286053</v>
      </c>
      <c r="O717" t="s">
        <v>18</v>
      </c>
      <c r="P717" s="8">
        <f t="shared" si="33"/>
        <v>8.4000000000000909</v>
      </c>
      <c r="Q717" t="s">
        <v>39</v>
      </c>
      <c r="R717">
        <f t="shared" si="34"/>
        <v>2</v>
      </c>
      <c r="S717" t="str">
        <f t="shared" si="35"/>
        <v>Feb</v>
      </c>
      <c r="T717" s="9">
        <f>VLOOKUP(O717, Annual_Summary!A:B, 2, 0)</f>
        <v>-0.4440050483803113</v>
      </c>
    </row>
    <row r="718" spans="1:20" x14ac:dyDescent="0.3">
      <c r="A718" s="1">
        <v>45699</v>
      </c>
      <c r="B718" s="3" t="s">
        <v>15</v>
      </c>
      <c r="C718" s="3">
        <v>1703</v>
      </c>
      <c r="D718" s="3">
        <v>1711</v>
      </c>
      <c r="E718" s="3">
        <v>1688.7</v>
      </c>
      <c r="F718" s="3">
        <v>1715.75</v>
      </c>
      <c r="G718" s="3">
        <v>1700.95</v>
      </c>
      <c r="H718" s="3">
        <v>1701.4</v>
      </c>
      <c r="I718" s="3">
        <v>1700.06</v>
      </c>
      <c r="J718" s="3">
        <v>1880</v>
      </c>
      <c r="K718" s="3">
        <v>1363.55</v>
      </c>
      <c r="L718" s="5">
        <v>11362352</v>
      </c>
      <c r="M718" s="2">
        <v>19316630388.150002</v>
      </c>
      <c r="N718">
        <v>182730</v>
      </c>
      <c r="O718" t="s">
        <v>18</v>
      </c>
      <c r="P718" s="8">
        <f t="shared" si="33"/>
        <v>12.75</v>
      </c>
      <c r="Q718" t="s">
        <v>39</v>
      </c>
      <c r="R718">
        <f t="shared" si="34"/>
        <v>2</v>
      </c>
      <c r="S718" t="str">
        <f t="shared" si="35"/>
        <v>Feb</v>
      </c>
      <c r="T718" s="9">
        <f>VLOOKUP(O718, Annual_Summary!A:B, 2, 0)</f>
        <v>-0.4440050483803113</v>
      </c>
    </row>
    <row r="719" spans="1:20" x14ac:dyDescent="0.3">
      <c r="A719" s="1">
        <v>45698</v>
      </c>
      <c r="B719" s="3" t="s">
        <v>15</v>
      </c>
      <c r="C719" s="3">
        <v>1717.3</v>
      </c>
      <c r="D719" s="3">
        <v>1723.45</v>
      </c>
      <c r="E719" s="3">
        <v>1708.5</v>
      </c>
      <c r="F719" s="3">
        <v>1732.75</v>
      </c>
      <c r="G719" s="3">
        <v>1716.6</v>
      </c>
      <c r="H719" s="3">
        <v>1715.75</v>
      </c>
      <c r="I719" s="3">
        <v>1715.57</v>
      </c>
      <c r="J719" s="3">
        <v>1880</v>
      </c>
      <c r="K719" s="3">
        <v>1363.55</v>
      </c>
      <c r="L719" s="5">
        <v>8597975</v>
      </c>
      <c r="M719" s="2">
        <v>14750390095.15</v>
      </c>
      <c r="N719">
        <v>175150</v>
      </c>
      <c r="O719" t="s">
        <v>18</v>
      </c>
      <c r="P719" s="8">
        <f t="shared" si="33"/>
        <v>15.450000000000045</v>
      </c>
      <c r="Q719" t="s">
        <v>39</v>
      </c>
      <c r="R719">
        <f t="shared" si="34"/>
        <v>2</v>
      </c>
      <c r="S719" t="str">
        <f t="shared" si="35"/>
        <v>Feb</v>
      </c>
      <c r="T719" s="9">
        <f>VLOOKUP(O719, Annual_Summary!A:B, 2, 0)</f>
        <v>-0.4440050483803113</v>
      </c>
    </row>
    <row r="720" spans="1:20" x14ac:dyDescent="0.3">
      <c r="A720" s="1">
        <v>45695</v>
      </c>
      <c r="B720" s="3" t="s">
        <v>15</v>
      </c>
      <c r="C720" s="3">
        <v>1750</v>
      </c>
      <c r="D720" s="3">
        <v>1767</v>
      </c>
      <c r="E720" s="3">
        <v>1725</v>
      </c>
      <c r="F720" s="3">
        <v>1743.85</v>
      </c>
      <c r="G720" s="3">
        <v>1732</v>
      </c>
      <c r="H720" s="3">
        <v>1732.75</v>
      </c>
      <c r="I720" s="3">
        <v>1744.99</v>
      </c>
      <c r="J720" s="3">
        <v>1880</v>
      </c>
      <c r="K720" s="3">
        <v>1363.55</v>
      </c>
      <c r="L720" s="5">
        <v>11754800</v>
      </c>
      <c r="M720" s="2">
        <v>20512007682.549999</v>
      </c>
      <c r="N720">
        <v>326327</v>
      </c>
      <c r="O720" t="s">
        <v>18</v>
      </c>
      <c r="P720" s="8">
        <f t="shared" si="33"/>
        <v>-6.1500000000000909</v>
      </c>
      <c r="Q720" t="s">
        <v>39</v>
      </c>
      <c r="R720">
        <f t="shared" si="34"/>
        <v>2</v>
      </c>
      <c r="S720" t="str">
        <f t="shared" si="35"/>
        <v>Feb</v>
      </c>
      <c r="T720" s="9">
        <f>VLOOKUP(O720, Annual_Summary!A:B, 2, 0)</f>
        <v>-0.4440050483803113</v>
      </c>
    </row>
    <row r="721" spans="1:20" x14ac:dyDescent="0.3">
      <c r="A721" s="1">
        <v>45694</v>
      </c>
      <c r="B721" s="3" t="s">
        <v>15</v>
      </c>
      <c r="C721" s="3">
        <v>1735.5</v>
      </c>
      <c r="D721" s="3">
        <v>1749</v>
      </c>
      <c r="E721" s="3">
        <v>1724</v>
      </c>
      <c r="F721" s="3">
        <v>1737.8</v>
      </c>
      <c r="G721" s="3">
        <v>1746.5</v>
      </c>
      <c r="H721" s="3">
        <v>1743.85</v>
      </c>
      <c r="I721" s="3">
        <v>1735.75</v>
      </c>
      <c r="J721" s="3">
        <v>1880</v>
      </c>
      <c r="K721" s="3">
        <v>1363.55</v>
      </c>
      <c r="L721" s="5">
        <v>13380358</v>
      </c>
      <c r="M721" s="2">
        <v>23225008521.549999</v>
      </c>
      <c r="N721">
        <v>225108</v>
      </c>
      <c r="O721" t="s">
        <v>18</v>
      </c>
      <c r="P721" s="8">
        <f t="shared" si="33"/>
        <v>2.2999999999999545</v>
      </c>
      <c r="Q721" t="s">
        <v>39</v>
      </c>
      <c r="R721">
        <f t="shared" si="34"/>
        <v>2</v>
      </c>
      <c r="S721" t="str">
        <f t="shared" si="35"/>
        <v>Feb</v>
      </c>
      <c r="T721" s="9">
        <f>VLOOKUP(O721, Annual_Summary!A:B, 2, 0)</f>
        <v>-0.4440050483803113</v>
      </c>
    </row>
    <row r="722" spans="1:20" x14ac:dyDescent="0.3">
      <c r="A722" s="1">
        <v>45693</v>
      </c>
      <c r="B722" s="3" t="s">
        <v>15</v>
      </c>
      <c r="C722" s="3">
        <v>1733</v>
      </c>
      <c r="D722" s="3">
        <v>1744.2</v>
      </c>
      <c r="E722" s="3">
        <v>1718.9</v>
      </c>
      <c r="F722" s="3">
        <v>1720.9</v>
      </c>
      <c r="G722" s="3">
        <v>1734.8</v>
      </c>
      <c r="H722" s="3">
        <v>1737.8</v>
      </c>
      <c r="I722" s="3">
        <v>1733.84</v>
      </c>
      <c r="J722" s="3">
        <v>1880</v>
      </c>
      <c r="K722" s="3">
        <v>1363.55</v>
      </c>
      <c r="L722" s="5">
        <v>11837753</v>
      </c>
      <c r="M722" s="2">
        <v>20524785237.349998</v>
      </c>
      <c r="N722">
        <v>275185</v>
      </c>
      <c r="O722" t="s">
        <v>18</v>
      </c>
      <c r="P722" s="8">
        <f t="shared" si="33"/>
        <v>-12.099999999999909</v>
      </c>
      <c r="Q722" t="s">
        <v>39</v>
      </c>
      <c r="R722">
        <f t="shared" si="34"/>
        <v>2</v>
      </c>
      <c r="S722" t="str">
        <f t="shared" si="35"/>
        <v>Feb</v>
      </c>
      <c r="T722" s="9">
        <f>VLOOKUP(O722, Annual_Summary!A:B, 2, 0)</f>
        <v>-0.4440050483803113</v>
      </c>
    </row>
    <row r="723" spans="1:20" x14ac:dyDescent="0.3">
      <c r="A723" s="1">
        <v>45692</v>
      </c>
      <c r="B723" s="3" t="s">
        <v>15</v>
      </c>
      <c r="C723" s="3">
        <v>1688.7</v>
      </c>
      <c r="D723" s="3">
        <v>1725.8</v>
      </c>
      <c r="E723" s="3">
        <v>1680.05</v>
      </c>
      <c r="F723" s="3">
        <v>1678</v>
      </c>
      <c r="G723" s="3">
        <v>1716.3</v>
      </c>
      <c r="H723" s="3">
        <v>1720.9</v>
      </c>
      <c r="I723" s="3">
        <v>1710.93</v>
      </c>
      <c r="J723" s="3">
        <v>1880</v>
      </c>
      <c r="K723" s="3">
        <v>1363.55</v>
      </c>
      <c r="L723" s="5">
        <v>14308251</v>
      </c>
      <c r="M723" s="2">
        <v>24480395914.25</v>
      </c>
      <c r="N723">
        <v>342091</v>
      </c>
      <c r="O723" t="s">
        <v>18</v>
      </c>
      <c r="P723" s="8">
        <f t="shared" si="33"/>
        <v>-10.700000000000045</v>
      </c>
      <c r="Q723" t="s">
        <v>39</v>
      </c>
      <c r="R723">
        <f t="shared" si="34"/>
        <v>2</v>
      </c>
      <c r="S723" t="str">
        <f t="shared" si="35"/>
        <v>Feb</v>
      </c>
      <c r="T723" s="9">
        <f>VLOOKUP(O723, Annual_Summary!A:B, 2, 0)</f>
        <v>-0.4440050483803113</v>
      </c>
    </row>
    <row r="724" spans="1:20" x14ac:dyDescent="0.3">
      <c r="A724" s="1">
        <v>45691</v>
      </c>
      <c r="B724" s="3" t="s">
        <v>15</v>
      </c>
      <c r="C724" s="3">
        <v>1670</v>
      </c>
      <c r="D724" s="3">
        <v>1686.8</v>
      </c>
      <c r="E724" s="3">
        <v>1663.45</v>
      </c>
      <c r="F724" s="3">
        <v>1690.95</v>
      </c>
      <c r="G724" s="3">
        <v>1679.6</v>
      </c>
      <c r="H724" s="3">
        <v>1678</v>
      </c>
      <c r="I724" s="3">
        <v>1679.49</v>
      </c>
      <c r="J724" s="3">
        <v>1880</v>
      </c>
      <c r="K724" s="3">
        <v>1363.55</v>
      </c>
      <c r="L724" s="5">
        <v>10138270</v>
      </c>
      <c r="M724" s="2">
        <v>17027093333.700001</v>
      </c>
      <c r="N724">
        <v>230780</v>
      </c>
      <c r="O724" t="s">
        <v>18</v>
      </c>
      <c r="P724" s="8">
        <f t="shared" si="33"/>
        <v>20.950000000000045</v>
      </c>
      <c r="Q724" t="s">
        <v>39</v>
      </c>
      <c r="R724">
        <f t="shared" si="34"/>
        <v>2</v>
      </c>
      <c r="S724" t="str">
        <f t="shared" si="35"/>
        <v>Feb</v>
      </c>
      <c r="T724" s="9">
        <f>VLOOKUP(O724, Annual_Summary!A:B, 2, 0)</f>
        <v>-0.4440050483803113</v>
      </c>
    </row>
    <row r="725" spans="1:20" x14ac:dyDescent="0.3">
      <c r="A725" s="1">
        <v>45689</v>
      </c>
      <c r="B725" s="3" t="s">
        <v>15</v>
      </c>
      <c r="C725" s="3">
        <v>1697.5</v>
      </c>
      <c r="D725" s="3">
        <v>1713</v>
      </c>
      <c r="E725" s="3">
        <v>1676.05</v>
      </c>
      <c r="F725" s="3">
        <v>1698.75</v>
      </c>
      <c r="G725" s="3">
        <v>1692</v>
      </c>
      <c r="H725" s="3">
        <v>1690.95</v>
      </c>
      <c r="I725" s="3">
        <v>1694.22</v>
      </c>
      <c r="J725" s="3">
        <v>1880</v>
      </c>
      <c r="K725" s="3">
        <v>1363.55</v>
      </c>
      <c r="L725" s="5">
        <v>2793764</v>
      </c>
      <c r="M725" s="2">
        <v>4733238897.9499998</v>
      </c>
      <c r="N725">
        <v>88839</v>
      </c>
      <c r="O725" t="s">
        <v>18</v>
      </c>
      <c r="P725" s="8">
        <f t="shared" si="33"/>
        <v>1.25</v>
      </c>
      <c r="Q725" t="s">
        <v>39</v>
      </c>
      <c r="R725">
        <f t="shared" si="34"/>
        <v>2</v>
      </c>
      <c r="S725" t="str">
        <f t="shared" si="35"/>
        <v>Feb</v>
      </c>
      <c r="T725" s="9">
        <f>VLOOKUP(O725, Annual_Summary!A:B, 2, 0)</f>
        <v>-0.4440050483803113</v>
      </c>
    </row>
    <row r="726" spans="1:20" x14ac:dyDescent="0.3">
      <c r="A726" s="1">
        <v>45688</v>
      </c>
      <c r="B726" s="3" t="s">
        <v>15</v>
      </c>
      <c r="C726" s="3">
        <v>1687.25</v>
      </c>
      <c r="D726" s="3">
        <v>1704.7</v>
      </c>
      <c r="E726" s="3">
        <v>1683.95</v>
      </c>
      <c r="F726" s="3">
        <v>1691.5</v>
      </c>
      <c r="G726" s="3">
        <v>1699.5</v>
      </c>
      <c r="H726" s="3">
        <v>1698.75</v>
      </c>
      <c r="I726" s="3">
        <v>1696.52</v>
      </c>
      <c r="J726" s="3">
        <v>1880</v>
      </c>
      <c r="K726" s="3">
        <v>1363.55</v>
      </c>
      <c r="L726" s="5">
        <v>7910843</v>
      </c>
      <c r="M726" s="2">
        <v>13420873179.4</v>
      </c>
      <c r="N726">
        <v>215938</v>
      </c>
      <c r="O726" t="s">
        <v>18</v>
      </c>
      <c r="P726" s="8">
        <f t="shared" si="33"/>
        <v>4.25</v>
      </c>
      <c r="Q726" t="s">
        <v>39</v>
      </c>
      <c r="R726">
        <f t="shared" si="34"/>
        <v>1</v>
      </c>
      <c r="S726" t="str">
        <f t="shared" si="35"/>
        <v>Jan</v>
      </c>
      <c r="T726" s="9">
        <f>VLOOKUP(O726, Annual_Summary!A:B, 2, 0)</f>
        <v>-0.4440050483803113</v>
      </c>
    </row>
    <row r="727" spans="1:20" x14ac:dyDescent="0.3">
      <c r="A727" s="1">
        <v>45687</v>
      </c>
      <c r="B727" s="3" t="s">
        <v>15</v>
      </c>
      <c r="C727" s="3">
        <v>1681</v>
      </c>
      <c r="D727" s="3">
        <v>1697.9</v>
      </c>
      <c r="E727" s="3">
        <v>1672.55</v>
      </c>
      <c r="F727" s="3">
        <v>1677.3</v>
      </c>
      <c r="G727" s="3">
        <v>1693.1</v>
      </c>
      <c r="H727" s="3">
        <v>1691.5</v>
      </c>
      <c r="I727" s="3">
        <v>1685.73</v>
      </c>
      <c r="J727" s="3">
        <v>1880</v>
      </c>
      <c r="K727" s="3">
        <v>1363.55</v>
      </c>
      <c r="L727" s="5">
        <v>12872423</v>
      </c>
      <c r="M727" s="2">
        <v>21699404205.049999</v>
      </c>
      <c r="N727">
        <v>263161</v>
      </c>
      <c r="O727" t="s">
        <v>18</v>
      </c>
      <c r="P727" s="8">
        <f t="shared" si="33"/>
        <v>-3.7000000000000455</v>
      </c>
      <c r="Q727" t="s">
        <v>39</v>
      </c>
      <c r="R727">
        <f t="shared" si="34"/>
        <v>1</v>
      </c>
      <c r="S727" t="str">
        <f t="shared" si="35"/>
        <v>Jan</v>
      </c>
      <c r="T727" s="9">
        <f>VLOOKUP(O727, Annual_Summary!A:B, 2, 0)</f>
        <v>-0.4440050483803113</v>
      </c>
    </row>
    <row r="728" spans="1:20" x14ac:dyDescent="0.3">
      <c r="A728" s="1">
        <v>45686</v>
      </c>
      <c r="B728" s="3" t="s">
        <v>15</v>
      </c>
      <c r="C728" s="3">
        <v>1675</v>
      </c>
      <c r="D728" s="3">
        <v>1681.15</v>
      </c>
      <c r="E728" s="3">
        <v>1668.85</v>
      </c>
      <c r="F728" s="3">
        <v>1670.4</v>
      </c>
      <c r="G728" s="3">
        <v>1676</v>
      </c>
      <c r="H728" s="3">
        <v>1677.3</v>
      </c>
      <c r="I728" s="3">
        <v>1675.45</v>
      </c>
      <c r="J728" s="3">
        <v>1880</v>
      </c>
      <c r="K728" s="3">
        <v>1363.55</v>
      </c>
      <c r="L728" s="5">
        <v>6309945</v>
      </c>
      <c r="M728" s="2">
        <v>10571994646.450001</v>
      </c>
      <c r="N728">
        <v>196187</v>
      </c>
      <c r="O728" t="s">
        <v>18</v>
      </c>
      <c r="P728" s="8">
        <f t="shared" si="33"/>
        <v>-4.5999999999999091</v>
      </c>
      <c r="Q728" t="s">
        <v>39</v>
      </c>
      <c r="R728">
        <f t="shared" si="34"/>
        <v>1</v>
      </c>
      <c r="S728" t="str">
        <f t="shared" si="35"/>
        <v>Jan</v>
      </c>
      <c r="T728" s="9">
        <f>VLOOKUP(O728, Annual_Summary!A:B, 2, 0)</f>
        <v>-0.4440050483803113</v>
      </c>
    </row>
    <row r="729" spans="1:20" x14ac:dyDescent="0.3">
      <c r="A729" s="1">
        <v>45685</v>
      </c>
      <c r="B729" s="3" t="s">
        <v>15</v>
      </c>
      <c r="C729" s="3">
        <v>1647</v>
      </c>
      <c r="D729" s="3">
        <v>1684.3</v>
      </c>
      <c r="E729" s="3">
        <v>1647</v>
      </c>
      <c r="F729" s="3">
        <v>1629.8</v>
      </c>
      <c r="G729" s="3">
        <v>1673.3</v>
      </c>
      <c r="H729" s="3">
        <v>1670.4</v>
      </c>
      <c r="I729" s="3">
        <v>1670.57</v>
      </c>
      <c r="J729" s="3">
        <v>1880</v>
      </c>
      <c r="K729" s="3">
        <v>1363.55</v>
      </c>
      <c r="L729" s="5">
        <v>15089656</v>
      </c>
      <c r="M729" s="2">
        <v>25208271808.849998</v>
      </c>
      <c r="N729">
        <v>350835</v>
      </c>
      <c r="O729" t="s">
        <v>18</v>
      </c>
      <c r="P729" s="8">
        <f t="shared" si="33"/>
        <v>-17.200000000000045</v>
      </c>
      <c r="Q729" t="s">
        <v>39</v>
      </c>
      <c r="R729">
        <f t="shared" si="34"/>
        <v>1</v>
      </c>
      <c r="S729" t="str">
        <f t="shared" si="35"/>
        <v>Jan</v>
      </c>
      <c r="T729" s="9">
        <f>VLOOKUP(O729, Annual_Summary!A:B, 2, 0)</f>
        <v>-0.4440050483803113</v>
      </c>
    </row>
    <row r="730" spans="1:20" x14ac:dyDescent="0.3">
      <c r="A730" s="1">
        <v>45684</v>
      </c>
      <c r="B730" s="3" t="s">
        <v>15</v>
      </c>
      <c r="C730" s="3">
        <v>1641.1</v>
      </c>
      <c r="D730" s="3">
        <v>1643.6</v>
      </c>
      <c r="E730" s="3">
        <v>1626</v>
      </c>
      <c r="F730" s="3">
        <v>1649.8</v>
      </c>
      <c r="G730" s="3">
        <v>1629.5</v>
      </c>
      <c r="H730" s="3">
        <v>1629.8</v>
      </c>
      <c r="I730" s="3">
        <v>1632.37</v>
      </c>
      <c r="J730" s="3">
        <v>1880</v>
      </c>
      <c r="K730" s="3">
        <v>1363.55</v>
      </c>
      <c r="L730" s="5">
        <v>11402083</v>
      </c>
      <c r="M730" s="2">
        <v>18612439467.950001</v>
      </c>
      <c r="N730">
        <v>277125</v>
      </c>
      <c r="O730" t="s">
        <v>18</v>
      </c>
      <c r="P730" s="8">
        <f t="shared" si="33"/>
        <v>8.7000000000000455</v>
      </c>
      <c r="Q730" t="s">
        <v>39</v>
      </c>
      <c r="R730">
        <f t="shared" si="34"/>
        <v>1</v>
      </c>
      <c r="S730" t="str">
        <f t="shared" si="35"/>
        <v>Jan</v>
      </c>
      <c r="T730" s="9">
        <f>VLOOKUP(O730, Annual_Summary!A:B, 2, 0)</f>
        <v>-0.4440050483803113</v>
      </c>
    </row>
    <row r="731" spans="1:20" x14ac:dyDescent="0.3">
      <c r="A731" s="1">
        <v>45681</v>
      </c>
      <c r="B731" s="3" t="s">
        <v>15</v>
      </c>
      <c r="C731" s="3">
        <v>1660</v>
      </c>
      <c r="D731" s="3">
        <v>1670.3</v>
      </c>
      <c r="E731" s="3">
        <v>1644.5</v>
      </c>
      <c r="F731" s="3">
        <v>1664.9</v>
      </c>
      <c r="G731" s="3">
        <v>1645</v>
      </c>
      <c r="H731" s="3">
        <v>1649.8</v>
      </c>
      <c r="I731" s="3">
        <v>1658.68</v>
      </c>
      <c r="J731" s="3">
        <v>1880</v>
      </c>
      <c r="K731" s="3">
        <v>1363.55</v>
      </c>
      <c r="L731" s="5">
        <v>12118100</v>
      </c>
      <c r="M731" s="2">
        <v>20100037678.049999</v>
      </c>
      <c r="N731">
        <v>271994</v>
      </c>
      <c r="O731" t="s">
        <v>18</v>
      </c>
      <c r="P731" s="8">
        <f t="shared" si="33"/>
        <v>4.9000000000000909</v>
      </c>
      <c r="Q731" t="s">
        <v>39</v>
      </c>
      <c r="R731">
        <f t="shared" si="34"/>
        <v>1</v>
      </c>
      <c r="S731" t="str">
        <f t="shared" si="35"/>
        <v>Jan</v>
      </c>
      <c r="T731" s="9">
        <f>VLOOKUP(O731, Annual_Summary!A:B, 2, 0)</f>
        <v>-0.4440050483803113</v>
      </c>
    </row>
    <row r="732" spans="1:20" x14ac:dyDescent="0.3">
      <c r="A732" s="1">
        <v>45680</v>
      </c>
      <c r="B732" s="3" t="s">
        <v>15</v>
      </c>
      <c r="C732" s="3">
        <v>1687</v>
      </c>
      <c r="D732" s="3">
        <v>1687</v>
      </c>
      <c r="E732" s="3">
        <v>1651.25</v>
      </c>
      <c r="F732" s="3">
        <v>1666.05</v>
      </c>
      <c r="G732" s="3">
        <v>1665</v>
      </c>
      <c r="H732" s="3">
        <v>1664.9</v>
      </c>
      <c r="I732" s="3">
        <v>1665.84</v>
      </c>
      <c r="J732" s="3">
        <v>1880</v>
      </c>
      <c r="K732" s="3">
        <v>1363.55</v>
      </c>
      <c r="L732" s="5">
        <v>17454579</v>
      </c>
      <c r="M732" s="2">
        <v>29076566202.700001</v>
      </c>
      <c r="N732">
        <v>445411</v>
      </c>
      <c r="O732" t="s">
        <v>18</v>
      </c>
      <c r="P732" s="8">
        <f t="shared" si="33"/>
        <v>-20.950000000000045</v>
      </c>
      <c r="Q732" t="s">
        <v>39</v>
      </c>
      <c r="R732">
        <f t="shared" si="34"/>
        <v>1</v>
      </c>
      <c r="S732" t="str">
        <f t="shared" si="35"/>
        <v>Jan</v>
      </c>
      <c r="T732" s="9">
        <f>VLOOKUP(O732, Annual_Summary!A:B, 2, 0)</f>
        <v>-0.4440050483803113</v>
      </c>
    </row>
    <row r="733" spans="1:20" x14ac:dyDescent="0.3">
      <c r="A733" s="1">
        <v>45679</v>
      </c>
      <c r="B733" s="3" t="s">
        <v>15</v>
      </c>
      <c r="C733" s="3">
        <v>1642.4</v>
      </c>
      <c r="D733" s="3">
        <v>1671.9</v>
      </c>
      <c r="E733" s="3">
        <v>1625.45</v>
      </c>
      <c r="F733" s="3">
        <v>1642.4</v>
      </c>
      <c r="G733" s="3">
        <v>1671.9</v>
      </c>
      <c r="H733" s="3">
        <v>1666.05</v>
      </c>
      <c r="I733" s="3">
        <v>1653.85</v>
      </c>
      <c r="J733" s="3">
        <v>1880</v>
      </c>
      <c r="K733" s="3">
        <v>1363.55</v>
      </c>
      <c r="L733" s="5">
        <v>15309653</v>
      </c>
      <c r="M733" s="2">
        <v>25319845164.799999</v>
      </c>
      <c r="N733">
        <v>367130</v>
      </c>
      <c r="O733" t="s">
        <v>18</v>
      </c>
      <c r="P733" s="8">
        <f t="shared" si="33"/>
        <v>0</v>
      </c>
      <c r="Q733" t="s">
        <v>39</v>
      </c>
      <c r="R733">
        <f t="shared" si="34"/>
        <v>1</v>
      </c>
      <c r="S733" t="str">
        <f t="shared" si="35"/>
        <v>Jan</v>
      </c>
      <c r="T733" s="9">
        <f>VLOOKUP(O733, Annual_Summary!A:B, 2, 0)</f>
        <v>-0.4440050483803113</v>
      </c>
    </row>
    <row r="734" spans="1:20" x14ac:dyDescent="0.3">
      <c r="A734" s="1">
        <v>45678</v>
      </c>
      <c r="B734" s="3" t="s">
        <v>15</v>
      </c>
      <c r="C734" s="3">
        <v>1658.25</v>
      </c>
      <c r="D734" s="3">
        <v>1661.05</v>
      </c>
      <c r="E734" s="3">
        <v>1633.05</v>
      </c>
      <c r="F734" s="3">
        <v>1651.25</v>
      </c>
      <c r="G734" s="3">
        <v>1645.75</v>
      </c>
      <c r="H734" s="3">
        <v>1642.4</v>
      </c>
      <c r="I734" s="3">
        <v>1645.24</v>
      </c>
      <c r="J734" s="3">
        <v>1880</v>
      </c>
      <c r="K734" s="3">
        <v>1363.55</v>
      </c>
      <c r="L734" s="5">
        <v>15579072</v>
      </c>
      <c r="M734" s="2">
        <v>25631380761.950001</v>
      </c>
      <c r="N734">
        <v>270722</v>
      </c>
      <c r="O734" t="s">
        <v>18</v>
      </c>
      <c r="P734" s="8">
        <f t="shared" si="33"/>
        <v>-7</v>
      </c>
      <c r="Q734" t="s">
        <v>39</v>
      </c>
      <c r="R734">
        <f t="shared" si="34"/>
        <v>1</v>
      </c>
      <c r="S734" t="str">
        <f t="shared" si="35"/>
        <v>Jan</v>
      </c>
      <c r="T734" s="9">
        <f>VLOOKUP(O734, Annual_Summary!A:B, 2, 0)</f>
        <v>-0.4440050483803113</v>
      </c>
    </row>
    <row r="735" spans="1:20" x14ac:dyDescent="0.3">
      <c r="A735" s="1">
        <v>45677</v>
      </c>
      <c r="B735" s="3" t="s">
        <v>15</v>
      </c>
      <c r="C735" s="3">
        <v>1626</v>
      </c>
      <c r="D735" s="3">
        <v>1660.95</v>
      </c>
      <c r="E735" s="3">
        <v>1626</v>
      </c>
      <c r="F735" s="3">
        <v>1636.75</v>
      </c>
      <c r="G735" s="3">
        <v>1652.85</v>
      </c>
      <c r="H735" s="3">
        <v>1651.25</v>
      </c>
      <c r="I735" s="3">
        <v>1646.81</v>
      </c>
      <c r="J735" s="3">
        <v>1880</v>
      </c>
      <c r="K735" s="3">
        <v>1363.55</v>
      </c>
      <c r="L735" s="5">
        <v>8778809</v>
      </c>
      <c r="M735" s="2">
        <v>14457009775.1</v>
      </c>
      <c r="N735">
        <v>226533</v>
      </c>
      <c r="O735" t="s">
        <v>18</v>
      </c>
      <c r="P735" s="8">
        <f t="shared" si="33"/>
        <v>10.75</v>
      </c>
      <c r="Q735" t="s">
        <v>39</v>
      </c>
      <c r="R735">
        <f t="shared" si="34"/>
        <v>1</v>
      </c>
      <c r="S735" t="str">
        <f t="shared" si="35"/>
        <v>Jan</v>
      </c>
      <c r="T735" s="9">
        <f>VLOOKUP(O735, Annual_Summary!A:B, 2, 0)</f>
        <v>-0.4440050483803113</v>
      </c>
    </row>
    <row r="736" spans="1:20" x14ac:dyDescent="0.3">
      <c r="A736" s="1">
        <v>45674</v>
      </c>
      <c r="B736" s="3" t="s">
        <v>15</v>
      </c>
      <c r="C736" s="3">
        <v>1643.5</v>
      </c>
      <c r="D736" s="3">
        <v>1650.5</v>
      </c>
      <c r="E736" s="3">
        <v>1628.5</v>
      </c>
      <c r="F736" s="3">
        <v>1652.05</v>
      </c>
      <c r="G736" s="3">
        <v>1636.7</v>
      </c>
      <c r="H736" s="3">
        <v>1636.75</v>
      </c>
      <c r="I736" s="3">
        <v>1636.01</v>
      </c>
      <c r="J736" s="3">
        <v>1880</v>
      </c>
      <c r="K736" s="3">
        <v>1363.55</v>
      </c>
      <c r="L736" s="5">
        <v>11556038</v>
      </c>
      <c r="M736" s="2">
        <v>18905738551</v>
      </c>
      <c r="N736">
        <v>214237</v>
      </c>
      <c r="O736" t="s">
        <v>18</v>
      </c>
      <c r="P736" s="8">
        <f t="shared" si="33"/>
        <v>8.5499999999999545</v>
      </c>
      <c r="Q736" t="s">
        <v>39</v>
      </c>
      <c r="R736">
        <f t="shared" si="34"/>
        <v>1</v>
      </c>
      <c r="S736" t="str">
        <f t="shared" si="35"/>
        <v>Jan</v>
      </c>
      <c r="T736" s="9">
        <f>VLOOKUP(O736, Annual_Summary!A:B, 2, 0)</f>
        <v>-0.4440050483803113</v>
      </c>
    </row>
    <row r="737" spans="1:20" x14ac:dyDescent="0.3">
      <c r="A737" s="1">
        <v>45673</v>
      </c>
      <c r="B737" s="3" t="s">
        <v>15</v>
      </c>
      <c r="C737" s="3">
        <v>1652.85</v>
      </c>
      <c r="D737" s="3">
        <v>1660.55</v>
      </c>
      <c r="E737" s="3">
        <v>1642.85</v>
      </c>
      <c r="F737" s="3">
        <v>1643.05</v>
      </c>
      <c r="G737" s="3">
        <v>1654.85</v>
      </c>
      <c r="H737" s="3">
        <v>1652.05</v>
      </c>
      <c r="I737" s="3">
        <v>1650.92</v>
      </c>
      <c r="J737" s="3">
        <v>1880</v>
      </c>
      <c r="K737" s="3">
        <v>1363.55</v>
      </c>
      <c r="L737" s="5">
        <v>10606227</v>
      </c>
      <c r="M737" s="2">
        <v>17510025478.450001</v>
      </c>
      <c r="N737">
        <v>215124</v>
      </c>
      <c r="O737" t="s">
        <v>18</v>
      </c>
      <c r="P737" s="8">
        <f t="shared" si="33"/>
        <v>-9.7999999999999545</v>
      </c>
      <c r="Q737" t="s">
        <v>39</v>
      </c>
      <c r="R737">
        <f t="shared" si="34"/>
        <v>1</v>
      </c>
      <c r="S737" t="str">
        <f t="shared" si="35"/>
        <v>Jan</v>
      </c>
      <c r="T737" s="9">
        <f>VLOOKUP(O737, Annual_Summary!A:B, 2, 0)</f>
        <v>-0.4440050483803113</v>
      </c>
    </row>
    <row r="738" spans="1:20" x14ac:dyDescent="0.3">
      <c r="A738" s="1">
        <v>45672</v>
      </c>
      <c r="B738" s="3" t="s">
        <v>15</v>
      </c>
      <c r="C738" s="3">
        <v>1656.5</v>
      </c>
      <c r="D738" s="3">
        <v>1662.7</v>
      </c>
      <c r="E738" s="3">
        <v>1636.3</v>
      </c>
      <c r="F738" s="3">
        <v>1646.6</v>
      </c>
      <c r="G738" s="3">
        <v>1645.7</v>
      </c>
      <c r="H738" s="3">
        <v>1643.05</v>
      </c>
      <c r="I738" s="3">
        <v>1648.56</v>
      </c>
      <c r="J738" s="3">
        <v>1880</v>
      </c>
      <c r="K738" s="3">
        <v>1363.55</v>
      </c>
      <c r="L738" s="5">
        <v>7011446</v>
      </c>
      <c r="M738" s="2">
        <v>11558819066.049999</v>
      </c>
      <c r="N738">
        <v>207907</v>
      </c>
      <c r="O738" t="s">
        <v>18</v>
      </c>
      <c r="P738" s="8">
        <f t="shared" si="33"/>
        <v>-9.9000000000000909</v>
      </c>
      <c r="Q738" t="s">
        <v>39</v>
      </c>
      <c r="R738">
        <f t="shared" si="34"/>
        <v>1</v>
      </c>
      <c r="S738" t="str">
        <f t="shared" si="35"/>
        <v>Jan</v>
      </c>
      <c r="T738" s="9">
        <f>VLOOKUP(O738, Annual_Summary!A:B, 2, 0)</f>
        <v>-0.4440050483803113</v>
      </c>
    </row>
    <row r="739" spans="1:20" x14ac:dyDescent="0.3">
      <c r="A739" s="1">
        <v>45671</v>
      </c>
      <c r="B739" s="3" t="s">
        <v>15</v>
      </c>
      <c r="C739" s="3">
        <v>1639.9</v>
      </c>
      <c r="D739" s="3">
        <v>1656.2</v>
      </c>
      <c r="E739" s="3">
        <v>1637</v>
      </c>
      <c r="F739" s="3">
        <v>1630.85</v>
      </c>
      <c r="G739" s="3">
        <v>1650.75</v>
      </c>
      <c r="H739" s="3">
        <v>1646.6</v>
      </c>
      <c r="I739" s="3">
        <v>1646.85</v>
      </c>
      <c r="J739" s="3">
        <v>1880</v>
      </c>
      <c r="K739" s="3">
        <v>1363.55</v>
      </c>
      <c r="L739" s="5">
        <v>13330716</v>
      </c>
      <c r="M739" s="2">
        <v>21953639202.099998</v>
      </c>
      <c r="N739">
        <v>315905</v>
      </c>
      <c r="O739" t="s">
        <v>18</v>
      </c>
      <c r="P739" s="8">
        <f t="shared" si="33"/>
        <v>-9.0500000000001819</v>
      </c>
      <c r="Q739" t="s">
        <v>39</v>
      </c>
      <c r="R739">
        <f t="shared" si="34"/>
        <v>1</v>
      </c>
      <c r="S739" t="str">
        <f t="shared" si="35"/>
        <v>Jan</v>
      </c>
      <c r="T739" s="9">
        <f>VLOOKUP(O739, Annual_Summary!A:B, 2, 0)</f>
        <v>-0.4440050483803113</v>
      </c>
    </row>
    <row r="740" spans="1:20" x14ac:dyDescent="0.3">
      <c r="A740" s="1">
        <v>45670</v>
      </c>
      <c r="B740" s="3" t="s">
        <v>15</v>
      </c>
      <c r="C740" s="3">
        <v>1640</v>
      </c>
      <c r="D740" s="3">
        <v>1646.75</v>
      </c>
      <c r="E740" s="3">
        <v>1624.3</v>
      </c>
      <c r="F740" s="3">
        <v>1656.75</v>
      </c>
      <c r="G740" s="3">
        <v>1632.1</v>
      </c>
      <c r="H740" s="3">
        <v>1630.85</v>
      </c>
      <c r="I740" s="3">
        <v>1634.5</v>
      </c>
      <c r="J740" s="3">
        <v>1880</v>
      </c>
      <c r="K740" s="3">
        <v>1363.55</v>
      </c>
      <c r="L740" s="5">
        <v>10834533</v>
      </c>
      <c r="M740" s="2">
        <v>17709048137.700001</v>
      </c>
      <c r="N740">
        <v>275849</v>
      </c>
      <c r="O740" t="s">
        <v>18</v>
      </c>
      <c r="P740" s="8">
        <f t="shared" si="33"/>
        <v>16.75</v>
      </c>
      <c r="Q740" t="s">
        <v>39</v>
      </c>
      <c r="R740">
        <f t="shared" si="34"/>
        <v>1</v>
      </c>
      <c r="S740" t="str">
        <f t="shared" si="35"/>
        <v>Jan</v>
      </c>
      <c r="T740" s="9">
        <f>VLOOKUP(O740, Annual_Summary!A:B, 2, 0)</f>
        <v>-0.4440050483803113</v>
      </c>
    </row>
    <row r="741" spans="1:20" x14ac:dyDescent="0.3">
      <c r="A741" s="1">
        <v>45667</v>
      </c>
      <c r="B741" s="3" t="s">
        <v>15</v>
      </c>
      <c r="C741" s="3">
        <v>1671</v>
      </c>
      <c r="D741" s="3">
        <v>1674.9</v>
      </c>
      <c r="E741" s="3">
        <v>1654</v>
      </c>
      <c r="F741" s="3">
        <v>1667.8</v>
      </c>
      <c r="G741" s="3">
        <v>1657</v>
      </c>
      <c r="H741" s="3">
        <v>1656.75</v>
      </c>
      <c r="I741" s="3">
        <v>1664.65</v>
      </c>
      <c r="J741" s="3">
        <v>1880</v>
      </c>
      <c r="K741" s="3">
        <v>1363.55</v>
      </c>
      <c r="L741" s="5">
        <v>8726640</v>
      </c>
      <c r="M741" s="2">
        <v>14526837756.799999</v>
      </c>
      <c r="N741">
        <v>215325</v>
      </c>
      <c r="O741" t="s">
        <v>18</v>
      </c>
      <c r="P741" s="8">
        <f t="shared" si="33"/>
        <v>-3.2000000000000455</v>
      </c>
      <c r="Q741" t="s">
        <v>39</v>
      </c>
      <c r="R741">
        <f t="shared" si="34"/>
        <v>1</v>
      </c>
      <c r="S741" t="str">
        <f t="shared" si="35"/>
        <v>Jan</v>
      </c>
      <c r="T741" s="9">
        <f>VLOOKUP(O741, Annual_Summary!A:B, 2, 0)</f>
        <v>-0.4440050483803113</v>
      </c>
    </row>
    <row r="742" spans="1:20" x14ac:dyDescent="0.3">
      <c r="A742" s="1">
        <v>45666</v>
      </c>
      <c r="B742" s="3" t="s">
        <v>15</v>
      </c>
      <c r="C742" s="3">
        <v>1684.15</v>
      </c>
      <c r="D742" s="3">
        <v>1689</v>
      </c>
      <c r="E742" s="3">
        <v>1658.1</v>
      </c>
      <c r="F742" s="3">
        <v>1694.3</v>
      </c>
      <c r="G742" s="3">
        <v>1668.8</v>
      </c>
      <c r="H742" s="3">
        <v>1667.8</v>
      </c>
      <c r="I742" s="3">
        <v>1668.1</v>
      </c>
      <c r="J742" s="3">
        <v>1880</v>
      </c>
      <c r="K742" s="3">
        <v>1363.55</v>
      </c>
      <c r="L742" s="5">
        <v>20210111</v>
      </c>
      <c r="M742" s="2">
        <v>33712559507.349998</v>
      </c>
      <c r="N742">
        <v>484900</v>
      </c>
      <c r="O742" t="s">
        <v>18</v>
      </c>
      <c r="P742" s="8">
        <f t="shared" si="33"/>
        <v>10.149999999999864</v>
      </c>
      <c r="Q742" t="s">
        <v>39</v>
      </c>
      <c r="R742">
        <f t="shared" si="34"/>
        <v>1</v>
      </c>
      <c r="S742" t="str">
        <f t="shared" si="35"/>
        <v>Jan</v>
      </c>
      <c r="T742" s="9">
        <f>VLOOKUP(O742, Annual_Summary!A:B, 2, 0)</f>
        <v>-0.4440050483803113</v>
      </c>
    </row>
    <row r="743" spans="1:20" x14ac:dyDescent="0.3">
      <c r="A743" s="1">
        <v>45665</v>
      </c>
      <c r="B743" s="3" t="s">
        <v>15</v>
      </c>
      <c r="C743" s="3">
        <v>1708.25</v>
      </c>
      <c r="D743" s="3">
        <v>1711.65</v>
      </c>
      <c r="E743" s="3">
        <v>1683.35</v>
      </c>
      <c r="F743" s="3">
        <v>1713.4</v>
      </c>
      <c r="G743" s="3">
        <v>1694.2</v>
      </c>
      <c r="H743" s="3">
        <v>1694.3</v>
      </c>
      <c r="I743" s="3">
        <v>1694.07</v>
      </c>
      <c r="J743" s="3">
        <v>1880</v>
      </c>
      <c r="K743" s="3">
        <v>1363.55</v>
      </c>
      <c r="L743" s="5">
        <v>9869095</v>
      </c>
      <c r="M743" s="2">
        <v>16718930725.700001</v>
      </c>
      <c r="N743">
        <v>333259</v>
      </c>
      <c r="O743" t="s">
        <v>18</v>
      </c>
      <c r="P743" s="8">
        <f t="shared" si="33"/>
        <v>5.1500000000000909</v>
      </c>
      <c r="Q743" t="s">
        <v>39</v>
      </c>
      <c r="R743">
        <f t="shared" si="34"/>
        <v>1</v>
      </c>
      <c r="S743" t="str">
        <f t="shared" si="35"/>
        <v>Jan</v>
      </c>
      <c r="T743" s="9">
        <f>VLOOKUP(O743, Annual_Summary!A:B, 2, 0)</f>
        <v>-0.4440050483803113</v>
      </c>
    </row>
    <row r="744" spans="1:20" x14ac:dyDescent="0.3">
      <c r="A744" s="1">
        <v>45664</v>
      </c>
      <c r="B744" s="3" t="s">
        <v>15</v>
      </c>
      <c r="C744" s="3">
        <v>1715</v>
      </c>
      <c r="D744" s="3">
        <v>1721</v>
      </c>
      <c r="E744" s="3">
        <v>1700</v>
      </c>
      <c r="F744" s="3">
        <v>1710.5</v>
      </c>
      <c r="G744" s="3">
        <v>1712.95</v>
      </c>
      <c r="H744" s="3">
        <v>1713.4</v>
      </c>
      <c r="I744" s="3">
        <v>1712.76</v>
      </c>
      <c r="J744" s="3">
        <v>1880</v>
      </c>
      <c r="K744" s="3">
        <v>1363.55</v>
      </c>
      <c r="L744" s="5">
        <v>6763953</v>
      </c>
      <c r="M744" s="2">
        <v>11585014112.5</v>
      </c>
      <c r="N744">
        <v>183035</v>
      </c>
      <c r="O744" t="s">
        <v>18</v>
      </c>
      <c r="P744" s="8">
        <f t="shared" si="33"/>
        <v>-4.5</v>
      </c>
      <c r="Q744" t="s">
        <v>39</v>
      </c>
      <c r="R744">
        <f t="shared" si="34"/>
        <v>1</v>
      </c>
      <c r="S744" t="str">
        <f t="shared" si="35"/>
        <v>Jan</v>
      </c>
      <c r="T744" s="9">
        <f>VLOOKUP(O744, Annual_Summary!A:B, 2, 0)</f>
        <v>-0.4440050483803113</v>
      </c>
    </row>
    <row r="745" spans="1:20" x14ac:dyDescent="0.3">
      <c r="A745" s="1">
        <v>45663</v>
      </c>
      <c r="B745" s="3" t="s">
        <v>15</v>
      </c>
      <c r="C745" s="3">
        <v>1740.1</v>
      </c>
      <c r="D745" s="3">
        <v>1757.2</v>
      </c>
      <c r="E745" s="3">
        <v>1705.8</v>
      </c>
      <c r="F745" s="3">
        <v>1749.2</v>
      </c>
      <c r="G745" s="3">
        <v>1711</v>
      </c>
      <c r="H745" s="3">
        <v>1710.5</v>
      </c>
      <c r="I745" s="3">
        <v>1725.21</v>
      </c>
      <c r="J745" s="3">
        <v>1880</v>
      </c>
      <c r="K745" s="3">
        <v>1363.55</v>
      </c>
      <c r="L745" s="5">
        <v>9408174</v>
      </c>
      <c r="M745" s="2">
        <v>16231088938.6</v>
      </c>
      <c r="N745">
        <v>286152</v>
      </c>
      <c r="O745" t="s">
        <v>18</v>
      </c>
      <c r="P745" s="8">
        <f t="shared" si="33"/>
        <v>9.1000000000001364</v>
      </c>
      <c r="Q745" t="s">
        <v>39</v>
      </c>
      <c r="R745">
        <f t="shared" si="34"/>
        <v>1</v>
      </c>
      <c r="S745" t="str">
        <f t="shared" si="35"/>
        <v>Jan</v>
      </c>
      <c r="T745" s="9">
        <f>VLOOKUP(O745, Annual_Summary!A:B, 2, 0)</f>
        <v>-0.4440050483803113</v>
      </c>
    </row>
    <row r="746" spans="1:20" x14ac:dyDescent="0.3">
      <c r="A746" s="1">
        <v>45660</v>
      </c>
      <c r="B746" s="3" t="s">
        <v>15</v>
      </c>
      <c r="C746" s="3">
        <v>1791</v>
      </c>
      <c r="D746" s="3">
        <v>1795.25</v>
      </c>
      <c r="E746" s="3">
        <v>1746.3</v>
      </c>
      <c r="F746" s="3">
        <v>1793.75</v>
      </c>
      <c r="G746" s="3">
        <v>1748.4</v>
      </c>
      <c r="H746" s="3">
        <v>1749.2</v>
      </c>
      <c r="I746" s="3">
        <v>1758.6</v>
      </c>
      <c r="J746" s="3">
        <v>1880</v>
      </c>
      <c r="K746" s="3">
        <v>1363.55</v>
      </c>
      <c r="L746" s="5">
        <v>12213097</v>
      </c>
      <c r="M746" s="2">
        <v>21477958569.150002</v>
      </c>
      <c r="N746">
        <v>331392</v>
      </c>
      <c r="O746" t="s">
        <v>18</v>
      </c>
      <c r="P746" s="8">
        <f t="shared" si="33"/>
        <v>2.75</v>
      </c>
      <c r="Q746" t="s">
        <v>39</v>
      </c>
      <c r="R746">
        <f t="shared" si="34"/>
        <v>1</v>
      </c>
      <c r="S746" t="str">
        <f t="shared" si="35"/>
        <v>Jan</v>
      </c>
      <c r="T746" s="9">
        <f>VLOOKUP(O746, Annual_Summary!A:B, 2, 0)</f>
        <v>-0.4440050483803113</v>
      </c>
    </row>
    <row r="747" spans="1:20" x14ac:dyDescent="0.3">
      <c r="A747" s="1">
        <v>45659</v>
      </c>
      <c r="B747" s="3" t="s">
        <v>15</v>
      </c>
      <c r="C747" s="3">
        <v>1777.1</v>
      </c>
      <c r="D747" s="3">
        <v>1803.45</v>
      </c>
      <c r="E747" s="3">
        <v>1773</v>
      </c>
      <c r="F747" s="3">
        <v>1782.75</v>
      </c>
      <c r="G747" s="3">
        <v>1792.35</v>
      </c>
      <c r="H747" s="3">
        <v>1793.75</v>
      </c>
      <c r="I747" s="3">
        <v>1792</v>
      </c>
      <c r="J747" s="3">
        <v>1880</v>
      </c>
      <c r="K747" s="3">
        <v>1363.55</v>
      </c>
      <c r="L747" s="5">
        <v>9279288</v>
      </c>
      <c r="M747" s="2">
        <v>16628452536.950001</v>
      </c>
      <c r="N747">
        <v>207825</v>
      </c>
      <c r="O747" t="s">
        <v>18</v>
      </c>
      <c r="P747" s="8">
        <f t="shared" si="33"/>
        <v>5.6500000000000909</v>
      </c>
      <c r="Q747" t="s">
        <v>39</v>
      </c>
      <c r="R747">
        <f t="shared" si="34"/>
        <v>1</v>
      </c>
      <c r="S747" t="str">
        <f t="shared" si="35"/>
        <v>Jan</v>
      </c>
      <c r="T747" s="9">
        <f>VLOOKUP(O747, Annual_Summary!A:B, 2, 0)</f>
        <v>-0.4440050483803113</v>
      </c>
    </row>
    <row r="748" spans="1:20" x14ac:dyDescent="0.3">
      <c r="A748" s="1">
        <v>45658</v>
      </c>
      <c r="B748" s="3" t="s">
        <v>15</v>
      </c>
      <c r="C748" s="3">
        <v>1773.45</v>
      </c>
      <c r="D748" s="3">
        <v>1794</v>
      </c>
      <c r="E748" s="3">
        <v>1761.1</v>
      </c>
      <c r="F748" s="3">
        <v>1772.85</v>
      </c>
      <c r="G748" s="3">
        <v>1784.95</v>
      </c>
      <c r="H748" s="3">
        <v>1782.75</v>
      </c>
      <c r="I748" s="3">
        <v>1781.22</v>
      </c>
      <c r="J748" s="3">
        <v>1880</v>
      </c>
      <c r="K748" s="3">
        <v>1363.55</v>
      </c>
      <c r="L748" s="5">
        <v>3656903</v>
      </c>
      <c r="M748" s="2">
        <v>6513766065.6999998</v>
      </c>
      <c r="N748">
        <v>137050</v>
      </c>
      <c r="O748" t="s">
        <v>18</v>
      </c>
      <c r="P748" s="8">
        <f t="shared" si="33"/>
        <v>-0.60000000000013642</v>
      </c>
      <c r="Q748" t="s">
        <v>39</v>
      </c>
      <c r="R748">
        <f t="shared" si="34"/>
        <v>1</v>
      </c>
      <c r="S748" t="str">
        <f t="shared" si="35"/>
        <v>Jan</v>
      </c>
      <c r="T748" s="9">
        <f>VLOOKUP(O748, Annual_Summary!A:B, 2, 0)</f>
        <v>-0.4440050483803113</v>
      </c>
    </row>
    <row r="749" spans="1:20" x14ac:dyDescent="0.3">
      <c r="A749" s="1">
        <v>46022</v>
      </c>
      <c r="B749" s="3" t="s">
        <v>15</v>
      </c>
      <c r="C749" s="3">
        <v>2290</v>
      </c>
      <c r="D749" s="3">
        <v>2325.5</v>
      </c>
      <c r="E749" s="3">
        <v>2286.8000000000002</v>
      </c>
      <c r="F749" s="3">
        <v>2290.1999999999998</v>
      </c>
      <c r="G749" s="3">
        <v>2317</v>
      </c>
      <c r="H749" s="3">
        <v>2315.9</v>
      </c>
      <c r="I749" s="3">
        <v>2314.36</v>
      </c>
      <c r="J749" s="3">
        <v>2422</v>
      </c>
      <c r="K749" s="3">
        <v>2244.6999999999998</v>
      </c>
      <c r="L749">
        <v>1324220</v>
      </c>
      <c r="M749" s="2">
        <v>3064723304.4000001</v>
      </c>
      <c r="N749">
        <v>52630</v>
      </c>
      <c r="O749" t="s">
        <v>19</v>
      </c>
      <c r="P749" s="8">
        <f t="shared" si="33"/>
        <v>0.1999999999998181</v>
      </c>
      <c r="Q749" t="s">
        <v>40</v>
      </c>
      <c r="R749">
        <f t="shared" si="34"/>
        <v>12</v>
      </c>
      <c r="S749" t="str">
        <f t="shared" si="35"/>
        <v>Dec</v>
      </c>
      <c r="T749" s="9">
        <f>VLOOKUP(O749, Annual_Summary!A:B, 2, 0)</f>
        <v>-2.6699969854871962E-3</v>
      </c>
    </row>
    <row r="750" spans="1:20" x14ac:dyDescent="0.3">
      <c r="A750" s="1">
        <v>46021</v>
      </c>
      <c r="B750" s="3" t="s">
        <v>15</v>
      </c>
      <c r="C750" s="3">
        <v>2293.3000000000002</v>
      </c>
      <c r="D750" s="3">
        <v>2298</v>
      </c>
      <c r="E750" s="3">
        <v>2283</v>
      </c>
      <c r="F750" s="3">
        <v>2293.3000000000002</v>
      </c>
      <c r="G750" s="3">
        <v>2290</v>
      </c>
      <c r="H750" s="3">
        <v>2290.1999999999998</v>
      </c>
      <c r="I750" s="3">
        <v>2290.4899999999998</v>
      </c>
      <c r="J750" s="3">
        <v>2422</v>
      </c>
      <c r="K750" s="3">
        <v>2244.6999999999998</v>
      </c>
      <c r="L750">
        <v>1556717</v>
      </c>
      <c r="M750" s="2">
        <v>3565647742.9000001</v>
      </c>
      <c r="N750">
        <v>71285</v>
      </c>
      <c r="O750" t="s">
        <v>19</v>
      </c>
      <c r="P750" s="8">
        <f t="shared" si="33"/>
        <v>0</v>
      </c>
      <c r="Q750" t="s">
        <v>40</v>
      </c>
      <c r="R750">
        <f t="shared" si="34"/>
        <v>12</v>
      </c>
      <c r="S750" t="str">
        <f t="shared" si="35"/>
        <v>Dec</v>
      </c>
      <c r="T750" s="9">
        <f>VLOOKUP(O750, Annual_Summary!A:B, 2, 0)</f>
        <v>-2.6699969854871962E-3</v>
      </c>
    </row>
    <row r="751" spans="1:20" x14ac:dyDescent="0.3">
      <c r="A751" s="1">
        <v>46020</v>
      </c>
      <c r="B751" s="3" t="s">
        <v>15</v>
      </c>
      <c r="C751" s="3">
        <v>2288.9</v>
      </c>
      <c r="D751" s="3">
        <v>2298.6999999999998</v>
      </c>
      <c r="E751" s="3">
        <v>2280</v>
      </c>
      <c r="F751" s="3">
        <v>2285.4</v>
      </c>
      <c r="G751" s="3">
        <v>2295.9</v>
      </c>
      <c r="H751" s="3">
        <v>2293.3000000000002</v>
      </c>
      <c r="I751" s="3">
        <v>2289.6999999999998</v>
      </c>
      <c r="J751" s="3">
        <v>2422</v>
      </c>
      <c r="K751" s="3">
        <v>2244.6999999999998</v>
      </c>
      <c r="L751">
        <v>1086695</v>
      </c>
      <c r="M751" s="2">
        <v>2488207876.8000002</v>
      </c>
      <c r="N751">
        <v>40468</v>
      </c>
      <c r="O751" t="s">
        <v>19</v>
      </c>
      <c r="P751" s="8">
        <f t="shared" si="33"/>
        <v>-3.5</v>
      </c>
      <c r="Q751" t="s">
        <v>40</v>
      </c>
      <c r="R751">
        <f t="shared" si="34"/>
        <v>12</v>
      </c>
      <c r="S751" t="str">
        <f t="shared" si="35"/>
        <v>Dec</v>
      </c>
      <c r="T751" s="9">
        <f>VLOOKUP(O751, Annual_Summary!A:B, 2, 0)</f>
        <v>-2.6699969854871962E-3</v>
      </c>
    </row>
    <row r="752" spans="1:20" x14ac:dyDescent="0.3">
      <c r="A752" s="1">
        <v>46017</v>
      </c>
      <c r="B752" s="3" t="s">
        <v>15</v>
      </c>
      <c r="C752" s="3">
        <v>2282.3000000000002</v>
      </c>
      <c r="D752" s="3">
        <v>2290</v>
      </c>
      <c r="E752" s="3">
        <v>2275</v>
      </c>
      <c r="F752" s="3">
        <v>2282.1999999999998</v>
      </c>
      <c r="G752" s="3">
        <v>2288</v>
      </c>
      <c r="H752" s="3">
        <v>2285.4</v>
      </c>
      <c r="I752" s="3">
        <v>2283.65</v>
      </c>
      <c r="J752" s="3">
        <v>2422</v>
      </c>
      <c r="K752" s="3">
        <v>2244.6999999999998</v>
      </c>
      <c r="L752">
        <v>533626</v>
      </c>
      <c r="M752" s="2">
        <v>1218616715.4000001</v>
      </c>
      <c r="N752">
        <v>33805</v>
      </c>
      <c r="O752" t="s">
        <v>19</v>
      </c>
      <c r="P752" s="8">
        <f t="shared" si="33"/>
        <v>-0.1000000000003638</v>
      </c>
      <c r="Q752" t="s">
        <v>40</v>
      </c>
      <c r="R752">
        <f t="shared" si="34"/>
        <v>12</v>
      </c>
      <c r="S752" t="str">
        <f t="shared" si="35"/>
        <v>Dec</v>
      </c>
      <c r="T752" s="9">
        <f>VLOOKUP(O752, Annual_Summary!A:B, 2, 0)</f>
        <v>-2.6699969854871962E-3</v>
      </c>
    </row>
    <row r="753" spans="1:20" x14ac:dyDescent="0.3">
      <c r="A753" s="1">
        <v>46015</v>
      </c>
      <c r="B753" s="3" t="s">
        <v>15</v>
      </c>
      <c r="C753" s="3">
        <v>2302.6</v>
      </c>
      <c r="D753" s="3">
        <v>2305</v>
      </c>
      <c r="E753" s="3">
        <v>2278.1</v>
      </c>
      <c r="F753" s="3">
        <v>2302.6</v>
      </c>
      <c r="G753" s="3">
        <v>2283</v>
      </c>
      <c r="H753" s="3">
        <v>2282.1999999999998</v>
      </c>
      <c r="I753" s="3">
        <v>2289.59</v>
      </c>
      <c r="J753" s="3">
        <v>2422</v>
      </c>
      <c r="K753" s="3">
        <v>2244.6999999999998</v>
      </c>
      <c r="L753">
        <v>519380</v>
      </c>
      <c r="M753" s="2">
        <v>1189168583</v>
      </c>
      <c r="N753">
        <v>38856</v>
      </c>
      <c r="O753" t="s">
        <v>19</v>
      </c>
      <c r="P753" s="8">
        <f t="shared" si="33"/>
        <v>0</v>
      </c>
      <c r="Q753" t="s">
        <v>40</v>
      </c>
      <c r="R753">
        <f t="shared" si="34"/>
        <v>12</v>
      </c>
      <c r="S753" t="str">
        <f t="shared" si="35"/>
        <v>Dec</v>
      </c>
      <c r="T753" s="9">
        <f>VLOOKUP(O753, Annual_Summary!A:B, 2, 0)</f>
        <v>-2.6699969854871962E-3</v>
      </c>
    </row>
    <row r="754" spans="1:20" x14ac:dyDescent="0.3">
      <c r="A754" s="1">
        <v>46014</v>
      </c>
      <c r="B754" s="3" t="s">
        <v>15</v>
      </c>
      <c r="C754" s="3">
        <v>2289.3000000000002</v>
      </c>
      <c r="D754" s="3">
        <v>2310</v>
      </c>
      <c r="E754" s="3">
        <v>2280.6999999999998</v>
      </c>
      <c r="F754" s="3">
        <v>2289.5</v>
      </c>
      <c r="G754" s="3">
        <v>2298.1</v>
      </c>
      <c r="H754" s="3">
        <v>2302.6</v>
      </c>
      <c r="I754" s="3">
        <v>2298.5500000000002</v>
      </c>
      <c r="J754" s="3">
        <v>2422</v>
      </c>
      <c r="K754" s="3">
        <v>2244.6999999999998</v>
      </c>
      <c r="L754">
        <v>1128801</v>
      </c>
      <c r="M754" s="2">
        <v>2594608686.0999999</v>
      </c>
      <c r="N754">
        <v>61566</v>
      </c>
      <c r="O754" t="s">
        <v>19</v>
      </c>
      <c r="P754" s="8">
        <f t="shared" si="33"/>
        <v>0.1999999999998181</v>
      </c>
      <c r="Q754" t="s">
        <v>40</v>
      </c>
      <c r="R754">
        <f t="shared" si="34"/>
        <v>12</v>
      </c>
      <c r="S754" t="str">
        <f t="shared" si="35"/>
        <v>Dec</v>
      </c>
      <c r="T754" s="9">
        <f>VLOOKUP(O754, Annual_Summary!A:B, 2, 0)</f>
        <v>-2.6699969854871962E-3</v>
      </c>
    </row>
    <row r="755" spans="1:20" x14ac:dyDescent="0.3">
      <c r="A755" s="1">
        <v>46013</v>
      </c>
      <c r="B755" s="3" t="s">
        <v>15</v>
      </c>
      <c r="C755" s="3">
        <v>2280</v>
      </c>
      <c r="D755" s="3">
        <v>2295</v>
      </c>
      <c r="E755" s="3">
        <v>2280</v>
      </c>
      <c r="F755" s="3">
        <v>2280</v>
      </c>
      <c r="G755" s="3">
        <v>2285.1999999999998</v>
      </c>
      <c r="H755" s="3">
        <v>2289.5</v>
      </c>
      <c r="I755" s="3">
        <v>2289.08</v>
      </c>
      <c r="J755" s="3">
        <v>2422</v>
      </c>
      <c r="K755" s="3">
        <v>2244.6999999999998</v>
      </c>
      <c r="L755">
        <v>790773</v>
      </c>
      <c r="M755" s="2">
        <v>1810139800.9000001</v>
      </c>
      <c r="N755">
        <v>56057</v>
      </c>
      <c r="O755" t="s">
        <v>19</v>
      </c>
      <c r="P755" s="8">
        <f t="shared" si="33"/>
        <v>0</v>
      </c>
      <c r="Q755" t="s">
        <v>40</v>
      </c>
      <c r="R755">
        <f t="shared" si="34"/>
        <v>12</v>
      </c>
      <c r="S755" t="str">
        <f t="shared" si="35"/>
        <v>Dec</v>
      </c>
      <c r="T755" s="9">
        <f>VLOOKUP(O755, Annual_Summary!A:B, 2, 0)</f>
        <v>-2.6699969854871962E-3</v>
      </c>
    </row>
    <row r="756" spans="1:20" x14ac:dyDescent="0.3">
      <c r="A756" s="1">
        <v>46010</v>
      </c>
      <c r="B756" s="3" t="s">
        <v>15</v>
      </c>
      <c r="C756" s="3">
        <v>2263.6999999999998</v>
      </c>
      <c r="D756" s="3">
        <v>2284.8000000000002</v>
      </c>
      <c r="E756" s="3">
        <v>2263.6999999999998</v>
      </c>
      <c r="F756" s="3">
        <v>2265.5</v>
      </c>
      <c r="G756" s="3">
        <v>2281</v>
      </c>
      <c r="H756" s="3">
        <v>2280</v>
      </c>
      <c r="I756" s="3">
        <v>2278.62</v>
      </c>
      <c r="J756" s="3">
        <v>2422</v>
      </c>
      <c r="K756" s="3">
        <v>2244.6999999999998</v>
      </c>
      <c r="L756">
        <v>1237214</v>
      </c>
      <c r="M756" s="2">
        <v>2819139655.5</v>
      </c>
      <c r="N756">
        <v>53549</v>
      </c>
      <c r="O756" t="s">
        <v>19</v>
      </c>
      <c r="P756" s="8">
        <f t="shared" si="33"/>
        <v>1.8000000000001819</v>
      </c>
      <c r="Q756" t="s">
        <v>40</v>
      </c>
      <c r="R756">
        <f t="shared" si="34"/>
        <v>12</v>
      </c>
      <c r="S756" t="str">
        <f t="shared" si="35"/>
        <v>Dec</v>
      </c>
      <c r="T756" s="9">
        <f>VLOOKUP(O756, Annual_Summary!A:B, 2, 0)</f>
        <v>-2.6699969854871962E-3</v>
      </c>
    </row>
    <row r="757" spans="1:20" x14ac:dyDescent="0.3">
      <c r="A757" s="1">
        <v>46009</v>
      </c>
      <c r="B757" s="3" t="s">
        <v>15</v>
      </c>
      <c r="C757" s="3">
        <v>2270</v>
      </c>
      <c r="D757" s="3">
        <v>2278.3000000000002</v>
      </c>
      <c r="E757" s="3">
        <v>2255.3000000000002</v>
      </c>
      <c r="F757" s="3">
        <v>2275.6</v>
      </c>
      <c r="G757" s="3">
        <v>2268.9</v>
      </c>
      <c r="H757" s="3">
        <v>2265.5</v>
      </c>
      <c r="I757" s="3">
        <v>2266.63</v>
      </c>
      <c r="J757" s="3">
        <v>2422</v>
      </c>
      <c r="K757" s="3">
        <v>2244.6999999999998</v>
      </c>
      <c r="L757">
        <v>1057295</v>
      </c>
      <c r="M757" s="2">
        <v>2396492508.1999998</v>
      </c>
      <c r="N757">
        <v>54095</v>
      </c>
      <c r="O757" t="s">
        <v>19</v>
      </c>
      <c r="P757" s="8">
        <f t="shared" si="33"/>
        <v>5.5999999999999091</v>
      </c>
      <c r="Q757" t="s">
        <v>40</v>
      </c>
      <c r="R757">
        <f t="shared" si="34"/>
        <v>12</v>
      </c>
      <c r="S757" t="str">
        <f t="shared" si="35"/>
        <v>Dec</v>
      </c>
      <c r="T757" s="9">
        <f>VLOOKUP(O757, Annual_Summary!A:B, 2, 0)</f>
        <v>-2.6699969854871962E-3</v>
      </c>
    </row>
    <row r="758" spans="1:20" x14ac:dyDescent="0.3">
      <c r="A758" s="1">
        <v>46008</v>
      </c>
      <c r="B758" s="3" t="s">
        <v>15</v>
      </c>
      <c r="C758" s="3">
        <v>2281.1999999999998</v>
      </c>
      <c r="D758" s="3">
        <v>2286.1999999999998</v>
      </c>
      <c r="E758" s="3">
        <v>2268.3000000000002</v>
      </c>
      <c r="F758" s="3">
        <v>2281.1</v>
      </c>
      <c r="G758" s="3">
        <v>2278</v>
      </c>
      <c r="H758" s="3">
        <v>2275.6</v>
      </c>
      <c r="I758" s="3">
        <v>2276.4299999999998</v>
      </c>
      <c r="J758" s="3">
        <v>2422</v>
      </c>
      <c r="K758" s="3">
        <v>2244.6999999999998</v>
      </c>
      <c r="L758">
        <v>808100</v>
      </c>
      <c r="M758" s="2">
        <v>1839586244.5999999</v>
      </c>
      <c r="N758">
        <v>63322</v>
      </c>
      <c r="O758" t="s">
        <v>19</v>
      </c>
      <c r="P758" s="8">
        <f t="shared" si="33"/>
        <v>-9.9999999999909051E-2</v>
      </c>
      <c r="Q758" t="s">
        <v>40</v>
      </c>
      <c r="R758">
        <f t="shared" si="34"/>
        <v>12</v>
      </c>
      <c r="S758" t="str">
        <f t="shared" si="35"/>
        <v>Dec</v>
      </c>
      <c r="T758" s="9">
        <f>VLOOKUP(O758, Annual_Summary!A:B, 2, 0)</f>
        <v>-2.6699969854871962E-3</v>
      </c>
    </row>
    <row r="759" spans="1:20" x14ac:dyDescent="0.3">
      <c r="A759" s="1">
        <v>46007</v>
      </c>
      <c r="B759" s="3" t="s">
        <v>15</v>
      </c>
      <c r="C759" s="3">
        <v>2293.4</v>
      </c>
      <c r="D759" s="3">
        <v>2302.6999999999998</v>
      </c>
      <c r="E759" s="3">
        <v>2276</v>
      </c>
      <c r="F759" s="3">
        <v>2293.5</v>
      </c>
      <c r="G759" s="3">
        <v>2279.9</v>
      </c>
      <c r="H759" s="3">
        <v>2281.1</v>
      </c>
      <c r="I759" s="3">
        <v>2290.1799999999998</v>
      </c>
      <c r="J759" s="3">
        <v>2422</v>
      </c>
      <c r="K759" s="3">
        <v>2244.6999999999998</v>
      </c>
      <c r="L759">
        <v>1256042</v>
      </c>
      <c r="M759" s="2">
        <v>2876563734.6999998</v>
      </c>
      <c r="N759">
        <v>82714</v>
      </c>
      <c r="O759" t="s">
        <v>19</v>
      </c>
      <c r="P759" s="8">
        <f t="shared" si="33"/>
        <v>9.9999999999909051E-2</v>
      </c>
      <c r="Q759" t="s">
        <v>40</v>
      </c>
      <c r="R759">
        <f t="shared" si="34"/>
        <v>12</v>
      </c>
      <c r="S759" t="str">
        <f t="shared" si="35"/>
        <v>Dec</v>
      </c>
      <c r="T759" s="9">
        <f>VLOOKUP(O759, Annual_Summary!A:B, 2, 0)</f>
        <v>-2.6699969854871962E-3</v>
      </c>
    </row>
    <row r="760" spans="1:20" x14ac:dyDescent="0.3">
      <c r="A760" s="1">
        <v>46006</v>
      </c>
      <c r="B760" s="3" t="s">
        <v>15</v>
      </c>
      <c r="C760" s="3">
        <v>2260.6</v>
      </c>
      <c r="D760" s="3">
        <v>2299</v>
      </c>
      <c r="E760" s="3">
        <v>2252</v>
      </c>
      <c r="F760" s="3">
        <v>2260.6</v>
      </c>
      <c r="G760" s="3">
        <v>2288</v>
      </c>
      <c r="H760" s="3">
        <v>2293.5</v>
      </c>
      <c r="I760" s="3">
        <v>2284.7800000000002</v>
      </c>
      <c r="J760" s="3">
        <v>2422</v>
      </c>
      <c r="K760" s="3">
        <v>2244.6999999999998</v>
      </c>
      <c r="L760">
        <v>1274115</v>
      </c>
      <c r="M760" s="2">
        <v>2911075995.9000001</v>
      </c>
      <c r="N760">
        <v>89211</v>
      </c>
      <c r="O760" t="s">
        <v>19</v>
      </c>
      <c r="P760" s="8">
        <f t="shared" si="33"/>
        <v>0</v>
      </c>
      <c r="Q760" t="s">
        <v>40</v>
      </c>
      <c r="R760">
        <f t="shared" si="34"/>
        <v>12</v>
      </c>
      <c r="S760" t="str">
        <f t="shared" si="35"/>
        <v>Dec</v>
      </c>
      <c r="T760" s="9">
        <f>VLOOKUP(O760, Annual_Summary!A:B, 2, 0)</f>
        <v>-2.6699969854871962E-3</v>
      </c>
    </row>
    <row r="761" spans="1:20" x14ac:dyDescent="0.3">
      <c r="A761" s="1">
        <v>46003</v>
      </c>
      <c r="B761" s="3" t="s">
        <v>15</v>
      </c>
      <c r="C761" s="3">
        <v>2306.9</v>
      </c>
      <c r="D761" s="3">
        <v>2309</v>
      </c>
      <c r="E761" s="3">
        <v>2244.6999999999998</v>
      </c>
      <c r="F761" s="3">
        <v>2305.6</v>
      </c>
      <c r="G761" s="3">
        <v>2264</v>
      </c>
      <c r="H761" s="3">
        <v>2260.6</v>
      </c>
      <c r="I761" s="3">
        <v>2262.88</v>
      </c>
      <c r="J761" s="3">
        <v>2422</v>
      </c>
      <c r="K761" s="3">
        <v>2244.6999999999998</v>
      </c>
      <c r="L761">
        <v>3203114</v>
      </c>
      <c r="M761" s="2">
        <v>7248276437.1000004</v>
      </c>
      <c r="N761">
        <v>144063</v>
      </c>
      <c r="O761" t="s">
        <v>19</v>
      </c>
      <c r="P761" s="8">
        <f t="shared" si="33"/>
        <v>-1.3000000000001819</v>
      </c>
      <c r="Q761" t="s">
        <v>40</v>
      </c>
      <c r="R761">
        <f t="shared" si="34"/>
        <v>12</v>
      </c>
      <c r="S761" t="str">
        <f t="shared" si="35"/>
        <v>Dec</v>
      </c>
      <c r="T761" s="9">
        <f>VLOOKUP(O761, Annual_Summary!A:B, 2, 0)</f>
        <v>-2.6699969854871962E-3</v>
      </c>
    </row>
    <row r="762" spans="1:20" x14ac:dyDescent="0.3">
      <c r="A762" s="1">
        <v>46002</v>
      </c>
      <c r="B762" s="3" t="s">
        <v>15</v>
      </c>
      <c r="C762" s="3">
        <v>2296.3000000000002</v>
      </c>
      <c r="D762" s="3">
        <v>2313</v>
      </c>
      <c r="E762" s="3">
        <v>2292</v>
      </c>
      <c r="F762" s="3">
        <v>2301.6999999999998</v>
      </c>
      <c r="G762" s="3">
        <v>2309</v>
      </c>
      <c r="H762" s="3">
        <v>2305.6</v>
      </c>
      <c r="I762" s="3">
        <v>2303.36</v>
      </c>
      <c r="J762" s="3">
        <v>2422</v>
      </c>
      <c r="K762" s="3">
        <v>2286.6999999999998</v>
      </c>
      <c r="L762">
        <v>1108032</v>
      </c>
      <c r="M762" s="2">
        <v>2552192072.0999999</v>
      </c>
      <c r="N762">
        <v>77354</v>
      </c>
      <c r="O762" t="s">
        <v>19</v>
      </c>
      <c r="P762" s="8">
        <f t="shared" si="33"/>
        <v>5.3999999999996362</v>
      </c>
      <c r="Q762" t="s">
        <v>40</v>
      </c>
      <c r="R762">
        <f t="shared" si="34"/>
        <v>12</v>
      </c>
      <c r="S762" t="str">
        <f t="shared" si="35"/>
        <v>Dec</v>
      </c>
      <c r="T762" s="9">
        <f>VLOOKUP(O762, Annual_Summary!A:B, 2, 0)</f>
        <v>-2.6699969854871962E-3</v>
      </c>
    </row>
    <row r="763" spans="1:20" x14ac:dyDescent="0.3">
      <c r="A763" s="1">
        <v>46001</v>
      </c>
      <c r="B763" s="3" t="s">
        <v>15</v>
      </c>
      <c r="C763" s="3">
        <v>2306.5</v>
      </c>
      <c r="D763" s="3">
        <v>2316.9</v>
      </c>
      <c r="E763" s="3">
        <v>2295</v>
      </c>
      <c r="F763" s="3">
        <v>2306.5</v>
      </c>
      <c r="G763" s="3">
        <v>2301</v>
      </c>
      <c r="H763" s="3">
        <v>2301.6999999999998</v>
      </c>
      <c r="I763" s="3">
        <v>2302.04</v>
      </c>
      <c r="J763" s="3">
        <v>2422</v>
      </c>
      <c r="K763" s="3">
        <v>2286.6999999999998</v>
      </c>
      <c r="L763">
        <v>2857290</v>
      </c>
      <c r="M763" s="2">
        <v>6577609007.8999996</v>
      </c>
      <c r="N763">
        <v>98617</v>
      </c>
      <c r="O763" t="s">
        <v>19</v>
      </c>
      <c r="P763" s="8">
        <f t="shared" si="33"/>
        <v>0</v>
      </c>
      <c r="Q763" t="s">
        <v>40</v>
      </c>
      <c r="R763">
        <f t="shared" si="34"/>
        <v>12</v>
      </c>
      <c r="S763" t="str">
        <f t="shared" si="35"/>
        <v>Dec</v>
      </c>
      <c r="T763" s="9">
        <f>VLOOKUP(O763, Annual_Summary!A:B, 2, 0)</f>
        <v>-2.6699969854871962E-3</v>
      </c>
    </row>
    <row r="764" spans="1:20" x14ac:dyDescent="0.3">
      <c r="A764" s="1">
        <v>46000</v>
      </c>
      <c r="B764" s="3" t="s">
        <v>15</v>
      </c>
      <c r="C764" s="3">
        <v>2318</v>
      </c>
      <c r="D764" s="3">
        <v>2330.4</v>
      </c>
      <c r="E764" s="3">
        <v>2298.1</v>
      </c>
      <c r="F764" s="3">
        <v>2314</v>
      </c>
      <c r="G764" s="3">
        <v>2305</v>
      </c>
      <c r="H764" s="3">
        <v>2306.5</v>
      </c>
      <c r="I764" s="3">
        <v>2311.4899999999998</v>
      </c>
      <c r="J764" s="3">
        <v>2422</v>
      </c>
      <c r="K764" s="3">
        <v>2286.6999999999998</v>
      </c>
      <c r="L764">
        <v>1471488</v>
      </c>
      <c r="M764" s="2">
        <v>3401324931.8000002</v>
      </c>
      <c r="N764">
        <v>70079</v>
      </c>
      <c r="O764" t="s">
        <v>19</v>
      </c>
      <c r="P764" s="8">
        <f t="shared" si="33"/>
        <v>-4</v>
      </c>
      <c r="Q764" t="s">
        <v>40</v>
      </c>
      <c r="R764">
        <f t="shared" si="34"/>
        <v>12</v>
      </c>
      <c r="S764" t="str">
        <f t="shared" si="35"/>
        <v>Dec</v>
      </c>
      <c r="T764" s="9">
        <f>VLOOKUP(O764, Annual_Summary!A:B, 2, 0)</f>
        <v>-2.6699969854871962E-3</v>
      </c>
    </row>
    <row r="765" spans="1:20" x14ac:dyDescent="0.3">
      <c r="A765" s="1">
        <v>45999</v>
      </c>
      <c r="B765" s="3" t="s">
        <v>15</v>
      </c>
      <c r="C765" s="3">
        <v>2350.1</v>
      </c>
      <c r="D765" s="3">
        <v>2355.1</v>
      </c>
      <c r="E765" s="3">
        <v>2302</v>
      </c>
      <c r="F765" s="3">
        <v>2338.6</v>
      </c>
      <c r="G765" s="3">
        <v>2318</v>
      </c>
      <c r="H765" s="3">
        <v>2314</v>
      </c>
      <c r="I765" s="3">
        <v>2322.65</v>
      </c>
      <c r="J765" s="3">
        <v>2422</v>
      </c>
      <c r="K765" s="3">
        <v>2286.6999999999998</v>
      </c>
      <c r="L765">
        <v>1898154</v>
      </c>
      <c r="M765" s="2">
        <v>4408740243.1999998</v>
      </c>
      <c r="N765">
        <v>72452</v>
      </c>
      <c r="O765" t="s">
        <v>19</v>
      </c>
      <c r="P765" s="8">
        <f t="shared" si="33"/>
        <v>-11.5</v>
      </c>
      <c r="Q765" t="s">
        <v>40</v>
      </c>
      <c r="R765">
        <f t="shared" si="34"/>
        <v>12</v>
      </c>
      <c r="S765" t="str">
        <f t="shared" si="35"/>
        <v>Dec</v>
      </c>
      <c r="T765" s="9">
        <f>VLOOKUP(O765, Annual_Summary!A:B, 2, 0)</f>
        <v>-2.6699969854871962E-3</v>
      </c>
    </row>
    <row r="766" spans="1:20" x14ac:dyDescent="0.3">
      <c r="A766" s="1">
        <v>45996</v>
      </c>
      <c r="B766" s="3" t="s">
        <v>15</v>
      </c>
      <c r="C766" s="3">
        <v>2422</v>
      </c>
      <c r="D766" s="3">
        <v>2422</v>
      </c>
      <c r="E766" s="3">
        <v>2286.6999999999998</v>
      </c>
      <c r="F766" s="3">
        <v>2462.1999999999998</v>
      </c>
      <c r="G766" s="3">
        <v>2341</v>
      </c>
      <c r="H766" s="3">
        <v>2338.6</v>
      </c>
      <c r="I766" s="3">
        <v>2346.41</v>
      </c>
      <c r="J766" s="3">
        <v>2422</v>
      </c>
      <c r="K766" s="3">
        <v>2286.6999999999998</v>
      </c>
      <c r="L766">
        <v>4008271</v>
      </c>
      <c r="M766" s="2">
        <v>9405032414.7000008</v>
      </c>
      <c r="N766">
        <v>135326</v>
      </c>
      <c r="O766" t="s">
        <v>19</v>
      </c>
      <c r="P766" s="8">
        <f t="shared" si="33"/>
        <v>40.199999999999818</v>
      </c>
      <c r="Q766" t="s">
        <v>40</v>
      </c>
      <c r="R766">
        <f t="shared" si="34"/>
        <v>12</v>
      </c>
      <c r="S766" t="str">
        <f t="shared" si="35"/>
        <v>Dec</v>
      </c>
      <c r="T766" s="9">
        <f>VLOOKUP(O766, Annual_Summary!A:B, 2, 0)</f>
        <v>-2.6699969854871962E-3</v>
      </c>
    </row>
    <row r="767" spans="1:20" x14ac:dyDescent="0.3">
      <c r="A767" s="1">
        <v>45995</v>
      </c>
      <c r="B767" s="3" t="s">
        <v>15</v>
      </c>
      <c r="C767" s="3">
        <v>2440</v>
      </c>
      <c r="D767" s="3">
        <v>2483</v>
      </c>
      <c r="E767" s="3">
        <v>2423.1999999999998</v>
      </c>
      <c r="F767" s="3">
        <v>2448</v>
      </c>
      <c r="G767" s="3">
        <v>2464.1</v>
      </c>
      <c r="H767" s="3">
        <v>2462.1999999999998</v>
      </c>
      <c r="I767" s="3">
        <v>2461.5300000000002</v>
      </c>
      <c r="J767" s="3">
        <v>2750</v>
      </c>
      <c r="K767" s="3">
        <v>2136</v>
      </c>
      <c r="L767">
        <v>2587753</v>
      </c>
      <c r="M767" s="2">
        <v>6369837735.1999998</v>
      </c>
      <c r="N767">
        <v>116175</v>
      </c>
      <c r="O767" t="s">
        <v>19</v>
      </c>
      <c r="P767" s="8">
        <f t="shared" si="33"/>
        <v>8</v>
      </c>
      <c r="Q767" t="s">
        <v>40</v>
      </c>
      <c r="R767">
        <f t="shared" si="34"/>
        <v>12</v>
      </c>
      <c r="S767" t="str">
        <f t="shared" si="35"/>
        <v>Dec</v>
      </c>
      <c r="T767" s="9">
        <f>VLOOKUP(O767, Annual_Summary!A:B, 2, 0)</f>
        <v>-2.6699969854871962E-3</v>
      </c>
    </row>
    <row r="768" spans="1:20" x14ac:dyDescent="0.3">
      <c r="A768" s="1">
        <v>45994</v>
      </c>
      <c r="B768" s="3" t="s">
        <v>15</v>
      </c>
      <c r="C768" s="3">
        <v>2478.1999999999998</v>
      </c>
      <c r="D768" s="3">
        <v>2484.9</v>
      </c>
      <c r="E768" s="3">
        <v>2403.1</v>
      </c>
      <c r="F768" s="3">
        <v>2477.8000000000002</v>
      </c>
      <c r="G768" s="3">
        <v>2441.5</v>
      </c>
      <c r="H768" s="3">
        <v>2448</v>
      </c>
      <c r="I768" s="3">
        <v>2454.52</v>
      </c>
      <c r="J768" s="3">
        <v>2750</v>
      </c>
      <c r="K768" s="3">
        <v>2136</v>
      </c>
      <c r="L768">
        <v>3535932</v>
      </c>
      <c r="M768" s="2">
        <v>8678999288.2999992</v>
      </c>
      <c r="N768">
        <v>131931</v>
      </c>
      <c r="O768" t="s">
        <v>19</v>
      </c>
      <c r="P768" s="8">
        <f t="shared" si="33"/>
        <v>-0.3999999999996362</v>
      </c>
      <c r="Q768" t="s">
        <v>40</v>
      </c>
      <c r="R768">
        <f t="shared" si="34"/>
        <v>12</v>
      </c>
      <c r="S768" t="str">
        <f t="shared" si="35"/>
        <v>Dec</v>
      </c>
      <c r="T768" s="9">
        <f>VLOOKUP(O768, Annual_Summary!A:B, 2, 0)</f>
        <v>-2.6699969854871962E-3</v>
      </c>
    </row>
    <row r="769" spans="1:20" x14ac:dyDescent="0.3">
      <c r="A769" s="1">
        <v>45993</v>
      </c>
      <c r="B769" s="3" t="s">
        <v>15</v>
      </c>
      <c r="C769" s="3">
        <v>2471</v>
      </c>
      <c r="D769" s="3">
        <v>2484.4</v>
      </c>
      <c r="E769" s="3">
        <v>2460</v>
      </c>
      <c r="F769" s="3">
        <v>2464.5</v>
      </c>
      <c r="G769" s="3">
        <v>2475</v>
      </c>
      <c r="H769" s="3">
        <v>2477.8000000000002</v>
      </c>
      <c r="I769" s="3">
        <v>2474.16</v>
      </c>
      <c r="J769" s="3">
        <v>2750</v>
      </c>
      <c r="K769" s="3">
        <v>2136</v>
      </c>
      <c r="L769">
        <v>2179406</v>
      </c>
      <c r="M769" s="2">
        <v>5392202360.8000002</v>
      </c>
      <c r="N769">
        <v>95719</v>
      </c>
      <c r="O769" t="s">
        <v>19</v>
      </c>
      <c r="P769" s="8">
        <f t="shared" si="33"/>
        <v>-6.5</v>
      </c>
      <c r="Q769" t="s">
        <v>40</v>
      </c>
      <c r="R769">
        <f t="shared" si="34"/>
        <v>12</v>
      </c>
      <c r="S769" t="str">
        <f t="shared" si="35"/>
        <v>Dec</v>
      </c>
      <c r="T769" s="9">
        <f>VLOOKUP(O769, Annual_Summary!A:B, 2, 0)</f>
        <v>-2.6699969854871962E-3</v>
      </c>
    </row>
    <row r="770" spans="1:20" x14ac:dyDescent="0.3">
      <c r="A770" s="1">
        <v>45992</v>
      </c>
      <c r="B770" s="3" t="s">
        <v>15</v>
      </c>
      <c r="C770" s="3">
        <v>2466.6</v>
      </c>
      <c r="D770" s="3">
        <v>2488</v>
      </c>
      <c r="E770" s="3">
        <v>2458.8000000000002</v>
      </c>
      <c r="F770" s="3">
        <v>2466.6</v>
      </c>
      <c r="G770" s="3">
        <v>2458.9</v>
      </c>
      <c r="H770" s="3">
        <v>2464.5</v>
      </c>
      <c r="I770" s="3">
        <v>2474.65</v>
      </c>
      <c r="J770" s="3">
        <v>2750</v>
      </c>
      <c r="K770" s="3">
        <v>2136</v>
      </c>
      <c r="L770">
        <v>1924828</v>
      </c>
      <c r="M770" s="2">
        <v>4763281452.3999996</v>
      </c>
      <c r="N770">
        <v>66030</v>
      </c>
      <c r="O770" t="s">
        <v>19</v>
      </c>
      <c r="P770" s="8">
        <f t="shared" si="33"/>
        <v>0</v>
      </c>
      <c r="Q770" t="s">
        <v>40</v>
      </c>
      <c r="R770">
        <f t="shared" si="34"/>
        <v>12</v>
      </c>
      <c r="S770" t="str">
        <f t="shared" si="35"/>
        <v>Dec</v>
      </c>
      <c r="T770" s="9">
        <f>VLOOKUP(O770, Annual_Summary!A:B, 2, 0)</f>
        <v>-2.6699969854871962E-3</v>
      </c>
    </row>
    <row r="771" spans="1:20" x14ac:dyDescent="0.3">
      <c r="A771" s="1">
        <v>45989</v>
      </c>
      <c r="B771" s="3" t="s">
        <v>15</v>
      </c>
      <c r="C771" s="3">
        <v>2450</v>
      </c>
      <c r="D771" s="3">
        <v>2470</v>
      </c>
      <c r="E771" s="3">
        <v>2447.1999999999998</v>
      </c>
      <c r="F771" s="3">
        <v>2451.6999999999998</v>
      </c>
      <c r="G771" s="3">
        <v>2468</v>
      </c>
      <c r="H771" s="3">
        <v>2466.6</v>
      </c>
      <c r="I771" s="3">
        <v>2463.35</v>
      </c>
      <c r="J771" s="3">
        <v>2750</v>
      </c>
      <c r="K771" s="3">
        <v>2136</v>
      </c>
      <c r="L771">
        <v>973225</v>
      </c>
      <c r="M771" s="2">
        <v>2397389736.8000002</v>
      </c>
      <c r="N771">
        <v>51567</v>
      </c>
      <c r="O771" t="s">
        <v>19</v>
      </c>
      <c r="P771" s="8">
        <f t="shared" ref="P771:P834" si="36">F771-C771</f>
        <v>1.6999999999998181</v>
      </c>
      <c r="Q771" t="s">
        <v>40</v>
      </c>
      <c r="R771">
        <f t="shared" ref="R771:R834" si="37">MONTH(A771)</f>
        <v>11</v>
      </c>
      <c r="S771" t="str">
        <f t="shared" ref="S771:S834" si="38">TEXT(A771,"mmm")</f>
        <v>Nov</v>
      </c>
      <c r="T771" s="9">
        <f>VLOOKUP(O771, Annual_Summary!A:B, 2, 0)</f>
        <v>-2.6699969854871962E-3</v>
      </c>
    </row>
    <row r="772" spans="1:20" x14ac:dyDescent="0.3">
      <c r="A772" s="1">
        <v>45988</v>
      </c>
      <c r="B772" s="3" t="s">
        <v>15</v>
      </c>
      <c r="C772" s="3">
        <v>2426.1</v>
      </c>
      <c r="D772" s="3">
        <v>2459.6999999999998</v>
      </c>
      <c r="E772" s="3">
        <v>2425</v>
      </c>
      <c r="F772" s="3">
        <v>2425.1999999999998</v>
      </c>
      <c r="G772" s="3">
        <v>2455</v>
      </c>
      <c r="H772" s="3">
        <v>2451.6999999999998</v>
      </c>
      <c r="I772" s="3">
        <v>2449.98</v>
      </c>
      <c r="J772" s="3">
        <v>2750</v>
      </c>
      <c r="K772" s="3">
        <v>2136</v>
      </c>
      <c r="L772">
        <v>1872248</v>
      </c>
      <c r="M772" s="2">
        <v>4586979275</v>
      </c>
      <c r="N772">
        <v>87101</v>
      </c>
      <c r="O772" t="s">
        <v>19</v>
      </c>
      <c r="P772" s="8">
        <f t="shared" si="36"/>
        <v>-0.90000000000009095</v>
      </c>
      <c r="Q772" t="s">
        <v>40</v>
      </c>
      <c r="R772">
        <f t="shared" si="37"/>
        <v>11</v>
      </c>
      <c r="S772" t="str">
        <f t="shared" si="38"/>
        <v>Nov</v>
      </c>
      <c r="T772" s="9">
        <f>VLOOKUP(O772, Annual_Summary!A:B, 2, 0)</f>
        <v>-2.6699969854871962E-3</v>
      </c>
    </row>
    <row r="773" spans="1:20" x14ac:dyDescent="0.3">
      <c r="A773" s="1">
        <v>45987</v>
      </c>
      <c r="B773" s="3" t="s">
        <v>15</v>
      </c>
      <c r="C773" s="3">
        <v>2412</v>
      </c>
      <c r="D773" s="3">
        <v>2427.6999999999998</v>
      </c>
      <c r="E773" s="3">
        <v>2409</v>
      </c>
      <c r="F773" s="3">
        <v>2414.1</v>
      </c>
      <c r="G773" s="3">
        <v>2426.1</v>
      </c>
      <c r="H773" s="3">
        <v>2425.1999999999998</v>
      </c>
      <c r="I773" s="3">
        <v>2422.02</v>
      </c>
      <c r="J773" s="3">
        <v>2750</v>
      </c>
      <c r="K773" s="3">
        <v>2136</v>
      </c>
      <c r="L773">
        <v>1242683</v>
      </c>
      <c r="M773" s="2">
        <v>3009806109.4000001</v>
      </c>
      <c r="N773">
        <v>80197</v>
      </c>
      <c r="O773" t="s">
        <v>19</v>
      </c>
      <c r="P773" s="8">
        <f t="shared" si="36"/>
        <v>2.0999999999999091</v>
      </c>
      <c r="Q773" t="s">
        <v>40</v>
      </c>
      <c r="R773">
        <f t="shared" si="37"/>
        <v>11</v>
      </c>
      <c r="S773" t="str">
        <f t="shared" si="38"/>
        <v>Nov</v>
      </c>
      <c r="T773" s="9">
        <f>VLOOKUP(O773, Annual_Summary!A:B, 2, 0)</f>
        <v>-2.6699969854871962E-3</v>
      </c>
    </row>
    <row r="774" spans="1:20" x14ac:dyDescent="0.3">
      <c r="A774" s="1">
        <v>45986</v>
      </c>
      <c r="B774" s="3" t="s">
        <v>15</v>
      </c>
      <c r="C774" s="3">
        <v>2422</v>
      </c>
      <c r="D774" s="3">
        <v>2424.1999999999998</v>
      </c>
      <c r="E774" s="3">
        <v>2406</v>
      </c>
      <c r="F774" s="3">
        <v>2424.1999999999998</v>
      </c>
      <c r="G774" s="3">
        <v>2411</v>
      </c>
      <c r="H774" s="3">
        <v>2414.1</v>
      </c>
      <c r="I774" s="3">
        <v>2416.92</v>
      </c>
      <c r="J774" s="3">
        <v>2750</v>
      </c>
      <c r="K774" s="3">
        <v>2136</v>
      </c>
      <c r="L774">
        <v>1240672</v>
      </c>
      <c r="M774" s="2">
        <v>2998602832.5999999</v>
      </c>
      <c r="N774">
        <v>86768</v>
      </c>
      <c r="O774" t="s">
        <v>19</v>
      </c>
      <c r="P774" s="8">
        <f t="shared" si="36"/>
        <v>2.1999999999998181</v>
      </c>
      <c r="Q774" t="s">
        <v>40</v>
      </c>
      <c r="R774">
        <f t="shared" si="37"/>
        <v>11</v>
      </c>
      <c r="S774" t="str">
        <f t="shared" si="38"/>
        <v>Nov</v>
      </c>
      <c r="T774" s="9">
        <f>VLOOKUP(O774, Annual_Summary!A:B, 2, 0)</f>
        <v>-2.6699969854871962E-3</v>
      </c>
    </row>
    <row r="775" spans="1:20" x14ac:dyDescent="0.3">
      <c r="A775" s="1">
        <v>45985</v>
      </c>
      <c r="B775" s="3" t="s">
        <v>15</v>
      </c>
      <c r="C775" s="3">
        <v>2441.9</v>
      </c>
      <c r="D775" s="3">
        <v>2444.9</v>
      </c>
      <c r="E775" s="3">
        <v>2413</v>
      </c>
      <c r="F775" s="3">
        <v>2433.6999999999998</v>
      </c>
      <c r="G775" s="3">
        <v>2420.9</v>
      </c>
      <c r="H775" s="3">
        <v>2424.1999999999998</v>
      </c>
      <c r="I775" s="3">
        <v>2426.19</v>
      </c>
      <c r="J775" s="3">
        <v>2750</v>
      </c>
      <c r="K775" s="3">
        <v>2136</v>
      </c>
      <c r="L775">
        <v>4092327</v>
      </c>
      <c r="M775" s="2">
        <v>9928751679.8999996</v>
      </c>
      <c r="N775">
        <v>80146</v>
      </c>
      <c r="O775" t="s">
        <v>19</v>
      </c>
      <c r="P775" s="8">
        <f t="shared" si="36"/>
        <v>-8.2000000000002728</v>
      </c>
      <c r="Q775" t="s">
        <v>40</v>
      </c>
      <c r="R775">
        <f t="shared" si="37"/>
        <v>11</v>
      </c>
      <c r="S775" t="str">
        <f t="shared" si="38"/>
        <v>Nov</v>
      </c>
      <c r="T775" s="9">
        <f>VLOOKUP(O775, Annual_Summary!A:B, 2, 0)</f>
        <v>-2.6699969854871962E-3</v>
      </c>
    </row>
    <row r="776" spans="1:20" x14ac:dyDescent="0.3">
      <c r="A776" s="1">
        <v>45982</v>
      </c>
      <c r="B776" s="3" t="s">
        <v>15</v>
      </c>
      <c r="C776" s="3">
        <v>2436.1999999999998</v>
      </c>
      <c r="D776" s="3">
        <v>2443.1999999999998</v>
      </c>
      <c r="E776" s="3">
        <v>2413</v>
      </c>
      <c r="F776" s="3">
        <v>2428.4</v>
      </c>
      <c r="G776" s="3">
        <v>2440</v>
      </c>
      <c r="H776" s="3">
        <v>2433.6999999999998</v>
      </c>
      <c r="I776" s="3">
        <v>2427.38</v>
      </c>
      <c r="J776" s="3">
        <v>2750</v>
      </c>
      <c r="K776" s="3">
        <v>2136</v>
      </c>
      <c r="L776">
        <v>1840712</v>
      </c>
      <c r="M776" s="2">
        <v>4468105625.1999998</v>
      </c>
      <c r="N776">
        <v>70142</v>
      </c>
      <c r="O776" t="s">
        <v>19</v>
      </c>
      <c r="P776" s="8">
        <f t="shared" si="36"/>
        <v>-7.7999999999997272</v>
      </c>
      <c r="Q776" t="s">
        <v>40</v>
      </c>
      <c r="R776">
        <f t="shared" si="37"/>
        <v>11</v>
      </c>
      <c r="S776" t="str">
        <f t="shared" si="38"/>
        <v>Nov</v>
      </c>
      <c r="T776" s="9">
        <f>VLOOKUP(O776, Annual_Summary!A:B, 2, 0)</f>
        <v>-2.6699969854871962E-3</v>
      </c>
    </row>
    <row r="777" spans="1:20" x14ac:dyDescent="0.3">
      <c r="A777" s="1">
        <v>45981</v>
      </c>
      <c r="B777" s="3" t="s">
        <v>15</v>
      </c>
      <c r="C777" s="3">
        <v>2445.1</v>
      </c>
      <c r="D777" s="3">
        <v>2459</v>
      </c>
      <c r="E777" s="3">
        <v>2425</v>
      </c>
      <c r="F777" s="3">
        <v>2441.6</v>
      </c>
      <c r="G777" s="3">
        <v>2429</v>
      </c>
      <c r="H777" s="3">
        <v>2428.4</v>
      </c>
      <c r="I777" s="3">
        <v>2438.84</v>
      </c>
      <c r="J777" s="3">
        <v>2750</v>
      </c>
      <c r="K777" s="3">
        <v>2136</v>
      </c>
      <c r="L777">
        <v>1396929</v>
      </c>
      <c r="M777" s="2">
        <v>3406880058.0999999</v>
      </c>
      <c r="N777">
        <v>82178</v>
      </c>
      <c r="O777" t="s">
        <v>19</v>
      </c>
      <c r="P777" s="8">
        <f t="shared" si="36"/>
        <v>-3.5</v>
      </c>
      <c r="Q777" t="s">
        <v>40</v>
      </c>
      <c r="R777">
        <f t="shared" si="37"/>
        <v>11</v>
      </c>
      <c r="S777" t="str">
        <f t="shared" si="38"/>
        <v>Nov</v>
      </c>
      <c r="T777" s="9">
        <f>VLOOKUP(O777, Annual_Summary!A:B, 2, 0)</f>
        <v>-2.6699969854871962E-3</v>
      </c>
    </row>
    <row r="778" spans="1:20" x14ac:dyDescent="0.3">
      <c r="A778" s="1">
        <v>45980</v>
      </c>
      <c r="B778" s="3" t="s">
        <v>15</v>
      </c>
      <c r="C778" s="3">
        <v>2412</v>
      </c>
      <c r="D778" s="3">
        <v>2450.6999999999998</v>
      </c>
      <c r="E778" s="3">
        <v>2411</v>
      </c>
      <c r="F778" s="3">
        <v>2404</v>
      </c>
      <c r="G778" s="3">
        <v>2443.6999999999998</v>
      </c>
      <c r="H778" s="3">
        <v>2441.6</v>
      </c>
      <c r="I778" s="3">
        <v>2439.89</v>
      </c>
      <c r="J778" s="3">
        <v>2750</v>
      </c>
      <c r="K778" s="3">
        <v>2136</v>
      </c>
      <c r="L778">
        <v>1465143</v>
      </c>
      <c r="M778" s="2">
        <v>3574787771.5999999</v>
      </c>
      <c r="N778">
        <v>60539</v>
      </c>
      <c r="O778" t="s">
        <v>19</v>
      </c>
      <c r="P778" s="8">
        <f t="shared" si="36"/>
        <v>-8</v>
      </c>
      <c r="Q778" t="s">
        <v>40</v>
      </c>
      <c r="R778">
        <f t="shared" si="37"/>
        <v>11</v>
      </c>
      <c r="S778" t="str">
        <f t="shared" si="38"/>
        <v>Nov</v>
      </c>
      <c r="T778" s="9">
        <f>VLOOKUP(O778, Annual_Summary!A:B, 2, 0)</f>
        <v>-2.6699969854871962E-3</v>
      </c>
    </row>
    <row r="779" spans="1:20" x14ac:dyDescent="0.3">
      <c r="A779" s="1">
        <v>45979</v>
      </c>
      <c r="B779" s="3" t="s">
        <v>15</v>
      </c>
      <c r="C779" s="3">
        <v>2415.8000000000002</v>
      </c>
      <c r="D779" s="3">
        <v>2422.9</v>
      </c>
      <c r="E779" s="3">
        <v>2401.9</v>
      </c>
      <c r="F779" s="3">
        <v>2425</v>
      </c>
      <c r="G779" s="3">
        <v>2404.1</v>
      </c>
      <c r="H779" s="3">
        <v>2404</v>
      </c>
      <c r="I779" s="3">
        <v>2408.4899999999998</v>
      </c>
      <c r="J779" s="3">
        <v>2750</v>
      </c>
      <c r="K779" s="3">
        <v>2136</v>
      </c>
      <c r="L779">
        <v>1229034</v>
      </c>
      <c r="M779" s="2">
        <v>2960110187.5</v>
      </c>
      <c r="N779">
        <v>54505</v>
      </c>
      <c r="O779" t="s">
        <v>19</v>
      </c>
      <c r="P779" s="8">
        <f t="shared" si="36"/>
        <v>9.1999999999998181</v>
      </c>
      <c r="Q779" t="s">
        <v>40</v>
      </c>
      <c r="R779">
        <f t="shared" si="37"/>
        <v>11</v>
      </c>
      <c r="S779" t="str">
        <f t="shared" si="38"/>
        <v>Nov</v>
      </c>
      <c r="T779" s="9">
        <f>VLOOKUP(O779, Annual_Summary!A:B, 2, 0)</f>
        <v>-2.6699969854871962E-3</v>
      </c>
    </row>
    <row r="780" spans="1:20" x14ac:dyDescent="0.3">
      <c r="A780" s="1">
        <v>45978</v>
      </c>
      <c r="B780" s="3" t="s">
        <v>15</v>
      </c>
      <c r="C780" s="3">
        <v>2431.4</v>
      </c>
      <c r="D780" s="3">
        <v>2438.4</v>
      </c>
      <c r="E780" s="3">
        <v>2416</v>
      </c>
      <c r="F780" s="3">
        <v>2427.6999999999998</v>
      </c>
      <c r="G780" s="3">
        <v>2425.5</v>
      </c>
      <c r="H780" s="3">
        <v>2425</v>
      </c>
      <c r="I780" s="3">
        <v>2423.25</v>
      </c>
      <c r="J780" s="3">
        <v>2750</v>
      </c>
      <c r="K780" s="3">
        <v>2136</v>
      </c>
      <c r="L780">
        <v>920038</v>
      </c>
      <c r="M780" s="2">
        <v>2229481983</v>
      </c>
      <c r="N780">
        <v>63161</v>
      </c>
      <c r="O780" t="s">
        <v>19</v>
      </c>
      <c r="P780" s="8">
        <f t="shared" si="36"/>
        <v>-3.7000000000002728</v>
      </c>
      <c r="Q780" t="s">
        <v>40</v>
      </c>
      <c r="R780">
        <f t="shared" si="37"/>
        <v>11</v>
      </c>
      <c r="S780" t="str">
        <f t="shared" si="38"/>
        <v>Nov</v>
      </c>
      <c r="T780" s="9">
        <f>VLOOKUP(O780, Annual_Summary!A:B, 2, 0)</f>
        <v>-2.6699969854871962E-3</v>
      </c>
    </row>
    <row r="781" spans="1:20" x14ac:dyDescent="0.3">
      <c r="A781" s="1">
        <v>45975</v>
      </c>
      <c r="B781" s="3" t="s">
        <v>15</v>
      </c>
      <c r="C781" s="3">
        <v>2405.1</v>
      </c>
      <c r="D781" s="3">
        <v>2430.1999999999998</v>
      </c>
      <c r="E781" s="3">
        <v>2392</v>
      </c>
      <c r="F781" s="3">
        <v>2407.6</v>
      </c>
      <c r="G781" s="3">
        <v>2426</v>
      </c>
      <c r="H781" s="3">
        <v>2427.6999999999998</v>
      </c>
      <c r="I781" s="3">
        <v>2420.64</v>
      </c>
      <c r="J781" s="3">
        <v>2750</v>
      </c>
      <c r="K781" s="3">
        <v>2136</v>
      </c>
      <c r="L781">
        <v>975973</v>
      </c>
      <c r="M781" s="2">
        <v>2362479701</v>
      </c>
      <c r="N781">
        <v>59056</v>
      </c>
      <c r="O781" t="s">
        <v>19</v>
      </c>
      <c r="P781" s="8">
        <f t="shared" si="36"/>
        <v>2.5</v>
      </c>
      <c r="Q781" t="s">
        <v>40</v>
      </c>
      <c r="R781">
        <f t="shared" si="37"/>
        <v>11</v>
      </c>
      <c r="S781" t="str">
        <f t="shared" si="38"/>
        <v>Nov</v>
      </c>
      <c r="T781" s="9">
        <f>VLOOKUP(O781, Annual_Summary!A:B, 2, 0)</f>
        <v>-2.6699969854871962E-3</v>
      </c>
    </row>
    <row r="782" spans="1:20" x14ac:dyDescent="0.3">
      <c r="A782" s="1">
        <v>45974</v>
      </c>
      <c r="B782" s="3" t="s">
        <v>15</v>
      </c>
      <c r="C782" s="3">
        <v>2429</v>
      </c>
      <c r="D782" s="3">
        <v>2431</v>
      </c>
      <c r="E782" s="3">
        <v>2405</v>
      </c>
      <c r="F782" s="3">
        <v>2424.5</v>
      </c>
      <c r="G782" s="3">
        <v>2409.9</v>
      </c>
      <c r="H782" s="3">
        <v>2407.6</v>
      </c>
      <c r="I782" s="3">
        <v>2416.6</v>
      </c>
      <c r="J782" s="3">
        <v>2750</v>
      </c>
      <c r="K782" s="3">
        <v>2136</v>
      </c>
      <c r="L782">
        <v>1256059</v>
      </c>
      <c r="M782" s="2">
        <v>3035397278.6999998</v>
      </c>
      <c r="N782">
        <v>69811</v>
      </c>
      <c r="O782" t="s">
        <v>19</v>
      </c>
      <c r="P782" s="8">
        <f t="shared" si="36"/>
        <v>-4.5</v>
      </c>
      <c r="Q782" t="s">
        <v>40</v>
      </c>
      <c r="R782">
        <f t="shared" si="37"/>
        <v>11</v>
      </c>
      <c r="S782" t="str">
        <f t="shared" si="38"/>
        <v>Nov</v>
      </c>
      <c r="T782" s="9">
        <f>VLOOKUP(O782, Annual_Summary!A:B, 2, 0)</f>
        <v>-2.6699969854871962E-3</v>
      </c>
    </row>
    <row r="783" spans="1:20" x14ac:dyDescent="0.3">
      <c r="A783" s="1">
        <v>45973</v>
      </c>
      <c r="B783" s="3" t="s">
        <v>15</v>
      </c>
      <c r="C783" s="3">
        <v>2430.6</v>
      </c>
      <c r="D783" s="3">
        <v>2434.8000000000002</v>
      </c>
      <c r="E783" s="3">
        <v>2416.1999999999998</v>
      </c>
      <c r="F783" s="3">
        <v>2427.5</v>
      </c>
      <c r="G783" s="3">
        <v>2426</v>
      </c>
      <c r="H783" s="3">
        <v>2424.5</v>
      </c>
      <c r="I783" s="3">
        <v>2423.71</v>
      </c>
      <c r="J783" s="3">
        <v>2750</v>
      </c>
      <c r="K783" s="3">
        <v>2136</v>
      </c>
      <c r="L783">
        <v>1680827</v>
      </c>
      <c r="M783" s="2">
        <v>4073843253.5</v>
      </c>
      <c r="N783">
        <v>106929</v>
      </c>
      <c r="O783" t="s">
        <v>19</v>
      </c>
      <c r="P783" s="8">
        <f t="shared" si="36"/>
        <v>-3.0999999999999091</v>
      </c>
      <c r="Q783" t="s">
        <v>40</v>
      </c>
      <c r="R783">
        <f t="shared" si="37"/>
        <v>11</v>
      </c>
      <c r="S783" t="str">
        <f t="shared" si="38"/>
        <v>Nov</v>
      </c>
      <c r="T783" s="9">
        <f>VLOOKUP(O783, Annual_Summary!A:B, 2, 0)</f>
        <v>-2.6699969854871962E-3</v>
      </c>
    </row>
    <row r="784" spans="1:20" x14ac:dyDescent="0.3">
      <c r="A784" s="1">
        <v>45972</v>
      </c>
      <c r="B784" s="3" t="s">
        <v>15</v>
      </c>
      <c r="C784" s="3">
        <v>2422.1999999999998</v>
      </c>
      <c r="D784" s="3">
        <v>2433.6999999999998</v>
      </c>
      <c r="E784" s="3">
        <v>2403.1</v>
      </c>
      <c r="F784" s="3">
        <v>2408.8000000000002</v>
      </c>
      <c r="G784" s="3">
        <v>2430</v>
      </c>
      <c r="H784" s="3">
        <v>2427.5</v>
      </c>
      <c r="I784" s="3">
        <v>2420.73</v>
      </c>
      <c r="J784" s="3">
        <v>2750</v>
      </c>
      <c r="K784" s="3">
        <v>2136</v>
      </c>
      <c r="L784">
        <v>1422399</v>
      </c>
      <c r="M784" s="2">
        <v>3443241465.6999998</v>
      </c>
      <c r="N784">
        <v>78852</v>
      </c>
      <c r="O784" t="s">
        <v>19</v>
      </c>
      <c r="P784" s="8">
        <f t="shared" si="36"/>
        <v>-13.399999999999636</v>
      </c>
      <c r="Q784" t="s">
        <v>40</v>
      </c>
      <c r="R784">
        <f t="shared" si="37"/>
        <v>11</v>
      </c>
      <c r="S784" t="str">
        <f t="shared" si="38"/>
        <v>Nov</v>
      </c>
      <c r="T784" s="9">
        <f>VLOOKUP(O784, Annual_Summary!A:B, 2, 0)</f>
        <v>-2.6699969854871962E-3</v>
      </c>
    </row>
    <row r="785" spans="1:20" x14ac:dyDescent="0.3">
      <c r="A785" s="1">
        <v>45971</v>
      </c>
      <c r="B785" s="3" t="s">
        <v>15</v>
      </c>
      <c r="C785" s="3">
        <v>2405</v>
      </c>
      <c r="D785" s="3">
        <v>2429.3000000000002</v>
      </c>
      <c r="E785" s="3">
        <v>2404</v>
      </c>
      <c r="F785" s="3">
        <v>2414</v>
      </c>
      <c r="G785" s="3">
        <v>2409</v>
      </c>
      <c r="H785" s="3">
        <v>2408.8000000000002</v>
      </c>
      <c r="I785" s="3">
        <v>2412.2800000000002</v>
      </c>
      <c r="J785" s="3">
        <v>2750</v>
      </c>
      <c r="K785" s="3">
        <v>2136</v>
      </c>
      <c r="L785">
        <v>780558</v>
      </c>
      <c r="M785" s="2">
        <v>1882928221.4000001</v>
      </c>
      <c r="N785">
        <v>67685</v>
      </c>
      <c r="O785" t="s">
        <v>19</v>
      </c>
      <c r="P785" s="8">
        <f t="shared" si="36"/>
        <v>9</v>
      </c>
      <c r="Q785" t="s">
        <v>40</v>
      </c>
      <c r="R785">
        <f t="shared" si="37"/>
        <v>11</v>
      </c>
      <c r="S785" t="str">
        <f t="shared" si="38"/>
        <v>Nov</v>
      </c>
      <c r="T785" s="9">
        <f>VLOOKUP(O785, Annual_Summary!A:B, 2, 0)</f>
        <v>-2.6699969854871962E-3</v>
      </c>
    </row>
    <row r="786" spans="1:20" x14ac:dyDescent="0.3">
      <c r="A786" s="1">
        <v>45968</v>
      </c>
      <c r="B786" s="3" t="s">
        <v>15</v>
      </c>
      <c r="C786" s="3">
        <v>2417</v>
      </c>
      <c r="D786" s="3">
        <v>2425</v>
      </c>
      <c r="E786" s="3">
        <v>2400.6</v>
      </c>
      <c r="F786" s="3">
        <v>2436</v>
      </c>
      <c r="G786" s="3">
        <v>2416.8000000000002</v>
      </c>
      <c r="H786" s="3">
        <v>2414</v>
      </c>
      <c r="I786" s="3">
        <v>2415.4699999999998</v>
      </c>
      <c r="J786" s="3">
        <v>2750</v>
      </c>
      <c r="K786" s="3">
        <v>2136</v>
      </c>
      <c r="L786">
        <v>817896</v>
      </c>
      <c r="M786" s="2">
        <v>1975599206.2</v>
      </c>
      <c r="N786">
        <v>55901</v>
      </c>
      <c r="O786" t="s">
        <v>19</v>
      </c>
      <c r="P786" s="8">
        <f t="shared" si="36"/>
        <v>19</v>
      </c>
      <c r="Q786" t="s">
        <v>40</v>
      </c>
      <c r="R786">
        <f t="shared" si="37"/>
        <v>11</v>
      </c>
      <c r="S786" t="str">
        <f t="shared" si="38"/>
        <v>Nov</v>
      </c>
      <c r="T786" s="9">
        <f>VLOOKUP(O786, Annual_Summary!A:B, 2, 0)</f>
        <v>-2.6699969854871962E-3</v>
      </c>
    </row>
    <row r="787" spans="1:20" x14ac:dyDescent="0.3">
      <c r="A787" s="1">
        <v>45967</v>
      </c>
      <c r="B787" s="3" t="s">
        <v>15</v>
      </c>
      <c r="C787" s="3">
        <v>2463.9</v>
      </c>
      <c r="D787" s="3">
        <v>2463.9</v>
      </c>
      <c r="E787" s="3">
        <v>2432.6</v>
      </c>
      <c r="F787" s="3">
        <v>2445.6999999999998</v>
      </c>
      <c r="G787" s="3">
        <v>2439</v>
      </c>
      <c r="H787" s="3">
        <v>2436</v>
      </c>
      <c r="I787" s="3">
        <v>2442.42</v>
      </c>
      <c r="J787" s="3">
        <v>2750</v>
      </c>
      <c r="K787" s="3">
        <v>2136</v>
      </c>
      <c r="L787">
        <v>1329256</v>
      </c>
      <c r="M787" s="2">
        <v>3246607239.0999999</v>
      </c>
      <c r="N787">
        <v>86424</v>
      </c>
      <c r="O787" t="s">
        <v>19</v>
      </c>
      <c r="P787" s="8">
        <f t="shared" si="36"/>
        <v>-18.200000000000273</v>
      </c>
      <c r="Q787" t="s">
        <v>40</v>
      </c>
      <c r="R787">
        <f t="shared" si="37"/>
        <v>11</v>
      </c>
      <c r="S787" t="str">
        <f t="shared" si="38"/>
        <v>Nov</v>
      </c>
      <c r="T787" s="9">
        <f>VLOOKUP(O787, Annual_Summary!A:B, 2, 0)</f>
        <v>-2.6699969854871962E-3</v>
      </c>
    </row>
    <row r="788" spans="1:20" x14ac:dyDescent="0.3">
      <c r="A788" s="1">
        <v>45965</v>
      </c>
      <c r="B788" s="3" t="s">
        <v>15</v>
      </c>
      <c r="C788" s="3">
        <v>2460</v>
      </c>
      <c r="D788" s="3">
        <v>2463.3000000000002</v>
      </c>
      <c r="E788" s="3">
        <v>2441.3000000000002</v>
      </c>
      <c r="F788" s="3">
        <v>2460</v>
      </c>
      <c r="G788" s="3">
        <v>2443.9</v>
      </c>
      <c r="H788" s="3">
        <v>2445.6999999999998</v>
      </c>
      <c r="I788" s="3">
        <v>2448.66</v>
      </c>
      <c r="J788" s="3">
        <v>2750</v>
      </c>
      <c r="K788" s="3">
        <v>2136</v>
      </c>
      <c r="L788">
        <v>1251588</v>
      </c>
      <c r="M788" s="2">
        <v>3064715959.5</v>
      </c>
      <c r="N788">
        <v>69387</v>
      </c>
      <c r="O788" t="s">
        <v>19</v>
      </c>
      <c r="P788" s="8">
        <f t="shared" si="36"/>
        <v>0</v>
      </c>
      <c r="Q788" t="s">
        <v>40</v>
      </c>
      <c r="R788">
        <f t="shared" si="37"/>
        <v>11</v>
      </c>
      <c r="S788" t="str">
        <f t="shared" si="38"/>
        <v>Nov</v>
      </c>
      <c r="T788" s="9">
        <f>VLOOKUP(O788, Annual_Summary!A:B, 2, 0)</f>
        <v>-2.6699969854871962E-3</v>
      </c>
    </row>
    <row r="789" spans="1:20" x14ac:dyDescent="0.3">
      <c r="A789" s="1">
        <v>45964</v>
      </c>
      <c r="B789" s="3" t="s">
        <v>15</v>
      </c>
      <c r="C789" s="3">
        <v>2456.1</v>
      </c>
      <c r="D789" s="3">
        <v>2474.9</v>
      </c>
      <c r="E789" s="3">
        <v>2440.3000000000002</v>
      </c>
      <c r="F789" s="3">
        <v>2465.5</v>
      </c>
      <c r="G789" s="3">
        <v>2460</v>
      </c>
      <c r="H789" s="3">
        <v>2460</v>
      </c>
      <c r="I789" s="3">
        <v>2456.9299999999998</v>
      </c>
      <c r="J789" s="3">
        <v>2750</v>
      </c>
      <c r="K789" s="3">
        <v>2136</v>
      </c>
      <c r="L789">
        <v>1049185</v>
      </c>
      <c r="M789" s="2">
        <v>2577770223.9000001</v>
      </c>
      <c r="N789">
        <v>48953</v>
      </c>
      <c r="O789" t="s">
        <v>19</v>
      </c>
      <c r="P789" s="8">
        <f t="shared" si="36"/>
        <v>9.4000000000000909</v>
      </c>
      <c r="Q789" t="s">
        <v>40</v>
      </c>
      <c r="R789">
        <f t="shared" si="37"/>
        <v>11</v>
      </c>
      <c r="S789" t="str">
        <f t="shared" si="38"/>
        <v>Nov</v>
      </c>
      <c r="T789" s="9">
        <f>VLOOKUP(O789, Annual_Summary!A:B, 2, 0)</f>
        <v>-2.6699969854871962E-3</v>
      </c>
    </row>
    <row r="790" spans="1:20" x14ac:dyDescent="0.3">
      <c r="A790" s="1">
        <v>45961</v>
      </c>
      <c r="B790" s="3" t="s">
        <v>15</v>
      </c>
      <c r="C790" s="3">
        <v>2469</v>
      </c>
      <c r="D790" s="3">
        <v>2479.5</v>
      </c>
      <c r="E790" s="3">
        <v>2452.9</v>
      </c>
      <c r="F790" s="3">
        <v>2469.6</v>
      </c>
      <c r="G790" s="3">
        <v>2461.1999999999998</v>
      </c>
      <c r="H790" s="3">
        <v>2465.5</v>
      </c>
      <c r="I790" s="3">
        <v>2464.4299999999998</v>
      </c>
      <c r="J790" s="3">
        <v>2750</v>
      </c>
      <c r="K790" s="3">
        <v>2136</v>
      </c>
      <c r="L790">
        <v>1401937</v>
      </c>
      <c r="M790" s="2">
        <v>3454972548.9000001</v>
      </c>
      <c r="N790">
        <v>56237</v>
      </c>
      <c r="O790" t="s">
        <v>19</v>
      </c>
      <c r="P790" s="8">
        <f t="shared" si="36"/>
        <v>0.59999999999990905</v>
      </c>
      <c r="Q790" t="s">
        <v>40</v>
      </c>
      <c r="R790">
        <f t="shared" si="37"/>
        <v>10</v>
      </c>
      <c r="S790" t="str">
        <f t="shared" si="38"/>
        <v>Oct</v>
      </c>
      <c r="T790" s="9">
        <f>VLOOKUP(O790, Annual_Summary!A:B, 2, 0)</f>
        <v>-2.6699969854871962E-3</v>
      </c>
    </row>
    <row r="791" spans="1:20" x14ac:dyDescent="0.3">
      <c r="A791" s="1">
        <v>45960</v>
      </c>
      <c r="B791" s="3" t="s">
        <v>15</v>
      </c>
      <c r="C791" s="3">
        <v>2491</v>
      </c>
      <c r="D791" s="3">
        <v>2497</v>
      </c>
      <c r="E791" s="3">
        <v>2454.9</v>
      </c>
      <c r="F791" s="3">
        <v>2488.1</v>
      </c>
      <c r="G791" s="3">
        <v>2470</v>
      </c>
      <c r="H791" s="3">
        <v>2469.6</v>
      </c>
      <c r="I791" s="3">
        <v>2470.5</v>
      </c>
      <c r="J791" s="3">
        <v>2750</v>
      </c>
      <c r="K791" s="3">
        <v>2136</v>
      </c>
      <c r="L791">
        <v>1195631</v>
      </c>
      <c r="M791" s="2">
        <v>2953803987.5</v>
      </c>
      <c r="N791">
        <v>57460</v>
      </c>
      <c r="O791" t="s">
        <v>19</v>
      </c>
      <c r="P791" s="8">
        <f t="shared" si="36"/>
        <v>-2.9000000000000909</v>
      </c>
      <c r="Q791" t="s">
        <v>40</v>
      </c>
      <c r="R791">
        <f t="shared" si="37"/>
        <v>10</v>
      </c>
      <c r="S791" t="str">
        <f t="shared" si="38"/>
        <v>Oct</v>
      </c>
      <c r="T791" s="9">
        <f>VLOOKUP(O791, Annual_Summary!A:B, 2, 0)</f>
        <v>-2.6699969854871962E-3</v>
      </c>
    </row>
    <row r="792" spans="1:20" x14ac:dyDescent="0.3">
      <c r="A792" s="1">
        <v>45959</v>
      </c>
      <c r="B792" s="3" t="s">
        <v>15</v>
      </c>
      <c r="C792" s="3">
        <v>2512.6</v>
      </c>
      <c r="D792" s="3">
        <v>2513.6</v>
      </c>
      <c r="E792" s="3">
        <v>2484</v>
      </c>
      <c r="F792" s="3">
        <v>2497.1</v>
      </c>
      <c r="G792" s="3">
        <v>2490</v>
      </c>
      <c r="H792" s="3">
        <v>2488.1</v>
      </c>
      <c r="I792" s="3">
        <v>2492.63</v>
      </c>
      <c r="J792" s="3">
        <v>2750</v>
      </c>
      <c r="K792" s="3">
        <v>2136</v>
      </c>
      <c r="L792">
        <v>1870143</v>
      </c>
      <c r="M792" s="2">
        <v>4661569499.8999996</v>
      </c>
      <c r="N792">
        <v>59711</v>
      </c>
      <c r="O792" t="s">
        <v>19</v>
      </c>
      <c r="P792" s="8">
        <f t="shared" si="36"/>
        <v>-15.5</v>
      </c>
      <c r="Q792" t="s">
        <v>40</v>
      </c>
      <c r="R792">
        <f t="shared" si="37"/>
        <v>10</v>
      </c>
      <c r="S792" t="str">
        <f t="shared" si="38"/>
        <v>Oct</v>
      </c>
      <c r="T792" s="9">
        <f>VLOOKUP(O792, Annual_Summary!A:B, 2, 0)</f>
        <v>-2.6699969854871962E-3</v>
      </c>
    </row>
    <row r="793" spans="1:20" x14ac:dyDescent="0.3">
      <c r="A793" s="1">
        <v>45958</v>
      </c>
      <c r="B793" s="3" t="s">
        <v>15</v>
      </c>
      <c r="C793" s="3">
        <v>2519</v>
      </c>
      <c r="D793" s="3">
        <v>2526</v>
      </c>
      <c r="E793" s="3">
        <v>2481.9</v>
      </c>
      <c r="F793" s="3">
        <v>2511.8000000000002</v>
      </c>
      <c r="G793" s="3">
        <v>2500</v>
      </c>
      <c r="H793" s="3">
        <v>2497.1</v>
      </c>
      <c r="I793" s="3">
        <v>2496.9499999999998</v>
      </c>
      <c r="J793" s="3">
        <v>2750</v>
      </c>
      <c r="K793" s="3">
        <v>2136</v>
      </c>
      <c r="L793">
        <v>2294976</v>
      </c>
      <c r="M793" s="2">
        <v>5730442781.3999996</v>
      </c>
      <c r="N793">
        <v>107397</v>
      </c>
      <c r="O793" t="s">
        <v>19</v>
      </c>
      <c r="P793" s="8">
        <f t="shared" si="36"/>
        <v>-7.1999999999998181</v>
      </c>
      <c r="Q793" t="s">
        <v>40</v>
      </c>
      <c r="R793">
        <f t="shared" si="37"/>
        <v>10</v>
      </c>
      <c r="S793" t="str">
        <f t="shared" si="38"/>
        <v>Oct</v>
      </c>
      <c r="T793" s="9">
        <f>VLOOKUP(O793, Annual_Summary!A:B, 2, 0)</f>
        <v>-2.6699969854871962E-3</v>
      </c>
    </row>
    <row r="794" spans="1:20" x14ac:dyDescent="0.3">
      <c r="A794" s="1">
        <v>45957</v>
      </c>
      <c r="B794" s="3" t="s">
        <v>15</v>
      </c>
      <c r="C794" s="3">
        <v>2516.4</v>
      </c>
      <c r="D794" s="3">
        <v>2525</v>
      </c>
      <c r="E794" s="3">
        <v>2506</v>
      </c>
      <c r="F794" s="3">
        <v>2516.4</v>
      </c>
      <c r="G794" s="3">
        <v>2512.6999999999998</v>
      </c>
      <c r="H794" s="3">
        <v>2511.8000000000002</v>
      </c>
      <c r="I794" s="3">
        <v>2514.8200000000002</v>
      </c>
      <c r="J794" s="3">
        <v>2750</v>
      </c>
      <c r="K794" s="3">
        <v>2136</v>
      </c>
      <c r="L794">
        <v>2127832</v>
      </c>
      <c r="M794" s="2">
        <v>5351105578.3999996</v>
      </c>
      <c r="N794">
        <v>107131</v>
      </c>
      <c r="O794" t="s">
        <v>19</v>
      </c>
      <c r="P794" s="8">
        <f t="shared" si="36"/>
        <v>0</v>
      </c>
      <c r="Q794" t="s">
        <v>40</v>
      </c>
      <c r="R794">
        <f t="shared" si="37"/>
        <v>10</v>
      </c>
      <c r="S794" t="str">
        <f t="shared" si="38"/>
        <v>Oct</v>
      </c>
      <c r="T794" s="9">
        <f>VLOOKUP(O794, Annual_Summary!A:B, 2, 0)</f>
        <v>-2.6699969854871962E-3</v>
      </c>
    </row>
    <row r="795" spans="1:20" x14ac:dyDescent="0.3">
      <c r="A795" s="1">
        <v>45954</v>
      </c>
      <c r="B795" s="3" t="s">
        <v>15</v>
      </c>
      <c r="C795" s="3">
        <v>2584</v>
      </c>
      <c r="D795" s="3">
        <v>2584</v>
      </c>
      <c r="E795" s="3">
        <v>2474.5</v>
      </c>
      <c r="F795" s="3">
        <v>2601.6</v>
      </c>
      <c r="G795" s="3">
        <v>2515</v>
      </c>
      <c r="H795" s="3">
        <v>2516.4</v>
      </c>
      <c r="I795" s="3">
        <v>2512.2800000000002</v>
      </c>
      <c r="J795" s="3">
        <v>2750</v>
      </c>
      <c r="K795" s="3">
        <v>2136</v>
      </c>
      <c r="L795">
        <v>3110800</v>
      </c>
      <c r="M795" s="2">
        <v>7815198611.8000002</v>
      </c>
      <c r="N795">
        <v>142162</v>
      </c>
      <c r="O795" t="s">
        <v>19</v>
      </c>
      <c r="P795" s="8">
        <f t="shared" si="36"/>
        <v>17.599999999999909</v>
      </c>
      <c r="Q795" t="s">
        <v>40</v>
      </c>
      <c r="R795">
        <f t="shared" si="37"/>
        <v>10</v>
      </c>
      <c r="S795" t="str">
        <f t="shared" si="38"/>
        <v>Oct</v>
      </c>
      <c r="T795" s="9">
        <f>VLOOKUP(O795, Annual_Summary!A:B, 2, 0)</f>
        <v>-2.6699969854871962E-3</v>
      </c>
    </row>
    <row r="796" spans="1:20" x14ac:dyDescent="0.3">
      <c r="A796" s="1">
        <v>45953</v>
      </c>
      <c r="B796" s="3" t="s">
        <v>15</v>
      </c>
      <c r="C796" s="3">
        <v>2601</v>
      </c>
      <c r="D796" s="3">
        <v>2667.2</v>
      </c>
      <c r="E796" s="3">
        <v>2596.1</v>
      </c>
      <c r="F796" s="3">
        <v>2591.6999999999998</v>
      </c>
      <c r="G796" s="3">
        <v>2601</v>
      </c>
      <c r="H796" s="3">
        <v>2601.6</v>
      </c>
      <c r="I796" s="3">
        <v>2623.02</v>
      </c>
      <c r="J796" s="3">
        <v>2750</v>
      </c>
      <c r="K796" s="3">
        <v>2136</v>
      </c>
      <c r="L796">
        <v>3386744</v>
      </c>
      <c r="M796" s="2">
        <v>8883502957</v>
      </c>
      <c r="N796">
        <v>153645</v>
      </c>
      <c r="O796" t="s">
        <v>19</v>
      </c>
      <c r="P796" s="8">
        <f t="shared" si="36"/>
        <v>-9.3000000000001819</v>
      </c>
      <c r="Q796" t="s">
        <v>40</v>
      </c>
      <c r="R796">
        <f t="shared" si="37"/>
        <v>10</v>
      </c>
      <c r="S796" t="str">
        <f t="shared" si="38"/>
        <v>Oct</v>
      </c>
      <c r="T796" s="9">
        <f>VLOOKUP(O796, Annual_Summary!A:B, 2, 0)</f>
        <v>-2.6699969854871962E-3</v>
      </c>
    </row>
    <row r="797" spans="1:20" x14ac:dyDescent="0.3">
      <c r="A797" s="1">
        <v>45951</v>
      </c>
      <c r="B797" s="3" t="s">
        <v>15</v>
      </c>
      <c r="C797" s="3">
        <v>2594</v>
      </c>
      <c r="D797" s="3">
        <v>2606.6999999999998</v>
      </c>
      <c r="E797" s="3">
        <v>2585.1</v>
      </c>
      <c r="F797" s="3">
        <v>2594.4</v>
      </c>
      <c r="G797" s="3">
        <v>2588</v>
      </c>
      <c r="H797" s="3">
        <v>2591.6999999999998</v>
      </c>
      <c r="I797" s="3">
        <v>2594.5300000000002</v>
      </c>
      <c r="J797" s="3">
        <v>2750</v>
      </c>
      <c r="K797" s="3">
        <v>2136</v>
      </c>
      <c r="L797">
        <v>82020</v>
      </c>
      <c r="M797" s="2">
        <v>212803041.19999999</v>
      </c>
      <c r="N797">
        <v>8723</v>
      </c>
      <c r="O797" t="s">
        <v>19</v>
      </c>
      <c r="P797" s="8">
        <f t="shared" si="36"/>
        <v>0.40000000000009095</v>
      </c>
      <c r="Q797" t="s">
        <v>40</v>
      </c>
      <c r="R797">
        <f t="shared" si="37"/>
        <v>10</v>
      </c>
      <c r="S797" t="str">
        <f t="shared" si="38"/>
        <v>Oct</v>
      </c>
      <c r="T797" s="9">
        <f>VLOOKUP(O797, Annual_Summary!A:B, 2, 0)</f>
        <v>-2.6699969854871962E-3</v>
      </c>
    </row>
    <row r="798" spans="1:20" x14ac:dyDescent="0.3">
      <c r="A798" s="1">
        <v>45950</v>
      </c>
      <c r="B798" s="3" t="s">
        <v>15</v>
      </c>
      <c r="C798" s="3">
        <v>2609</v>
      </c>
      <c r="D798" s="3">
        <v>2624.7</v>
      </c>
      <c r="E798" s="3">
        <v>2585.6</v>
      </c>
      <c r="F798" s="3">
        <v>2603.6999999999998</v>
      </c>
      <c r="G798" s="3">
        <v>2601.1</v>
      </c>
      <c r="H798" s="3">
        <v>2594.4</v>
      </c>
      <c r="I798" s="3">
        <v>2601.65</v>
      </c>
      <c r="J798" s="3">
        <v>2750</v>
      </c>
      <c r="K798" s="3">
        <v>2136</v>
      </c>
      <c r="L798">
        <v>1011485</v>
      </c>
      <c r="M798" s="2">
        <v>2631528206.6999998</v>
      </c>
      <c r="N798">
        <v>62291</v>
      </c>
      <c r="O798" t="s">
        <v>19</v>
      </c>
      <c r="P798" s="8">
        <f t="shared" si="36"/>
        <v>-5.3000000000001819</v>
      </c>
      <c r="Q798" t="s">
        <v>40</v>
      </c>
      <c r="R798">
        <f t="shared" si="37"/>
        <v>10</v>
      </c>
      <c r="S798" t="str">
        <f t="shared" si="38"/>
        <v>Oct</v>
      </c>
      <c r="T798" s="9">
        <f>VLOOKUP(O798, Annual_Summary!A:B, 2, 0)</f>
        <v>-2.6699969854871962E-3</v>
      </c>
    </row>
    <row r="799" spans="1:20" x14ac:dyDescent="0.3">
      <c r="A799" s="1">
        <v>45947</v>
      </c>
      <c r="B799" s="3" t="s">
        <v>15</v>
      </c>
      <c r="C799" s="3">
        <v>2565.5</v>
      </c>
      <c r="D799" s="3">
        <v>2615</v>
      </c>
      <c r="E799" s="3">
        <v>2560</v>
      </c>
      <c r="F799" s="3">
        <v>2561.5</v>
      </c>
      <c r="G799" s="3">
        <v>2603.4</v>
      </c>
      <c r="H799" s="3">
        <v>2603.6999999999998</v>
      </c>
      <c r="I799" s="3">
        <v>2599.89</v>
      </c>
      <c r="J799" s="3">
        <v>2804.7</v>
      </c>
      <c r="K799" s="3">
        <v>2136</v>
      </c>
      <c r="L799">
        <v>2050690</v>
      </c>
      <c r="M799" s="2">
        <v>5331566195</v>
      </c>
      <c r="N799">
        <v>123072</v>
      </c>
      <c r="O799" t="s">
        <v>19</v>
      </c>
      <c r="P799" s="8">
        <f t="shared" si="36"/>
        <v>-4</v>
      </c>
      <c r="Q799" t="s">
        <v>40</v>
      </c>
      <c r="R799">
        <f t="shared" si="37"/>
        <v>10</v>
      </c>
      <c r="S799" t="str">
        <f t="shared" si="38"/>
        <v>Oct</v>
      </c>
      <c r="T799" s="9">
        <f>VLOOKUP(O799, Annual_Summary!A:B, 2, 0)</f>
        <v>-2.6699969854871962E-3</v>
      </c>
    </row>
    <row r="800" spans="1:20" x14ac:dyDescent="0.3">
      <c r="A800" s="1">
        <v>45946</v>
      </c>
      <c r="B800" s="3" t="s">
        <v>15</v>
      </c>
      <c r="C800" s="3">
        <v>2517.8000000000002</v>
      </c>
      <c r="D800" s="3">
        <v>2568.5</v>
      </c>
      <c r="E800" s="3">
        <v>2507.1</v>
      </c>
      <c r="F800" s="3">
        <v>2519</v>
      </c>
      <c r="G800" s="3">
        <v>2560</v>
      </c>
      <c r="H800" s="3">
        <v>2561.5</v>
      </c>
      <c r="I800" s="3">
        <v>2541.35</v>
      </c>
      <c r="J800" s="3">
        <v>2804.7</v>
      </c>
      <c r="K800" s="3">
        <v>2136</v>
      </c>
      <c r="L800">
        <v>1446646</v>
      </c>
      <c r="M800" s="2">
        <v>3676427185.6999998</v>
      </c>
      <c r="N800">
        <v>68156</v>
      </c>
      <c r="O800" t="s">
        <v>19</v>
      </c>
      <c r="P800" s="8">
        <f t="shared" si="36"/>
        <v>1.1999999999998181</v>
      </c>
      <c r="Q800" t="s">
        <v>40</v>
      </c>
      <c r="R800">
        <f t="shared" si="37"/>
        <v>10</v>
      </c>
      <c r="S800" t="str">
        <f t="shared" si="38"/>
        <v>Oct</v>
      </c>
      <c r="T800" s="9">
        <f>VLOOKUP(O800, Annual_Summary!A:B, 2, 0)</f>
        <v>-2.6699969854871962E-3</v>
      </c>
    </row>
    <row r="801" spans="1:20" x14ac:dyDescent="0.3">
      <c r="A801" s="1">
        <v>45945</v>
      </c>
      <c r="B801" s="3" t="s">
        <v>15</v>
      </c>
      <c r="C801" s="3">
        <v>2502.6</v>
      </c>
      <c r="D801" s="3">
        <v>2531.8000000000002</v>
      </c>
      <c r="E801" s="3">
        <v>2502.6</v>
      </c>
      <c r="F801" s="3">
        <v>2502.3000000000002</v>
      </c>
      <c r="G801" s="3">
        <v>2515</v>
      </c>
      <c r="H801" s="3">
        <v>2519</v>
      </c>
      <c r="I801" s="3">
        <v>2520.1799999999998</v>
      </c>
      <c r="J801" s="3">
        <v>2804.7</v>
      </c>
      <c r="K801" s="3">
        <v>2136</v>
      </c>
      <c r="L801">
        <v>881070</v>
      </c>
      <c r="M801" s="2">
        <v>2220456153.6999998</v>
      </c>
      <c r="N801">
        <v>52395</v>
      </c>
      <c r="O801" t="s">
        <v>19</v>
      </c>
      <c r="P801" s="8">
        <f t="shared" si="36"/>
        <v>-0.29999999999972715</v>
      </c>
      <c r="Q801" t="s">
        <v>40</v>
      </c>
      <c r="R801">
        <f t="shared" si="37"/>
        <v>10</v>
      </c>
      <c r="S801" t="str">
        <f t="shared" si="38"/>
        <v>Oct</v>
      </c>
      <c r="T801" s="9">
        <f>VLOOKUP(O801, Annual_Summary!A:B, 2, 0)</f>
        <v>-2.6699969854871962E-3</v>
      </c>
    </row>
    <row r="802" spans="1:20" x14ac:dyDescent="0.3">
      <c r="A802" s="1">
        <v>45944</v>
      </c>
      <c r="B802" s="3" t="s">
        <v>15</v>
      </c>
      <c r="C802" s="3">
        <v>2493</v>
      </c>
      <c r="D802" s="3">
        <v>2509.1999999999998</v>
      </c>
      <c r="E802" s="3">
        <v>2482.3000000000002</v>
      </c>
      <c r="F802" s="3">
        <v>2492.8000000000002</v>
      </c>
      <c r="G802" s="3">
        <v>2502</v>
      </c>
      <c r="H802" s="3">
        <v>2502.3000000000002</v>
      </c>
      <c r="I802" s="3">
        <v>2500.58</v>
      </c>
      <c r="J802" s="3">
        <v>2804.7</v>
      </c>
      <c r="K802" s="3">
        <v>2136</v>
      </c>
      <c r="L802">
        <v>1461017</v>
      </c>
      <c r="M802" s="2">
        <v>3653393248.1999998</v>
      </c>
      <c r="N802">
        <v>64421</v>
      </c>
      <c r="O802" t="s">
        <v>19</v>
      </c>
      <c r="P802" s="8">
        <f t="shared" si="36"/>
        <v>-0.1999999999998181</v>
      </c>
      <c r="Q802" t="s">
        <v>40</v>
      </c>
      <c r="R802">
        <f t="shared" si="37"/>
        <v>10</v>
      </c>
      <c r="S802" t="str">
        <f t="shared" si="38"/>
        <v>Oct</v>
      </c>
      <c r="T802" s="9">
        <f>VLOOKUP(O802, Annual_Summary!A:B, 2, 0)</f>
        <v>-2.6699969854871962E-3</v>
      </c>
    </row>
    <row r="803" spans="1:20" x14ac:dyDescent="0.3">
      <c r="A803" s="1">
        <v>45943</v>
      </c>
      <c r="B803" s="3" t="s">
        <v>15</v>
      </c>
      <c r="C803" s="3">
        <v>2519.1999999999998</v>
      </c>
      <c r="D803" s="3">
        <v>2531.6</v>
      </c>
      <c r="E803" s="3">
        <v>2485.4</v>
      </c>
      <c r="F803" s="3">
        <v>2528.9</v>
      </c>
      <c r="G803" s="3">
        <v>2496.6</v>
      </c>
      <c r="H803" s="3">
        <v>2492.8000000000002</v>
      </c>
      <c r="I803" s="3">
        <v>2497.33</v>
      </c>
      <c r="J803" s="3">
        <v>2804.7</v>
      </c>
      <c r="K803" s="3">
        <v>2136</v>
      </c>
      <c r="L803">
        <v>1114750</v>
      </c>
      <c r="M803" s="2">
        <v>2783896682</v>
      </c>
      <c r="N803">
        <v>49171</v>
      </c>
      <c r="O803" t="s">
        <v>19</v>
      </c>
      <c r="P803" s="8">
        <f t="shared" si="36"/>
        <v>9.7000000000002728</v>
      </c>
      <c r="Q803" t="s">
        <v>40</v>
      </c>
      <c r="R803">
        <f t="shared" si="37"/>
        <v>10</v>
      </c>
      <c r="S803" t="str">
        <f t="shared" si="38"/>
        <v>Oct</v>
      </c>
      <c r="T803" s="9">
        <f>VLOOKUP(O803, Annual_Summary!A:B, 2, 0)</f>
        <v>-2.6699969854871962E-3</v>
      </c>
    </row>
    <row r="804" spans="1:20" x14ac:dyDescent="0.3">
      <c r="A804" s="1">
        <v>45940</v>
      </c>
      <c r="B804" s="3" t="s">
        <v>15</v>
      </c>
      <c r="C804" s="3">
        <v>2510</v>
      </c>
      <c r="D804" s="3">
        <v>2534.9</v>
      </c>
      <c r="E804" s="3">
        <v>2506.5</v>
      </c>
      <c r="F804" s="3">
        <v>2517.6</v>
      </c>
      <c r="G804" s="3">
        <v>2526</v>
      </c>
      <c r="H804" s="3">
        <v>2528.9</v>
      </c>
      <c r="I804" s="3">
        <v>2523.6</v>
      </c>
      <c r="J804" s="3">
        <v>2886</v>
      </c>
      <c r="K804" s="3">
        <v>2136</v>
      </c>
      <c r="L804">
        <v>1018875</v>
      </c>
      <c r="M804" s="2">
        <v>2571231935.5999999</v>
      </c>
      <c r="N804">
        <v>57092</v>
      </c>
      <c r="O804" t="s">
        <v>19</v>
      </c>
      <c r="P804" s="8">
        <f t="shared" si="36"/>
        <v>7.5999999999999091</v>
      </c>
      <c r="Q804" t="s">
        <v>40</v>
      </c>
      <c r="R804">
        <f t="shared" si="37"/>
        <v>10</v>
      </c>
      <c r="S804" t="str">
        <f t="shared" si="38"/>
        <v>Oct</v>
      </c>
      <c r="T804" s="9">
        <f>VLOOKUP(O804, Annual_Summary!A:B, 2, 0)</f>
        <v>-2.6699969854871962E-3</v>
      </c>
    </row>
    <row r="805" spans="1:20" x14ac:dyDescent="0.3">
      <c r="A805" s="1">
        <v>45939</v>
      </c>
      <c r="B805" s="3" t="s">
        <v>15</v>
      </c>
      <c r="C805" s="3">
        <v>2501</v>
      </c>
      <c r="D805" s="3">
        <v>2523</v>
      </c>
      <c r="E805" s="3">
        <v>2498.3000000000002</v>
      </c>
      <c r="F805" s="3">
        <v>2500.1</v>
      </c>
      <c r="G805" s="3">
        <v>2522.4</v>
      </c>
      <c r="H805" s="3">
        <v>2517.6</v>
      </c>
      <c r="I805" s="3">
        <v>2514.04</v>
      </c>
      <c r="J805" s="3">
        <v>2886</v>
      </c>
      <c r="K805" s="3">
        <v>2136</v>
      </c>
      <c r="L805">
        <v>1259173</v>
      </c>
      <c r="M805" s="2">
        <v>3165612003.0999999</v>
      </c>
      <c r="N805">
        <v>75193</v>
      </c>
      <c r="O805" t="s">
        <v>19</v>
      </c>
      <c r="P805" s="8">
        <f t="shared" si="36"/>
        <v>-0.90000000000009095</v>
      </c>
      <c r="Q805" t="s">
        <v>40</v>
      </c>
      <c r="R805">
        <f t="shared" si="37"/>
        <v>10</v>
      </c>
      <c r="S805" t="str">
        <f t="shared" si="38"/>
        <v>Oct</v>
      </c>
      <c r="T805" s="9">
        <f>VLOOKUP(O805, Annual_Summary!A:B, 2, 0)</f>
        <v>-2.6699969854871962E-3</v>
      </c>
    </row>
    <row r="806" spans="1:20" x14ac:dyDescent="0.3">
      <c r="A806" s="1">
        <v>45938</v>
      </c>
      <c r="B806" s="3" t="s">
        <v>15</v>
      </c>
      <c r="C806" s="3">
        <v>2511</v>
      </c>
      <c r="D806" s="3">
        <v>2525</v>
      </c>
      <c r="E806" s="3">
        <v>2486.1</v>
      </c>
      <c r="F806" s="3">
        <v>2517.1999999999998</v>
      </c>
      <c r="G806" s="3">
        <v>2496</v>
      </c>
      <c r="H806" s="3">
        <v>2500.1</v>
      </c>
      <c r="I806" s="3">
        <v>2505.48</v>
      </c>
      <c r="J806" s="3">
        <v>2886</v>
      </c>
      <c r="K806" s="3">
        <v>2136</v>
      </c>
      <c r="L806">
        <v>1225128</v>
      </c>
      <c r="M806" s="2">
        <v>3069533352.6999998</v>
      </c>
      <c r="N806">
        <v>58033</v>
      </c>
      <c r="O806" t="s">
        <v>19</v>
      </c>
      <c r="P806" s="8">
        <f t="shared" si="36"/>
        <v>6.1999999999998181</v>
      </c>
      <c r="Q806" t="s">
        <v>40</v>
      </c>
      <c r="R806">
        <f t="shared" si="37"/>
        <v>10</v>
      </c>
      <c r="S806" t="str">
        <f t="shared" si="38"/>
        <v>Oct</v>
      </c>
      <c r="T806" s="9">
        <f>VLOOKUP(O806, Annual_Summary!A:B, 2, 0)</f>
        <v>-2.6699969854871962E-3</v>
      </c>
    </row>
    <row r="807" spans="1:20" x14ac:dyDescent="0.3">
      <c r="A807" s="1">
        <v>45937</v>
      </c>
      <c r="B807" s="3" t="s">
        <v>15</v>
      </c>
      <c r="C807" s="3">
        <v>2540</v>
      </c>
      <c r="D807" s="3">
        <v>2559.4</v>
      </c>
      <c r="E807" s="3">
        <v>2508.3000000000002</v>
      </c>
      <c r="F807" s="3">
        <v>2541.8000000000002</v>
      </c>
      <c r="G807" s="3">
        <v>2530</v>
      </c>
      <c r="H807" s="3">
        <v>2517.1999999999998</v>
      </c>
      <c r="I807" s="3">
        <v>2521.6799999999998</v>
      </c>
      <c r="J807" s="3">
        <v>2886</v>
      </c>
      <c r="K807" s="3">
        <v>2136</v>
      </c>
      <c r="L807">
        <v>1291750</v>
      </c>
      <c r="M807" s="2">
        <v>3257385826.8000002</v>
      </c>
      <c r="N807">
        <v>68679</v>
      </c>
      <c r="O807" t="s">
        <v>19</v>
      </c>
      <c r="P807" s="8">
        <f t="shared" si="36"/>
        <v>1.8000000000001819</v>
      </c>
      <c r="Q807" t="s">
        <v>40</v>
      </c>
      <c r="R807">
        <f t="shared" si="37"/>
        <v>10</v>
      </c>
      <c r="S807" t="str">
        <f t="shared" si="38"/>
        <v>Oct</v>
      </c>
      <c r="T807" s="9">
        <f>VLOOKUP(O807, Annual_Summary!A:B, 2, 0)</f>
        <v>-2.6699969854871962E-3</v>
      </c>
    </row>
    <row r="808" spans="1:20" x14ac:dyDescent="0.3">
      <c r="A808" s="1">
        <v>45936</v>
      </c>
      <c r="B808" s="3" t="s">
        <v>15</v>
      </c>
      <c r="C808" s="3">
        <v>2535.1999999999998</v>
      </c>
      <c r="D808" s="3">
        <v>2549.6</v>
      </c>
      <c r="E808" s="3">
        <v>2520.1999999999998</v>
      </c>
      <c r="F808" s="3">
        <v>2544.9</v>
      </c>
      <c r="G808" s="3">
        <v>2541</v>
      </c>
      <c r="H808" s="3">
        <v>2541.8000000000002</v>
      </c>
      <c r="I808" s="3">
        <v>2538.4299999999998</v>
      </c>
      <c r="J808" s="3">
        <v>2886</v>
      </c>
      <c r="K808" s="3">
        <v>2136</v>
      </c>
      <c r="L808">
        <v>818923</v>
      </c>
      <c r="M808" s="2">
        <v>2078776424.5999999</v>
      </c>
      <c r="N808">
        <v>44250</v>
      </c>
      <c r="O808" t="s">
        <v>19</v>
      </c>
      <c r="P808" s="8">
        <f t="shared" si="36"/>
        <v>9.7000000000002728</v>
      </c>
      <c r="Q808" t="s">
        <v>40</v>
      </c>
      <c r="R808">
        <f t="shared" si="37"/>
        <v>10</v>
      </c>
      <c r="S808" t="str">
        <f t="shared" si="38"/>
        <v>Oct</v>
      </c>
      <c r="T808" s="9">
        <f>VLOOKUP(O808, Annual_Summary!A:B, 2, 0)</f>
        <v>-2.6699969854871962E-3</v>
      </c>
    </row>
    <row r="809" spans="1:20" x14ac:dyDescent="0.3">
      <c r="A809" s="1">
        <v>45933</v>
      </c>
      <c r="B809" s="3" t="s">
        <v>15</v>
      </c>
      <c r="C809" s="3">
        <v>2536.1999999999998</v>
      </c>
      <c r="D809" s="3">
        <v>2548.6</v>
      </c>
      <c r="E809" s="3">
        <v>2508.3000000000002</v>
      </c>
      <c r="F809" s="3">
        <v>2536.1999999999998</v>
      </c>
      <c r="G809" s="3">
        <v>2539</v>
      </c>
      <c r="H809" s="3">
        <v>2544.9</v>
      </c>
      <c r="I809" s="3">
        <v>2534.63</v>
      </c>
      <c r="J809" s="3">
        <v>2997.9</v>
      </c>
      <c r="K809" s="3">
        <v>2136</v>
      </c>
      <c r="L809">
        <v>1242611</v>
      </c>
      <c r="M809" s="2">
        <v>3149563863.9000001</v>
      </c>
      <c r="N809">
        <v>60549</v>
      </c>
      <c r="O809" t="s">
        <v>19</v>
      </c>
      <c r="P809" s="8">
        <f t="shared" si="36"/>
        <v>0</v>
      </c>
      <c r="Q809" t="s">
        <v>40</v>
      </c>
      <c r="R809">
        <f t="shared" si="37"/>
        <v>10</v>
      </c>
      <c r="S809" t="str">
        <f t="shared" si="38"/>
        <v>Oct</v>
      </c>
      <c r="T809" s="9">
        <f>VLOOKUP(O809, Annual_Summary!A:B, 2, 0)</f>
        <v>-2.6699969854871962E-3</v>
      </c>
    </row>
    <row r="810" spans="1:20" x14ac:dyDescent="0.3">
      <c r="A810" s="1">
        <v>45931</v>
      </c>
      <c r="B810" s="3" t="s">
        <v>15</v>
      </c>
      <c r="C810" s="3">
        <v>2515.4</v>
      </c>
      <c r="D810" s="3">
        <v>2550</v>
      </c>
      <c r="E810" s="3">
        <v>2497.9</v>
      </c>
      <c r="F810" s="3">
        <v>2514.4</v>
      </c>
      <c r="G810" s="3">
        <v>2535</v>
      </c>
      <c r="H810" s="3">
        <v>2536.1999999999998</v>
      </c>
      <c r="I810" s="3">
        <v>2526.75</v>
      </c>
      <c r="J810" s="3">
        <v>2997.9</v>
      </c>
      <c r="K810" s="3">
        <v>2136</v>
      </c>
      <c r="L810">
        <v>1483899</v>
      </c>
      <c r="M810" s="2">
        <v>3749435075.5999999</v>
      </c>
      <c r="N810">
        <v>65146</v>
      </c>
      <c r="O810" t="s">
        <v>19</v>
      </c>
      <c r="P810" s="8">
        <f t="shared" si="36"/>
        <v>-1</v>
      </c>
      <c r="Q810" t="s">
        <v>40</v>
      </c>
      <c r="R810">
        <f t="shared" si="37"/>
        <v>10</v>
      </c>
      <c r="S810" t="str">
        <f t="shared" si="38"/>
        <v>Oct</v>
      </c>
      <c r="T810" s="9">
        <f>VLOOKUP(O810, Annual_Summary!A:B, 2, 0)</f>
        <v>-2.6699969854871962E-3</v>
      </c>
    </row>
    <row r="811" spans="1:20" x14ac:dyDescent="0.3">
      <c r="A811" s="1">
        <v>45930</v>
      </c>
      <c r="B811" s="3" t="s">
        <v>15</v>
      </c>
      <c r="C811" s="3">
        <v>2497.9</v>
      </c>
      <c r="D811" s="3">
        <v>2526.3000000000002</v>
      </c>
      <c r="E811" s="3">
        <v>2491.6</v>
      </c>
      <c r="F811" s="3">
        <v>2497.9</v>
      </c>
      <c r="G811" s="3">
        <v>2516.3000000000002</v>
      </c>
      <c r="H811" s="3">
        <v>2514.4</v>
      </c>
      <c r="I811" s="3">
        <v>2512.0500000000002</v>
      </c>
      <c r="J811" s="3">
        <v>2997.9</v>
      </c>
      <c r="K811" s="3">
        <v>2136</v>
      </c>
      <c r="L811">
        <v>1678088</v>
      </c>
      <c r="M811" s="2">
        <v>4215447351.9000001</v>
      </c>
      <c r="N811">
        <v>87438</v>
      </c>
      <c r="O811" t="s">
        <v>19</v>
      </c>
      <c r="P811" s="8">
        <f t="shared" si="36"/>
        <v>0</v>
      </c>
      <c r="Q811" t="s">
        <v>40</v>
      </c>
      <c r="R811">
        <f t="shared" si="37"/>
        <v>9</v>
      </c>
      <c r="S811" t="str">
        <f t="shared" si="38"/>
        <v>Sep</v>
      </c>
      <c r="T811" s="9">
        <f>VLOOKUP(O811, Annual_Summary!A:B, 2, 0)</f>
        <v>-2.6699969854871962E-3</v>
      </c>
    </row>
    <row r="812" spans="1:20" x14ac:dyDescent="0.3">
      <c r="A812" s="1">
        <v>45929</v>
      </c>
      <c r="B812" s="3" t="s">
        <v>15</v>
      </c>
      <c r="C812" s="3">
        <v>2495</v>
      </c>
      <c r="D812" s="3">
        <v>2517.4</v>
      </c>
      <c r="E812" s="3">
        <v>2443</v>
      </c>
      <c r="F812" s="3">
        <v>2511.8000000000002</v>
      </c>
      <c r="G812" s="3">
        <v>2501.1</v>
      </c>
      <c r="H812" s="3">
        <v>2497.9</v>
      </c>
      <c r="I812" s="3">
        <v>2493.2800000000002</v>
      </c>
      <c r="J812" s="3">
        <v>2997.9</v>
      </c>
      <c r="K812" s="3">
        <v>2136</v>
      </c>
      <c r="L812">
        <v>2403556</v>
      </c>
      <c r="M812" s="2">
        <v>5992748858.6999998</v>
      </c>
      <c r="N812">
        <v>108089</v>
      </c>
      <c r="O812" t="s">
        <v>19</v>
      </c>
      <c r="P812" s="8">
        <f t="shared" si="36"/>
        <v>16.800000000000182</v>
      </c>
      <c r="Q812" t="s">
        <v>40</v>
      </c>
      <c r="R812">
        <f t="shared" si="37"/>
        <v>9</v>
      </c>
      <c r="S812" t="str">
        <f t="shared" si="38"/>
        <v>Sep</v>
      </c>
      <c r="T812" s="9">
        <f>VLOOKUP(O812, Annual_Summary!A:B, 2, 0)</f>
        <v>-2.6699969854871962E-3</v>
      </c>
    </row>
    <row r="813" spans="1:20" x14ac:dyDescent="0.3">
      <c r="A813" s="1">
        <v>45926</v>
      </c>
      <c r="B813" s="3" t="s">
        <v>15</v>
      </c>
      <c r="C813" s="3">
        <v>2535</v>
      </c>
      <c r="D813" s="3">
        <v>2545.4</v>
      </c>
      <c r="E813" s="3">
        <v>2499.4</v>
      </c>
      <c r="F813" s="3">
        <v>2538.3000000000002</v>
      </c>
      <c r="G813" s="3">
        <v>2512</v>
      </c>
      <c r="H813" s="3">
        <v>2511.8000000000002</v>
      </c>
      <c r="I813" s="3">
        <v>2511.29</v>
      </c>
      <c r="J813" s="3">
        <v>3035</v>
      </c>
      <c r="K813" s="3">
        <v>2136</v>
      </c>
      <c r="L813">
        <v>885612</v>
      </c>
      <c r="M813" s="2">
        <v>2224030604.1999998</v>
      </c>
      <c r="N813">
        <v>73464</v>
      </c>
      <c r="O813" t="s">
        <v>19</v>
      </c>
      <c r="P813" s="8">
        <f t="shared" si="36"/>
        <v>3.3000000000001819</v>
      </c>
      <c r="Q813" t="s">
        <v>40</v>
      </c>
      <c r="R813">
        <f t="shared" si="37"/>
        <v>9</v>
      </c>
      <c r="S813" t="str">
        <f t="shared" si="38"/>
        <v>Sep</v>
      </c>
      <c r="T813" s="9">
        <f>VLOOKUP(O813, Annual_Summary!A:B, 2, 0)</f>
        <v>-2.6699969854871962E-3</v>
      </c>
    </row>
    <row r="814" spans="1:20" x14ac:dyDescent="0.3">
      <c r="A814" s="1">
        <v>45925</v>
      </c>
      <c r="B814" s="3" t="s">
        <v>15</v>
      </c>
      <c r="C814" s="3">
        <v>2546</v>
      </c>
      <c r="D814" s="3">
        <v>2567.5</v>
      </c>
      <c r="E814" s="3">
        <v>2531.8000000000002</v>
      </c>
      <c r="F814" s="3">
        <v>2549.5</v>
      </c>
      <c r="G814" s="3">
        <v>2542.9</v>
      </c>
      <c r="H814" s="3">
        <v>2538.3000000000002</v>
      </c>
      <c r="I814" s="3">
        <v>2546.09</v>
      </c>
      <c r="J814" s="3">
        <v>3035</v>
      </c>
      <c r="K814" s="3">
        <v>2136</v>
      </c>
      <c r="L814">
        <v>1624258</v>
      </c>
      <c r="M814" s="2">
        <v>4135502470.6999998</v>
      </c>
      <c r="N814">
        <v>108114</v>
      </c>
      <c r="O814" t="s">
        <v>19</v>
      </c>
      <c r="P814" s="8">
        <f t="shared" si="36"/>
        <v>3.5</v>
      </c>
      <c r="Q814" t="s">
        <v>40</v>
      </c>
      <c r="R814">
        <f t="shared" si="37"/>
        <v>9</v>
      </c>
      <c r="S814" t="str">
        <f t="shared" si="38"/>
        <v>Sep</v>
      </c>
      <c r="T814" s="9">
        <f>VLOOKUP(O814, Annual_Summary!A:B, 2, 0)</f>
        <v>-2.6699969854871962E-3</v>
      </c>
    </row>
    <row r="815" spans="1:20" x14ac:dyDescent="0.3">
      <c r="A815" s="1">
        <v>45924</v>
      </c>
      <c r="B815" s="3" t="s">
        <v>15</v>
      </c>
      <c r="C815" s="3">
        <v>2522.1999999999998</v>
      </c>
      <c r="D815" s="3">
        <v>2576</v>
      </c>
      <c r="E815" s="3">
        <v>2510</v>
      </c>
      <c r="F815" s="3">
        <v>2522.1999999999998</v>
      </c>
      <c r="G815" s="3">
        <v>2556.6</v>
      </c>
      <c r="H815" s="3">
        <v>2549.5</v>
      </c>
      <c r="I815" s="3">
        <v>2554.2399999999998</v>
      </c>
      <c r="J815" s="3">
        <v>3035</v>
      </c>
      <c r="K815" s="3">
        <v>2136</v>
      </c>
      <c r="L815">
        <v>1882881</v>
      </c>
      <c r="M815" s="2">
        <v>4809338011.8999996</v>
      </c>
      <c r="N815">
        <v>113008</v>
      </c>
      <c r="O815" t="s">
        <v>19</v>
      </c>
      <c r="P815" s="8">
        <f t="shared" si="36"/>
        <v>0</v>
      </c>
      <c r="Q815" t="s">
        <v>40</v>
      </c>
      <c r="R815">
        <f t="shared" si="37"/>
        <v>9</v>
      </c>
      <c r="S815" t="str">
        <f t="shared" si="38"/>
        <v>Sep</v>
      </c>
      <c r="T815" s="9">
        <f>VLOOKUP(O815, Annual_Summary!A:B, 2, 0)</f>
        <v>-2.6699969854871962E-3</v>
      </c>
    </row>
    <row r="816" spans="1:20" x14ac:dyDescent="0.3">
      <c r="A816" s="1">
        <v>45923</v>
      </c>
      <c r="B816" s="3" t="s">
        <v>15</v>
      </c>
      <c r="C816" s="3">
        <v>2568.9</v>
      </c>
      <c r="D816" s="3">
        <v>2575.3000000000002</v>
      </c>
      <c r="E816" s="3">
        <v>2518.1999999999998</v>
      </c>
      <c r="F816" s="3">
        <v>2572.1999999999998</v>
      </c>
      <c r="G816" s="3">
        <v>2524.9</v>
      </c>
      <c r="H816" s="3">
        <v>2522.1999999999998</v>
      </c>
      <c r="I816" s="3">
        <v>2533.19</v>
      </c>
      <c r="J816" s="3">
        <v>3035</v>
      </c>
      <c r="K816" s="3">
        <v>2136</v>
      </c>
      <c r="L816">
        <v>1430474</v>
      </c>
      <c r="M816" s="2">
        <v>3623668085.9000001</v>
      </c>
      <c r="N816">
        <v>74139</v>
      </c>
      <c r="O816" t="s">
        <v>19</v>
      </c>
      <c r="P816" s="8">
        <f t="shared" si="36"/>
        <v>3.2999999999997272</v>
      </c>
      <c r="Q816" t="s">
        <v>40</v>
      </c>
      <c r="R816">
        <f t="shared" si="37"/>
        <v>9</v>
      </c>
      <c r="S816" t="str">
        <f t="shared" si="38"/>
        <v>Sep</v>
      </c>
      <c r="T816" s="9">
        <f>VLOOKUP(O816, Annual_Summary!A:B, 2, 0)</f>
        <v>-2.6699969854871962E-3</v>
      </c>
    </row>
    <row r="817" spans="1:20" x14ac:dyDescent="0.3">
      <c r="A817" s="1">
        <v>45922</v>
      </c>
      <c r="B817" s="3" t="s">
        <v>15</v>
      </c>
      <c r="C817" s="3">
        <v>2569</v>
      </c>
      <c r="D817" s="3">
        <v>2587.1999999999998</v>
      </c>
      <c r="E817" s="3">
        <v>2560.1999999999998</v>
      </c>
      <c r="F817" s="3">
        <v>2559.6</v>
      </c>
      <c r="G817" s="3">
        <v>2568.5</v>
      </c>
      <c r="H817" s="3">
        <v>2572.1999999999998</v>
      </c>
      <c r="I817" s="3">
        <v>2574.69</v>
      </c>
      <c r="J817" s="3">
        <v>3035</v>
      </c>
      <c r="K817" s="3">
        <v>2136</v>
      </c>
      <c r="L817">
        <v>1174161</v>
      </c>
      <c r="M817" s="2">
        <v>3023096185.1999998</v>
      </c>
      <c r="N817">
        <v>56229</v>
      </c>
      <c r="O817" t="s">
        <v>19</v>
      </c>
      <c r="P817" s="8">
        <f t="shared" si="36"/>
        <v>-9.4000000000000909</v>
      </c>
      <c r="Q817" t="s">
        <v>40</v>
      </c>
      <c r="R817">
        <f t="shared" si="37"/>
        <v>9</v>
      </c>
      <c r="S817" t="str">
        <f t="shared" si="38"/>
        <v>Sep</v>
      </c>
      <c r="T817" s="9">
        <f>VLOOKUP(O817, Annual_Summary!A:B, 2, 0)</f>
        <v>-2.6699969854871962E-3</v>
      </c>
    </row>
    <row r="818" spans="1:20" x14ac:dyDescent="0.3">
      <c r="A818" s="1">
        <v>45919</v>
      </c>
      <c r="B818" s="3" t="s">
        <v>15</v>
      </c>
      <c r="C818" s="3">
        <v>2600</v>
      </c>
      <c r="D818" s="3">
        <v>2604.6999999999998</v>
      </c>
      <c r="E818" s="3">
        <v>2554.8000000000002</v>
      </c>
      <c r="F818" s="3">
        <v>2586.8000000000002</v>
      </c>
      <c r="G818" s="3">
        <v>2564</v>
      </c>
      <c r="H818" s="3">
        <v>2559.6</v>
      </c>
      <c r="I818" s="3">
        <v>2566.9299999999998</v>
      </c>
      <c r="J818" s="3">
        <v>3035</v>
      </c>
      <c r="K818" s="3">
        <v>2136</v>
      </c>
      <c r="L818">
        <v>2214708</v>
      </c>
      <c r="M818" s="2">
        <v>5685009456.1000004</v>
      </c>
      <c r="N818">
        <v>68208</v>
      </c>
      <c r="O818" t="s">
        <v>19</v>
      </c>
      <c r="P818" s="8">
        <f t="shared" si="36"/>
        <v>-13.199999999999818</v>
      </c>
      <c r="Q818" t="s">
        <v>40</v>
      </c>
      <c r="R818">
        <f t="shared" si="37"/>
        <v>9</v>
      </c>
      <c r="S818" t="str">
        <f t="shared" si="38"/>
        <v>Sep</v>
      </c>
      <c r="T818" s="9">
        <f>VLOOKUP(O818, Annual_Summary!A:B, 2, 0)</f>
        <v>-2.6699969854871962E-3</v>
      </c>
    </row>
    <row r="819" spans="1:20" x14ac:dyDescent="0.3">
      <c r="A819" s="1">
        <v>45918</v>
      </c>
      <c r="B819" s="3" t="s">
        <v>15</v>
      </c>
      <c r="C819" s="3">
        <v>2570.9</v>
      </c>
      <c r="D819" s="3">
        <v>2609.9</v>
      </c>
      <c r="E819" s="3">
        <v>2570.9</v>
      </c>
      <c r="F819" s="3">
        <v>2569.6999999999998</v>
      </c>
      <c r="G819" s="3">
        <v>2580.3000000000002</v>
      </c>
      <c r="H819" s="3">
        <v>2586.8000000000002</v>
      </c>
      <c r="I819" s="3">
        <v>2588.2399999999998</v>
      </c>
      <c r="J819" s="3">
        <v>3035</v>
      </c>
      <c r="K819" s="3">
        <v>2136</v>
      </c>
      <c r="L819">
        <v>1550153</v>
      </c>
      <c r="M819" s="2">
        <v>4012160949.6999998</v>
      </c>
      <c r="N819">
        <v>79692</v>
      </c>
      <c r="O819" t="s">
        <v>19</v>
      </c>
      <c r="P819" s="8">
        <f t="shared" si="36"/>
        <v>-1.2000000000002728</v>
      </c>
      <c r="Q819" t="s">
        <v>40</v>
      </c>
      <c r="R819">
        <f t="shared" si="37"/>
        <v>9</v>
      </c>
      <c r="S819" t="str">
        <f t="shared" si="38"/>
        <v>Sep</v>
      </c>
      <c r="T819" s="9">
        <f>VLOOKUP(O819, Annual_Summary!A:B, 2, 0)</f>
        <v>-2.6699969854871962E-3</v>
      </c>
    </row>
    <row r="820" spans="1:20" x14ac:dyDescent="0.3">
      <c r="A820" s="1">
        <v>45917</v>
      </c>
      <c r="B820" s="3" t="s">
        <v>15</v>
      </c>
      <c r="C820" s="3">
        <v>2587</v>
      </c>
      <c r="D820" s="3">
        <v>2591.1</v>
      </c>
      <c r="E820" s="3">
        <v>2566.5</v>
      </c>
      <c r="F820" s="3">
        <v>2580.9</v>
      </c>
      <c r="G820" s="3">
        <v>2574</v>
      </c>
      <c r="H820" s="3">
        <v>2569.6999999999998</v>
      </c>
      <c r="I820" s="3">
        <v>2574.34</v>
      </c>
      <c r="J820" s="3">
        <v>3035</v>
      </c>
      <c r="K820" s="3">
        <v>2136</v>
      </c>
      <c r="L820">
        <v>970247</v>
      </c>
      <c r="M820" s="2">
        <v>2497750076.4000001</v>
      </c>
      <c r="N820">
        <v>41039</v>
      </c>
      <c r="O820" t="s">
        <v>19</v>
      </c>
      <c r="P820" s="8">
        <f t="shared" si="36"/>
        <v>-6.0999999999999091</v>
      </c>
      <c r="Q820" t="s">
        <v>40</v>
      </c>
      <c r="R820">
        <f t="shared" si="37"/>
        <v>9</v>
      </c>
      <c r="S820" t="str">
        <f t="shared" si="38"/>
        <v>Sep</v>
      </c>
      <c r="T820" s="9">
        <f>VLOOKUP(O820, Annual_Summary!A:B, 2, 0)</f>
        <v>-2.6699969854871962E-3</v>
      </c>
    </row>
    <row r="821" spans="1:20" x14ac:dyDescent="0.3">
      <c r="A821" s="1">
        <v>45916</v>
      </c>
      <c r="B821" s="3" t="s">
        <v>15</v>
      </c>
      <c r="C821" s="3">
        <v>2588.1999999999998</v>
      </c>
      <c r="D821" s="3">
        <v>2590</v>
      </c>
      <c r="E821" s="3">
        <v>2572.6</v>
      </c>
      <c r="F821" s="3">
        <v>2581</v>
      </c>
      <c r="G821" s="3">
        <v>2585</v>
      </c>
      <c r="H821" s="3">
        <v>2580.9</v>
      </c>
      <c r="I821" s="3">
        <v>2581.14</v>
      </c>
      <c r="J821" s="3">
        <v>3035</v>
      </c>
      <c r="K821" s="3">
        <v>2136</v>
      </c>
      <c r="L821">
        <v>1040928</v>
      </c>
      <c r="M821" s="2">
        <v>2686777880.9000001</v>
      </c>
      <c r="N821">
        <v>47475</v>
      </c>
      <c r="O821" t="s">
        <v>19</v>
      </c>
      <c r="P821" s="8">
        <f t="shared" si="36"/>
        <v>-7.1999999999998181</v>
      </c>
      <c r="Q821" t="s">
        <v>40</v>
      </c>
      <c r="R821">
        <f t="shared" si="37"/>
        <v>9</v>
      </c>
      <c r="S821" t="str">
        <f t="shared" si="38"/>
        <v>Sep</v>
      </c>
      <c r="T821" s="9">
        <f>VLOOKUP(O821, Annual_Summary!A:B, 2, 0)</f>
        <v>-2.6699969854871962E-3</v>
      </c>
    </row>
    <row r="822" spans="1:20" x14ac:dyDescent="0.3">
      <c r="A822" s="1">
        <v>45915</v>
      </c>
      <c r="B822" s="3" t="s">
        <v>15</v>
      </c>
      <c r="C822" s="3">
        <v>2580.5</v>
      </c>
      <c r="D822" s="3">
        <v>2593.4</v>
      </c>
      <c r="E822" s="3">
        <v>2568.4</v>
      </c>
      <c r="F822" s="3">
        <v>2580.5</v>
      </c>
      <c r="G822" s="3">
        <v>2580</v>
      </c>
      <c r="H822" s="3">
        <v>2581</v>
      </c>
      <c r="I822" s="3">
        <v>2582.91</v>
      </c>
      <c r="J822" s="3">
        <v>3035</v>
      </c>
      <c r="K822" s="3">
        <v>2136</v>
      </c>
      <c r="L822">
        <v>752745</v>
      </c>
      <c r="M822" s="2">
        <v>1944272199.4000001</v>
      </c>
      <c r="N822">
        <v>57453</v>
      </c>
      <c r="O822" t="s">
        <v>19</v>
      </c>
      <c r="P822" s="8">
        <f t="shared" si="36"/>
        <v>0</v>
      </c>
      <c r="Q822" t="s">
        <v>40</v>
      </c>
      <c r="R822">
        <f t="shared" si="37"/>
        <v>9</v>
      </c>
      <c r="S822" t="str">
        <f t="shared" si="38"/>
        <v>Sep</v>
      </c>
      <c r="T822" s="9">
        <f>VLOOKUP(O822, Annual_Summary!A:B, 2, 0)</f>
        <v>-2.6699969854871962E-3</v>
      </c>
    </row>
    <row r="823" spans="1:20" x14ac:dyDescent="0.3">
      <c r="A823" s="1">
        <v>45912</v>
      </c>
      <c r="B823" s="3" t="s">
        <v>15</v>
      </c>
      <c r="C823" s="3">
        <v>2625</v>
      </c>
      <c r="D823" s="3">
        <v>2628.9</v>
      </c>
      <c r="E823" s="3">
        <v>2569</v>
      </c>
      <c r="F823" s="3">
        <v>2622</v>
      </c>
      <c r="G823" s="3">
        <v>2582</v>
      </c>
      <c r="H823" s="3">
        <v>2580.5</v>
      </c>
      <c r="I823" s="3">
        <v>2583.5</v>
      </c>
      <c r="J823" s="3">
        <v>3035</v>
      </c>
      <c r="K823" s="3">
        <v>2136</v>
      </c>
      <c r="L823">
        <v>1368380</v>
      </c>
      <c r="M823" s="2">
        <v>3535210740.1999998</v>
      </c>
      <c r="N823">
        <v>91975</v>
      </c>
      <c r="O823" t="s">
        <v>19</v>
      </c>
      <c r="P823" s="8">
        <f t="shared" si="36"/>
        <v>-3</v>
      </c>
      <c r="Q823" t="s">
        <v>40</v>
      </c>
      <c r="R823">
        <f t="shared" si="37"/>
        <v>9</v>
      </c>
      <c r="S823" t="str">
        <f t="shared" si="38"/>
        <v>Sep</v>
      </c>
      <c r="T823" s="9">
        <f>VLOOKUP(O823, Annual_Summary!A:B, 2, 0)</f>
        <v>-2.6699969854871962E-3</v>
      </c>
    </row>
    <row r="824" spans="1:20" x14ac:dyDescent="0.3">
      <c r="A824" s="1">
        <v>45911</v>
      </c>
      <c r="B824" s="3" t="s">
        <v>15</v>
      </c>
      <c r="C824" s="3">
        <v>2643.8</v>
      </c>
      <c r="D824" s="3">
        <v>2657.7</v>
      </c>
      <c r="E824" s="3">
        <v>2614</v>
      </c>
      <c r="F824" s="3">
        <v>2643.5</v>
      </c>
      <c r="G824" s="3">
        <v>2626.7</v>
      </c>
      <c r="H824" s="3">
        <v>2622</v>
      </c>
      <c r="I824" s="3">
        <v>2630.95</v>
      </c>
      <c r="J824" s="3">
        <v>3035</v>
      </c>
      <c r="K824" s="3">
        <v>2136</v>
      </c>
      <c r="L824">
        <v>1212707</v>
      </c>
      <c r="M824" s="2">
        <v>3190567298.5999999</v>
      </c>
      <c r="N824">
        <v>110722</v>
      </c>
      <c r="O824" t="s">
        <v>19</v>
      </c>
      <c r="P824" s="8">
        <f t="shared" si="36"/>
        <v>-0.3000000000001819</v>
      </c>
      <c r="Q824" t="s">
        <v>40</v>
      </c>
      <c r="R824">
        <f t="shared" si="37"/>
        <v>9</v>
      </c>
      <c r="S824" t="str">
        <f t="shared" si="38"/>
        <v>Sep</v>
      </c>
      <c r="T824" s="9">
        <f>VLOOKUP(O824, Annual_Summary!A:B, 2, 0)</f>
        <v>-2.6699969854871962E-3</v>
      </c>
    </row>
    <row r="825" spans="1:20" x14ac:dyDescent="0.3">
      <c r="A825" s="1">
        <v>45910</v>
      </c>
      <c r="B825" s="3" t="s">
        <v>15</v>
      </c>
      <c r="C825" s="3">
        <v>2642</v>
      </c>
      <c r="D825" s="3">
        <v>2652.9</v>
      </c>
      <c r="E825" s="3">
        <v>2619</v>
      </c>
      <c r="F825" s="3">
        <v>2642</v>
      </c>
      <c r="G825" s="3">
        <v>2646</v>
      </c>
      <c r="H825" s="3">
        <v>2643.5</v>
      </c>
      <c r="I825" s="3">
        <v>2638.3</v>
      </c>
      <c r="J825" s="3">
        <v>3035</v>
      </c>
      <c r="K825" s="3">
        <v>2136</v>
      </c>
      <c r="L825">
        <v>1031486</v>
      </c>
      <c r="M825" s="2">
        <v>2721366883.4000001</v>
      </c>
      <c r="N825">
        <v>74808</v>
      </c>
      <c r="O825" t="s">
        <v>19</v>
      </c>
      <c r="P825" s="8">
        <f t="shared" si="36"/>
        <v>0</v>
      </c>
      <c r="Q825" t="s">
        <v>40</v>
      </c>
      <c r="R825">
        <f t="shared" si="37"/>
        <v>9</v>
      </c>
      <c r="S825" t="str">
        <f t="shared" si="38"/>
        <v>Sep</v>
      </c>
      <c r="T825" s="9">
        <f>VLOOKUP(O825, Annual_Summary!A:B, 2, 0)</f>
        <v>-2.6699969854871962E-3</v>
      </c>
    </row>
    <row r="826" spans="1:20" x14ac:dyDescent="0.3">
      <c r="A826" s="1">
        <v>45909</v>
      </c>
      <c r="B826" s="3" t="s">
        <v>15</v>
      </c>
      <c r="C826" s="3">
        <v>2637</v>
      </c>
      <c r="D826" s="3">
        <v>2646.2</v>
      </c>
      <c r="E826" s="3">
        <v>2611.3000000000002</v>
      </c>
      <c r="F826" s="3">
        <v>2623.9</v>
      </c>
      <c r="G826" s="3">
        <v>2640.2</v>
      </c>
      <c r="H826" s="3">
        <v>2642</v>
      </c>
      <c r="I826" s="3">
        <v>2634.15</v>
      </c>
      <c r="J826" s="3">
        <v>3035</v>
      </c>
      <c r="K826" s="3">
        <v>2136</v>
      </c>
      <c r="L826">
        <v>1610956</v>
      </c>
      <c r="M826" s="2">
        <v>4243495950.9000001</v>
      </c>
      <c r="N826">
        <v>74995</v>
      </c>
      <c r="O826" t="s">
        <v>19</v>
      </c>
      <c r="P826" s="8">
        <f t="shared" si="36"/>
        <v>-13.099999999999909</v>
      </c>
      <c r="Q826" t="s">
        <v>40</v>
      </c>
      <c r="R826">
        <f t="shared" si="37"/>
        <v>9</v>
      </c>
      <c r="S826" t="str">
        <f t="shared" si="38"/>
        <v>Sep</v>
      </c>
      <c r="T826" s="9">
        <f>VLOOKUP(O826, Annual_Summary!A:B, 2, 0)</f>
        <v>-2.6699969854871962E-3</v>
      </c>
    </row>
    <row r="827" spans="1:20" x14ac:dyDescent="0.3">
      <c r="A827" s="1">
        <v>45908</v>
      </c>
      <c r="B827" s="3" t="s">
        <v>15</v>
      </c>
      <c r="C827" s="3">
        <v>2630</v>
      </c>
      <c r="D827" s="3">
        <v>2644.6</v>
      </c>
      <c r="E827" s="3">
        <v>2618.8000000000002</v>
      </c>
      <c r="F827" s="3">
        <v>2633.4</v>
      </c>
      <c r="G827" s="3">
        <v>2629</v>
      </c>
      <c r="H827" s="3">
        <v>2623.9</v>
      </c>
      <c r="I827" s="3">
        <v>2628.45</v>
      </c>
      <c r="J827" s="3">
        <v>3035</v>
      </c>
      <c r="K827" s="3">
        <v>2136</v>
      </c>
      <c r="L827">
        <v>903410</v>
      </c>
      <c r="M827" s="2">
        <v>2374564752.5</v>
      </c>
      <c r="N827">
        <v>74852</v>
      </c>
      <c r="O827" t="s">
        <v>19</v>
      </c>
      <c r="P827" s="8">
        <f t="shared" si="36"/>
        <v>3.4000000000000909</v>
      </c>
      <c r="Q827" t="s">
        <v>40</v>
      </c>
      <c r="R827">
        <f t="shared" si="37"/>
        <v>9</v>
      </c>
      <c r="S827" t="str">
        <f t="shared" si="38"/>
        <v>Sep</v>
      </c>
      <c r="T827" s="9">
        <f>VLOOKUP(O827, Annual_Summary!A:B, 2, 0)</f>
        <v>-2.6699969854871962E-3</v>
      </c>
    </row>
    <row r="828" spans="1:20" x14ac:dyDescent="0.3">
      <c r="A828" s="1">
        <v>45905</v>
      </c>
      <c r="B828" s="3" t="s">
        <v>15</v>
      </c>
      <c r="C828" s="3">
        <v>2667.6</v>
      </c>
      <c r="D828" s="3">
        <v>2672.9</v>
      </c>
      <c r="E828" s="3">
        <v>2623.8</v>
      </c>
      <c r="F828" s="3">
        <v>2666.6</v>
      </c>
      <c r="G828" s="3">
        <v>2628</v>
      </c>
      <c r="H828" s="3">
        <v>2633.4</v>
      </c>
      <c r="I828" s="3">
        <v>2642.92</v>
      </c>
      <c r="J828" s="3">
        <v>3035</v>
      </c>
      <c r="K828" s="3">
        <v>2136</v>
      </c>
      <c r="L828">
        <v>944879</v>
      </c>
      <c r="M828" s="2">
        <v>2497241215.9000001</v>
      </c>
      <c r="N828">
        <v>60689</v>
      </c>
      <c r="O828" t="s">
        <v>19</v>
      </c>
      <c r="P828" s="8">
        <f t="shared" si="36"/>
        <v>-1</v>
      </c>
      <c r="Q828" t="s">
        <v>40</v>
      </c>
      <c r="R828">
        <f t="shared" si="37"/>
        <v>9</v>
      </c>
      <c r="S828" t="str">
        <f t="shared" si="38"/>
        <v>Sep</v>
      </c>
      <c r="T828" s="9">
        <f>VLOOKUP(O828, Annual_Summary!A:B, 2, 0)</f>
        <v>-2.6699969854871962E-3</v>
      </c>
    </row>
    <row r="829" spans="1:20" x14ac:dyDescent="0.3">
      <c r="A829" s="1">
        <v>45904</v>
      </c>
      <c r="B829" s="3" t="s">
        <v>15</v>
      </c>
      <c r="C829" s="3">
        <v>2750</v>
      </c>
      <c r="D829" s="3">
        <v>2750</v>
      </c>
      <c r="E829" s="3">
        <v>2655.5</v>
      </c>
      <c r="F829" s="3">
        <v>2664.7</v>
      </c>
      <c r="G829" s="3">
        <v>2665</v>
      </c>
      <c r="H829" s="3">
        <v>2666.6</v>
      </c>
      <c r="I829" s="3">
        <v>2694.62</v>
      </c>
      <c r="J829" s="3">
        <v>3035</v>
      </c>
      <c r="K829" s="3">
        <v>2136</v>
      </c>
      <c r="L829">
        <v>2494678</v>
      </c>
      <c r="M829" s="2">
        <v>6722201756.8999996</v>
      </c>
      <c r="N829">
        <v>123249</v>
      </c>
      <c r="O829" t="s">
        <v>19</v>
      </c>
      <c r="P829" s="8">
        <f t="shared" si="36"/>
        <v>-85.300000000000182</v>
      </c>
      <c r="Q829" t="s">
        <v>40</v>
      </c>
      <c r="R829">
        <f t="shared" si="37"/>
        <v>9</v>
      </c>
      <c r="S829" t="str">
        <f t="shared" si="38"/>
        <v>Sep</v>
      </c>
      <c r="T829" s="9">
        <f>VLOOKUP(O829, Annual_Summary!A:B, 2, 0)</f>
        <v>-2.6699969854871962E-3</v>
      </c>
    </row>
    <row r="830" spans="1:20" x14ac:dyDescent="0.3">
      <c r="A830" s="1">
        <v>45903</v>
      </c>
      <c r="B830" s="3" t="s">
        <v>15</v>
      </c>
      <c r="C830" s="3">
        <v>2681</v>
      </c>
      <c r="D830" s="3">
        <v>2686.9</v>
      </c>
      <c r="E830" s="3">
        <v>2658.3</v>
      </c>
      <c r="F830" s="3">
        <v>2677</v>
      </c>
      <c r="G830" s="3">
        <v>2670</v>
      </c>
      <c r="H830" s="3">
        <v>2664.7</v>
      </c>
      <c r="I830" s="3">
        <v>2668</v>
      </c>
      <c r="J830" s="3">
        <v>3035</v>
      </c>
      <c r="K830" s="3">
        <v>2136</v>
      </c>
      <c r="L830">
        <v>1010692</v>
      </c>
      <c r="M830" s="2">
        <v>2696528429.5</v>
      </c>
      <c r="N830">
        <v>47874</v>
      </c>
      <c r="O830" t="s">
        <v>19</v>
      </c>
      <c r="P830" s="8">
        <f t="shared" si="36"/>
        <v>-4</v>
      </c>
      <c r="Q830" t="s">
        <v>40</v>
      </c>
      <c r="R830">
        <f t="shared" si="37"/>
        <v>9</v>
      </c>
      <c r="S830" t="str">
        <f t="shared" si="38"/>
        <v>Sep</v>
      </c>
      <c r="T830" s="9">
        <f>VLOOKUP(O830, Annual_Summary!A:B, 2, 0)</f>
        <v>-2.6699969854871962E-3</v>
      </c>
    </row>
    <row r="831" spans="1:20" x14ac:dyDescent="0.3">
      <c r="A831" s="1">
        <v>45902</v>
      </c>
      <c r="B831" s="3" t="s">
        <v>15</v>
      </c>
      <c r="C831" s="3">
        <v>2649</v>
      </c>
      <c r="D831" s="3">
        <v>2692.4</v>
      </c>
      <c r="E831" s="3">
        <v>2645.1</v>
      </c>
      <c r="F831" s="3">
        <v>2649.5</v>
      </c>
      <c r="G831" s="3">
        <v>2680</v>
      </c>
      <c r="H831" s="3">
        <v>2677</v>
      </c>
      <c r="I831" s="3">
        <v>2679.92</v>
      </c>
      <c r="J831" s="3">
        <v>3035</v>
      </c>
      <c r="K831" s="3">
        <v>2136</v>
      </c>
      <c r="L831">
        <v>1525106</v>
      </c>
      <c r="M831" s="2">
        <v>4087161608.1999998</v>
      </c>
      <c r="N831">
        <v>86034</v>
      </c>
      <c r="O831" t="s">
        <v>19</v>
      </c>
      <c r="P831" s="8">
        <f t="shared" si="36"/>
        <v>0.5</v>
      </c>
      <c r="Q831" t="s">
        <v>40</v>
      </c>
      <c r="R831">
        <f t="shared" si="37"/>
        <v>9</v>
      </c>
      <c r="S831" t="str">
        <f t="shared" si="38"/>
        <v>Sep</v>
      </c>
      <c r="T831" s="9">
        <f>VLOOKUP(O831, Annual_Summary!A:B, 2, 0)</f>
        <v>-2.6699969854871962E-3</v>
      </c>
    </row>
    <row r="832" spans="1:20" x14ac:dyDescent="0.3">
      <c r="A832" s="1">
        <v>45901</v>
      </c>
      <c r="B832" s="3" t="s">
        <v>15</v>
      </c>
      <c r="C832" s="3">
        <v>2659.8</v>
      </c>
      <c r="D832" s="3">
        <v>2673.3</v>
      </c>
      <c r="E832" s="3">
        <v>2639.3</v>
      </c>
      <c r="F832" s="3">
        <v>2659.8</v>
      </c>
      <c r="G832" s="3">
        <v>2645</v>
      </c>
      <c r="H832" s="3">
        <v>2649.5</v>
      </c>
      <c r="I832" s="3">
        <v>2653.31</v>
      </c>
      <c r="J832" s="3">
        <v>3035</v>
      </c>
      <c r="K832" s="3">
        <v>2136</v>
      </c>
      <c r="L832">
        <v>1096729</v>
      </c>
      <c r="M832" s="2">
        <v>2909965291.0999999</v>
      </c>
      <c r="N832">
        <v>65078</v>
      </c>
      <c r="O832" t="s">
        <v>19</v>
      </c>
      <c r="P832" s="8">
        <f t="shared" si="36"/>
        <v>0</v>
      </c>
      <c r="Q832" t="s">
        <v>40</v>
      </c>
      <c r="R832">
        <f t="shared" si="37"/>
        <v>9</v>
      </c>
      <c r="S832" t="str">
        <f t="shared" si="38"/>
        <v>Sep</v>
      </c>
      <c r="T832" s="9">
        <f>VLOOKUP(O832, Annual_Summary!A:B, 2, 0)</f>
        <v>-2.6699969854871962E-3</v>
      </c>
    </row>
    <row r="833" spans="1:20" x14ac:dyDescent="0.3">
      <c r="A833" s="1">
        <v>45898</v>
      </c>
      <c r="B833" s="3" t="s">
        <v>15</v>
      </c>
      <c r="C833" s="3">
        <v>2664.8</v>
      </c>
      <c r="D833" s="3">
        <v>2723</v>
      </c>
      <c r="E833" s="3">
        <v>2641.4</v>
      </c>
      <c r="F833" s="3">
        <v>2654.4</v>
      </c>
      <c r="G833" s="3">
        <v>2660</v>
      </c>
      <c r="H833" s="3">
        <v>2659.8</v>
      </c>
      <c r="I833" s="3">
        <v>2666.51</v>
      </c>
      <c r="J833" s="3">
        <v>3035</v>
      </c>
      <c r="K833" s="3">
        <v>2136</v>
      </c>
      <c r="L833">
        <v>1972773</v>
      </c>
      <c r="M833" s="2">
        <v>5260411726</v>
      </c>
      <c r="N833">
        <v>93460</v>
      </c>
      <c r="O833" t="s">
        <v>19</v>
      </c>
      <c r="P833" s="8">
        <f t="shared" si="36"/>
        <v>-10.400000000000091</v>
      </c>
      <c r="Q833" t="s">
        <v>40</v>
      </c>
      <c r="R833">
        <f t="shared" si="37"/>
        <v>8</v>
      </c>
      <c r="S833" t="str">
        <f t="shared" si="38"/>
        <v>Aug</v>
      </c>
      <c r="T833" s="9">
        <f>VLOOKUP(O833, Annual_Summary!A:B, 2, 0)</f>
        <v>-2.6699969854871962E-3</v>
      </c>
    </row>
    <row r="834" spans="1:20" x14ac:dyDescent="0.3">
      <c r="A834" s="1">
        <v>45897</v>
      </c>
      <c r="B834" s="3" t="s">
        <v>15</v>
      </c>
      <c r="C834" s="3">
        <v>2748</v>
      </c>
      <c r="D834" s="3">
        <v>2748</v>
      </c>
      <c r="E834" s="3">
        <v>2646.8</v>
      </c>
      <c r="F834" s="3">
        <v>2692.6</v>
      </c>
      <c r="G834" s="3">
        <v>2653.8</v>
      </c>
      <c r="H834" s="3">
        <v>2654.4</v>
      </c>
      <c r="I834" s="3">
        <v>2678.28</v>
      </c>
      <c r="J834" s="3">
        <v>3035</v>
      </c>
      <c r="K834" s="3">
        <v>2136</v>
      </c>
      <c r="L834">
        <v>3198743</v>
      </c>
      <c r="M834" s="2">
        <v>8567118649.8000002</v>
      </c>
      <c r="N834">
        <v>145385</v>
      </c>
      <c r="O834" t="s">
        <v>19</v>
      </c>
      <c r="P834" s="8">
        <f t="shared" si="36"/>
        <v>-55.400000000000091</v>
      </c>
      <c r="Q834" t="s">
        <v>40</v>
      </c>
      <c r="R834">
        <f t="shared" si="37"/>
        <v>8</v>
      </c>
      <c r="S834" t="str">
        <f t="shared" si="38"/>
        <v>Aug</v>
      </c>
      <c r="T834" s="9">
        <f>VLOOKUP(O834, Annual_Summary!A:B, 2, 0)</f>
        <v>-2.6699969854871962E-3</v>
      </c>
    </row>
    <row r="835" spans="1:20" x14ac:dyDescent="0.3">
      <c r="A835" s="1">
        <v>45895</v>
      </c>
      <c r="B835" s="3" t="s">
        <v>15</v>
      </c>
      <c r="C835" s="3">
        <v>2624.6</v>
      </c>
      <c r="D835" s="3">
        <v>2705</v>
      </c>
      <c r="E835" s="3">
        <v>2624.6</v>
      </c>
      <c r="F835" s="3">
        <v>2631.6</v>
      </c>
      <c r="G835" s="3">
        <v>2692.7</v>
      </c>
      <c r="H835" s="3">
        <v>2692.6</v>
      </c>
      <c r="I835" s="3">
        <v>2684.6</v>
      </c>
      <c r="J835" s="3">
        <v>3035</v>
      </c>
      <c r="K835" s="3">
        <v>2136</v>
      </c>
      <c r="L835">
        <v>4348648</v>
      </c>
      <c r="M835" s="2">
        <v>11674362191.299999</v>
      </c>
      <c r="N835">
        <v>193966</v>
      </c>
      <c r="O835" t="s">
        <v>19</v>
      </c>
      <c r="P835" s="8">
        <f t="shared" ref="P835:P898" si="39">F835-C835</f>
        <v>7</v>
      </c>
      <c r="Q835" t="s">
        <v>40</v>
      </c>
      <c r="R835">
        <f t="shared" ref="R835:R898" si="40">MONTH(A835)</f>
        <v>8</v>
      </c>
      <c r="S835" t="str">
        <f t="shared" ref="S835:S898" si="41">TEXT(A835,"mmm")</f>
        <v>Aug</v>
      </c>
      <c r="T835" s="9">
        <f>VLOOKUP(O835, Annual_Summary!A:B, 2, 0)</f>
        <v>-2.6699969854871962E-3</v>
      </c>
    </row>
    <row r="836" spans="1:20" x14ac:dyDescent="0.3">
      <c r="A836" s="1">
        <v>45894</v>
      </c>
      <c r="B836" s="3" t="s">
        <v>15</v>
      </c>
      <c r="C836" s="3">
        <v>2643</v>
      </c>
      <c r="D836" s="3">
        <v>2643</v>
      </c>
      <c r="E836" s="3">
        <v>2615.1999999999998</v>
      </c>
      <c r="F836" s="3">
        <v>2629.9</v>
      </c>
      <c r="G836" s="3">
        <v>2628</v>
      </c>
      <c r="H836" s="3">
        <v>2631.6</v>
      </c>
      <c r="I836" s="3">
        <v>2630.11</v>
      </c>
      <c r="J836" s="3">
        <v>3035</v>
      </c>
      <c r="K836" s="3">
        <v>2136</v>
      </c>
      <c r="L836">
        <v>667598</v>
      </c>
      <c r="M836" s="2">
        <v>1755858039.5999999</v>
      </c>
      <c r="N836">
        <v>35409</v>
      </c>
      <c r="O836" t="s">
        <v>19</v>
      </c>
      <c r="P836" s="8">
        <f t="shared" si="39"/>
        <v>-13.099999999999909</v>
      </c>
      <c r="Q836" t="s">
        <v>40</v>
      </c>
      <c r="R836">
        <f t="shared" si="40"/>
        <v>8</v>
      </c>
      <c r="S836" t="str">
        <f t="shared" si="41"/>
        <v>Aug</v>
      </c>
      <c r="T836" s="9">
        <f>VLOOKUP(O836, Annual_Summary!A:B, 2, 0)</f>
        <v>-2.6699969854871962E-3</v>
      </c>
    </row>
    <row r="837" spans="1:20" x14ac:dyDescent="0.3">
      <c r="A837" s="1">
        <v>45891</v>
      </c>
      <c r="B837" s="3" t="s">
        <v>15</v>
      </c>
      <c r="C837" s="3">
        <v>2647</v>
      </c>
      <c r="D837" s="3">
        <v>2658.5</v>
      </c>
      <c r="E837" s="3">
        <v>2619</v>
      </c>
      <c r="F837" s="3">
        <v>2648</v>
      </c>
      <c r="G837" s="3">
        <v>2631.9</v>
      </c>
      <c r="H837" s="3">
        <v>2629.9</v>
      </c>
      <c r="I837" s="3">
        <v>2631.27</v>
      </c>
      <c r="J837" s="3">
        <v>3035</v>
      </c>
      <c r="K837" s="3">
        <v>2136</v>
      </c>
      <c r="L837">
        <v>1223445</v>
      </c>
      <c r="M837" s="2">
        <v>3219214615.6999998</v>
      </c>
      <c r="N837">
        <v>68993</v>
      </c>
      <c r="O837" t="s">
        <v>19</v>
      </c>
      <c r="P837" s="8">
        <f t="shared" si="39"/>
        <v>1</v>
      </c>
      <c r="Q837" t="s">
        <v>40</v>
      </c>
      <c r="R837">
        <f t="shared" si="40"/>
        <v>8</v>
      </c>
      <c r="S837" t="str">
        <f t="shared" si="41"/>
        <v>Aug</v>
      </c>
      <c r="T837" s="9">
        <f>VLOOKUP(O837, Annual_Summary!A:B, 2, 0)</f>
        <v>-2.6699969854871962E-3</v>
      </c>
    </row>
    <row r="838" spans="1:20" x14ac:dyDescent="0.3">
      <c r="A838" s="1">
        <v>45890</v>
      </c>
      <c r="B838" s="3" t="s">
        <v>15</v>
      </c>
      <c r="C838" s="3">
        <v>2667.1</v>
      </c>
      <c r="D838" s="3">
        <v>2667.1</v>
      </c>
      <c r="E838" s="3">
        <v>2627.3</v>
      </c>
      <c r="F838" s="3">
        <v>2669.8</v>
      </c>
      <c r="G838" s="3">
        <v>2640</v>
      </c>
      <c r="H838" s="3">
        <v>2648</v>
      </c>
      <c r="I838" s="3">
        <v>2647.08</v>
      </c>
      <c r="J838" s="3">
        <v>3035</v>
      </c>
      <c r="K838" s="3">
        <v>2136</v>
      </c>
      <c r="L838">
        <v>2235686</v>
      </c>
      <c r="M838" s="2">
        <v>5918046935.5</v>
      </c>
      <c r="N838">
        <v>89852</v>
      </c>
      <c r="O838" t="s">
        <v>19</v>
      </c>
      <c r="P838" s="8">
        <f t="shared" si="39"/>
        <v>2.7000000000002728</v>
      </c>
      <c r="Q838" t="s">
        <v>40</v>
      </c>
      <c r="R838">
        <f t="shared" si="40"/>
        <v>8</v>
      </c>
      <c r="S838" t="str">
        <f t="shared" si="41"/>
        <v>Aug</v>
      </c>
      <c r="T838" s="9">
        <f>VLOOKUP(O838, Annual_Summary!A:B, 2, 0)</f>
        <v>-2.6699969854871962E-3</v>
      </c>
    </row>
    <row r="839" spans="1:20" x14ac:dyDescent="0.3">
      <c r="A839" s="1">
        <v>45889</v>
      </c>
      <c r="B839" s="3" t="s">
        <v>15</v>
      </c>
      <c r="C839" s="3">
        <v>2599</v>
      </c>
      <c r="D839" s="3">
        <v>2680</v>
      </c>
      <c r="E839" s="3">
        <v>2588.5</v>
      </c>
      <c r="F839" s="3">
        <v>2604.8000000000002</v>
      </c>
      <c r="G839" s="3">
        <v>2668</v>
      </c>
      <c r="H839" s="3">
        <v>2669.8</v>
      </c>
      <c r="I839" s="3">
        <v>2659.05</v>
      </c>
      <c r="J839" s="3">
        <v>3035</v>
      </c>
      <c r="K839" s="3">
        <v>2136</v>
      </c>
      <c r="L839">
        <v>3156954</v>
      </c>
      <c r="M839" s="2">
        <v>8394511304.3000002</v>
      </c>
      <c r="N839">
        <v>133377</v>
      </c>
      <c r="O839" t="s">
        <v>19</v>
      </c>
      <c r="P839" s="8">
        <f t="shared" si="39"/>
        <v>5.8000000000001819</v>
      </c>
      <c r="Q839" t="s">
        <v>40</v>
      </c>
      <c r="R839">
        <f t="shared" si="40"/>
        <v>8</v>
      </c>
      <c r="S839" t="str">
        <f t="shared" si="41"/>
        <v>Aug</v>
      </c>
      <c r="T839" s="9">
        <f>VLOOKUP(O839, Annual_Summary!A:B, 2, 0)</f>
        <v>-2.6699969854871962E-3</v>
      </c>
    </row>
    <row r="840" spans="1:20" x14ac:dyDescent="0.3">
      <c r="A840" s="1">
        <v>45888</v>
      </c>
      <c r="B840" s="3" t="s">
        <v>15</v>
      </c>
      <c r="C840" s="3">
        <v>2572.1999999999998</v>
      </c>
      <c r="D840" s="3">
        <v>2615</v>
      </c>
      <c r="E840" s="3">
        <v>2558.4</v>
      </c>
      <c r="F840" s="3">
        <v>2568.1</v>
      </c>
      <c r="G840" s="3">
        <v>2604</v>
      </c>
      <c r="H840" s="3">
        <v>2604.8000000000002</v>
      </c>
      <c r="I840" s="3">
        <v>2588.2199999999998</v>
      </c>
      <c r="J840" s="3">
        <v>3035</v>
      </c>
      <c r="K840" s="3">
        <v>2136</v>
      </c>
      <c r="L840">
        <v>1400717</v>
      </c>
      <c r="M840" s="2">
        <v>3625365899.3000002</v>
      </c>
      <c r="N840">
        <v>54506</v>
      </c>
      <c r="O840" t="s">
        <v>19</v>
      </c>
      <c r="P840" s="8">
        <f t="shared" si="39"/>
        <v>-4.0999999999999091</v>
      </c>
      <c r="Q840" t="s">
        <v>40</v>
      </c>
      <c r="R840">
        <f t="shared" si="40"/>
        <v>8</v>
      </c>
      <c r="S840" t="str">
        <f t="shared" si="41"/>
        <v>Aug</v>
      </c>
      <c r="T840" s="9">
        <f>VLOOKUP(O840, Annual_Summary!A:B, 2, 0)</f>
        <v>-2.6699969854871962E-3</v>
      </c>
    </row>
    <row r="841" spans="1:20" x14ac:dyDescent="0.3">
      <c r="A841" s="1">
        <v>45887</v>
      </c>
      <c r="B841" s="3" t="s">
        <v>15</v>
      </c>
      <c r="C841" s="3">
        <v>2539</v>
      </c>
      <c r="D841" s="3">
        <v>2597</v>
      </c>
      <c r="E841" s="3">
        <v>2521.3000000000002</v>
      </c>
      <c r="F841" s="3">
        <v>2480.6</v>
      </c>
      <c r="G841" s="3">
        <v>2565</v>
      </c>
      <c r="H841" s="3">
        <v>2568.1</v>
      </c>
      <c r="I841" s="3">
        <v>2574.34</v>
      </c>
      <c r="J841" s="3">
        <v>3035</v>
      </c>
      <c r="K841" s="3">
        <v>2136</v>
      </c>
      <c r="L841">
        <v>3089136</v>
      </c>
      <c r="M841" s="2">
        <v>7952483958.8000002</v>
      </c>
      <c r="N841">
        <v>153069</v>
      </c>
      <c r="O841" t="s">
        <v>19</v>
      </c>
      <c r="P841" s="8">
        <f t="shared" si="39"/>
        <v>-58.400000000000091</v>
      </c>
      <c r="Q841" t="s">
        <v>40</v>
      </c>
      <c r="R841">
        <f t="shared" si="40"/>
        <v>8</v>
      </c>
      <c r="S841" t="str">
        <f t="shared" si="41"/>
        <v>Aug</v>
      </c>
      <c r="T841" s="9">
        <f>VLOOKUP(O841, Annual_Summary!A:B, 2, 0)</f>
        <v>-2.6699969854871962E-3</v>
      </c>
    </row>
    <row r="842" spans="1:20" x14ac:dyDescent="0.3">
      <c r="A842" s="1">
        <v>45883</v>
      </c>
      <c r="B842" s="3" t="s">
        <v>15</v>
      </c>
      <c r="C842" s="3">
        <v>2498.9</v>
      </c>
      <c r="D842" s="3">
        <v>2509</v>
      </c>
      <c r="E842" s="3">
        <v>2473.1999999999998</v>
      </c>
      <c r="F842" s="3">
        <v>2495.1</v>
      </c>
      <c r="G842" s="3">
        <v>2479</v>
      </c>
      <c r="H842" s="3">
        <v>2480.6</v>
      </c>
      <c r="I842" s="3">
        <v>2490.61</v>
      </c>
      <c r="J842" s="3">
        <v>3035</v>
      </c>
      <c r="K842" s="3">
        <v>2136</v>
      </c>
      <c r="L842">
        <v>1104362</v>
      </c>
      <c r="M842" s="2">
        <v>2750531986.5999999</v>
      </c>
      <c r="N842">
        <v>53283</v>
      </c>
      <c r="O842" t="s">
        <v>19</v>
      </c>
      <c r="P842" s="8">
        <f t="shared" si="39"/>
        <v>-3.8000000000001819</v>
      </c>
      <c r="Q842" t="s">
        <v>40</v>
      </c>
      <c r="R842">
        <f t="shared" si="40"/>
        <v>8</v>
      </c>
      <c r="S842" t="str">
        <f t="shared" si="41"/>
        <v>Aug</v>
      </c>
      <c r="T842" s="9">
        <f>VLOOKUP(O842, Annual_Summary!A:B, 2, 0)</f>
        <v>-2.6699969854871962E-3</v>
      </c>
    </row>
    <row r="843" spans="1:20" x14ac:dyDescent="0.3">
      <c r="A843" s="1">
        <v>45882</v>
      </c>
      <c r="B843" s="3" t="s">
        <v>15</v>
      </c>
      <c r="C843" s="3">
        <v>2485</v>
      </c>
      <c r="D843" s="3">
        <v>2501.5</v>
      </c>
      <c r="E843" s="3">
        <v>2473.4</v>
      </c>
      <c r="F843" s="3">
        <v>2483.8000000000002</v>
      </c>
      <c r="G843" s="3">
        <v>2493.4</v>
      </c>
      <c r="H843" s="3">
        <v>2495.1</v>
      </c>
      <c r="I843" s="3">
        <v>2488.5</v>
      </c>
      <c r="J843" s="3">
        <v>3035</v>
      </c>
      <c r="K843" s="3">
        <v>2136</v>
      </c>
      <c r="L843">
        <v>969803</v>
      </c>
      <c r="M843" s="2">
        <v>2413358492.5</v>
      </c>
      <c r="N843">
        <v>42554</v>
      </c>
      <c r="O843" t="s">
        <v>19</v>
      </c>
      <c r="P843" s="8">
        <f t="shared" si="39"/>
        <v>-1.1999999999998181</v>
      </c>
      <c r="Q843" t="s">
        <v>40</v>
      </c>
      <c r="R843">
        <f t="shared" si="40"/>
        <v>8</v>
      </c>
      <c r="S843" t="str">
        <f t="shared" si="41"/>
        <v>Aug</v>
      </c>
      <c r="T843" s="9">
        <f>VLOOKUP(O843, Annual_Summary!A:B, 2, 0)</f>
        <v>-2.6699969854871962E-3</v>
      </c>
    </row>
    <row r="844" spans="1:20" x14ac:dyDescent="0.3">
      <c r="A844" s="1">
        <v>45881</v>
      </c>
      <c r="B844" s="3" t="s">
        <v>15</v>
      </c>
      <c r="C844" s="3">
        <v>2518</v>
      </c>
      <c r="D844" s="3">
        <v>2536.6</v>
      </c>
      <c r="E844" s="3">
        <v>2480.1</v>
      </c>
      <c r="F844" s="3">
        <v>2518.4</v>
      </c>
      <c r="G844" s="3">
        <v>2484</v>
      </c>
      <c r="H844" s="3">
        <v>2483.8000000000002</v>
      </c>
      <c r="I844" s="3">
        <v>2498.11</v>
      </c>
      <c r="J844" s="3">
        <v>3035</v>
      </c>
      <c r="K844" s="3">
        <v>2136</v>
      </c>
      <c r="L844">
        <v>1406211</v>
      </c>
      <c r="M844" s="2">
        <v>3512876642.9000001</v>
      </c>
      <c r="N844">
        <v>70674</v>
      </c>
      <c r="O844" t="s">
        <v>19</v>
      </c>
      <c r="P844" s="8">
        <f t="shared" si="39"/>
        <v>0.40000000000009095</v>
      </c>
      <c r="Q844" t="s">
        <v>40</v>
      </c>
      <c r="R844">
        <f t="shared" si="40"/>
        <v>8</v>
      </c>
      <c r="S844" t="str">
        <f t="shared" si="41"/>
        <v>Aug</v>
      </c>
      <c r="T844" s="9">
        <f>VLOOKUP(O844, Annual_Summary!A:B, 2, 0)</f>
        <v>-2.6699969854871962E-3</v>
      </c>
    </row>
    <row r="845" spans="1:20" x14ac:dyDescent="0.3">
      <c r="A845" s="1">
        <v>45880</v>
      </c>
      <c r="B845" s="3" t="s">
        <v>15</v>
      </c>
      <c r="C845" s="3">
        <v>2490.1</v>
      </c>
      <c r="D845" s="3">
        <v>2524.5</v>
      </c>
      <c r="E845" s="3">
        <v>2478.5</v>
      </c>
      <c r="F845" s="3">
        <v>2498.6</v>
      </c>
      <c r="G845" s="3">
        <v>2509</v>
      </c>
      <c r="H845" s="3">
        <v>2518.4</v>
      </c>
      <c r="I845" s="3">
        <v>2504.14</v>
      </c>
      <c r="J845" s="3">
        <v>3035</v>
      </c>
      <c r="K845" s="3">
        <v>2136</v>
      </c>
      <c r="L845">
        <v>992436</v>
      </c>
      <c r="M845" s="2">
        <v>2485196993.6999998</v>
      </c>
      <c r="N845">
        <v>68671</v>
      </c>
      <c r="O845" t="s">
        <v>19</v>
      </c>
      <c r="P845" s="8">
        <f t="shared" si="39"/>
        <v>8.5</v>
      </c>
      <c r="Q845" t="s">
        <v>40</v>
      </c>
      <c r="R845">
        <f t="shared" si="40"/>
        <v>8</v>
      </c>
      <c r="S845" t="str">
        <f t="shared" si="41"/>
        <v>Aug</v>
      </c>
      <c r="T845" s="9">
        <f>VLOOKUP(O845, Annual_Summary!A:B, 2, 0)</f>
        <v>-2.6699969854871962E-3</v>
      </c>
    </row>
    <row r="846" spans="1:20" x14ac:dyDescent="0.3">
      <c r="A846" s="1">
        <v>45877</v>
      </c>
      <c r="B846" s="3" t="s">
        <v>15</v>
      </c>
      <c r="C846" s="3">
        <v>2516</v>
      </c>
      <c r="D846" s="3">
        <v>2529.9</v>
      </c>
      <c r="E846" s="3">
        <v>2486.6</v>
      </c>
      <c r="F846" s="3">
        <v>2517.5</v>
      </c>
      <c r="G846" s="3">
        <v>2500</v>
      </c>
      <c r="H846" s="3">
        <v>2498.6</v>
      </c>
      <c r="I846" s="3">
        <v>2501.61</v>
      </c>
      <c r="J846" s="3">
        <v>3035</v>
      </c>
      <c r="K846" s="3">
        <v>2136</v>
      </c>
      <c r="L846">
        <v>839794</v>
      </c>
      <c r="M846" s="2">
        <v>2100837838.9000001</v>
      </c>
      <c r="N846">
        <v>58282</v>
      </c>
      <c r="O846" t="s">
        <v>19</v>
      </c>
      <c r="P846" s="8">
        <f t="shared" si="39"/>
        <v>1.5</v>
      </c>
      <c r="Q846" t="s">
        <v>40</v>
      </c>
      <c r="R846">
        <f t="shared" si="40"/>
        <v>8</v>
      </c>
      <c r="S846" t="str">
        <f t="shared" si="41"/>
        <v>Aug</v>
      </c>
      <c r="T846" s="9">
        <f>VLOOKUP(O846, Annual_Summary!A:B, 2, 0)</f>
        <v>-2.6699969854871962E-3</v>
      </c>
    </row>
    <row r="847" spans="1:20" x14ac:dyDescent="0.3">
      <c r="A847" s="1">
        <v>45876</v>
      </c>
      <c r="B847" s="3" t="s">
        <v>15</v>
      </c>
      <c r="C847" s="3">
        <v>2535.6999999999998</v>
      </c>
      <c r="D847" s="3">
        <v>2544</v>
      </c>
      <c r="E847" s="3">
        <v>2495</v>
      </c>
      <c r="F847" s="3">
        <v>2535.6</v>
      </c>
      <c r="G847" s="3">
        <v>2516</v>
      </c>
      <c r="H847" s="3">
        <v>2517.5</v>
      </c>
      <c r="I847" s="3">
        <v>2514.0100000000002</v>
      </c>
      <c r="J847" s="3">
        <v>3035</v>
      </c>
      <c r="K847" s="3">
        <v>2136</v>
      </c>
      <c r="L847">
        <v>847151</v>
      </c>
      <c r="M847" s="2">
        <v>2129742731</v>
      </c>
      <c r="N847">
        <v>46870</v>
      </c>
      <c r="O847" t="s">
        <v>19</v>
      </c>
      <c r="P847" s="8">
        <f t="shared" si="39"/>
        <v>-9.9999999999909051E-2</v>
      </c>
      <c r="Q847" t="s">
        <v>40</v>
      </c>
      <c r="R847">
        <f t="shared" si="40"/>
        <v>8</v>
      </c>
      <c r="S847" t="str">
        <f t="shared" si="41"/>
        <v>Aug</v>
      </c>
      <c r="T847" s="9">
        <f>VLOOKUP(O847, Annual_Summary!A:B, 2, 0)</f>
        <v>-2.6699969854871962E-3</v>
      </c>
    </row>
    <row r="848" spans="1:20" x14ac:dyDescent="0.3">
      <c r="A848" s="1">
        <v>45875</v>
      </c>
      <c r="B848" s="3" t="s">
        <v>15</v>
      </c>
      <c r="C848" s="3">
        <v>2538.6999999999998</v>
      </c>
      <c r="D848" s="3">
        <v>2563.1</v>
      </c>
      <c r="E848" s="3">
        <v>2526.6</v>
      </c>
      <c r="F848" s="3">
        <v>2534.6999999999998</v>
      </c>
      <c r="G848" s="3">
        <v>2540</v>
      </c>
      <c r="H848" s="3">
        <v>2535.6</v>
      </c>
      <c r="I848" s="3">
        <v>2539.12</v>
      </c>
      <c r="J848" s="3">
        <v>3035</v>
      </c>
      <c r="K848" s="3">
        <v>2136</v>
      </c>
      <c r="L848">
        <v>885487</v>
      </c>
      <c r="M848" s="2">
        <v>2248361224.6999998</v>
      </c>
      <c r="N848">
        <v>54477</v>
      </c>
      <c r="O848" t="s">
        <v>19</v>
      </c>
      <c r="P848" s="8">
        <f t="shared" si="39"/>
        <v>-4</v>
      </c>
      <c r="Q848" t="s">
        <v>40</v>
      </c>
      <c r="R848">
        <f t="shared" si="40"/>
        <v>8</v>
      </c>
      <c r="S848" t="str">
        <f t="shared" si="41"/>
        <v>Aug</v>
      </c>
      <c r="T848" s="9">
        <f>VLOOKUP(O848, Annual_Summary!A:B, 2, 0)</f>
        <v>-2.6699969854871962E-3</v>
      </c>
    </row>
    <row r="849" spans="1:20" x14ac:dyDescent="0.3">
      <c r="A849" s="1">
        <v>45874</v>
      </c>
      <c r="B849" s="3" t="s">
        <v>15</v>
      </c>
      <c r="C849" s="3">
        <v>2537.5</v>
      </c>
      <c r="D849" s="3">
        <v>2553</v>
      </c>
      <c r="E849" s="3">
        <v>2517.3000000000002</v>
      </c>
      <c r="F849" s="3">
        <v>2543.6999999999998</v>
      </c>
      <c r="G849" s="3">
        <v>2532.4</v>
      </c>
      <c r="H849" s="3">
        <v>2534.6999999999998</v>
      </c>
      <c r="I849" s="3">
        <v>2530.15</v>
      </c>
      <c r="J849" s="3">
        <v>3035</v>
      </c>
      <c r="K849" s="3">
        <v>2136</v>
      </c>
      <c r="L849">
        <v>756361</v>
      </c>
      <c r="M849" s="2">
        <v>1913705140.4000001</v>
      </c>
      <c r="N849">
        <v>50234</v>
      </c>
      <c r="O849" t="s">
        <v>19</v>
      </c>
      <c r="P849" s="8">
        <f t="shared" si="39"/>
        <v>6.1999999999998181</v>
      </c>
      <c r="Q849" t="s">
        <v>40</v>
      </c>
      <c r="R849">
        <f t="shared" si="40"/>
        <v>8</v>
      </c>
      <c r="S849" t="str">
        <f t="shared" si="41"/>
        <v>Aug</v>
      </c>
      <c r="T849" s="9">
        <f>VLOOKUP(O849, Annual_Summary!A:B, 2, 0)</f>
        <v>-2.6699969854871962E-3</v>
      </c>
    </row>
    <row r="850" spans="1:20" x14ac:dyDescent="0.3">
      <c r="A850" s="1">
        <v>45873</v>
      </c>
      <c r="B850" s="3" t="s">
        <v>15</v>
      </c>
      <c r="C850" s="3">
        <v>2547</v>
      </c>
      <c r="D850" s="3">
        <v>2583.1999999999998</v>
      </c>
      <c r="E850" s="3">
        <v>2535.1</v>
      </c>
      <c r="F850" s="3">
        <v>2553.6999999999998</v>
      </c>
      <c r="G850" s="3">
        <v>2541</v>
      </c>
      <c r="H850" s="3">
        <v>2543.6999999999998</v>
      </c>
      <c r="I850" s="3">
        <v>2550.67</v>
      </c>
      <c r="J850" s="3">
        <v>3035</v>
      </c>
      <c r="K850" s="3">
        <v>2136</v>
      </c>
      <c r="L850">
        <v>1293028</v>
      </c>
      <c r="M850" s="2">
        <v>3298092510.5999999</v>
      </c>
      <c r="N850">
        <v>73288</v>
      </c>
      <c r="O850" t="s">
        <v>19</v>
      </c>
      <c r="P850" s="8">
        <f t="shared" si="39"/>
        <v>6.6999999999998181</v>
      </c>
      <c r="Q850" t="s">
        <v>40</v>
      </c>
      <c r="R850">
        <f t="shared" si="40"/>
        <v>8</v>
      </c>
      <c r="S850" t="str">
        <f t="shared" si="41"/>
        <v>Aug</v>
      </c>
      <c r="T850" s="9">
        <f>VLOOKUP(O850, Annual_Summary!A:B, 2, 0)</f>
        <v>-2.6699969854871962E-3</v>
      </c>
    </row>
    <row r="851" spans="1:20" x14ac:dyDescent="0.3">
      <c r="A851" s="1">
        <v>45870</v>
      </c>
      <c r="B851" s="3" t="s">
        <v>15</v>
      </c>
      <c r="C851" s="3">
        <v>2550</v>
      </c>
      <c r="D851" s="3">
        <v>2727.5</v>
      </c>
      <c r="E851" s="3">
        <v>2536.9</v>
      </c>
      <c r="F851" s="3">
        <v>2521.1999999999998</v>
      </c>
      <c r="G851" s="3">
        <v>2554</v>
      </c>
      <c r="H851" s="3">
        <v>2553.6999999999998</v>
      </c>
      <c r="I851" s="3">
        <v>2585.85</v>
      </c>
      <c r="J851" s="3">
        <v>3035</v>
      </c>
      <c r="K851" s="3">
        <v>2136</v>
      </c>
      <c r="L851">
        <v>4259653</v>
      </c>
      <c r="M851" s="2">
        <v>11014830685.200001</v>
      </c>
      <c r="N851">
        <v>207561</v>
      </c>
      <c r="O851" t="s">
        <v>19</v>
      </c>
      <c r="P851" s="8">
        <f t="shared" si="39"/>
        <v>-28.800000000000182</v>
      </c>
      <c r="Q851" t="s">
        <v>40</v>
      </c>
      <c r="R851">
        <f t="shared" si="40"/>
        <v>8</v>
      </c>
      <c r="S851" t="str">
        <f t="shared" si="41"/>
        <v>Aug</v>
      </c>
      <c r="T851" s="9">
        <f>VLOOKUP(O851, Annual_Summary!A:B, 2, 0)</f>
        <v>-2.6699969854871962E-3</v>
      </c>
    </row>
    <row r="852" spans="1:20" x14ac:dyDescent="0.3">
      <c r="A852" s="1">
        <v>45869</v>
      </c>
      <c r="B852" s="3" t="s">
        <v>15</v>
      </c>
      <c r="C852" s="3">
        <v>2420.1</v>
      </c>
      <c r="D852" s="3">
        <v>2549</v>
      </c>
      <c r="E852" s="3">
        <v>2420.1</v>
      </c>
      <c r="F852" s="3">
        <v>2437.4</v>
      </c>
      <c r="G852" s="3">
        <v>2524</v>
      </c>
      <c r="H852" s="3">
        <v>2521.1999999999998</v>
      </c>
      <c r="I852" s="3">
        <v>2510.11</v>
      </c>
      <c r="J852" s="3">
        <v>3035</v>
      </c>
      <c r="K852" s="3">
        <v>2136</v>
      </c>
      <c r="L852">
        <v>5505507</v>
      </c>
      <c r="M852" s="2">
        <v>13819442836.200001</v>
      </c>
      <c r="N852">
        <v>281542</v>
      </c>
      <c r="O852" t="s">
        <v>19</v>
      </c>
      <c r="P852" s="8">
        <f t="shared" si="39"/>
        <v>17.300000000000182</v>
      </c>
      <c r="Q852" t="s">
        <v>40</v>
      </c>
      <c r="R852">
        <f t="shared" si="40"/>
        <v>7</v>
      </c>
      <c r="S852" t="str">
        <f t="shared" si="41"/>
        <v>Jul</v>
      </c>
      <c r="T852" s="9">
        <f>VLOOKUP(O852, Annual_Summary!A:B, 2, 0)</f>
        <v>-2.6699969854871962E-3</v>
      </c>
    </row>
    <row r="853" spans="1:20" x14ac:dyDescent="0.3">
      <c r="A853" s="1">
        <v>45868</v>
      </c>
      <c r="B853" s="3" t="s">
        <v>15</v>
      </c>
      <c r="C853" s="3">
        <v>2442</v>
      </c>
      <c r="D853" s="3">
        <v>2452.9</v>
      </c>
      <c r="E853" s="3">
        <v>2398.5</v>
      </c>
      <c r="F853" s="3">
        <v>2453.6</v>
      </c>
      <c r="G853" s="3">
        <v>2433.9</v>
      </c>
      <c r="H853" s="3">
        <v>2437.4</v>
      </c>
      <c r="I853" s="3">
        <v>2430.0700000000002</v>
      </c>
      <c r="J853" s="3">
        <v>3035</v>
      </c>
      <c r="K853" s="3">
        <v>2136</v>
      </c>
      <c r="L853">
        <v>1224146</v>
      </c>
      <c r="M853" s="2">
        <v>2974759654.8000002</v>
      </c>
      <c r="N853">
        <v>105143</v>
      </c>
      <c r="O853" t="s">
        <v>19</v>
      </c>
      <c r="P853" s="8">
        <f t="shared" si="39"/>
        <v>11.599999999999909</v>
      </c>
      <c r="Q853" t="s">
        <v>40</v>
      </c>
      <c r="R853">
        <f t="shared" si="40"/>
        <v>7</v>
      </c>
      <c r="S853" t="str">
        <f t="shared" si="41"/>
        <v>Jul</v>
      </c>
      <c r="T853" s="9">
        <f>VLOOKUP(O853, Annual_Summary!A:B, 2, 0)</f>
        <v>-2.6699969854871962E-3</v>
      </c>
    </row>
    <row r="854" spans="1:20" x14ac:dyDescent="0.3">
      <c r="A854" s="1">
        <v>45867</v>
      </c>
      <c r="B854" s="3" t="s">
        <v>15</v>
      </c>
      <c r="C854" s="3">
        <v>2444.8000000000002</v>
      </c>
      <c r="D854" s="3">
        <v>2457.5</v>
      </c>
      <c r="E854" s="3">
        <v>2429.6999999999998</v>
      </c>
      <c r="F854" s="3">
        <v>2441.6</v>
      </c>
      <c r="G854" s="3">
        <v>2456.4</v>
      </c>
      <c r="H854" s="3">
        <v>2453.6</v>
      </c>
      <c r="I854" s="3">
        <v>2446.4699999999998</v>
      </c>
      <c r="J854" s="3">
        <v>3035</v>
      </c>
      <c r="K854" s="3">
        <v>2136</v>
      </c>
      <c r="L854">
        <v>732282</v>
      </c>
      <c r="M854" s="2">
        <v>1791506000.5999999</v>
      </c>
      <c r="N854">
        <v>37935</v>
      </c>
      <c r="O854" t="s">
        <v>19</v>
      </c>
      <c r="P854" s="8">
        <f t="shared" si="39"/>
        <v>-3.2000000000002728</v>
      </c>
      <c r="Q854" t="s">
        <v>40</v>
      </c>
      <c r="R854">
        <f t="shared" si="40"/>
        <v>7</v>
      </c>
      <c r="S854" t="str">
        <f t="shared" si="41"/>
        <v>Jul</v>
      </c>
      <c r="T854" s="9">
        <f>VLOOKUP(O854, Annual_Summary!A:B, 2, 0)</f>
        <v>-2.6699969854871962E-3</v>
      </c>
    </row>
    <row r="855" spans="1:20" x14ac:dyDescent="0.3">
      <c r="A855" s="1">
        <v>45866</v>
      </c>
      <c r="B855" s="3" t="s">
        <v>15</v>
      </c>
      <c r="C855" s="3">
        <v>2415.4</v>
      </c>
      <c r="D855" s="3">
        <v>2448.3000000000002</v>
      </c>
      <c r="E855" s="3">
        <v>2412.3000000000002</v>
      </c>
      <c r="F855" s="3">
        <v>2415.4</v>
      </c>
      <c r="G855" s="3">
        <v>2439</v>
      </c>
      <c r="H855" s="3">
        <v>2441.6</v>
      </c>
      <c r="I855" s="3">
        <v>2433.86</v>
      </c>
      <c r="J855" s="3">
        <v>3035</v>
      </c>
      <c r="K855" s="3">
        <v>2136</v>
      </c>
      <c r="L855">
        <v>987995</v>
      </c>
      <c r="M855" s="2">
        <v>2404643848.6999998</v>
      </c>
      <c r="N855">
        <v>73222</v>
      </c>
      <c r="O855" t="s">
        <v>19</v>
      </c>
      <c r="P855" s="8">
        <f t="shared" si="39"/>
        <v>0</v>
      </c>
      <c r="Q855" t="s">
        <v>40</v>
      </c>
      <c r="R855">
        <f t="shared" si="40"/>
        <v>7</v>
      </c>
      <c r="S855" t="str">
        <f t="shared" si="41"/>
        <v>Jul</v>
      </c>
      <c r="T855" s="9">
        <f>VLOOKUP(O855, Annual_Summary!A:B, 2, 0)</f>
        <v>-2.6699969854871962E-3</v>
      </c>
    </row>
    <row r="856" spans="1:20" x14ac:dyDescent="0.3">
      <c r="A856" s="1">
        <v>45863</v>
      </c>
      <c r="B856" s="3" t="s">
        <v>15</v>
      </c>
      <c r="C856" s="3">
        <v>2426.1</v>
      </c>
      <c r="D856" s="3">
        <v>2428.6</v>
      </c>
      <c r="E856" s="3">
        <v>2405.4</v>
      </c>
      <c r="F856" s="3">
        <v>2437.8000000000002</v>
      </c>
      <c r="G856" s="3">
        <v>2417</v>
      </c>
      <c r="H856" s="3">
        <v>2415.4</v>
      </c>
      <c r="I856" s="3">
        <v>2414.3200000000002</v>
      </c>
      <c r="J856" s="3">
        <v>3035</v>
      </c>
      <c r="K856" s="3">
        <v>2136</v>
      </c>
      <c r="L856">
        <v>769388</v>
      </c>
      <c r="M856" s="2">
        <v>1857549654.5999999</v>
      </c>
      <c r="N856">
        <v>61664</v>
      </c>
      <c r="O856" t="s">
        <v>19</v>
      </c>
      <c r="P856" s="8">
        <f t="shared" si="39"/>
        <v>11.700000000000273</v>
      </c>
      <c r="Q856" t="s">
        <v>40</v>
      </c>
      <c r="R856">
        <f t="shared" si="40"/>
        <v>7</v>
      </c>
      <c r="S856" t="str">
        <f t="shared" si="41"/>
        <v>Jul</v>
      </c>
      <c r="T856" s="9">
        <f>VLOOKUP(O856, Annual_Summary!A:B, 2, 0)</f>
        <v>-2.6699969854871962E-3</v>
      </c>
    </row>
    <row r="857" spans="1:20" x14ac:dyDescent="0.3">
      <c r="A857" s="1">
        <v>45862</v>
      </c>
      <c r="B857" s="3" t="s">
        <v>15</v>
      </c>
      <c r="C857" s="3">
        <v>2455.9</v>
      </c>
      <c r="D857" s="3">
        <v>2466</v>
      </c>
      <c r="E857" s="3">
        <v>2421</v>
      </c>
      <c r="F857" s="3">
        <v>2450.4</v>
      </c>
      <c r="G857" s="3">
        <v>2435</v>
      </c>
      <c r="H857" s="3">
        <v>2437.8000000000002</v>
      </c>
      <c r="I857" s="3">
        <v>2438.17</v>
      </c>
      <c r="J857" s="3">
        <v>3035</v>
      </c>
      <c r="K857" s="3">
        <v>2136</v>
      </c>
      <c r="L857">
        <v>693984</v>
      </c>
      <c r="M857" s="2">
        <v>1692052114.0999999</v>
      </c>
      <c r="N857">
        <v>49869</v>
      </c>
      <c r="O857" t="s">
        <v>19</v>
      </c>
      <c r="P857" s="8">
        <f t="shared" si="39"/>
        <v>-5.5</v>
      </c>
      <c r="Q857" t="s">
        <v>40</v>
      </c>
      <c r="R857">
        <f t="shared" si="40"/>
        <v>7</v>
      </c>
      <c r="S857" t="str">
        <f t="shared" si="41"/>
        <v>Jul</v>
      </c>
      <c r="T857" s="9">
        <f>VLOOKUP(O857, Annual_Summary!A:B, 2, 0)</f>
        <v>-2.6699969854871962E-3</v>
      </c>
    </row>
    <row r="858" spans="1:20" x14ac:dyDescent="0.3">
      <c r="A858" s="1">
        <v>45861</v>
      </c>
      <c r="B858" s="3" t="s">
        <v>15</v>
      </c>
      <c r="C858" s="3">
        <v>2481</v>
      </c>
      <c r="D858" s="3">
        <v>2487</v>
      </c>
      <c r="E858" s="3">
        <v>2442</v>
      </c>
      <c r="F858" s="3">
        <v>2479.6999999999998</v>
      </c>
      <c r="G858" s="3">
        <v>2456.8000000000002</v>
      </c>
      <c r="H858" s="3">
        <v>2450.4</v>
      </c>
      <c r="I858" s="3">
        <v>2453.2199999999998</v>
      </c>
      <c r="J858" s="3">
        <v>3035</v>
      </c>
      <c r="K858" s="3">
        <v>2136</v>
      </c>
      <c r="L858">
        <v>1320795</v>
      </c>
      <c r="M858" s="2">
        <v>3240198536.9000001</v>
      </c>
      <c r="N858">
        <v>54984</v>
      </c>
      <c r="O858" t="s">
        <v>19</v>
      </c>
      <c r="P858" s="8">
        <f t="shared" si="39"/>
        <v>-1.3000000000001819</v>
      </c>
      <c r="Q858" t="s">
        <v>40</v>
      </c>
      <c r="R858">
        <f t="shared" si="40"/>
        <v>7</v>
      </c>
      <c r="S858" t="str">
        <f t="shared" si="41"/>
        <v>Jul</v>
      </c>
      <c r="T858" s="9">
        <f>VLOOKUP(O858, Annual_Summary!A:B, 2, 0)</f>
        <v>-2.6699969854871962E-3</v>
      </c>
    </row>
    <row r="859" spans="1:20" x14ac:dyDescent="0.3">
      <c r="A859" s="1">
        <v>45860</v>
      </c>
      <c r="B859" s="3" t="s">
        <v>15</v>
      </c>
      <c r="C859" s="3">
        <v>2470</v>
      </c>
      <c r="D859" s="3">
        <v>2485</v>
      </c>
      <c r="E859" s="3">
        <v>2452.6</v>
      </c>
      <c r="F859" s="3">
        <v>2464.9</v>
      </c>
      <c r="G859" s="3">
        <v>2482.5</v>
      </c>
      <c r="H859" s="3">
        <v>2479.6999999999998</v>
      </c>
      <c r="I859" s="3">
        <v>2471.98</v>
      </c>
      <c r="J859" s="3">
        <v>3035</v>
      </c>
      <c r="K859" s="3">
        <v>2136</v>
      </c>
      <c r="L859">
        <v>861632</v>
      </c>
      <c r="M859" s="2">
        <v>2129937831</v>
      </c>
      <c r="N859">
        <v>46124</v>
      </c>
      <c r="O859" t="s">
        <v>19</v>
      </c>
      <c r="P859" s="8">
        <f t="shared" si="39"/>
        <v>-5.0999999999999091</v>
      </c>
      <c r="Q859" t="s">
        <v>40</v>
      </c>
      <c r="R859">
        <f t="shared" si="40"/>
        <v>7</v>
      </c>
      <c r="S859" t="str">
        <f t="shared" si="41"/>
        <v>Jul</v>
      </c>
      <c r="T859" s="9">
        <f>VLOOKUP(O859, Annual_Summary!A:B, 2, 0)</f>
        <v>-2.6699969854871962E-3</v>
      </c>
    </row>
    <row r="860" spans="1:20" x14ac:dyDescent="0.3">
      <c r="A860" s="1">
        <v>45859</v>
      </c>
      <c r="B860" s="3" t="s">
        <v>15</v>
      </c>
      <c r="C860" s="3">
        <v>2490.9</v>
      </c>
      <c r="D860" s="3">
        <v>2493.6</v>
      </c>
      <c r="E860" s="3">
        <v>2455.4</v>
      </c>
      <c r="F860" s="3">
        <v>2489.6</v>
      </c>
      <c r="G860" s="3">
        <v>2464.9</v>
      </c>
      <c r="H860" s="3">
        <v>2464.9</v>
      </c>
      <c r="I860" s="3">
        <v>2469.83</v>
      </c>
      <c r="J860" s="3">
        <v>3035</v>
      </c>
      <c r="K860" s="3">
        <v>2136</v>
      </c>
      <c r="L860">
        <v>1169960</v>
      </c>
      <c r="M860" s="2">
        <v>2889607558.3000002</v>
      </c>
      <c r="N860">
        <v>61953</v>
      </c>
      <c r="O860" t="s">
        <v>19</v>
      </c>
      <c r="P860" s="8">
        <f t="shared" si="39"/>
        <v>-1.3000000000001819</v>
      </c>
      <c r="Q860" t="s">
        <v>40</v>
      </c>
      <c r="R860">
        <f t="shared" si="40"/>
        <v>7</v>
      </c>
      <c r="S860" t="str">
        <f t="shared" si="41"/>
        <v>Jul</v>
      </c>
      <c r="T860" s="9">
        <f>VLOOKUP(O860, Annual_Summary!A:B, 2, 0)</f>
        <v>-2.6699969854871962E-3</v>
      </c>
    </row>
    <row r="861" spans="1:20" x14ac:dyDescent="0.3">
      <c r="A861" s="1">
        <v>45856</v>
      </c>
      <c r="B861" s="3" t="s">
        <v>15</v>
      </c>
      <c r="C861" s="3">
        <v>2514.9</v>
      </c>
      <c r="D861" s="3">
        <v>2514.9</v>
      </c>
      <c r="E861" s="3">
        <v>2481.5</v>
      </c>
      <c r="F861" s="3">
        <v>2509.8000000000002</v>
      </c>
      <c r="G861" s="3">
        <v>2488.1</v>
      </c>
      <c r="H861" s="3">
        <v>2489.6</v>
      </c>
      <c r="I861" s="3">
        <v>2492.2199999999998</v>
      </c>
      <c r="J861" s="3">
        <v>3035</v>
      </c>
      <c r="K861" s="3">
        <v>2136</v>
      </c>
      <c r="L861">
        <v>771112</v>
      </c>
      <c r="M861" s="2">
        <v>1921782877.7</v>
      </c>
      <c r="N861">
        <v>45074</v>
      </c>
      <c r="O861" t="s">
        <v>19</v>
      </c>
      <c r="P861" s="8">
        <f t="shared" si="39"/>
        <v>-5.0999999999999091</v>
      </c>
      <c r="Q861" t="s">
        <v>40</v>
      </c>
      <c r="R861">
        <f t="shared" si="40"/>
        <v>7</v>
      </c>
      <c r="S861" t="str">
        <f t="shared" si="41"/>
        <v>Jul</v>
      </c>
      <c r="T861" s="9">
        <f>VLOOKUP(O861, Annual_Summary!A:B, 2, 0)</f>
        <v>-2.6699969854871962E-3</v>
      </c>
    </row>
    <row r="862" spans="1:20" x14ac:dyDescent="0.3">
      <c r="A862" s="1">
        <v>45855</v>
      </c>
      <c r="B862" s="3" t="s">
        <v>15</v>
      </c>
      <c r="C862" s="3">
        <v>2513</v>
      </c>
      <c r="D862" s="3">
        <v>2525.4</v>
      </c>
      <c r="E862" s="3">
        <v>2506.1999999999998</v>
      </c>
      <c r="F862" s="3">
        <v>2517.6</v>
      </c>
      <c r="G862" s="3">
        <v>2513</v>
      </c>
      <c r="H862" s="3">
        <v>2509.8000000000002</v>
      </c>
      <c r="I862" s="3">
        <v>2516.23</v>
      </c>
      <c r="J862" s="3">
        <v>3035</v>
      </c>
      <c r="K862" s="3">
        <v>2136</v>
      </c>
      <c r="L862">
        <v>807474</v>
      </c>
      <c r="M862" s="2">
        <v>2031788319.4000001</v>
      </c>
      <c r="N862">
        <v>47864</v>
      </c>
      <c r="O862" t="s">
        <v>19</v>
      </c>
      <c r="P862" s="8">
        <f t="shared" si="39"/>
        <v>4.5999999999999091</v>
      </c>
      <c r="Q862" t="s">
        <v>40</v>
      </c>
      <c r="R862">
        <f t="shared" si="40"/>
        <v>7</v>
      </c>
      <c r="S862" t="str">
        <f t="shared" si="41"/>
        <v>Jul</v>
      </c>
      <c r="T862" s="9">
        <f>VLOOKUP(O862, Annual_Summary!A:B, 2, 0)</f>
        <v>-2.6699969854871962E-3</v>
      </c>
    </row>
    <row r="863" spans="1:20" x14ac:dyDescent="0.3">
      <c r="A863" s="1">
        <v>45854</v>
      </c>
      <c r="B863" s="3" t="s">
        <v>15</v>
      </c>
      <c r="C863" s="3">
        <v>2526.3000000000002</v>
      </c>
      <c r="D863" s="3">
        <v>2532.9</v>
      </c>
      <c r="E863" s="3">
        <v>2507.5</v>
      </c>
      <c r="F863" s="3">
        <v>2526.9</v>
      </c>
      <c r="G863" s="3">
        <v>2510</v>
      </c>
      <c r="H863" s="3">
        <v>2517.6</v>
      </c>
      <c r="I863" s="3">
        <v>2522.42</v>
      </c>
      <c r="J863" s="3">
        <v>3035</v>
      </c>
      <c r="K863" s="3">
        <v>2136</v>
      </c>
      <c r="L863">
        <v>1284379</v>
      </c>
      <c r="M863" s="2">
        <v>3239739295.1999998</v>
      </c>
      <c r="N863">
        <v>47859</v>
      </c>
      <c r="O863" t="s">
        <v>19</v>
      </c>
      <c r="P863" s="8">
        <f t="shared" si="39"/>
        <v>0.59999999999990905</v>
      </c>
      <c r="Q863" t="s">
        <v>40</v>
      </c>
      <c r="R863">
        <f t="shared" si="40"/>
        <v>7</v>
      </c>
      <c r="S863" t="str">
        <f t="shared" si="41"/>
        <v>Jul</v>
      </c>
      <c r="T863" s="9">
        <f>VLOOKUP(O863, Annual_Summary!A:B, 2, 0)</f>
        <v>-2.6699969854871962E-3</v>
      </c>
    </row>
    <row r="864" spans="1:20" x14ac:dyDescent="0.3">
      <c r="A864" s="1">
        <v>45853</v>
      </c>
      <c r="B864" s="3" t="s">
        <v>15</v>
      </c>
      <c r="C864" s="3">
        <v>2520.6999999999998</v>
      </c>
      <c r="D864" s="3">
        <v>2529.9</v>
      </c>
      <c r="E864" s="3">
        <v>2510</v>
      </c>
      <c r="F864" s="3">
        <v>2516.6</v>
      </c>
      <c r="G864" s="3">
        <v>2524.6999999999998</v>
      </c>
      <c r="H864" s="3">
        <v>2526.9</v>
      </c>
      <c r="I864" s="3">
        <v>2522.9299999999998</v>
      </c>
      <c r="J864" s="3">
        <v>3035</v>
      </c>
      <c r="K864" s="3">
        <v>2136</v>
      </c>
      <c r="L864">
        <v>1700294</v>
      </c>
      <c r="M864" s="2">
        <v>4289716703</v>
      </c>
      <c r="N864">
        <v>70430</v>
      </c>
      <c r="O864" t="s">
        <v>19</v>
      </c>
      <c r="P864" s="8">
        <f t="shared" si="39"/>
        <v>-4.0999999999999091</v>
      </c>
      <c r="Q864" t="s">
        <v>40</v>
      </c>
      <c r="R864">
        <f t="shared" si="40"/>
        <v>7</v>
      </c>
      <c r="S864" t="str">
        <f t="shared" si="41"/>
        <v>Jul</v>
      </c>
      <c r="T864" s="9">
        <f>VLOOKUP(O864, Annual_Summary!A:B, 2, 0)</f>
        <v>-2.6699969854871962E-3</v>
      </c>
    </row>
    <row r="865" spans="1:20" x14ac:dyDescent="0.3">
      <c r="A865" s="1">
        <v>45852</v>
      </c>
      <c r="B865" s="3" t="s">
        <v>15</v>
      </c>
      <c r="C865" s="3">
        <v>2500</v>
      </c>
      <c r="D865" s="3">
        <v>2532.5</v>
      </c>
      <c r="E865" s="3">
        <v>2490</v>
      </c>
      <c r="F865" s="3">
        <v>2519.6</v>
      </c>
      <c r="G865" s="3">
        <v>2517.4</v>
      </c>
      <c r="H865" s="3">
        <v>2516.6</v>
      </c>
      <c r="I865" s="3">
        <v>2512.77</v>
      </c>
      <c r="J865" s="3">
        <v>3035</v>
      </c>
      <c r="K865" s="3">
        <v>2136</v>
      </c>
      <c r="L865">
        <v>2427712</v>
      </c>
      <c r="M865" s="2">
        <v>6100289947.1999998</v>
      </c>
      <c r="N865">
        <v>73611</v>
      </c>
      <c r="O865" t="s">
        <v>19</v>
      </c>
      <c r="P865" s="8">
        <f t="shared" si="39"/>
        <v>19.599999999999909</v>
      </c>
      <c r="Q865" t="s">
        <v>40</v>
      </c>
      <c r="R865">
        <f t="shared" si="40"/>
        <v>7</v>
      </c>
      <c r="S865" t="str">
        <f t="shared" si="41"/>
        <v>Jul</v>
      </c>
      <c r="T865" s="9">
        <f>VLOOKUP(O865, Annual_Summary!A:B, 2, 0)</f>
        <v>-2.6699969854871962E-3</v>
      </c>
    </row>
    <row r="866" spans="1:20" x14ac:dyDescent="0.3">
      <c r="A866" s="1">
        <v>45849</v>
      </c>
      <c r="B866" s="3" t="s">
        <v>15</v>
      </c>
      <c r="C866" s="3">
        <v>2500</v>
      </c>
      <c r="D866" s="3">
        <v>2530</v>
      </c>
      <c r="E866" s="3">
        <v>2461</v>
      </c>
      <c r="F866" s="3">
        <v>2408.4</v>
      </c>
      <c r="G866" s="3">
        <v>2520</v>
      </c>
      <c r="H866" s="3">
        <v>2519.6</v>
      </c>
      <c r="I866" s="3">
        <v>2514.19</v>
      </c>
      <c r="J866" s="3">
        <v>3035</v>
      </c>
      <c r="K866" s="3">
        <v>2136</v>
      </c>
      <c r="L866">
        <v>7242235</v>
      </c>
      <c r="M866" s="2">
        <v>18208328733.299999</v>
      </c>
      <c r="N866">
        <v>231877</v>
      </c>
      <c r="O866" t="s">
        <v>19</v>
      </c>
      <c r="P866" s="8">
        <f t="shared" si="39"/>
        <v>-91.599999999999909</v>
      </c>
      <c r="Q866" t="s">
        <v>40</v>
      </c>
      <c r="R866">
        <f t="shared" si="40"/>
        <v>7</v>
      </c>
      <c r="S866" t="str">
        <f t="shared" si="41"/>
        <v>Jul</v>
      </c>
      <c r="T866" s="9">
        <f>VLOOKUP(O866, Annual_Summary!A:B, 2, 0)</f>
        <v>-2.6699969854871962E-3</v>
      </c>
    </row>
    <row r="867" spans="1:20" x14ac:dyDescent="0.3">
      <c r="A867" s="1">
        <v>45848</v>
      </c>
      <c r="B867" s="3" t="s">
        <v>15</v>
      </c>
      <c r="C867" s="3">
        <v>2423.4</v>
      </c>
      <c r="D867" s="3">
        <v>2434</v>
      </c>
      <c r="E867" s="3">
        <v>2397.6</v>
      </c>
      <c r="F867" s="3">
        <v>2423.4</v>
      </c>
      <c r="G867" s="3">
        <v>2407</v>
      </c>
      <c r="H867" s="3">
        <v>2408.4</v>
      </c>
      <c r="I867" s="3">
        <v>2413.88</v>
      </c>
      <c r="J867" s="3">
        <v>3035</v>
      </c>
      <c r="K867" s="3">
        <v>2136</v>
      </c>
      <c r="L867">
        <v>1053695</v>
      </c>
      <c r="M867" s="2">
        <v>2543498300</v>
      </c>
      <c r="N867">
        <v>59529</v>
      </c>
      <c r="O867" t="s">
        <v>19</v>
      </c>
      <c r="P867" s="8">
        <f t="shared" si="39"/>
        <v>0</v>
      </c>
      <c r="Q867" t="s">
        <v>40</v>
      </c>
      <c r="R867">
        <f t="shared" si="40"/>
        <v>7</v>
      </c>
      <c r="S867" t="str">
        <f t="shared" si="41"/>
        <v>Jul</v>
      </c>
      <c r="T867" s="9">
        <f>VLOOKUP(O867, Annual_Summary!A:B, 2, 0)</f>
        <v>-2.6699969854871962E-3</v>
      </c>
    </row>
    <row r="868" spans="1:20" x14ac:dyDescent="0.3">
      <c r="A868" s="1">
        <v>45847</v>
      </c>
      <c r="B868" s="3" t="s">
        <v>15</v>
      </c>
      <c r="C868" s="3">
        <v>2399</v>
      </c>
      <c r="D868" s="3">
        <v>2439.6999999999998</v>
      </c>
      <c r="E868" s="3">
        <v>2397.1</v>
      </c>
      <c r="F868" s="3">
        <v>2392.6999999999998</v>
      </c>
      <c r="G868" s="3">
        <v>2421.3000000000002</v>
      </c>
      <c r="H868" s="3">
        <v>2423.4</v>
      </c>
      <c r="I868" s="3">
        <v>2424.04</v>
      </c>
      <c r="J868" s="3">
        <v>3035</v>
      </c>
      <c r="K868" s="3">
        <v>2136</v>
      </c>
      <c r="L868">
        <v>1741690</v>
      </c>
      <c r="M868" s="2">
        <v>4221929533.5999999</v>
      </c>
      <c r="N868">
        <v>88529</v>
      </c>
      <c r="O868" t="s">
        <v>19</v>
      </c>
      <c r="P868" s="8">
        <f t="shared" si="39"/>
        <v>-6.3000000000001819</v>
      </c>
      <c r="Q868" t="s">
        <v>40</v>
      </c>
      <c r="R868">
        <f t="shared" si="40"/>
        <v>7</v>
      </c>
      <c r="S868" t="str">
        <f t="shared" si="41"/>
        <v>Jul</v>
      </c>
      <c r="T868" s="9">
        <f>VLOOKUP(O868, Annual_Summary!A:B, 2, 0)</f>
        <v>-2.6699969854871962E-3</v>
      </c>
    </row>
    <row r="869" spans="1:20" x14ac:dyDescent="0.3">
      <c r="A869" s="1">
        <v>45846</v>
      </c>
      <c r="B869" s="3" t="s">
        <v>15</v>
      </c>
      <c r="C869" s="3">
        <v>2405.4</v>
      </c>
      <c r="D869" s="3">
        <v>2418.5</v>
      </c>
      <c r="E869" s="3">
        <v>2386</v>
      </c>
      <c r="F869" s="3">
        <v>2410.4</v>
      </c>
      <c r="G869" s="3">
        <v>2400</v>
      </c>
      <c r="H869" s="3">
        <v>2392.6999999999998</v>
      </c>
      <c r="I869" s="3">
        <v>2398.59</v>
      </c>
      <c r="J869" s="3">
        <v>3035</v>
      </c>
      <c r="K869" s="3">
        <v>2136</v>
      </c>
      <c r="L869">
        <v>1471046</v>
      </c>
      <c r="M869" s="2">
        <v>3528430095.3000002</v>
      </c>
      <c r="N869">
        <v>65914</v>
      </c>
      <c r="O869" t="s">
        <v>19</v>
      </c>
      <c r="P869" s="8">
        <f t="shared" si="39"/>
        <v>5</v>
      </c>
      <c r="Q869" t="s">
        <v>40</v>
      </c>
      <c r="R869">
        <f t="shared" si="40"/>
        <v>7</v>
      </c>
      <c r="S869" t="str">
        <f t="shared" si="41"/>
        <v>Jul</v>
      </c>
      <c r="T869" s="9">
        <f>VLOOKUP(O869, Annual_Summary!A:B, 2, 0)</f>
        <v>-2.6699969854871962E-3</v>
      </c>
    </row>
    <row r="870" spans="1:20" x14ac:dyDescent="0.3">
      <c r="A870" s="1">
        <v>45845</v>
      </c>
      <c r="B870" s="3" t="s">
        <v>15</v>
      </c>
      <c r="C870" s="3">
        <v>2341</v>
      </c>
      <c r="D870" s="3">
        <v>2415.6999999999998</v>
      </c>
      <c r="E870" s="3">
        <v>2341</v>
      </c>
      <c r="F870" s="3">
        <v>2339.3000000000002</v>
      </c>
      <c r="G870" s="3">
        <v>2408.6999999999998</v>
      </c>
      <c r="H870" s="3">
        <v>2410.4</v>
      </c>
      <c r="I870" s="3">
        <v>2396.6799999999998</v>
      </c>
      <c r="J870" s="3">
        <v>3035</v>
      </c>
      <c r="K870" s="3">
        <v>2136</v>
      </c>
      <c r="L870">
        <v>2701583</v>
      </c>
      <c r="M870" s="2">
        <v>6474824763.3000002</v>
      </c>
      <c r="N870">
        <v>137873</v>
      </c>
      <c r="O870" t="s">
        <v>19</v>
      </c>
      <c r="P870" s="8">
        <f t="shared" si="39"/>
        <v>-1.6999999999998181</v>
      </c>
      <c r="Q870" t="s">
        <v>40</v>
      </c>
      <c r="R870">
        <f t="shared" si="40"/>
        <v>7</v>
      </c>
      <c r="S870" t="str">
        <f t="shared" si="41"/>
        <v>Jul</v>
      </c>
      <c r="T870" s="9">
        <f>VLOOKUP(O870, Annual_Summary!A:B, 2, 0)</f>
        <v>-2.6699969854871962E-3</v>
      </c>
    </row>
    <row r="871" spans="1:20" x14ac:dyDescent="0.3">
      <c r="A871" s="1">
        <v>45842</v>
      </c>
      <c r="B871" s="3" t="s">
        <v>15</v>
      </c>
      <c r="C871" s="3">
        <v>2318</v>
      </c>
      <c r="D871" s="3">
        <v>2341.4</v>
      </c>
      <c r="E871" s="3">
        <v>2310.3000000000002</v>
      </c>
      <c r="F871" s="3">
        <v>2313.4</v>
      </c>
      <c r="G871" s="3">
        <v>2341.3000000000002</v>
      </c>
      <c r="H871" s="3">
        <v>2339.3000000000002</v>
      </c>
      <c r="I871" s="3">
        <v>2330.87</v>
      </c>
      <c r="J871" s="3">
        <v>3035</v>
      </c>
      <c r="K871" s="3">
        <v>2136</v>
      </c>
      <c r="L871">
        <v>1242346</v>
      </c>
      <c r="M871" s="2">
        <v>2895742841</v>
      </c>
      <c r="N871">
        <v>57377</v>
      </c>
      <c r="O871" t="s">
        <v>19</v>
      </c>
      <c r="P871" s="8">
        <f t="shared" si="39"/>
        <v>-4.5999999999999091</v>
      </c>
      <c r="Q871" t="s">
        <v>40</v>
      </c>
      <c r="R871">
        <f t="shared" si="40"/>
        <v>7</v>
      </c>
      <c r="S871" t="str">
        <f t="shared" si="41"/>
        <v>Jul</v>
      </c>
      <c r="T871" s="9">
        <f>VLOOKUP(O871, Annual_Summary!A:B, 2, 0)</f>
        <v>-2.6699969854871962E-3</v>
      </c>
    </row>
    <row r="872" spans="1:20" x14ac:dyDescent="0.3">
      <c r="A872" s="1">
        <v>45841</v>
      </c>
      <c r="B872" s="3" t="s">
        <v>15</v>
      </c>
      <c r="C872" s="3">
        <v>2310</v>
      </c>
      <c r="D872" s="3">
        <v>2326.9</v>
      </c>
      <c r="E872" s="3">
        <v>2304</v>
      </c>
      <c r="F872" s="3">
        <v>2307.1</v>
      </c>
      <c r="G872" s="3">
        <v>2314.8000000000002</v>
      </c>
      <c r="H872" s="3">
        <v>2313.4</v>
      </c>
      <c r="I872" s="3">
        <v>2316.37</v>
      </c>
      <c r="J872" s="3">
        <v>3035</v>
      </c>
      <c r="K872" s="3">
        <v>2136</v>
      </c>
      <c r="L872">
        <v>1060039</v>
      </c>
      <c r="M872" s="2">
        <v>2455440560.5999999</v>
      </c>
      <c r="N872">
        <v>56694</v>
      </c>
      <c r="O872" t="s">
        <v>19</v>
      </c>
      <c r="P872" s="8">
        <f t="shared" si="39"/>
        <v>-2.9000000000000909</v>
      </c>
      <c r="Q872" t="s">
        <v>40</v>
      </c>
      <c r="R872">
        <f t="shared" si="40"/>
        <v>7</v>
      </c>
      <c r="S872" t="str">
        <f t="shared" si="41"/>
        <v>Jul</v>
      </c>
      <c r="T872" s="9">
        <f>VLOOKUP(O872, Annual_Summary!A:B, 2, 0)</f>
        <v>-2.6699969854871962E-3</v>
      </c>
    </row>
    <row r="873" spans="1:20" x14ac:dyDescent="0.3">
      <c r="A873" s="1">
        <v>45840</v>
      </c>
      <c r="B873" s="3" t="s">
        <v>15</v>
      </c>
      <c r="C873" s="3">
        <v>2295</v>
      </c>
      <c r="D873" s="3">
        <v>2309</v>
      </c>
      <c r="E873" s="3">
        <v>2287.6</v>
      </c>
      <c r="F873" s="3">
        <v>2295.5</v>
      </c>
      <c r="G873" s="3">
        <v>2306.9</v>
      </c>
      <c r="H873" s="3">
        <v>2307.1</v>
      </c>
      <c r="I873" s="3">
        <v>2300.65</v>
      </c>
      <c r="J873" s="3">
        <v>3035</v>
      </c>
      <c r="K873" s="3">
        <v>2136</v>
      </c>
      <c r="L873">
        <v>1128034</v>
      </c>
      <c r="M873" s="2">
        <v>2595212391.0999999</v>
      </c>
      <c r="N873">
        <v>46377</v>
      </c>
      <c r="O873" t="s">
        <v>19</v>
      </c>
      <c r="P873" s="8">
        <f t="shared" si="39"/>
        <v>0.5</v>
      </c>
      <c r="Q873" t="s">
        <v>40</v>
      </c>
      <c r="R873">
        <f t="shared" si="40"/>
        <v>7</v>
      </c>
      <c r="S873" t="str">
        <f t="shared" si="41"/>
        <v>Jul</v>
      </c>
      <c r="T873" s="9">
        <f>VLOOKUP(O873, Annual_Summary!A:B, 2, 0)</f>
        <v>-2.6699969854871962E-3</v>
      </c>
    </row>
    <row r="874" spans="1:20" x14ac:dyDescent="0.3">
      <c r="A874" s="1">
        <v>45839</v>
      </c>
      <c r="B874" s="3" t="s">
        <v>15</v>
      </c>
      <c r="C874" s="3">
        <v>2300</v>
      </c>
      <c r="D874" s="3">
        <v>2302.6</v>
      </c>
      <c r="E874" s="3">
        <v>2286.6</v>
      </c>
      <c r="F874" s="3">
        <v>2294.6</v>
      </c>
      <c r="G874" s="3">
        <v>2298</v>
      </c>
      <c r="H874" s="3">
        <v>2295.5</v>
      </c>
      <c r="I874" s="3">
        <v>2294.62</v>
      </c>
      <c r="J874" s="3">
        <v>3035</v>
      </c>
      <c r="K874" s="3">
        <v>2136</v>
      </c>
      <c r="L874">
        <v>759914</v>
      </c>
      <c r="M874" s="2">
        <v>1743712239.8</v>
      </c>
      <c r="N874">
        <v>44581</v>
      </c>
      <c r="O874" t="s">
        <v>19</v>
      </c>
      <c r="P874" s="8">
        <f t="shared" si="39"/>
        <v>-5.4000000000000909</v>
      </c>
      <c r="Q874" t="s">
        <v>40</v>
      </c>
      <c r="R874">
        <f t="shared" si="40"/>
        <v>7</v>
      </c>
      <c r="S874" t="str">
        <f t="shared" si="41"/>
        <v>Jul</v>
      </c>
      <c r="T874" s="9">
        <f>VLOOKUP(O874, Annual_Summary!A:B, 2, 0)</f>
        <v>-2.6699969854871962E-3</v>
      </c>
    </row>
    <row r="875" spans="1:20" x14ac:dyDescent="0.3">
      <c r="A875" s="1">
        <v>45838</v>
      </c>
      <c r="B875" s="3" t="s">
        <v>15</v>
      </c>
      <c r="C875" s="3">
        <v>2309.9</v>
      </c>
      <c r="D875" s="3">
        <v>2317</v>
      </c>
      <c r="E875" s="3">
        <v>2288</v>
      </c>
      <c r="F875" s="3">
        <v>2306.9</v>
      </c>
      <c r="G875" s="3">
        <v>2295.9</v>
      </c>
      <c r="H875" s="3">
        <v>2294.6</v>
      </c>
      <c r="I875" s="3">
        <v>2299.75</v>
      </c>
      <c r="J875" s="3">
        <v>3035</v>
      </c>
      <c r="K875" s="3">
        <v>2136</v>
      </c>
      <c r="L875">
        <v>1403754</v>
      </c>
      <c r="M875" s="2">
        <v>3228288072</v>
      </c>
      <c r="N875">
        <v>89204</v>
      </c>
      <c r="O875" t="s">
        <v>19</v>
      </c>
      <c r="P875" s="8">
        <f t="shared" si="39"/>
        <v>-3</v>
      </c>
      <c r="Q875" t="s">
        <v>40</v>
      </c>
      <c r="R875">
        <f t="shared" si="40"/>
        <v>6</v>
      </c>
      <c r="S875" t="str">
        <f t="shared" si="41"/>
        <v>Jun</v>
      </c>
      <c r="T875" s="9">
        <f>VLOOKUP(O875, Annual_Summary!A:B, 2, 0)</f>
        <v>-2.6699969854871962E-3</v>
      </c>
    </row>
    <row r="876" spans="1:20" x14ac:dyDescent="0.3">
      <c r="A876" s="1">
        <v>45835</v>
      </c>
      <c r="B876" s="3" t="s">
        <v>15</v>
      </c>
      <c r="C876" s="3">
        <v>2280.8000000000002</v>
      </c>
      <c r="D876" s="3">
        <v>2310.5</v>
      </c>
      <c r="E876" s="3">
        <v>2279.3000000000002</v>
      </c>
      <c r="F876" s="3">
        <v>2280.8000000000002</v>
      </c>
      <c r="G876" s="3">
        <v>2308.1</v>
      </c>
      <c r="H876" s="3">
        <v>2306.9</v>
      </c>
      <c r="I876" s="3">
        <v>2300.34</v>
      </c>
      <c r="J876" s="3">
        <v>3035</v>
      </c>
      <c r="K876" s="3">
        <v>2136</v>
      </c>
      <c r="L876">
        <v>1050745</v>
      </c>
      <c r="M876" s="2">
        <v>2417069888.1999998</v>
      </c>
      <c r="N876">
        <v>64425</v>
      </c>
      <c r="O876" t="s">
        <v>19</v>
      </c>
      <c r="P876" s="8">
        <f t="shared" si="39"/>
        <v>0</v>
      </c>
      <c r="Q876" t="s">
        <v>40</v>
      </c>
      <c r="R876">
        <f t="shared" si="40"/>
        <v>6</v>
      </c>
      <c r="S876" t="str">
        <f t="shared" si="41"/>
        <v>Jun</v>
      </c>
      <c r="T876" s="9">
        <f>VLOOKUP(O876, Annual_Summary!A:B, 2, 0)</f>
        <v>-2.6699969854871962E-3</v>
      </c>
    </row>
    <row r="877" spans="1:20" x14ac:dyDescent="0.3">
      <c r="A877" s="1">
        <v>45834</v>
      </c>
      <c r="B877" s="3" t="s">
        <v>15</v>
      </c>
      <c r="C877" s="3">
        <v>2288.9</v>
      </c>
      <c r="D877" s="3">
        <v>2291</v>
      </c>
      <c r="E877" s="3">
        <v>2271.6</v>
      </c>
      <c r="F877" s="3">
        <v>2278.6999999999998</v>
      </c>
      <c r="G877" s="3">
        <v>2280.9</v>
      </c>
      <c r="H877" s="3">
        <v>2280.8000000000002</v>
      </c>
      <c r="I877" s="3">
        <v>2280.59</v>
      </c>
      <c r="J877" s="3">
        <v>3035</v>
      </c>
      <c r="K877" s="3">
        <v>2136</v>
      </c>
      <c r="L877">
        <v>1874722</v>
      </c>
      <c r="M877" s="2">
        <v>4275481346</v>
      </c>
      <c r="N877">
        <v>68684</v>
      </c>
      <c r="O877" t="s">
        <v>19</v>
      </c>
      <c r="P877" s="8">
        <f t="shared" si="39"/>
        <v>-10.200000000000273</v>
      </c>
      <c r="Q877" t="s">
        <v>40</v>
      </c>
      <c r="R877">
        <f t="shared" si="40"/>
        <v>6</v>
      </c>
      <c r="S877" t="str">
        <f t="shared" si="41"/>
        <v>Jun</v>
      </c>
      <c r="T877" s="9">
        <f>VLOOKUP(O877, Annual_Summary!A:B, 2, 0)</f>
        <v>-2.6699969854871962E-3</v>
      </c>
    </row>
    <row r="878" spans="1:20" x14ac:dyDescent="0.3">
      <c r="A878" s="1">
        <v>45833</v>
      </c>
      <c r="B878" s="3" t="s">
        <v>15</v>
      </c>
      <c r="C878" s="3">
        <v>2279</v>
      </c>
      <c r="D878" s="3">
        <v>2290.5</v>
      </c>
      <c r="E878" s="3">
        <v>2271.4</v>
      </c>
      <c r="F878" s="3">
        <v>2263.1</v>
      </c>
      <c r="G878" s="3">
        <v>2277</v>
      </c>
      <c r="H878" s="3">
        <v>2278.6999999999998</v>
      </c>
      <c r="I878" s="3">
        <v>2279.46</v>
      </c>
      <c r="J878" s="3">
        <v>3035</v>
      </c>
      <c r="K878" s="3">
        <v>2136</v>
      </c>
      <c r="L878">
        <v>1047270</v>
      </c>
      <c r="M878" s="2">
        <v>2387208951.0999999</v>
      </c>
      <c r="N878">
        <v>61222</v>
      </c>
      <c r="O878" t="s">
        <v>19</v>
      </c>
      <c r="P878" s="8">
        <f t="shared" si="39"/>
        <v>-15.900000000000091</v>
      </c>
      <c r="Q878" t="s">
        <v>40</v>
      </c>
      <c r="R878">
        <f t="shared" si="40"/>
        <v>6</v>
      </c>
      <c r="S878" t="str">
        <f t="shared" si="41"/>
        <v>Jun</v>
      </c>
      <c r="T878" s="9">
        <f>VLOOKUP(O878, Annual_Summary!A:B, 2, 0)</f>
        <v>-2.6699969854871962E-3</v>
      </c>
    </row>
    <row r="879" spans="1:20" x14ac:dyDescent="0.3">
      <c r="A879" s="1">
        <v>45832</v>
      </c>
      <c r="B879" s="3" t="s">
        <v>15</v>
      </c>
      <c r="C879" s="3">
        <v>2295</v>
      </c>
      <c r="D879" s="3">
        <v>2301</v>
      </c>
      <c r="E879" s="3">
        <v>2260.3000000000002</v>
      </c>
      <c r="F879" s="3">
        <v>2275.1</v>
      </c>
      <c r="G879" s="3">
        <v>2267.5</v>
      </c>
      <c r="H879" s="3">
        <v>2263.1</v>
      </c>
      <c r="I879" s="3">
        <v>2274.92</v>
      </c>
      <c r="J879" s="3">
        <v>3035</v>
      </c>
      <c r="K879" s="3">
        <v>2136</v>
      </c>
      <c r="L879">
        <v>2440747</v>
      </c>
      <c r="M879" s="2">
        <v>5552506058.5</v>
      </c>
      <c r="N879">
        <v>110169</v>
      </c>
      <c r="O879" t="s">
        <v>19</v>
      </c>
      <c r="P879" s="8">
        <f t="shared" si="39"/>
        <v>-19.900000000000091</v>
      </c>
      <c r="Q879" t="s">
        <v>40</v>
      </c>
      <c r="R879">
        <f t="shared" si="40"/>
        <v>6</v>
      </c>
      <c r="S879" t="str">
        <f t="shared" si="41"/>
        <v>Jun</v>
      </c>
      <c r="T879" s="9">
        <f>VLOOKUP(O879, Annual_Summary!A:B, 2, 0)</f>
        <v>-2.6699969854871962E-3</v>
      </c>
    </row>
    <row r="880" spans="1:20" x14ac:dyDescent="0.3">
      <c r="A880" s="1">
        <v>45831</v>
      </c>
      <c r="B880" s="3" t="s">
        <v>15</v>
      </c>
      <c r="C880" s="3">
        <v>2283.4</v>
      </c>
      <c r="D880" s="3">
        <v>2286</v>
      </c>
      <c r="E880" s="3">
        <v>2258.6999999999998</v>
      </c>
      <c r="F880" s="3">
        <v>2306.1999999999998</v>
      </c>
      <c r="G880" s="3">
        <v>2276</v>
      </c>
      <c r="H880" s="3">
        <v>2275.1</v>
      </c>
      <c r="I880" s="3">
        <v>2271.88</v>
      </c>
      <c r="J880" s="3">
        <v>3035</v>
      </c>
      <c r="K880" s="3">
        <v>2136</v>
      </c>
      <c r="L880">
        <v>842856</v>
      </c>
      <c r="M880" s="2">
        <v>1914869023</v>
      </c>
      <c r="N880">
        <v>54582</v>
      </c>
      <c r="O880" t="s">
        <v>19</v>
      </c>
      <c r="P880" s="8">
        <f t="shared" si="39"/>
        <v>22.799999999999727</v>
      </c>
      <c r="Q880" t="s">
        <v>40</v>
      </c>
      <c r="R880">
        <f t="shared" si="40"/>
        <v>6</v>
      </c>
      <c r="S880" t="str">
        <f t="shared" si="41"/>
        <v>Jun</v>
      </c>
      <c r="T880" s="9">
        <f>VLOOKUP(O880, Annual_Summary!A:B, 2, 0)</f>
        <v>-2.6699969854871962E-3</v>
      </c>
    </row>
    <row r="881" spans="1:20" x14ac:dyDescent="0.3">
      <c r="A881" s="1">
        <v>45828</v>
      </c>
      <c r="B881" s="3" t="s">
        <v>15</v>
      </c>
      <c r="C881" s="3">
        <v>2295</v>
      </c>
      <c r="D881" s="3">
        <v>2313</v>
      </c>
      <c r="E881" s="3">
        <v>2292.4</v>
      </c>
      <c r="F881" s="3">
        <v>2294.1999999999998</v>
      </c>
      <c r="G881" s="3">
        <v>2302</v>
      </c>
      <c r="H881" s="3">
        <v>2306.1999999999998</v>
      </c>
      <c r="I881" s="3">
        <v>2304.39</v>
      </c>
      <c r="J881" s="3">
        <v>3035</v>
      </c>
      <c r="K881" s="3">
        <v>2136</v>
      </c>
      <c r="L881">
        <v>2685864</v>
      </c>
      <c r="M881" s="2">
        <v>6189290806.1999998</v>
      </c>
      <c r="N881">
        <v>75830</v>
      </c>
      <c r="O881" t="s">
        <v>19</v>
      </c>
      <c r="P881" s="8">
        <f t="shared" si="39"/>
        <v>-0.8000000000001819</v>
      </c>
      <c r="Q881" t="s">
        <v>40</v>
      </c>
      <c r="R881">
        <f t="shared" si="40"/>
        <v>6</v>
      </c>
      <c r="S881" t="str">
        <f t="shared" si="41"/>
        <v>Jun</v>
      </c>
      <c r="T881" s="9">
        <f>VLOOKUP(O881, Annual_Summary!A:B, 2, 0)</f>
        <v>-2.6699969854871962E-3</v>
      </c>
    </row>
    <row r="882" spans="1:20" x14ac:dyDescent="0.3">
      <c r="A882" s="1">
        <v>45827</v>
      </c>
      <c r="B882" s="3" t="s">
        <v>15</v>
      </c>
      <c r="C882" s="3">
        <v>2300.1</v>
      </c>
      <c r="D882" s="3">
        <v>2307.8000000000002</v>
      </c>
      <c r="E882" s="3">
        <v>2290.3000000000002</v>
      </c>
      <c r="F882" s="3">
        <v>2297.3000000000002</v>
      </c>
      <c r="G882" s="3">
        <v>2292</v>
      </c>
      <c r="H882" s="3">
        <v>2294.1999999999998</v>
      </c>
      <c r="I882" s="3">
        <v>2297.81</v>
      </c>
      <c r="J882" s="3">
        <v>3035</v>
      </c>
      <c r="K882" s="3">
        <v>2136</v>
      </c>
      <c r="L882">
        <v>1214549</v>
      </c>
      <c r="M882" s="2">
        <v>2790798321.9000001</v>
      </c>
      <c r="N882">
        <v>86978</v>
      </c>
      <c r="O882" t="s">
        <v>19</v>
      </c>
      <c r="P882" s="8">
        <f t="shared" si="39"/>
        <v>-2.7999999999997272</v>
      </c>
      <c r="Q882" t="s">
        <v>40</v>
      </c>
      <c r="R882">
        <f t="shared" si="40"/>
        <v>6</v>
      </c>
      <c r="S882" t="str">
        <f t="shared" si="41"/>
        <v>Jun</v>
      </c>
      <c r="T882" s="9">
        <f>VLOOKUP(O882, Annual_Summary!A:B, 2, 0)</f>
        <v>-2.6699969854871962E-3</v>
      </c>
    </row>
    <row r="883" spans="1:20" x14ac:dyDescent="0.3">
      <c r="A883" s="1">
        <v>45826</v>
      </c>
      <c r="B883" s="3" t="s">
        <v>15</v>
      </c>
      <c r="C883" s="3">
        <v>2327.6999999999998</v>
      </c>
      <c r="D883" s="3">
        <v>2331.4</v>
      </c>
      <c r="E883" s="3">
        <v>2285.5</v>
      </c>
      <c r="F883" s="3">
        <v>2328.6</v>
      </c>
      <c r="G883" s="3">
        <v>2295.1</v>
      </c>
      <c r="H883" s="3">
        <v>2297.3000000000002</v>
      </c>
      <c r="I883" s="3">
        <v>2302.0500000000002</v>
      </c>
      <c r="J883" s="3">
        <v>3035</v>
      </c>
      <c r="K883" s="3">
        <v>2136</v>
      </c>
      <c r="L883">
        <v>2056563</v>
      </c>
      <c r="M883" s="2">
        <v>4734313425.6000004</v>
      </c>
      <c r="N883">
        <v>72649</v>
      </c>
      <c r="O883" t="s">
        <v>19</v>
      </c>
      <c r="P883" s="8">
        <f t="shared" si="39"/>
        <v>0.90000000000009095</v>
      </c>
      <c r="Q883" t="s">
        <v>40</v>
      </c>
      <c r="R883">
        <f t="shared" si="40"/>
        <v>6</v>
      </c>
      <c r="S883" t="str">
        <f t="shared" si="41"/>
        <v>Jun</v>
      </c>
      <c r="T883" s="9">
        <f>VLOOKUP(O883, Annual_Summary!A:B, 2, 0)</f>
        <v>-2.6699969854871962E-3</v>
      </c>
    </row>
    <row r="884" spans="1:20" x14ac:dyDescent="0.3">
      <c r="A884" s="1">
        <v>45825</v>
      </c>
      <c r="B884" s="3" t="s">
        <v>15</v>
      </c>
      <c r="C884" s="3">
        <v>2320</v>
      </c>
      <c r="D884" s="3">
        <v>2333.1</v>
      </c>
      <c r="E884" s="3">
        <v>2313.1</v>
      </c>
      <c r="F884" s="3">
        <v>2327.4</v>
      </c>
      <c r="G884" s="3">
        <v>2328</v>
      </c>
      <c r="H884" s="3">
        <v>2328.6</v>
      </c>
      <c r="I884" s="3">
        <v>2324.83</v>
      </c>
      <c r="J884" s="3">
        <v>3035</v>
      </c>
      <c r="K884" s="3">
        <v>2136</v>
      </c>
      <c r="L884">
        <v>1119284</v>
      </c>
      <c r="M884" s="2">
        <v>2602141118.5</v>
      </c>
      <c r="N884">
        <v>66866</v>
      </c>
      <c r="O884" t="s">
        <v>19</v>
      </c>
      <c r="P884" s="8">
        <f t="shared" si="39"/>
        <v>7.4000000000000909</v>
      </c>
      <c r="Q884" t="s">
        <v>40</v>
      </c>
      <c r="R884">
        <f t="shared" si="40"/>
        <v>6</v>
      </c>
      <c r="S884" t="str">
        <f t="shared" si="41"/>
        <v>Jun</v>
      </c>
      <c r="T884" s="9">
        <f>VLOOKUP(O884, Annual_Summary!A:B, 2, 0)</f>
        <v>-2.6699969854871962E-3</v>
      </c>
    </row>
    <row r="885" spans="1:20" x14ac:dyDescent="0.3">
      <c r="A885" s="1">
        <v>45824</v>
      </c>
      <c r="B885" s="3" t="s">
        <v>15</v>
      </c>
      <c r="C885" s="3">
        <v>2320</v>
      </c>
      <c r="D885" s="3">
        <v>2336.6</v>
      </c>
      <c r="E885" s="3">
        <v>2313.1</v>
      </c>
      <c r="F885" s="3">
        <v>2319</v>
      </c>
      <c r="G885" s="3">
        <v>2326.1</v>
      </c>
      <c r="H885" s="3">
        <v>2327.4</v>
      </c>
      <c r="I885" s="3">
        <v>2327.5500000000002</v>
      </c>
      <c r="J885" s="3">
        <v>3035</v>
      </c>
      <c r="K885" s="3">
        <v>2136</v>
      </c>
      <c r="L885">
        <v>1105297</v>
      </c>
      <c r="M885" s="2">
        <v>2572630185.1999998</v>
      </c>
      <c r="N885">
        <v>66228</v>
      </c>
      <c r="O885" t="s">
        <v>19</v>
      </c>
      <c r="P885" s="8">
        <f t="shared" si="39"/>
        <v>-1</v>
      </c>
      <c r="Q885" t="s">
        <v>40</v>
      </c>
      <c r="R885">
        <f t="shared" si="40"/>
        <v>6</v>
      </c>
      <c r="S885" t="str">
        <f t="shared" si="41"/>
        <v>Jun</v>
      </c>
      <c r="T885" s="9">
        <f>VLOOKUP(O885, Annual_Summary!A:B, 2, 0)</f>
        <v>-2.6699969854871962E-3</v>
      </c>
    </row>
    <row r="886" spans="1:20" x14ac:dyDescent="0.3">
      <c r="A886" s="1">
        <v>45821</v>
      </c>
      <c r="B886" s="3" t="s">
        <v>15</v>
      </c>
      <c r="C886" s="3">
        <v>2305</v>
      </c>
      <c r="D886" s="3">
        <v>2324.9</v>
      </c>
      <c r="E886" s="3">
        <v>2302</v>
      </c>
      <c r="F886" s="3">
        <v>2332.6999999999998</v>
      </c>
      <c r="G886" s="3">
        <v>2320</v>
      </c>
      <c r="H886" s="3">
        <v>2319</v>
      </c>
      <c r="I886" s="3">
        <v>2314.9899999999998</v>
      </c>
      <c r="J886" s="3">
        <v>3035</v>
      </c>
      <c r="K886" s="3">
        <v>2136</v>
      </c>
      <c r="L886">
        <v>1740682</v>
      </c>
      <c r="M886" s="2">
        <v>4029653861.5</v>
      </c>
      <c r="N886">
        <v>81022</v>
      </c>
      <c r="O886" t="s">
        <v>19</v>
      </c>
      <c r="P886" s="8">
        <f t="shared" si="39"/>
        <v>27.699999999999818</v>
      </c>
      <c r="Q886" t="s">
        <v>40</v>
      </c>
      <c r="R886">
        <f t="shared" si="40"/>
        <v>6</v>
      </c>
      <c r="S886" t="str">
        <f t="shared" si="41"/>
        <v>Jun</v>
      </c>
      <c r="T886" s="9">
        <f>VLOOKUP(O886, Annual_Summary!A:B, 2, 0)</f>
        <v>-2.6699969854871962E-3</v>
      </c>
    </row>
    <row r="887" spans="1:20" x14ac:dyDescent="0.3">
      <c r="A887" s="1">
        <v>45820</v>
      </c>
      <c r="B887" s="3" t="s">
        <v>15</v>
      </c>
      <c r="C887" s="3">
        <v>2386.9</v>
      </c>
      <c r="D887" s="3">
        <v>2388</v>
      </c>
      <c r="E887" s="3">
        <v>2324.1</v>
      </c>
      <c r="F887" s="3">
        <v>2376.4</v>
      </c>
      <c r="G887" s="3">
        <v>2337.1</v>
      </c>
      <c r="H887" s="3">
        <v>2332.6999999999998</v>
      </c>
      <c r="I887" s="3">
        <v>2343.3000000000002</v>
      </c>
      <c r="J887" s="3">
        <v>3035</v>
      </c>
      <c r="K887" s="3">
        <v>2136</v>
      </c>
      <c r="L887">
        <v>3339584</v>
      </c>
      <c r="M887" s="2">
        <v>7825633464.8999996</v>
      </c>
      <c r="N887">
        <v>169885</v>
      </c>
      <c r="O887" t="s">
        <v>19</v>
      </c>
      <c r="P887" s="8">
        <f t="shared" si="39"/>
        <v>-10.5</v>
      </c>
      <c r="Q887" t="s">
        <v>40</v>
      </c>
      <c r="R887">
        <f t="shared" si="40"/>
        <v>6</v>
      </c>
      <c r="S887" t="str">
        <f t="shared" si="41"/>
        <v>Jun</v>
      </c>
      <c r="T887" s="9">
        <f>VLOOKUP(O887, Annual_Summary!A:B, 2, 0)</f>
        <v>-2.6699969854871962E-3</v>
      </c>
    </row>
    <row r="888" spans="1:20" x14ac:dyDescent="0.3">
      <c r="A888" s="1">
        <v>45819</v>
      </c>
      <c r="B888" s="3" t="s">
        <v>15</v>
      </c>
      <c r="C888" s="3">
        <v>2395.1999999999998</v>
      </c>
      <c r="D888" s="3">
        <v>2402.9</v>
      </c>
      <c r="E888" s="3">
        <v>2371.3000000000002</v>
      </c>
      <c r="F888" s="3">
        <v>2395.1999999999998</v>
      </c>
      <c r="G888" s="3">
        <v>2372.6999999999998</v>
      </c>
      <c r="H888" s="3">
        <v>2376.4</v>
      </c>
      <c r="I888" s="3">
        <v>2384.36</v>
      </c>
      <c r="J888" s="3">
        <v>3035</v>
      </c>
      <c r="K888" s="3">
        <v>2136</v>
      </c>
      <c r="L888">
        <v>1977707</v>
      </c>
      <c r="M888" s="2">
        <v>4715561549.8000002</v>
      </c>
      <c r="N888">
        <v>86408</v>
      </c>
      <c r="O888" t="s">
        <v>19</v>
      </c>
      <c r="P888" s="8">
        <f t="shared" si="39"/>
        <v>0</v>
      </c>
      <c r="Q888" t="s">
        <v>40</v>
      </c>
      <c r="R888">
        <f t="shared" si="40"/>
        <v>6</v>
      </c>
      <c r="S888" t="str">
        <f t="shared" si="41"/>
        <v>Jun</v>
      </c>
      <c r="T888" s="9">
        <f>VLOOKUP(O888, Annual_Summary!A:B, 2, 0)</f>
        <v>-2.6699969854871962E-3</v>
      </c>
    </row>
    <row r="889" spans="1:20" x14ac:dyDescent="0.3">
      <c r="A889" s="1">
        <v>45818</v>
      </c>
      <c r="B889" s="3" t="s">
        <v>15</v>
      </c>
      <c r="C889" s="3">
        <v>2393.4</v>
      </c>
      <c r="D889" s="3">
        <v>2400.1999999999998</v>
      </c>
      <c r="E889" s="3">
        <v>2378.4</v>
      </c>
      <c r="F889" s="3">
        <v>2393.1999999999998</v>
      </c>
      <c r="G889" s="3">
        <v>2392</v>
      </c>
      <c r="H889" s="3">
        <v>2395.1999999999998</v>
      </c>
      <c r="I889" s="3">
        <v>2393.06</v>
      </c>
      <c r="J889" s="3">
        <v>3035</v>
      </c>
      <c r="K889" s="3">
        <v>2136</v>
      </c>
      <c r="L889">
        <v>1778782</v>
      </c>
      <c r="M889" s="2">
        <v>4256731769.9000001</v>
      </c>
      <c r="N889">
        <v>71612</v>
      </c>
      <c r="O889" t="s">
        <v>19</v>
      </c>
      <c r="P889" s="8">
        <f t="shared" si="39"/>
        <v>-0.20000000000027285</v>
      </c>
      <c r="Q889" t="s">
        <v>40</v>
      </c>
      <c r="R889">
        <f t="shared" si="40"/>
        <v>6</v>
      </c>
      <c r="S889" t="str">
        <f t="shared" si="41"/>
        <v>Jun</v>
      </c>
      <c r="T889" s="9">
        <f>VLOOKUP(O889, Annual_Summary!A:B, 2, 0)</f>
        <v>-2.6699969854871962E-3</v>
      </c>
    </row>
    <row r="890" spans="1:20" x14ac:dyDescent="0.3">
      <c r="A890" s="1">
        <v>45817</v>
      </c>
      <c r="B890" s="3" t="s">
        <v>15</v>
      </c>
      <c r="C890" s="3">
        <v>2394</v>
      </c>
      <c r="D890" s="3">
        <v>2399</v>
      </c>
      <c r="E890" s="3">
        <v>2378.3000000000002</v>
      </c>
      <c r="F890" s="3">
        <v>2389.8000000000002</v>
      </c>
      <c r="G890" s="3">
        <v>2390</v>
      </c>
      <c r="H890" s="3">
        <v>2393.1999999999998</v>
      </c>
      <c r="I890" s="3">
        <v>2392.2600000000002</v>
      </c>
      <c r="J890" s="3">
        <v>3035</v>
      </c>
      <c r="K890" s="3">
        <v>2136</v>
      </c>
      <c r="L890">
        <v>1293622</v>
      </c>
      <c r="M890" s="2">
        <v>3094676118.6999998</v>
      </c>
      <c r="N890">
        <v>67389</v>
      </c>
      <c r="O890" t="s">
        <v>19</v>
      </c>
      <c r="P890" s="8">
        <f t="shared" si="39"/>
        <v>-4.1999999999998181</v>
      </c>
      <c r="Q890" t="s">
        <v>40</v>
      </c>
      <c r="R890">
        <f t="shared" si="40"/>
        <v>6</v>
      </c>
      <c r="S890" t="str">
        <f t="shared" si="41"/>
        <v>Jun</v>
      </c>
      <c r="T890" s="9">
        <f>VLOOKUP(O890, Annual_Summary!A:B, 2, 0)</f>
        <v>-2.6699969854871962E-3</v>
      </c>
    </row>
    <row r="891" spans="1:20" x14ac:dyDescent="0.3">
      <c r="A891" s="1">
        <v>45814</v>
      </c>
      <c r="B891" s="3" t="s">
        <v>15</v>
      </c>
      <c r="C891" s="3">
        <v>2373.3000000000002</v>
      </c>
      <c r="D891" s="3">
        <v>2396.5</v>
      </c>
      <c r="E891" s="3">
        <v>2370.1</v>
      </c>
      <c r="F891" s="3">
        <v>2376.4</v>
      </c>
      <c r="G891" s="3">
        <v>2389</v>
      </c>
      <c r="H891" s="3">
        <v>2389.8000000000002</v>
      </c>
      <c r="I891" s="3">
        <v>2384.61</v>
      </c>
      <c r="J891" s="3">
        <v>3035</v>
      </c>
      <c r="K891" s="3">
        <v>2136</v>
      </c>
      <c r="L891">
        <v>997488</v>
      </c>
      <c r="M891" s="2">
        <v>2378623797.5999999</v>
      </c>
      <c r="N891">
        <v>53934</v>
      </c>
      <c r="O891" t="s">
        <v>19</v>
      </c>
      <c r="P891" s="8">
        <f t="shared" si="39"/>
        <v>3.0999999999999091</v>
      </c>
      <c r="Q891" t="s">
        <v>40</v>
      </c>
      <c r="R891">
        <f t="shared" si="40"/>
        <v>6</v>
      </c>
      <c r="S891" t="str">
        <f t="shared" si="41"/>
        <v>Jun</v>
      </c>
      <c r="T891" s="9">
        <f>VLOOKUP(O891, Annual_Summary!A:B, 2, 0)</f>
        <v>-2.6699969854871962E-3</v>
      </c>
    </row>
    <row r="892" spans="1:20" x14ac:dyDescent="0.3">
      <c r="A892" s="1">
        <v>45813</v>
      </c>
      <c r="B892" s="3" t="s">
        <v>15</v>
      </c>
      <c r="C892" s="3">
        <v>2364.5</v>
      </c>
      <c r="D892" s="3">
        <v>2380</v>
      </c>
      <c r="E892" s="3">
        <v>2348.9</v>
      </c>
      <c r="F892" s="3">
        <v>2364.5</v>
      </c>
      <c r="G892" s="3">
        <v>2376</v>
      </c>
      <c r="H892" s="3">
        <v>2376.4</v>
      </c>
      <c r="I892" s="3">
        <v>2371.3200000000002</v>
      </c>
      <c r="J892" s="3">
        <v>3035</v>
      </c>
      <c r="K892" s="3">
        <v>2136</v>
      </c>
      <c r="L892">
        <v>1787978</v>
      </c>
      <c r="M892" s="2">
        <v>4239865309</v>
      </c>
      <c r="N892">
        <v>56991</v>
      </c>
      <c r="O892" t="s">
        <v>19</v>
      </c>
      <c r="P892" s="8">
        <f t="shared" si="39"/>
        <v>0</v>
      </c>
      <c r="Q892" t="s">
        <v>40</v>
      </c>
      <c r="R892">
        <f t="shared" si="40"/>
        <v>6</v>
      </c>
      <c r="S892" t="str">
        <f t="shared" si="41"/>
        <v>Jun</v>
      </c>
      <c r="T892" s="9">
        <f>VLOOKUP(O892, Annual_Summary!A:B, 2, 0)</f>
        <v>-2.6699969854871962E-3</v>
      </c>
    </row>
    <row r="893" spans="1:20" x14ac:dyDescent="0.3">
      <c r="A893" s="1">
        <v>45812</v>
      </c>
      <c r="B893" s="3" t="s">
        <v>15</v>
      </c>
      <c r="C893" s="3">
        <v>2359.5</v>
      </c>
      <c r="D893" s="3">
        <v>2367.6</v>
      </c>
      <c r="E893" s="3">
        <v>2342.1</v>
      </c>
      <c r="F893" s="3">
        <v>2352.3000000000002</v>
      </c>
      <c r="G893" s="3">
        <v>2365</v>
      </c>
      <c r="H893" s="3">
        <v>2364.5</v>
      </c>
      <c r="I893" s="3">
        <v>2349.65</v>
      </c>
      <c r="J893" s="3">
        <v>3035</v>
      </c>
      <c r="K893" s="3">
        <v>2136</v>
      </c>
      <c r="L893">
        <v>3287896</v>
      </c>
      <c r="M893" s="2">
        <v>7725419253.8999996</v>
      </c>
      <c r="N893">
        <v>67671</v>
      </c>
      <c r="O893" t="s">
        <v>19</v>
      </c>
      <c r="P893" s="8">
        <f t="shared" si="39"/>
        <v>-7.1999999999998181</v>
      </c>
      <c r="Q893" t="s">
        <v>40</v>
      </c>
      <c r="R893">
        <f t="shared" si="40"/>
        <v>6</v>
      </c>
      <c r="S893" t="str">
        <f t="shared" si="41"/>
        <v>Jun</v>
      </c>
      <c r="T893" s="9">
        <f>VLOOKUP(O893, Annual_Summary!A:B, 2, 0)</f>
        <v>-2.6699969854871962E-3</v>
      </c>
    </row>
    <row r="894" spans="1:20" x14ac:dyDescent="0.3">
      <c r="A894" s="1">
        <v>45811</v>
      </c>
      <c r="B894" s="3" t="s">
        <v>15</v>
      </c>
      <c r="C894" s="3">
        <v>2365.1</v>
      </c>
      <c r="D894" s="3">
        <v>2379.5</v>
      </c>
      <c r="E894" s="3">
        <v>2342.6</v>
      </c>
      <c r="F894" s="3">
        <v>2371.6</v>
      </c>
      <c r="G894" s="3">
        <v>2356</v>
      </c>
      <c r="H894" s="3">
        <v>2352.3000000000002</v>
      </c>
      <c r="I894" s="3">
        <v>2352.14</v>
      </c>
      <c r="J894" s="3">
        <v>3035</v>
      </c>
      <c r="K894" s="3">
        <v>2136</v>
      </c>
      <c r="L894">
        <v>1643913</v>
      </c>
      <c r="M894" s="2">
        <v>3866709347.0999999</v>
      </c>
      <c r="N894">
        <v>107654</v>
      </c>
      <c r="O894" t="s">
        <v>19</v>
      </c>
      <c r="P894" s="8">
        <f t="shared" si="39"/>
        <v>6.5</v>
      </c>
      <c r="Q894" t="s">
        <v>40</v>
      </c>
      <c r="R894">
        <f t="shared" si="40"/>
        <v>6</v>
      </c>
      <c r="S894" t="str">
        <f t="shared" si="41"/>
        <v>Jun</v>
      </c>
      <c r="T894" s="9">
        <f>VLOOKUP(O894, Annual_Summary!A:B, 2, 0)</f>
        <v>-2.6699969854871962E-3</v>
      </c>
    </row>
    <row r="895" spans="1:20" x14ac:dyDescent="0.3">
      <c r="A895" s="1">
        <v>45810</v>
      </c>
      <c r="B895" s="3" t="s">
        <v>15</v>
      </c>
      <c r="C895" s="3">
        <v>2347.9</v>
      </c>
      <c r="D895" s="3">
        <v>2384</v>
      </c>
      <c r="E895" s="3">
        <v>2343.6</v>
      </c>
      <c r="F895" s="3">
        <v>2348.3000000000002</v>
      </c>
      <c r="G895" s="3">
        <v>2367.9</v>
      </c>
      <c r="H895" s="3">
        <v>2371.6</v>
      </c>
      <c r="I895" s="3">
        <v>2369.77</v>
      </c>
      <c r="J895" s="3">
        <v>3035</v>
      </c>
      <c r="K895" s="3">
        <v>2136</v>
      </c>
      <c r="L895">
        <v>1178205</v>
      </c>
      <c r="M895" s="2">
        <v>2792069352.6999998</v>
      </c>
      <c r="N895">
        <v>52751</v>
      </c>
      <c r="O895" t="s">
        <v>19</v>
      </c>
      <c r="P895" s="8">
        <f t="shared" si="39"/>
        <v>0.40000000000009095</v>
      </c>
      <c r="Q895" t="s">
        <v>40</v>
      </c>
      <c r="R895">
        <f t="shared" si="40"/>
        <v>6</v>
      </c>
      <c r="S895" t="str">
        <f t="shared" si="41"/>
        <v>Jun</v>
      </c>
      <c r="T895" s="9">
        <f>VLOOKUP(O895, Annual_Summary!A:B, 2, 0)</f>
        <v>-2.6699969854871962E-3</v>
      </c>
    </row>
    <row r="896" spans="1:20" x14ac:dyDescent="0.3">
      <c r="A896" s="1">
        <v>45807</v>
      </c>
      <c r="B896" s="3" t="s">
        <v>15</v>
      </c>
      <c r="C896" s="3">
        <v>2360</v>
      </c>
      <c r="D896" s="3">
        <v>2374.9</v>
      </c>
      <c r="E896" s="3">
        <v>2343.5</v>
      </c>
      <c r="F896" s="3">
        <v>2366.6999999999998</v>
      </c>
      <c r="G896" s="3">
        <v>2346</v>
      </c>
      <c r="H896" s="3">
        <v>2348.3000000000002</v>
      </c>
      <c r="I896" s="3">
        <v>2351.39</v>
      </c>
      <c r="J896" s="3">
        <v>3035</v>
      </c>
      <c r="K896" s="3">
        <v>2136</v>
      </c>
      <c r="L896">
        <v>3288892</v>
      </c>
      <c r="M896" s="2">
        <v>7733475792.1999998</v>
      </c>
      <c r="N896">
        <v>65016</v>
      </c>
      <c r="O896" t="s">
        <v>19</v>
      </c>
      <c r="P896" s="8">
        <f t="shared" si="39"/>
        <v>6.6999999999998181</v>
      </c>
      <c r="Q896" t="s">
        <v>40</v>
      </c>
      <c r="R896">
        <f t="shared" si="40"/>
        <v>5</v>
      </c>
      <c r="S896" t="str">
        <f t="shared" si="41"/>
        <v>May</v>
      </c>
      <c r="T896" s="9">
        <f>VLOOKUP(O896, Annual_Summary!A:B, 2, 0)</f>
        <v>-2.6699969854871962E-3</v>
      </c>
    </row>
    <row r="897" spans="1:20" x14ac:dyDescent="0.3">
      <c r="A897" s="1">
        <v>45806</v>
      </c>
      <c r="B897" s="3" t="s">
        <v>15</v>
      </c>
      <c r="C897" s="3">
        <v>2369</v>
      </c>
      <c r="D897" s="3">
        <v>2376</v>
      </c>
      <c r="E897" s="3">
        <v>2355.5</v>
      </c>
      <c r="F897" s="3">
        <v>2362</v>
      </c>
      <c r="G897" s="3">
        <v>2364.1999999999998</v>
      </c>
      <c r="H897" s="3">
        <v>2366.6999999999998</v>
      </c>
      <c r="I897" s="3">
        <v>2366.46</v>
      </c>
      <c r="J897" s="3">
        <v>3035</v>
      </c>
      <c r="K897" s="3">
        <v>2136</v>
      </c>
      <c r="L897">
        <v>1111275</v>
      </c>
      <c r="M897" s="2">
        <v>2629791496.3000002</v>
      </c>
      <c r="N897">
        <v>54853</v>
      </c>
      <c r="O897" t="s">
        <v>19</v>
      </c>
      <c r="P897" s="8">
        <f t="shared" si="39"/>
        <v>-7</v>
      </c>
      <c r="Q897" t="s">
        <v>40</v>
      </c>
      <c r="R897">
        <f t="shared" si="40"/>
        <v>5</v>
      </c>
      <c r="S897" t="str">
        <f t="shared" si="41"/>
        <v>May</v>
      </c>
      <c r="T897" s="9">
        <f>VLOOKUP(O897, Annual_Summary!A:B, 2, 0)</f>
        <v>-2.6699969854871962E-3</v>
      </c>
    </row>
    <row r="898" spans="1:20" x14ac:dyDescent="0.3">
      <c r="A898" s="1">
        <v>45805</v>
      </c>
      <c r="B898" s="3" t="s">
        <v>15</v>
      </c>
      <c r="C898" s="3">
        <v>2388</v>
      </c>
      <c r="D898" s="3">
        <v>2388</v>
      </c>
      <c r="E898" s="3">
        <v>2352</v>
      </c>
      <c r="F898" s="3">
        <v>2380.1999999999998</v>
      </c>
      <c r="G898" s="3">
        <v>2365</v>
      </c>
      <c r="H898" s="3">
        <v>2362</v>
      </c>
      <c r="I898" s="3">
        <v>2367.42</v>
      </c>
      <c r="J898" s="3">
        <v>3035</v>
      </c>
      <c r="K898" s="3">
        <v>2136</v>
      </c>
      <c r="L898">
        <v>897517</v>
      </c>
      <c r="M898" s="2">
        <v>2124799272.9000001</v>
      </c>
      <c r="N898">
        <v>41610</v>
      </c>
      <c r="O898" t="s">
        <v>19</v>
      </c>
      <c r="P898" s="8">
        <f t="shared" si="39"/>
        <v>-7.8000000000001819</v>
      </c>
      <c r="Q898" t="s">
        <v>40</v>
      </c>
      <c r="R898">
        <f t="shared" si="40"/>
        <v>5</v>
      </c>
      <c r="S898" t="str">
        <f t="shared" si="41"/>
        <v>May</v>
      </c>
      <c r="T898" s="9">
        <f>VLOOKUP(O898, Annual_Summary!A:B, 2, 0)</f>
        <v>-2.6699969854871962E-3</v>
      </c>
    </row>
    <row r="899" spans="1:20" x14ac:dyDescent="0.3">
      <c r="A899" s="1">
        <v>45804</v>
      </c>
      <c r="B899" s="3" t="s">
        <v>15</v>
      </c>
      <c r="C899" s="3">
        <v>2394.1</v>
      </c>
      <c r="D899" s="3">
        <v>2409.5</v>
      </c>
      <c r="E899" s="3">
        <v>2360.3000000000002</v>
      </c>
      <c r="F899" s="3">
        <v>2394.1</v>
      </c>
      <c r="G899" s="3">
        <v>2383</v>
      </c>
      <c r="H899" s="3">
        <v>2380.1999999999998</v>
      </c>
      <c r="I899" s="3">
        <v>2379.54</v>
      </c>
      <c r="J899" s="3">
        <v>3035</v>
      </c>
      <c r="K899" s="3">
        <v>2136</v>
      </c>
      <c r="L899">
        <v>1865258</v>
      </c>
      <c r="M899" s="2">
        <v>4438450191</v>
      </c>
      <c r="N899">
        <v>97756</v>
      </c>
      <c r="O899" t="s">
        <v>19</v>
      </c>
      <c r="P899" s="8">
        <f t="shared" ref="P899:P962" si="42">F899-C899</f>
        <v>0</v>
      </c>
      <c r="Q899" t="s">
        <v>40</v>
      </c>
      <c r="R899">
        <f t="shared" ref="R899:R962" si="43">MONTH(A899)</f>
        <v>5</v>
      </c>
      <c r="S899" t="str">
        <f t="shared" ref="S899:S962" si="44">TEXT(A899,"mmm")</f>
        <v>May</v>
      </c>
      <c r="T899" s="9">
        <f>VLOOKUP(O899, Annual_Summary!A:B, 2, 0)</f>
        <v>-2.6699969854871962E-3</v>
      </c>
    </row>
    <row r="900" spans="1:20" x14ac:dyDescent="0.3">
      <c r="A900" s="1">
        <v>45803</v>
      </c>
      <c r="B900" s="3" t="s">
        <v>15</v>
      </c>
      <c r="C900" s="3">
        <v>2368</v>
      </c>
      <c r="D900" s="3">
        <v>2397.3000000000002</v>
      </c>
      <c r="E900" s="3">
        <v>2364.1</v>
      </c>
      <c r="F900" s="3">
        <v>2359.1999999999998</v>
      </c>
      <c r="G900" s="3">
        <v>2391.1999999999998</v>
      </c>
      <c r="H900" s="3">
        <v>2394.1</v>
      </c>
      <c r="I900" s="3">
        <v>2385.3000000000002</v>
      </c>
      <c r="J900" s="3">
        <v>3035</v>
      </c>
      <c r="K900" s="3">
        <v>2136</v>
      </c>
      <c r="L900">
        <v>892618</v>
      </c>
      <c r="M900" s="2">
        <v>2129165706.9000001</v>
      </c>
      <c r="N900">
        <v>50530</v>
      </c>
      <c r="O900" t="s">
        <v>19</v>
      </c>
      <c r="P900" s="8">
        <f t="shared" si="42"/>
        <v>-8.8000000000001819</v>
      </c>
      <c r="Q900" t="s">
        <v>40</v>
      </c>
      <c r="R900">
        <f t="shared" si="43"/>
        <v>5</v>
      </c>
      <c r="S900" t="str">
        <f t="shared" si="44"/>
        <v>May</v>
      </c>
      <c r="T900" s="9">
        <f>VLOOKUP(O900, Annual_Summary!A:B, 2, 0)</f>
        <v>-2.6699969854871962E-3</v>
      </c>
    </row>
    <row r="901" spans="1:20" x14ac:dyDescent="0.3">
      <c r="A901" s="1">
        <v>45800</v>
      </c>
      <c r="B901" s="3" t="s">
        <v>15</v>
      </c>
      <c r="C901" s="3">
        <v>2336.9</v>
      </c>
      <c r="D901" s="3">
        <v>2364.5</v>
      </c>
      <c r="E901" s="3">
        <v>2329.6</v>
      </c>
      <c r="F901" s="3">
        <v>2330.6999999999998</v>
      </c>
      <c r="G901" s="3">
        <v>2355</v>
      </c>
      <c r="H901" s="3">
        <v>2359.1999999999998</v>
      </c>
      <c r="I901" s="3">
        <v>2353.59</v>
      </c>
      <c r="J901" s="3">
        <v>3035</v>
      </c>
      <c r="K901" s="3">
        <v>2136</v>
      </c>
      <c r="L901">
        <v>844118</v>
      </c>
      <c r="M901" s="2">
        <v>1986709021.0999999</v>
      </c>
      <c r="N901">
        <v>37992</v>
      </c>
      <c r="O901" t="s">
        <v>19</v>
      </c>
      <c r="P901" s="8">
        <f t="shared" si="42"/>
        <v>-6.2000000000002728</v>
      </c>
      <c r="Q901" t="s">
        <v>40</v>
      </c>
      <c r="R901">
        <f t="shared" si="43"/>
        <v>5</v>
      </c>
      <c r="S901" t="str">
        <f t="shared" si="44"/>
        <v>May</v>
      </c>
      <c r="T901" s="9">
        <f>VLOOKUP(O901, Annual_Summary!A:B, 2, 0)</f>
        <v>-2.6699969854871962E-3</v>
      </c>
    </row>
    <row r="902" spans="1:20" x14ac:dyDescent="0.3">
      <c r="A902" s="1">
        <v>45799</v>
      </c>
      <c r="B902" s="3" t="s">
        <v>15</v>
      </c>
      <c r="C902" s="3">
        <v>2355</v>
      </c>
      <c r="D902" s="3">
        <v>2363.1</v>
      </c>
      <c r="E902" s="3">
        <v>2313.1</v>
      </c>
      <c r="F902" s="3">
        <v>2363.9</v>
      </c>
      <c r="G902" s="3">
        <v>2330.6999999999998</v>
      </c>
      <c r="H902" s="3">
        <v>2330.6999999999998</v>
      </c>
      <c r="I902" s="3">
        <v>2329.0500000000002</v>
      </c>
      <c r="J902" s="3">
        <v>3035</v>
      </c>
      <c r="K902" s="3">
        <v>2136</v>
      </c>
      <c r="L902">
        <v>2423653</v>
      </c>
      <c r="M902" s="2">
        <v>5644798899.5</v>
      </c>
      <c r="N902">
        <v>110122</v>
      </c>
      <c r="O902" t="s">
        <v>19</v>
      </c>
      <c r="P902" s="8">
        <f t="shared" si="42"/>
        <v>8.9000000000000909</v>
      </c>
      <c r="Q902" t="s">
        <v>40</v>
      </c>
      <c r="R902">
        <f t="shared" si="43"/>
        <v>5</v>
      </c>
      <c r="S902" t="str">
        <f t="shared" si="44"/>
        <v>May</v>
      </c>
      <c r="T902" s="9">
        <f>VLOOKUP(O902, Annual_Summary!A:B, 2, 0)</f>
        <v>-2.6699969854871962E-3</v>
      </c>
    </row>
    <row r="903" spans="1:20" x14ac:dyDescent="0.3">
      <c r="A903" s="1">
        <v>45798</v>
      </c>
      <c r="B903" s="3" t="s">
        <v>15</v>
      </c>
      <c r="C903" s="3">
        <v>2346</v>
      </c>
      <c r="D903" s="3">
        <v>2375.6999999999998</v>
      </c>
      <c r="E903" s="3">
        <v>2345</v>
      </c>
      <c r="F903" s="3">
        <v>2341.1</v>
      </c>
      <c r="G903" s="3">
        <v>2360.1</v>
      </c>
      <c r="H903" s="3">
        <v>2363.9</v>
      </c>
      <c r="I903" s="3">
        <v>2366.42</v>
      </c>
      <c r="J903" s="3">
        <v>3035</v>
      </c>
      <c r="K903" s="3">
        <v>2136</v>
      </c>
      <c r="L903">
        <v>1570754</v>
      </c>
      <c r="M903" s="2">
        <v>3717059033.4000001</v>
      </c>
      <c r="N903">
        <v>74337</v>
      </c>
      <c r="O903" t="s">
        <v>19</v>
      </c>
      <c r="P903" s="8">
        <f t="shared" si="42"/>
        <v>-4.9000000000000909</v>
      </c>
      <c r="Q903" t="s">
        <v>40</v>
      </c>
      <c r="R903">
        <f t="shared" si="43"/>
        <v>5</v>
      </c>
      <c r="S903" t="str">
        <f t="shared" si="44"/>
        <v>May</v>
      </c>
      <c r="T903" s="9">
        <f>VLOOKUP(O903, Annual_Summary!A:B, 2, 0)</f>
        <v>-2.6699969854871962E-3</v>
      </c>
    </row>
    <row r="904" spans="1:20" x14ac:dyDescent="0.3">
      <c r="A904" s="1">
        <v>45797</v>
      </c>
      <c r="B904" s="3" t="s">
        <v>15</v>
      </c>
      <c r="C904" s="3">
        <v>2394.6</v>
      </c>
      <c r="D904" s="3">
        <v>2394.6</v>
      </c>
      <c r="E904" s="3">
        <v>2338.5</v>
      </c>
      <c r="F904" s="3">
        <v>2382.6999999999998</v>
      </c>
      <c r="G904" s="3">
        <v>2348</v>
      </c>
      <c r="H904" s="3">
        <v>2341.1</v>
      </c>
      <c r="I904" s="3">
        <v>2352.5700000000002</v>
      </c>
      <c r="J904" s="3">
        <v>3035</v>
      </c>
      <c r="K904" s="3">
        <v>2136</v>
      </c>
      <c r="L904">
        <v>1617408</v>
      </c>
      <c r="M904" s="2">
        <v>3805072264.8000002</v>
      </c>
      <c r="N904">
        <v>71972</v>
      </c>
      <c r="O904" t="s">
        <v>19</v>
      </c>
      <c r="P904" s="8">
        <f t="shared" si="42"/>
        <v>-11.900000000000091</v>
      </c>
      <c r="Q904" t="s">
        <v>40</v>
      </c>
      <c r="R904">
        <f t="shared" si="43"/>
        <v>5</v>
      </c>
      <c r="S904" t="str">
        <f t="shared" si="44"/>
        <v>May</v>
      </c>
      <c r="T904" s="9">
        <f>VLOOKUP(O904, Annual_Summary!A:B, 2, 0)</f>
        <v>-2.6699969854871962E-3</v>
      </c>
    </row>
    <row r="905" spans="1:20" x14ac:dyDescent="0.3">
      <c r="A905" s="1">
        <v>45796</v>
      </c>
      <c r="B905" s="3" t="s">
        <v>15</v>
      </c>
      <c r="C905" s="3">
        <v>2375</v>
      </c>
      <c r="D905" s="3">
        <v>2405</v>
      </c>
      <c r="E905" s="3">
        <v>2375</v>
      </c>
      <c r="F905" s="3">
        <v>2381.4</v>
      </c>
      <c r="G905" s="3">
        <v>2381</v>
      </c>
      <c r="H905" s="3">
        <v>2382.6999999999998</v>
      </c>
      <c r="I905" s="3">
        <v>2388.7800000000002</v>
      </c>
      <c r="J905" s="3">
        <v>3035</v>
      </c>
      <c r="K905" s="3">
        <v>2136</v>
      </c>
      <c r="L905">
        <v>936655</v>
      </c>
      <c r="M905" s="2">
        <v>2237460516.5</v>
      </c>
      <c r="N905">
        <v>62075</v>
      </c>
      <c r="O905" t="s">
        <v>19</v>
      </c>
      <c r="P905" s="8">
        <f t="shared" si="42"/>
        <v>6.4000000000000909</v>
      </c>
      <c r="Q905" t="s">
        <v>40</v>
      </c>
      <c r="R905">
        <f t="shared" si="43"/>
        <v>5</v>
      </c>
      <c r="S905" t="str">
        <f t="shared" si="44"/>
        <v>May</v>
      </c>
      <c r="T905" s="9">
        <f>VLOOKUP(O905, Annual_Summary!A:B, 2, 0)</f>
        <v>-2.6699969854871962E-3</v>
      </c>
    </row>
    <row r="906" spans="1:20" x14ac:dyDescent="0.3">
      <c r="A906" s="1">
        <v>45793</v>
      </c>
      <c r="B906" s="3" t="s">
        <v>15</v>
      </c>
      <c r="C906" s="3">
        <v>2360</v>
      </c>
      <c r="D906" s="3">
        <v>2387</v>
      </c>
      <c r="E906" s="3">
        <v>2349</v>
      </c>
      <c r="F906" s="3">
        <v>2355.1999999999998</v>
      </c>
      <c r="G906" s="3">
        <v>2380</v>
      </c>
      <c r="H906" s="3">
        <v>2381.4</v>
      </c>
      <c r="I906" s="3">
        <v>2364.8200000000002</v>
      </c>
      <c r="J906" s="3">
        <v>3035</v>
      </c>
      <c r="K906" s="3">
        <v>2136</v>
      </c>
      <c r="L906">
        <v>1473000</v>
      </c>
      <c r="M906" s="2">
        <v>3483386515.9000001</v>
      </c>
      <c r="N906">
        <v>68020</v>
      </c>
      <c r="O906" t="s">
        <v>19</v>
      </c>
      <c r="P906" s="8">
        <f t="shared" si="42"/>
        <v>-4.8000000000001819</v>
      </c>
      <c r="Q906" t="s">
        <v>40</v>
      </c>
      <c r="R906">
        <f t="shared" si="43"/>
        <v>5</v>
      </c>
      <c r="S906" t="str">
        <f t="shared" si="44"/>
        <v>May</v>
      </c>
      <c r="T906" s="9">
        <f>VLOOKUP(O906, Annual_Summary!A:B, 2, 0)</f>
        <v>-2.6699969854871962E-3</v>
      </c>
    </row>
    <row r="907" spans="1:20" x14ac:dyDescent="0.3">
      <c r="A907" s="1">
        <v>45792</v>
      </c>
      <c r="B907" s="3" t="s">
        <v>15</v>
      </c>
      <c r="C907" s="3">
        <v>2351.6</v>
      </c>
      <c r="D907" s="3">
        <v>2369.9</v>
      </c>
      <c r="E907" s="3">
        <v>2340</v>
      </c>
      <c r="F907" s="3">
        <v>2350.5</v>
      </c>
      <c r="G907" s="3">
        <v>2355</v>
      </c>
      <c r="H907" s="3">
        <v>2355.1999999999998</v>
      </c>
      <c r="I907" s="3">
        <v>2355.0100000000002</v>
      </c>
      <c r="J907" s="3">
        <v>3035</v>
      </c>
      <c r="K907" s="3">
        <v>2136</v>
      </c>
      <c r="L907">
        <v>3236681</v>
      </c>
      <c r="M907" s="2">
        <v>7622408947</v>
      </c>
      <c r="N907">
        <v>145637</v>
      </c>
      <c r="O907" t="s">
        <v>19</v>
      </c>
      <c r="P907" s="8">
        <f t="shared" si="42"/>
        <v>-1.0999999999999091</v>
      </c>
      <c r="Q907" t="s">
        <v>40</v>
      </c>
      <c r="R907">
        <f t="shared" si="43"/>
        <v>5</v>
      </c>
      <c r="S907" t="str">
        <f t="shared" si="44"/>
        <v>May</v>
      </c>
      <c r="T907" s="9">
        <f>VLOOKUP(O907, Annual_Summary!A:B, 2, 0)</f>
        <v>-2.6699969854871962E-3</v>
      </c>
    </row>
    <row r="908" spans="1:20" x14ac:dyDescent="0.3">
      <c r="A908" s="1">
        <v>45791</v>
      </c>
      <c r="B908" s="3" t="s">
        <v>15</v>
      </c>
      <c r="C908" s="3">
        <v>2370</v>
      </c>
      <c r="D908" s="3">
        <v>2370</v>
      </c>
      <c r="E908" s="3">
        <v>2338.5</v>
      </c>
      <c r="F908" s="3">
        <v>2360</v>
      </c>
      <c r="G908" s="3">
        <v>2351.6999999999998</v>
      </c>
      <c r="H908" s="3">
        <v>2350.5</v>
      </c>
      <c r="I908" s="3">
        <v>2348.36</v>
      </c>
      <c r="J908" s="3">
        <v>3035</v>
      </c>
      <c r="K908" s="3">
        <v>2136</v>
      </c>
      <c r="L908">
        <v>1568111</v>
      </c>
      <c r="M908" s="2">
        <v>3682482875.5999999</v>
      </c>
      <c r="N908">
        <v>89391</v>
      </c>
      <c r="O908" t="s">
        <v>19</v>
      </c>
      <c r="P908" s="8">
        <f t="shared" si="42"/>
        <v>-10</v>
      </c>
      <c r="Q908" t="s">
        <v>40</v>
      </c>
      <c r="R908">
        <f t="shared" si="43"/>
        <v>5</v>
      </c>
      <c r="S908" t="str">
        <f t="shared" si="44"/>
        <v>May</v>
      </c>
      <c r="T908" s="9">
        <f>VLOOKUP(O908, Annual_Summary!A:B, 2, 0)</f>
        <v>-2.6699969854871962E-3</v>
      </c>
    </row>
    <row r="909" spans="1:20" x14ac:dyDescent="0.3">
      <c r="A909" s="1">
        <v>45790</v>
      </c>
      <c r="B909" s="3" t="s">
        <v>15</v>
      </c>
      <c r="C909" s="3">
        <v>2375.6</v>
      </c>
      <c r="D909" s="3">
        <v>2398</v>
      </c>
      <c r="E909" s="3">
        <v>2352.8000000000002</v>
      </c>
      <c r="F909" s="3">
        <v>2382.5</v>
      </c>
      <c r="G909" s="3">
        <v>2359.6999999999998</v>
      </c>
      <c r="H909" s="3">
        <v>2360</v>
      </c>
      <c r="I909" s="3">
        <v>2365.67</v>
      </c>
      <c r="J909" s="3">
        <v>3035</v>
      </c>
      <c r="K909" s="3">
        <v>2136</v>
      </c>
      <c r="L909">
        <v>1929665</v>
      </c>
      <c r="M909" s="2">
        <v>4564943492</v>
      </c>
      <c r="N909">
        <v>102660</v>
      </c>
      <c r="O909" t="s">
        <v>19</v>
      </c>
      <c r="P909" s="8">
        <f t="shared" si="42"/>
        <v>6.9000000000000909</v>
      </c>
      <c r="Q909" t="s">
        <v>40</v>
      </c>
      <c r="R909">
        <f t="shared" si="43"/>
        <v>5</v>
      </c>
      <c r="S909" t="str">
        <f t="shared" si="44"/>
        <v>May</v>
      </c>
      <c r="T909" s="9">
        <f>VLOOKUP(O909, Annual_Summary!A:B, 2, 0)</f>
        <v>-2.6699969854871962E-3</v>
      </c>
    </row>
    <row r="910" spans="1:20" x14ac:dyDescent="0.3">
      <c r="A910" s="1">
        <v>45789</v>
      </c>
      <c r="B910" s="3" t="s">
        <v>15</v>
      </c>
      <c r="C910" s="3">
        <v>2360</v>
      </c>
      <c r="D910" s="3">
        <v>2387</v>
      </c>
      <c r="E910" s="3">
        <v>2346.1</v>
      </c>
      <c r="F910" s="3">
        <v>2332.9</v>
      </c>
      <c r="G910" s="3">
        <v>2381.6999999999998</v>
      </c>
      <c r="H910" s="3">
        <v>2382.5</v>
      </c>
      <c r="I910" s="3">
        <v>2377.71</v>
      </c>
      <c r="J910" s="3">
        <v>3035</v>
      </c>
      <c r="K910" s="3">
        <v>2136</v>
      </c>
      <c r="L910">
        <v>1274873</v>
      </c>
      <c r="M910" s="2">
        <v>3031275467.6999998</v>
      </c>
      <c r="N910">
        <v>61649</v>
      </c>
      <c r="O910" t="s">
        <v>19</v>
      </c>
      <c r="P910" s="8">
        <f t="shared" si="42"/>
        <v>-27.099999999999909</v>
      </c>
      <c r="Q910" t="s">
        <v>40</v>
      </c>
      <c r="R910">
        <f t="shared" si="43"/>
        <v>5</v>
      </c>
      <c r="S910" t="str">
        <f t="shared" si="44"/>
        <v>May</v>
      </c>
      <c r="T910" s="9">
        <f>VLOOKUP(O910, Annual_Summary!A:B, 2, 0)</f>
        <v>-2.6699969854871962E-3</v>
      </c>
    </row>
    <row r="911" spans="1:20" x14ac:dyDescent="0.3">
      <c r="A911" s="1">
        <v>45786</v>
      </c>
      <c r="B911" s="3" t="s">
        <v>15</v>
      </c>
      <c r="C911" s="3">
        <v>2330</v>
      </c>
      <c r="D911" s="3">
        <v>2342.6999999999998</v>
      </c>
      <c r="E911" s="3">
        <v>2302.3000000000002</v>
      </c>
      <c r="F911" s="3">
        <v>2354.9</v>
      </c>
      <c r="G911" s="3">
        <v>2336</v>
      </c>
      <c r="H911" s="3">
        <v>2332.9</v>
      </c>
      <c r="I911" s="3">
        <v>2325.81</v>
      </c>
      <c r="J911" s="3">
        <v>3035</v>
      </c>
      <c r="K911" s="3">
        <v>2136</v>
      </c>
      <c r="L911">
        <v>1805685</v>
      </c>
      <c r="M911" s="2">
        <v>4199687091.6999998</v>
      </c>
      <c r="N911">
        <v>99944</v>
      </c>
      <c r="O911" t="s">
        <v>19</v>
      </c>
      <c r="P911" s="8">
        <f t="shared" si="42"/>
        <v>24.900000000000091</v>
      </c>
      <c r="Q911" t="s">
        <v>40</v>
      </c>
      <c r="R911">
        <f t="shared" si="43"/>
        <v>5</v>
      </c>
      <c r="S911" t="str">
        <f t="shared" si="44"/>
        <v>May</v>
      </c>
      <c r="T911" s="9">
        <f>VLOOKUP(O911, Annual_Summary!A:B, 2, 0)</f>
        <v>-2.6699969854871962E-3</v>
      </c>
    </row>
    <row r="912" spans="1:20" x14ac:dyDescent="0.3">
      <c r="A912" s="1">
        <v>45785</v>
      </c>
      <c r="B912" s="3" t="s">
        <v>15</v>
      </c>
      <c r="C912" s="3">
        <v>2361.6999999999998</v>
      </c>
      <c r="D912" s="3">
        <v>2371.9</v>
      </c>
      <c r="E912" s="3">
        <v>2341</v>
      </c>
      <c r="F912" s="3">
        <v>2370.8000000000002</v>
      </c>
      <c r="G912" s="3">
        <v>2346.8000000000002</v>
      </c>
      <c r="H912" s="3">
        <v>2354.9</v>
      </c>
      <c r="I912" s="3">
        <v>2355.19</v>
      </c>
      <c r="J912" s="3">
        <v>3035</v>
      </c>
      <c r="K912" s="3">
        <v>2136</v>
      </c>
      <c r="L912">
        <v>2323073</v>
      </c>
      <c r="M912" s="2">
        <v>5471266856.1999998</v>
      </c>
      <c r="N912">
        <v>115982</v>
      </c>
      <c r="O912" t="s">
        <v>19</v>
      </c>
      <c r="P912" s="8">
        <f t="shared" si="42"/>
        <v>9.1000000000003638</v>
      </c>
      <c r="Q912" t="s">
        <v>40</v>
      </c>
      <c r="R912">
        <f t="shared" si="43"/>
        <v>5</v>
      </c>
      <c r="S912" t="str">
        <f t="shared" si="44"/>
        <v>May</v>
      </c>
      <c r="T912" s="9">
        <f>VLOOKUP(O912, Annual_Summary!A:B, 2, 0)</f>
        <v>-2.6699969854871962E-3</v>
      </c>
    </row>
    <row r="913" spans="1:20" x14ac:dyDescent="0.3">
      <c r="A913" s="1">
        <v>45784</v>
      </c>
      <c r="B913" s="3" t="s">
        <v>15</v>
      </c>
      <c r="C913" s="3">
        <v>2369</v>
      </c>
      <c r="D913" s="3">
        <v>2386.9</v>
      </c>
      <c r="E913" s="3">
        <v>2355.3000000000002</v>
      </c>
      <c r="F913" s="3">
        <v>2381.8000000000002</v>
      </c>
      <c r="G913" s="3">
        <v>2367.1</v>
      </c>
      <c r="H913" s="3">
        <v>2370.8000000000002</v>
      </c>
      <c r="I913" s="3">
        <v>2373.36</v>
      </c>
      <c r="J913" s="3">
        <v>3035</v>
      </c>
      <c r="K913" s="3">
        <v>2136</v>
      </c>
      <c r="L913">
        <v>1610400</v>
      </c>
      <c r="M913" s="2">
        <v>3822055801.1999998</v>
      </c>
      <c r="N913">
        <v>69587</v>
      </c>
      <c r="O913" t="s">
        <v>19</v>
      </c>
      <c r="P913" s="8">
        <f t="shared" si="42"/>
        <v>12.800000000000182</v>
      </c>
      <c r="Q913" t="s">
        <v>40</v>
      </c>
      <c r="R913">
        <f t="shared" si="43"/>
        <v>5</v>
      </c>
      <c r="S913" t="str">
        <f t="shared" si="44"/>
        <v>May</v>
      </c>
      <c r="T913" s="9">
        <f>VLOOKUP(O913, Annual_Summary!A:B, 2, 0)</f>
        <v>-2.6699969854871962E-3</v>
      </c>
    </row>
    <row r="914" spans="1:20" x14ac:dyDescent="0.3">
      <c r="A914" s="1">
        <v>45783</v>
      </c>
      <c r="B914" s="3" t="s">
        <v>15</v>
      </c>
      <c r="C914" s="3">
        <v>2340.1999999999998</v>
      </c>
      <c r="D914" s="3">
        <v>2390.1</v>
      </c>
      <c r="E914" s="3">
        <v>2340.1999999999998</v>
      </c>
      <c r="F914" s="3">
        <v>2348.6</v>
      </c>
      <c r="G914" s="3">
        <v>2381.6</v>
      </c>
      <c r="H914" s="3">
        <v>2381.8000000000002</v>
      </c>
      <c r="I914" s="3">
        <v>2374.17</v>
      </c>
      <c r="J914" s="3">
        <v>3035</v>
      </c>
      <c r="K914" s="3">
        <v>2136</v>
      </c>
      <c r="L914">
        <v>1888125</v>
      </c>
      <c r="M914" s="2">
        <v>4482731038.3000002</v>
      </c>
      <c r="N914">
        <v>98625</v>
      </c>
      <c r="O914" t="s">
        <v>19</v>
      </c>
      <c r="P914" s="8">
        <f t="shared" si="42"/>
        <v>8.4000000000000909</v>
      </c>
      <c r="Q914" t="s">
        <v>40</v>
      </c>
      <c r="R914">
        <f t="shared" si="43"/>
        <v>5</v>
      </c>
      <c r="S914" t="str">
        <f t="shared" si="44"/>
        <v>May</v>
      </c>
      <c r="T914" s="9">
        <f>VLOOKUP(O914, Annual_Summary!A:B, 2, 0)</f>
        <v>-2.6699969854871962E-3</v>
      </c>
    </row>
    <row r="915" spans="1:20" x14ac:dyDescent="0.3">
      <c r="A915" s="1">
        <v>45782</v>
      </c>
      <c r="B915" s="3" t="s">
        <v>15</v>
      </c>
      <c r="C915" s="3">
        <v>2324.1</v>
      </c>
      <c r="D915" s="3">
        <v>2354.9</v>
      </c>
      <c r="E915" s="3">
        <v>2319.1</v>
      </c>
      <c r="F915" s="3">
        <v>2323.9</v>
      </c>
      <c r="G915" s="3">
        <v>2346.5</v>
      </c>
      <c r="H915" s="3">
        <v>2348.6</v>
      </c>
      <c r="I915" s="3">
        <v>2345.9</v>
      </c>
      <c r="J915" s="3">
        <v>3035</v>
      </c>
      <c r="K915" s="3">
        <v>2136</v>
      </c>
      <c r="L915">
        <v>2074103</v>
      </c>
      <c r="M915" s="2">
        <v>4865631673.3000002</v>
      </c>
      <c r="N915">
        <v>77265</v>
      </c>
      <c r="O915" t="s">
        <v>19</v>
      </c>
      <c r="P915" s="8">
        <f t="shared" si="42"/>
        <v>-0.1999999999998181</v>
      </c>
      <c r="Q915" t="s">
        <v>40</v>
      </c>
      <c r="R915">
        <f t="shared" si="43"/>
        <v>5</v>
      </c>
      <c r="S915" t="str">
        <f t="shared" si="44"/>
        <v>May</v>
      </c>
      <c r="T915" s="9">
        <f>VLOOKUP(O915, Annual_Summary!A:B, 2, 0)</f>
        <v>-2.6699969854871962E-3</v>
      </c>
    </row>
    <row r="916" spans="1:20" x14ac:dyDescent="0.3">
      <c r="A916" s="1">
        <v>45779</v>
      </c>
      <c r="B916" s="3" t="s">
        <v>15</v>
      </c>
      <c r="C916" s="3">
        <v>2334.1</v>
      </c>
      <c r="D916" s="3">
        <v>2345</v>
      </c>
      <c r="E916" s="3">
        <v>2310</v>
      </c>
      <c r="F916" s="3">
        <v>2342.1</v>
      </c>
      <c r="G916" s="3">
        <v>2318.6</v>
      </c>
      <c r="H916" s="3">
        <v>2323.9</v>
      </c>
      <c r="I916" s="3">
        <v>2326.0500000000002</v>
      </c>
      <c r="J916" s="3">
        <v>3035</v>
      </c>
      <c r="K916" s="3">
        <v>2136</v>
      </c>
      <c r="L916">
        <v>1953078</v>
      </c>
      <c r="M916" s="2">
        <v>4542956706.3999996</v>
      </c>
      <c r="N916">
        <v>82367</v>
      </c>
      <c r="O916" t="s">
        <v>19</v>
      </c>
      <c r="P916" s="8">
        <f t="shared" si="42"/>
        <v>8</v>
      </c>
      <c r="Q916" t="s">
        <v>40</v>
      </c>
      <c r="R916">
        <f t="shared" si="43"/>
        <v>5</v>
      </c>
      <c r="S916" t="str">
        <f t="shared" si="44"/>
        <v>May</v>
      </c>
      <c r="T916" s="9">
        <f>VLOOKUP(O916, Annual_Summary!A:B, 2, 0)</f>
        <v>-2.6699969854871962E-3</v>
      </c>
    </row>
    <row r="917" spans="1:20" x14ac:dyDescent="0.3">
      <c r="A917" s="1">
        <v>45777</v>
      </c>
      <c r="B917" s="3" t="s">
        <v>15</v>
      </c>
      <c r="C917" s="3">
        <v>2320</v>
      </c>
      <c r="D917" s="3">
        <v>2352.5</v>
      </c>
      <c r="E917" s="3">
        <v>2316</v>
      </c>
      <c r="F917" s="3">
        <v>2321.6999999999998</v>
      </c>
      <c r="G917" s="3">
        <v>2335.5</v>
      </c>
      <c r="H917" s="3">
        <v>2342.1</v>
      </c>
      <c r="I917" s="3">
        <v>2342.17</v>
      </c>
      <c r="J917" s="3">
        <v>3035</v>
      </c>
      <c r="K917" s="3">
        <v>2136</v>
      </c>
      <c r="L917">
        <v>2083807</v>
      </c>
      <c r="M917" s="2">
        <v>4880621395.3999996</v>
      </c>
      <c r="N917">
        <v>133969</v>
      </c>
      <c r="O917" t="s">
        <v>19</v>
      </c>
      <c r="P917" s="8">
        <f t="shared" si="42"/>
        <v>1.6999999999998181</v>
      </c>
      <c r="Q917" t="s">
        <v>40</v>
      </c>
      <c r="R917">
        <f t="shared" si="43"/>
        <v>4</v>
      </c>
      <c r="S917" t="str">
        <f t="shared" si="44"/>
        <v>Apr</v>
      </c>
      <c r="T917" s="9">
        <f>VLOOKUP(O917, Annual_Summary!A:B, 2, 0)</f>
        <v>-2.6699969854871962E-3</v>
      </c>
    </row>
    <row r="918" spans="1:20" x14ac:dyDescent="0.3">
      <c r="A918" s="1">
        <v>45776</v>
      </c>
      <c r="B918" s="3" t="s">
        <v>15</v>
      </c>
      <c r="C918" s="3">
        <v>2328</v>
      </c>
      <c r="D918" s="3">
        <v>2332.5</v>
      </c>
      <c r="E918" s="3">
        <v>2312.6</v>
      </c>
      <c r="F918" s="3">
        <v>2318.6</v>
      </c>
      <c r="G918" s="3">
        <v>2325</v>
      </c>
      <c r="H918" s="3">
        <v>2321.6999999999998</v>
      </c>
      <c r="I918" s="3">
        <v>2322.81</v>
      </c>
      <c r="J918" s="3">
        <v>3035</v>
      </c>
      <c r="K918" s="3">
        <v>2136</v>
      </c>
      <c r="L918">
        <v>1896387</v>
      </c>
      <c r="M918" s="2">
        <v>4404947519.1999998</v>
      </c>
      <c r="N918">
        <v>76093</v>
      </c>
      <c r="O918" t="s">
        <v>19</v>
      </c>
      <c r="P918" s="8">
        <f t="shared" si="42"/>
        <v>-9.4000000000000909</v>
      </c>
      <c r="Q918" t="s">
        <v>40</v>
      </c>
      <c r="R918">
        <f t="shared" si="43"/>
        <v>4</v>
      </c>
      <c r="S918" t="str">
        <f t="shared" si="44"/>
        <v>Apr</v>
      </c>
      <c r="T918" s="9">
        <f>VLOOKUP(O918, Annual_Summary!A:B, 2, 0)</f>
        <v>-2.6699969854871962E-3</v>
      </c>
    </row>
    <row r="919" spans="1:20" x14ac:dyDescent="0.3">
      <c r="A919" s="1">
        <v>45775</v>
      </c>
      <c r="B919" s="3" t="s">
        <v>15</v>
      </c>
      <c r="C919" s="3">
        <v>2345</v>
      </c>
      <c r="D919" s="3">
        <v>2349</v>
      </c>
      <c r="E919" s="3">
        <v>2315</v>
      </c>
      <c r="F919" s="3">
        <v>2332.1999999999998</v>
      </c>
      <c r="G919" s="3">
        <v>2317.6</v>
      </c>
      <c r="H919" s="3">
        <v>2318.6</v>
      </c>
      <c r="I919" s="3">
        <v>2325.52</v>
      </c>
      <c r="J919" s="3">
        <v>3035</v>
      </c>
      <c r="K919" s="3">
        <v>2136</v>
      </c>
      <c r="L919">
        <v>1555660</v>
      </c>
      <c r="M919" s="2">
        <v>3617715983.8000002</v>
      </c>
      <c r="N919">
        <v>77606</v>
      </c>
      <c r="O919" t="s">
        <v>19</v>
      </c>
      <c r="P919" s="8">
        <f t="shared" si="42"/>
        <v>-12.800000000000182</v>
      </c>
      <c r="Q919" t="s">
        <v>40</v>
      </c>
      <c r="R919">
        <f t="shared" si="43"/>
        <v>4</v>
      </c>
      <c r="S919" t="str">
        <f t="shared" si="44"/>
        <v>Apr</v>
      </c>
      <c r="T919" s="9">
        <f>VLOOKUP(O919, Annual_Summary!A:B, 2, 0)</f>
        <v>-2.6699969854871962E-3</v>
      </c>
    </row>
    <row r="920" spans="1:20" x14ac:dyDescent="0.3">
      <c r="A920" s="1">
        <v>45772</v>
      </c>
      <c r="B920" s="3" t="s">
        <v>15</v>
      </c>
      <c r="C920" s="3">
        <v>2331.9</v>
      </c>
      <c r="D920" s="3">
        <v>2341.9</v>
      </c>
      <c r="E920" s="3">
        <v>2294.4</v>
      </c>
      <c r="F920" s="3">
        <v>2325.3000000000002</v>
      </c>
      <c r="G920" s="3">
        <v>2328.1</v>
      </c>
      <c r="H920" s="3">
        <v>2332.1999999999998</v>
      </c>
      <c r="I920" s="3">
        <v>2314.91</v>
      </c>
      <c r="J920" s="3">
        <v>3035</v>
      </c>
      <c r="K920" s="3">
        <v>2136</v>
      </c>
      <c r="L920">
        <v>2859858</v>
      </c>
      <c r="M920" s="2">
        <v>6620321627.8999996</v>
      </c>
      <c r="N920">
        <v>167193</v>
      </c>
      <c r="O920" t="s">
        <v>19</v>
      </c>
      <c r="P920" s="8">
        <f t="shared" si="42"/>
        <v>-6.5999999999999091</v>
      </c>
      <c r="Q920" t="s">
        <v>40</v>
      </c>
      <c r="R920">
        <f t="shared" si="43"/>
        <v>4</v>
      </c>
      <c r="S920" t="str">
        <f t="shared" si="44"/>
        <v>Apr</v>
      </c>
      <c r="T920" s="9">
        <f>VLOOKUP(O920, Annual_Summary!A:B, 2, 0)</f>
        <v>-2.6699969854871962E-3</v>
      </c>
    </row>
    <row r="921" spans="1:20" x14ac:dyDescent="0.3">
      <c r="A921" s="1">
        <v>45771</v>
      </c>
      <c r="B921" s="3" t="s">
        <v>15</v>
      </c>
      <c r="C921" s="3">
        <v>2423.8000000000002</v>
      </c>
      <c r="D921" s="3">
        <v>2487.4</v>
      </c>
      <c r="E921" s="3">
        <v>2317.1</v>
      </c>
      <c r="F921" s="3">
        <v>2423.8000000000002</v>
      </c>
      <c r="G921" s="3">
        <v>2324</v>
      </c>
      <c r="H921" s="3">
        <v>2325.3000000000002</v>
      </c>
      <c r="I921" s="3">
        <v>2357.73</v>
      </c>
      <c r="J921" s="3">
        <v>3035</v>
      </c>
      <c r="K921" s="3">
        <v>2136</v>
      </c>
      <c r="L921">
        <v>7065430</v>
      </c>
      <c r="M921" s="2">
        <v>16658408483.5</v>
      </c>
      <c r="N921">
        <v>291862</v>
      </c>
      <c r="O921" t="s">
        <v>19</v>
      </c>
      <c r="P921" s="8">
        <f t="shared" si="42"/>
        <v>0</v>
      </c>
      <c r="Q921" t="s">
        <v>40</v>
      </c>
      <c r="R921">
        <f t="shared" si="43"/>
        <v>4</v>
      </c>
      <c r="S921" t="str">
        <f t="shared" si="44"/>
        <v>Apr</v>
      </c>
      <c r="T921" s="9">
        <f>VLOOKUP(O921, Annual_Summary!A:B, 2, 0)</f>
        <v>-2.6699969854871962E-3</v>
      </c>
    </row>
    <row r="922" spans="1:20" x14ac:dyDescent="0.3">
      <c r="A922" s="1">
        <v>45770</v>
      </c>
      <c r="B922" s="3" t="s">
        <v>15</v>
      </c>
      <c r="C922" s="3">
        <v>2410</v>
      </c>
      <c r="D922" s="3">
        <v>2438</v>
      </c>
      <c r="E922" s="3">
        <v>2393.4</v>
      </c>
      <c r="F922" s="3">
        <v>2398.6999999999998</v>
      </c>
      <c r="G922" s="3">
        <v>2422</v>
      </c>
      <c r="H922" s="3">
        <v>2423.8000000000002</v>
      </c>
      <c r="I922" s="3">
        <v>2419.6999999999998</v>
      </c>
      <c r="J922" s="3">
        <v>3035</v>
      </c>
      <c r="K922" s="3">
        <v>2136</v>
      </c>
      <c r="L922">
        <v>2226066</v>
      </c>
      <c r="M922" s="2">
        <v>5386401195.6000004</v>
      </c>
      <c r="N922">
        <v>107014</v>
      </c>
      <c r="O922" t="s">
        <v>19</v>
      </c>
      <c r="P922" s="8">
        <f t="shared" si="42"/>
        <v>-11.300000000000182</v>
      </c>
      <c r="Q922" t="s">
        <v>40</v>
      </c>
      <c r="R922">
        <f t="shared" si="43"/>
        <v>4</v>
      </c>
      <c r="S922" t="str">
        <f t="shared" si="44"/>
        <v>Apr</v>
      </c>
      <c r="T922" s="9">
        <f>VLOOKUP(O922, Annual_Summary!A:B, 2, 0)</f>
        <v>-2.6699969854871962E-3</v>
      </c>
    </row>
    <row r="923" spans="1:20" x14ac:dyDescent="0.3">
      <c r="A923" s="1">
        <v>45769</v>
      </c>
      <c r="B923" s="3" t="s">
        <v>15</v>
      </c>
      <c r="C923" s="3">
        <v>2370</v>
      </c>
      <c r="D923" s="3">
        <v>2406</v>
      </c>
      <c r="E923" s="3">
        <v>2355.1</v>
      </c>
      <c r="F923" s="3">
        <v>2351</v>
      </c>
      <c r="G923" s="3">
        <v>2403</v>
      </c>
      <c r="H923" s="3">
        <v>2398.6999999999998</v>
      </c>
      <c r="I923" s="3">
        <v>2385.63</v>
      </c>
      <c r="J923" s="3">
        <v>3035</v>
      </c>
      <c r="K923" s="3">
        <v>2136</v>
      </c>
      <c r="L923">
        <v>2352346</v>
      </c>
      <c r="M923" s="2">
        <v>5611821276.1000004</v>
      </c>
      <c r="N923">
        <v>108902</v>
      </c>
      <c r="O923" t="s">
        <v>19</v>
      </c>
      <c r="P923" s="8">
        <f t="shared" si="42"/>
        <v>-19</v>
      </c>
      <c r="Q923" t="s">
        <v>40</v>
      </c>
      <c r="R923">
        <f t="shared" si="43"/>
        <v>4</v>
      </c>
      <c r="S923" t="str">
        <f t="shared" si="44"/>
        <v>Apr</v>
      </c>
      <c r="T923" s="9">
        <f>VLOOKUP(O923, Annual_Summary!A:B, 2, 0)</f>
        <v>-2.6699969854871962E-3</v>
      </c>
    </row>
    <row r="924" spans="1:20" x14ac:dyDescent="0.3">
      <c r="A924" s="1">
        <v>45768</v>
      </c>
      <c r="B924" s="3" t="s">
        <v>15</v>
      </c>
      <c r="C924" s="3">
        <v>2368.1</v>
      </c>
      <c r="D924" s="3">
        <v>2372.4</v>
      </c>
      <c r="E924" s="3">
        <v>2348.8000000000002</v>
      </c>
      <c r="F924" s="3">
        <v>2375</v>
      </c>
      <c r="G924" s="3">
        <v>2352</v>
      </c>
      <c r="H924" s="3">
        <v>2351</v>
      </c>
      <c r="I924" s="3">
        <v>2354.29</v>
      </c>
      <c r="J924" s="3">
        <v>3035</v>
      </c>
      <c r="K924" s="3">
        <v>2136</v>
      </c>
      <c r="L924">
        <v>1478430</v>
      </c>
      <c r="M924" s="2">
        <v>3480657060.3000002</v>
      </c>
      <c r="N924">
        <v>95682</v>
      </c>
      <c r="O924" t="s">
        <v>19</v>
      </c>
      <c r="P924" s="8">
        <f t="shared" si="42"/>
        <v>6.9000000000000909</v>
      </c>
      <c r="Q924" t="s">
        <v>40</v>
      </c>
      <c r="R924">
        <f t="shared" si="43"/>
        <v>4</v>
      </c>
      <c r="S924" t="str">
        <f t="shared" si="44"/>
        <v>Apr</v>
      </c>
      <c r="T924" s="9">
        <f>VLOOKUP(O924, Annual_Summary!A:B, 2, 0)</f>
        <v>-2.6699969854871962E-3</v>
      </c>
    </row>
    <row r="925" spans="1:20" x14ac:dyDescent="0.3">
      <c r="A925" s="1">
        <v>45764</v>
      </c>
      <c r="B925" s="3" t="s">
        <v>15</v>
      </c>
      <c r="C925" s="3">
        <v>2357.1</v>
      </c>
      <c r="D925" s="3">
        <v>2379.9</v>
      </c>
      <c r="E925" s="3">
        <v>2343.1</v>
      </c>
      <c r="F925" s="3">
        <v>2366.6</v>
      </c>
      <c r="G925" s="3">
        <v>2372.5</v>
      </c>
      <c r="H925" s="3">
        <v>2375</v>
      </c>
      <c r="I925" s="3">
        <v>2365.08</v>
      </c>
      <c r="J925" s="3">
        <v>3035</v>
      </c>
      <c r="K925" s="3">
        <v>2136</v>
      </c>
      <c r="L925">
        <v>1962402</v>
      </c>
      <c r="M925" s="2">
        <v>4641234269.1000004</v>
      </c>
      <c r="N925">
        <v>123489</v>
      </c>
      <c r="O925" t="s">
        <v>19</v>
      </c>
      <c r="P925" s="8">
        <f t="shared" si="42"/>
        <v>9.5</v>
      </c>
      <c r="Q925" t="s">
        <v>40</v>
      </c>
      <c r="R925">
        <f t="shared" si="43"/>
        <v>4</v>
      </c>
      <c r="S925" t="str">
        <f t="shared" si="44"/>
        <v>Apr</v>
      </c>
      <c r="T925" s="9">
        <f>VLOOKUP(O925, Annual_Summary!A:B, 2, 0)</f>
        <v>-2.6699969854871962E-3</v>
      </c>
    </row>
    <row r="926" spans="1:20" x14ac:dyDescent="0.3">
      <c r="A926" s="1">
        <v>45763</v>
      </c>
      <c r="B926" s="3" t="s">
        <v>15</v>
      </c>
      <c r="C926" s="3">
        <v>2351</v>
      </c>
      <c r="D926" s="3">
        <v>2376</v>
      </c>
      <c r="E926" s="3">
        <v>2351</v>
      </c>
      <c r="F926" s="3">
        <v>2361.5</v>
      </c>
      <c r="G926" s="3">
        <v>2364.5</v>
      </c>
      <c r="H926" s="3">
        <v>2366.6</v>
      </c>
      <c r="I926" s="3">
        <v>2364.89</v>
      </c>
      <c r="J926" s="3">
        <v>3035</v>
      </c>
      <c r="K926" s="3">
        <v>2136</v>
      </c>
      <c r="L926">
        <v>1131979</v>
      </c>
      <c r="M926" s="2">
        <v>2677007573.4000001</v>
      </c>
      <c r="N926">
        <v>58736</v>
      </c>
      <c r="O926" t="s">
        <v>19</v>
      </c>
      <c r="P926" s="8">
        <f t="shared" si="42"/>
        <v>10.5</v>
      </c>
      <c r="Q926" t="s">
        <v>40</v>
      </c>
      <c r="R926">
        <f t="shared" si="43"/>
        <v>4</v>
      </c>
      <c r="S926" t="str">
        <f t="shared" si="44"/>
        <v>Apr</v>
      </c>
      <c r="T926" s="9">
        <f>VLOOKUP(O926, Annual_Summary!A:B, 2, 0)</f>
        <v>-2.6699969854871962E-3</v>
      </c>
    </row>
    <row r="927" spans="1:20" x14ac:dyDescent="0.3">
      <c r="A927" s="1">
        <v>45762</v>
      </c>
      <c r="B927" s="3" t="s">
        <v>15</v>
      </c>
      <c r="C927" s="3">
        <v>2400</v>
      </c>
      <c r="D927" s="3">
        <v>2400</v>
      </c>
      <c r="E927" s="3">
        <v>2345.1999999999998</v>
      </c>
      <c r="F927" s="3">
        <v>2366.15</v>
      </c>
      <c r="G927" s="3">
        <v>2368</v>
      </c>
      <c r="H927" s="3">
        <v>2361.5</v>
      </c>
      <c r="I927" s="3">
        <v>2360.91</v>
      </c>
      <c r="J927" s="3">
        <v>3035</v>
      </c>
      <c r="K927" s="3">
        <v>2136</v>
      </c>
      <c r="L927">
        <v>3042779</v>
      </c>
      <c r="M927" s="2">
        <v>7183724031.3999996</v>
      </c>
      <c r="N927">
        <v>102995</v>
      </c>
      <c r="O927" t="s">
        <v>19</v>
      </c>
      <c r="P927" s="8">
        <f t="shared" si="42"/>
        <v>-33.849999999999909</v>
      </c>
      <c r="Q927" t="s">
        <v>40</v>
      </c>
      <c r="R927">
        <f t="shared" si="43"/>
        <v>4</v>
      </c>
      <c r="S927" t="str">
        <f t="shared" si="44"/>
        <v>Apr</v>
      </c>
      <c r="T927" s="9">
        <f>VLOOKUP(O927, Annual_Summary!A:B, 2, 0)</f>
        <v>-2.6699969854871962E-3</v>
      </c>
    </row>
    <row r="928" spans="1:20" x14ac:dyDescent="0.3">
      <c r="A928" s="1">
        <v>45758</v>
      </c>
      <c r="B928" s="3" t="s">
        <v>15</v>
      </c>
      <c r="C928" s="3">
        <v>2394.6</v>
      </c>
      <c r="D928" s="3">
        <v>2394.85</v>
      </c>
      <c r="E928" s="3">
        <v>2344.35</v>
      </c>
      <c r="F928" s="3">
        <v>2350</v>
      </c>
      <c r="G928" s="3">
        <v>2362.1</v>
      </c>
      <c r="H928" s="3">
        <v>2366.15</v>
      </c>
      <c r="I928" s="3">
        <v>2362.4299999999998</v>
      </c>
      <c r="J928" s="3">
        <v>3035</v>
      </c>
      <c r="K928" s="3">
        <v>2136</v>
      </c>
      <c r="L928">
        <v>3836083</v>
      </c>
      <c r="M928" s="2">
        <v>9062473924.8999996</v>
      </c>
      <c r="N928">
        <v>150510</v>
      </c>
      <c r="O928" t="s">
        <v>19</v>
      </c>
      <c r="P928" s="8">
        <f t="shared" si="42"/>
        <v>-44.599999999999909</v>
      </c>
      <c r="Q928" t="s">
        <v>40</v>
      </c>
      <c r="R928">
        <f t="shared" si="43"/>
        <v>4</v>
      </c>
      <c r="S928" t="str">
        <f t="shared" si="44"/>
        <v>Apr</v>
      </c>
      <c r="T928" s="9">
        <f>VLOOKUP(O928, Annual_Summary!A:B, 2, 0)</f>
        <v>-2.6699969854871962E-3</v>
      </c>
    </row>
    <row r="929" spans="1:20" x14ac:dyDescent="0.3">
      <c r="A929" s="1">
        <v>45756</v>
      </c>
      <c r="B929" s="3" t="s">
        <v>15</v>
      </c>
      <c r="C929" s="3">
        <v>2293.9499999999998</v>
      </c>
      <c r="D929" s="3">
        <v>2354.15</v>
      </c>
      <c r="E929" s="3">
        <v>2289.5</v>
      </c>
      <c r="F929" s="3">
        <v>2289.25</v>
      </c>
      <c r="G929" s="3">
        <v>2349</v>
      </c>
      <c r="H929" s="3">
        <v>2350</v>
      </c>
      <c r="I929" s="3">
        <v>2341.4499999999998</v>
      </c>
      <c r="J929" s="3">
        <v>3035</v>
      </c>
      <c r="K929" s="3">
        <v>2136</v>
      </c>
      <c r="L929">
        <v>2989089</v>
      </c>
      <c r="M929" s="2">
        <v>6998787700.25</v>
      </c>
      <c r="N929">
        <v>138810</v>
      </c>
      <c r="O929" t="s">
        <v>19</v>
      </c>
      <c r="P929" s="8">
        <f t="shared" si="42"/>
        <v>-4.6999999999998181</v>
      </c>
      <c r="Q929" t="s">
        <v>40</v>
      </c>
      <c r="R929">
        <f t="shared" si="43"/>
        <v>4</v>
      </c>
      <c r="S929" t="str">
        <f t="shared" si="44"/>
        <v>Apr</v>
      </c>
      <c r="T929" s="9">
        <f>VLOOKUP(O929, Annual_Summary!A:B, 2, 0)</f>
        <v>-2.6699969854871962E-3</v>
      </c>
    </row>
    <row r="930" spans="1:20" x14ac:dyDescent="0.3">
      <c r="A930" s="1">
        <v>45755</v>
      </c>
      <c r="B930" s="3" t="s">
        <v>15</v>
      </c>
      <c r="C930" s="3">
        <v>2268.3000000000002</v>
      </c>
      <c r="D930" s="3">
        <v>2306.1999999999998</v>
      </c>
      <c r="E930" s="3">
        <v>2252.35</v>
      </c>
      <c r="F930" s="3">
        <v>2249.4</v>
      </c>
      <c r="G930" s="3">
        <v>2293.9499999999998</v>
      </c>
      <c r="H930" s="3">
        <v>2289.25</v>
      </c>
      <c r="I930" s="3">
        <v>2285.4299999999998</v>
      </c>
      <c r="J930" s="3">
        <v>3035</v>
      </c>
      <c r="K930" s="3">
        <v>2136</v>
      </c>
      <c r="L930">
        <v>2774874</v>
      </c>
      <c r="M930" s="2">
        <v>6341793092.6000004</v>
      </c>
      <c r="N930">
        <v>145572</v>
      </c>
      <c r="O930" t="s">
        <v>19</v>
      </c>
      <c r="P930" s="8">
        <f t="shared" si="42"/>
        <v>-18.900000000000091</v>
      </c>
      <c r="Q930" t="s">
        <v>40</v>
      </c>
      <c r="R930">
        <f t="shared" si="43"/>
        <v>4</v>
      </c>
      <c r="S930" t="str">
        <f t="shared" si="44"/>
        <v>Apr</v>
      </c>
      <c r="T930" s="9">
        <f>VLOOKUP(O930, Annual_Summary!A:B, 2, 0)</f>
        <v>-2.6699969854871962E-3</v>
      </c>
    </row>
    <row r="931" spans="1:20" x14ac:dyDescent="0.3">
      <c r="A931" s="1">
        <v>45754</v>
      </c>
      <c r="B931" s="3" t="s">
        <v>15</v>
      </c>
      <c r="C931" s="3">
        <v>2150</v>
      </c>
      <c r="D931" s="3">
        <v>2261.6</v>
      </c>
      <c r="E931" s="3">
        <v>2150</v>
      </c>
      <c r="F931" s="3">
        <v>2244.5500000000002</v>
      </c>
      <c r="G931" s="3">
        <v>2250</v>
      </c>
      <c r="H931" s="3">
        <v>2249.4</v>
      </c>
      <c r="I931" s="3">
        <v>2234.34</v>
      </c>
      <c r="J931" s="3">
        <v>3035</v>
      </c>
      <c r="K931" s="3">
        <v>2136</v>
      </c>
      <c r="L931">
        <v>3435185</v>
      </c>
      <c r="M931" s="2">
        <v>7675370702.9499998</v>
      </c>
      <c r="N931">
        <v>194418</v>
      </c>
      <c r="O931" t="s">
        <v>19</v>
      </c>
      <c r="P931" s="8">
        <f t="shared" si="42"/>
        <v>94.550000000000182</v>
      </c>
      <c r="Q931" t="s">
        <v>40</v>
      </c>
      <c r="R931">
        <f t="shared" si="43"/>
        <v>4</v>
      </c>
      <c r="S931" t="str">
        <f t="shared" si="44"/>
        <v>Apr</v>
      </c>
      <c r="T931" s="9">
        <f>VLOOKUP(O931, Annual_Summary!A:B, 2, 0)</f>
        <v>-2.6699969854871962E-3</v>
      </c>
    </row>
    <row r="932" spans="1:20" x14ac:dyDescent="0.3">
      <c r="A932" s="1">
        <v>45751</v>
      </c>
      <c r="B932" s="3" t="s">
        <v>15</v>
      </c>
      <c r="C932" s="3">
        <v>2230</v>
      </c>
      <c r="D932" s="3">
        <v>2267.0500000000002</v>
      </c>
      <c r="E932" s="3">
        <v>2222</v>
      </c>
      <c r="F932" s="3">
        <v>2244.5500000000002</v>
      </c>
      <c r="G932" s="3">
        <v>2243.35</v>
      </c>
      <c r="H932" s="3">
        <v>2244.5500000000002</v>
      </c>
      <c r="I932" s="3">
        <v>2245.11</v>
      </c>
      <c r="J932" s="3">
        <v>3035</v>
      </c>
      <c r="K932" s="3">
        <v>2136</v>
      </c>
      <c r="L932">
        <v>1120226</v>
      </c>
      <c r="M932" s="2">
        <v>2515030830.0999999</v>
      </c>
      <c r="N932">
        <v>61995</v>
      </c>
      <c r="O932" t="s">
        <v>19</v>
      </c>
      <c r="P932" s="8">
        <f t="shared" si="42"/>
        <v>14.550000000000182</v>
      </c>
      <c r="Q932" t="s">
        <v>40</v>
      </c>
      <c r="R932">
        <f t="shared" si="43"/>
        <v>4</v>
      </c>
      <c r="S932" t="str">
        <f t="shared" si="44"/>
        <v>Apr</v>
      </c>
      <c r="T932" s="9">
        <f>VLOOKUP(O932, Annual_Summary!A:B, 2, 0)</f>
        <v>-2.6699969854871962E-3</v>
      </c>
    </row>
    <row r="933" spans="1:20" x14ac:dyDescent="0.3">
      <c r="A933" s="1">
        <v>45750</v>
      </c>
      <c r="B933" s="3" t="s">
        <v>15</v>
      </c>
      <c r="C933" s="3">
        <v>2225.4499999999998</v>
      </c>
      <c r="D933" s="3">
        <v>2252.9</v>
      </c>
      <c r="E933" s="3">
        <v>2220.6</v>
      </c>
      <c r="F933" s="3">
        <v>2237.9</v>
      </c>
      <c r="G933" s="3">
        <v>2241.65</v>
      </c>
      <c r="H933" s="3">
        <v>2244.5500000000002</v>
      </c>
      <c r="I933" s="3">
        <v>2240.4699999999998</v>
      </c>
      <c r="J933" s="3">
        <v>3035</v>
      </c>
      <c r="K933" s="3">
        <v>2136</v>
      </c>
      <c r="L933">
        <v>1310088</v>
      </c>
      <c r="M933" s="2">
        <v>2935218323.8000002</v>
      </c>
      <c r="N933">
        <v>73387</v>
      </c>
      <c r="O933" t="s">
        <v>19</v>
      </c>
      <c r="P933" s="8">
        <f t="shared" si="42"/>
        <v>12.450000000000273</v>
      </c>
      <c r="Q933" t="s">
        <v>40</v>
      </c>
      <c r="R933">
        <f t="shared" si="43"/>
        <v>4</v>
      </c>
      <c r="S933" t="str">
        <f t="shared" si="44"/>
        <v>Apr</v>
      </c>
      <c r="T933" s="9">
        <f>VLOOKUP(O933, Annual_Summary!A:B, 2, 0)</f>
        <v>-2.6699969854871962E-3</v>
      </c>
    </row>
    <row r="934" spans="1:20" x14ac:dyDescent="0.3">
      <c r="A934" s="1">
        <v>45749</v>
      </c>
      <c r="B934" s="3" t="s">
        <v>15</v>
      </c>
      <c r="C934" s="3">
        <v>2243.6999999999998</v>
      </c>
      <c r="D934" s="3">
        <v>2243.6999999999998</v>
      </c>
      <c r="E934" s="3">
        <v>2190.0500000000002</v>
      </c>
      <c r="F934" s="3">
        <v>2233.85</v>
      </c>
      <c r="G934" s="3">
        <v>2237</v>
      </c>
      <c r="H934" s="3">
        <v>2237.9</v>
      </c>
      <c r="I934" s="3">
        <v>2225.48</v>
      </c>
      <c r="J934" s="3">
        <v>3035</v>
      </c>
      <c r="K934" s="3">
        <v>2136</v>
      </c>
      <c r="L934">
        <v>1351493</v>
      </c>
      <c r="M934" s="2">
        <v>3007727207.1999998</v>
      </c>
      <c r="N934">
        <v>73173</v>
      </c>
      <c r="O934" t="s">
        <v>19</v>
      </c>
      <c r="P934" s="8">
        <f t="shared" si="42"/>
        <v>-9.8499999999999091</v>
      </c>
      <c r="Q934" t="s">
        <v>40</v>
      </c>
      <c r="R934">
        <f t="shared" si="43"/>
        <v>4</v>
      </c>
      <c r="S934" t="str">
        <f t="shared" si="44"/>
        <v>Apr</v>
      </c>
      <c r="T934" s="9">
        <f>VLOOKUP(O934, Annual_Summary!A:B, 2, 0)</f>
        <v>-2.6699969854871962E-3</v>
      </c>
    </row>
    <row r="935" spans="1:20" x14ac:dyDescent="0.3">
      <c r="A935" s="1">
        <v>45748</v>
      </c>
      <c r="B935" s="3" t="s">
        <v>15</v>
      </c>
      <c r="C935" s="3">
        <v>2259</v>
      </c>
      <c r="D935" s="3">
        <v>2284.65</v>
      </c>
      <c r="E935" s="3">
        <v>2220</v>
      </c>
      <c r="F935" s="3">
        <v>2258.85</v>
      </c>
      <c r="G935" s="3">
        <v>2237</v>
      </c>
      <c r="H935" s="3">
        <v>2233.85</v>
      </c>
      <c r="I935" s="3">
        <v>2241.96</v>
      </c>
      <c r="J935" s="3">
        <v>3035</v>
      </c>
      <c r="K935" s="3">
        <v>2136</v>
      </c>
      <c r="L935">
        <v>2495962</v>
      </c>
      <c r="M935" s="2">
        <v>5595842112.6000004</v>
      </c>
      <c r="N935">
        <v>107898</v>
      </c>
      <c r="O935" t="s">
        <v>19</v>
      </c>
      <c r="P935" s="8">
        <f t="shared" si="42"/>
        <v>-0.15000000000009095</v>
      </c>
      <c r="Q935" t="s">
        <v>40</v>
      </c>
      <c r="R935">
        <f t="shared" si="43"/>
        <v>4</v>
      </c>
      <c r="S935" t="str">
        <f t="shared" si="44"/>
        <v>Apr</v>
      </c>
      <c r="T935" s="9">
        <f>VLOOKUP(O935, Annual_Summary!A:B, 2, 0)</f>
        <v>-2.6699969854871962E-3</v>
      </c>
    </row>
    <row r="936" spans="1:20" x14ac:dyDescent="0.3">
      <c r="A936" s="1">
        <v>45744</v>
      </c>
      <c r="B936" s="3" t="s">
        <v>15</v>
      </c>
      <c r="C936" s="3">
        <v>2247</v>
      </c>
      <c r="D936" s="3">
        <v>2296</v>
      </c>
      <c r="E936" s="3">
        <v>2240.3000000000002</v>
      </c>
      <c r="F936" s="3">
        <v>2244.65</v>
      </c>
      <c r="G936" s="3">
        <v>2257.85</v>
      </c>
      <c r="H936" s="3">
        <v>2258.85</v>
      </c>
      <c r="I936" s="3">
        <v>2269.13</v>
      </c>
      <c r="J936" s="3">
        <v>3035</v>
      </c>
      <c r="K936" s="3">
        <v>2136</v>
      </c>
      <c r="L936">
        <v>2280152</v>
      </c>
      <c r="M936" s="2">
        <v>5173964115.8500004</v>
      </c>
      <c r="N936">
        <v>98348</v>
      </c>
      <c r="O936" t="s">
        <v>19</v>
      </c>
      <c r="P936" s="8">
        <f t="shared" si="42"/>
        <v>-2.3499999999999091</v>
      </c>
      <c r="Q936" t="s">
        <v>40</v>
      </c>
      <c r="R936">
        <f t="shared" si="43"/>
        <v>3</v>
      </c>
      <c r="S936" t="str">
        <f t="shared" si="44"/>
        <v>Mar</v>
      </c>
      <c r="T936" s="9">
        <f>VLOOKUP(O936, Annual_Summary!A:B, 2, 0)</f>
        <v>-2.6699969854871962E-3</v>
      </c>
    </row>
    <row r="937" spans="1:20" x14ac:dyDescent="0.3">
      <c r="A937" s="1">
        <v>45743</v>
      </c>
      <c r="B937" s="3" t="s">
        <v>15</v>
      </c>
      <c r="C937" s="3">
        <v>2244.1999999999998</v>
      </c>
      <c r="D937" s="3">
        <v>2260.9</v>
      </c>
      <c r="E937" s="3">
        <v>2200</v>
      </c>
      <c r="F937" s="3">
        <v>2245.9499999999998</v>
      </c>
      <c r="G937" s="3">
        <v>2243.85</v>
      </c>
      <c r="H937" s="3">
        <v>2244.65</v>
      </c>
      <c r="I937" s="3">
        <v>2245.33</v>
      </c>
      <c r="J937" s="3">
        <v>3035</v>
      </c>
      <c r="K937" s="3">
        <v>2136</v>
      </c>
      <c r="L937">
        <v>3752627</v>
      </c>
      <c r="M937" s="2">
        <v>8425874289.3500004</v>
      </c>
      <c r="N937">
        <v>105998</v>
      </c>
      <c r="O937" t="s">
        <v>19</v>
      </c>
      <c r="P937" s="8">
        <f t="shared" si="42"/>
        <v>1.75</v>
      </c>
      <c r="Q937" t="s">
        <v>40</v>
      </c>
      <c r="R937">
        <f t="shared" si="43"/>
        <v>3</v>
      </c>
      <c r="S937" t="str">
        <f t="shared" si="44"/>
        <v>Mar</v>
      </c>
      <c r="T937" s="9">
        <f>VLOOKUP(O937, Annual_Summary!A:B, 2, 0)</f>
        <v>-2.6699969854871962E-3</v>
      </c>
    </row>
    <row r="938" spans="1:20" x14ac:dyDescent="0.3">
      <c r="A938" s="1">
        <v>45742</v>
      </c>
      <c r="B938" s="3" t="s">
        <v>15</v>
      </c>
      <c r="C938" s="3">
        <v>2272</v>
      </c>
      <c r="D938" s="3">
        <v>2279.9</v>
      </c>
      <c r="E938" s="3">
        <v>2237.8000000000002</v>
      </c>
      <c r="F938" s="3">
        <v>2271.3000000000002</v>
      </c>
      <c r="G938" s="3">
        <v>2246.3000000000002</v>
      </c>
      <c r="H938" s="3">
        <v>2245.9499999999998</v>
      </c>
      <c r="I938" s="3">
        <v>2258.6799999999998</v>
      </c>
      <c r="J938" s="3">
        <v>3035</v>
      </c>
      <c r="K938" s="3">
        <v>2136</v>
      </c>
      <c r="L938">
        <v>1416907</v>
      </c>
      <c r="M938" s="2">
        <v>3200333405.75</v>
      </c>
      <c r="N938">
        <v>96908</v>
      </c>
      <c r="O938" t="s">
        <v>19</v>
      </c>
      <c r="P938" s="8">
        <f t="shared" si="42"/>
        <v>-0.6999999999998181</v>
      </c>
      <c r="Q938" t="s">
        <v>40</v>
      </c>
      <c r="R938">
        <f t="shared" si="43"/>
        <v>3</v>
      </c>
      <c r="S938" t="str">
        <f t="shared" si="44"/>
        <v>Mar</v>
      </c>
      <c r="T938" s="9">
        <f>VLOOKUP(O938, Annual_Summary!A:B, 2, 0)</f>
        <v>-2.6699969854871962E-3</v>
      </c>
    </row>
    <row r="939" spans="1:20" x14ac:dyDescent="0.3">
      <c r="A939" s="1">
        <v>45741</v>
      </c>
      <c r="B939" s="3" t="s">
        <v>15</v>
      </c>
      <c r="C939" s="3">
        <v>2250.75</v>
      </c>
      <c r="D939" s="3">
        <v>2292</v>
      </c>
      <c r="E939" s="3">
        <v>2243.35</v>
      </c>
      <c r="F939" s="3">
        <v>2256.1999999999998</v>
      </c>
      <c r="G939" s="3">
        <v>2264.6999999999998</v>
      </c>
      <c r="H939" s="3">
        <v>2271.3000000000002</v>
      </c>
      <c r="I939" s="3">
        <v>2271.3000000000002</v>
      </c>
      <c r="J939" s="3">
        <v>3035</v>
      </c>
      <c r="K939" s="3">
        <v>2136</v>
      </c>
      <c r="L939">
        <v>2229340</v>
      </c>
      <c r="M939" s="2">
        <v>5063505026.4499998</v>
      </c>
      <c r="N939">
        <v>113061</v>
      </c>
      <c r="O939" t="s">
        <v>19</v>
      </c>
      <c r="P939" s="8">
        <f t="shared" si="42"/>
        <v>5.4499999999998181</v>
      </c>
      <c r="Q939" t="s">
        <v>40</v>
      </c>
      <c r="R939">
        <f t="shared" si="43"/>
        <v>3</v>
      </c>
      <c r="S939" t="str">
        <f t="shared" si="44"/>
        <v>Mar</v>
      </c>
      <c r="T939" s="9">
        <f>VLOOKUP(O939, Annual_Summary!A:B, 2, 0)</f>
        <v>-2.6699969854871962E-3</v>
      </c>
    </row>
    <row r="940" spans="1:20" x14ac:dyDescent="0.3">
      <c r="A940" s="1">
        <v>45740</v>
      </c>
      <c r="B940" s="3" t="s">
        <v>15</v>
      </c>
      <c r="C940" s="3">
        <v>2250.25</v>
      </c>
      <c r="D940" s="3">
        <v>2266</v>
      </c>
      <c r="E940" s="3">
        <v>2241</v>
      </c>
      <c r="F940" s="3">
        <v>2246.1999999999998</v>
      </c>
      <c r="G940" s="3">
        <v>2265.15</v>
      </c>
      <c r="H940" s="3">
        <v>2256.1999999999998</v>
      </c>
      <c r="I940" s="3">
        <v>2251.0100000000002</v>
      </c>
      <c r="J940" s="3">
        <v>3035</v>
      </c>
      <c r="K940" s="3">
        <v>2136</v>
      </c>
      <c r="L940">
        <v>1454404</v>
      </c>
      <c r="M940" s="2">
        <v>3273876899.0999999</v>
      </c>
      <c r="N940">
        <v>66657</v>
      </c>
      <c r="O940" t="s">
        <v>19</v>
      </c>
      <c r="P940" s="8">
        <f t="shared" si="42"/>
        <v>-4.0500000000001819</v>
      </c>
      <c r="Q940" t="s">
        <v>40</v>
      </c>
      <c r="R940">
        <f t="shared" si="43"/>
        <v>3</v>
      </c>
      <c r="S940" t="str">
        <f t="shared" si="44"/>
        <v>Mar</v>
      </c>
      <c r="T940" s="9">
        <f>VLOOKUP(O940, Annual_Summary!A:B, 2, 0)</f>
        <v>-2.6699969854871962E-3</v>
      </c>
    </row>
    <row r="941" spans="1:20" x14ac:dyDescent="0.3">
      <c r="A941" s="1">
        <v>45737</v>
      </c>
      <c r="B941" s="3" t="s">
        <v>15</v>
      </c>
      <c r="C941" s="3">
        <v>2245</v>
      </c>
      <c r="D941" s="3">
        <v>2255.1999999999998</v>
      </c>
      <c r="E941" s="3">
        <v>2225.8000000000002</v>
      </c>
      <c r="F941" s="3">
        <v>2242.4</v>
      </c>
      <c r="G941" s="3">
        <v>2247.5</v>
      </c>
      <c r="H941" s="3">
        <v>2246.1999999999998</v>
      </c>
      <c r="I941" s="3">
        <v>2244.27</v>
      </c>
      <c r="J941" s="3">
        <v>3035</v>
      </c>
      <c r="K941" s="3">
        <v>2136</v>
      </c>
      <c r="L941">
        <v>2152415</v>
      </c>
      <c r="M941" s="2">
        <v>4830600492.8999996</v>
      </c>
      <c r="N941">
        <v>89511</v>
      </c>
      <c r="O941" t="s">
        <v>19</v>
      </c>
      <c r="P941" s="8">
        <f t="shared" si="42"/>
        <v>-2.5999999999999091</v>
      </c>
      <c r="Q941" t="s">
        <v>40</v>
      </c>
      <c r="R941">
        <f t="shared" si="43"/>
        <v>3</v>
      </c>
      <c r="S941" t="str">
        <f t="shared" si="44"/>
        <v>Mar</v>
      </c>
      <c r="T941" s="9">
        <f>VLOOKUP(O941, Annual_Summary!A:B, 2, 0)</f>
        <v>-2.6699969854871962E-3</v>
      </c>
    </row>
    <row r="942" spans="1:20" x14ac:dyDescent="0.3">
      <c r="A942" s="1">
        <v>45736</v>
      </c>
      <c r="B942" s="3" t="s">
        <v>15</v>
      </c>
      <c r="C942" s="3">
        <v>2203.9</v>
      </c>
      <c r="D942" s="3">
        <v>2248.9</v>
      </c>
      <c r="E942" s="3">
        <v>2188.4499999999998</v>
      </c>
      <c r="F942" s="3">
        <v>2200.0500000000002</v>
      </c>
      <c r="G942" s="3">
        <v>2239.4499999999998</v>
      </c>
      <c r="H942" s="3">
        <v>2242.4</v>
      </c>
      <c r="I942" s="3">
        <v>2231.62</v>
      </c>
      <c r="J942" s="3">
        <v>3035</v>
      </c>
      <c r="K942" s="3">
        <v>2136</v>
      </c>
      <c r="L942">
        <v>1426689</v>
      </c>
      <c r="M942" s="2">
        <v>3183821438.5500002</v>
      </c>
      <c r="N942">
        <v>75743</v>
      </c>
      <c r="O942" t="s">
        <v>19</v>
      </c>
      <c r="P942" s="8">
        <f t="shared" si="42"/>
        <v>-3.8499999999999091</v>
      </c>
      <c r="Q942" t="s">
        <v>40</v>
      </c>
      <c r="R942">
        <f t="shared" si="43"/>
        <v>3</v>
      </c>
      <c r="S942" t="str">
        <f t="shared" si="44"/>
        <v>Mar</v>
      </c>
      <c r="T942" s="9">
        <f>VLOOKUP(O942, Annual_Summary!A:B, 2, 0)</f>
        <v>-2.6699969854871962E-3</v>
      </c>
    </row>
    <row r="943" spans="1:20" x14ac:dyDescent="0.3">
      <c r="A943" s="1">
        <v>45735</v>
      </c>
      <c r="B943" s="3" t="s">
        <v>15</v>
      </c>
      <c r="C943" s="3">
        <v>2207</v>
      </c>
      <c r="D943" s="3">
        <v>2212.85</v>
      </c>
      <c r="E943" s="3">
        <v>2193.4499999999998</v>
      </c>
      <c r="F943" s="3">
        <v>2201.4</v>
      </c>
      <c r="G943" s="3">
        <v>2198.9499999999998</v>
      </c>
      <c r="H943" s="3">
        <v>2200.0500000000002</v>
      </c>
      <c r="I943" s="3">
        <v>2200.94</v>
      </c>
      <c r="J943" s="3">
        <v>3035</v>
      </c>
      <c r="K943" s="3">
        <v>2136</v>
      </c>
      <c r="L943">
        <v>1341405</v>
      </c>
      <c r="M943" s="2">
        <v>2952352215.3499999</v>
      </c>
      <c r="N943">
        <v>68294</v>
      </c>
      <c r="O943" t="s">
        <v>19</v>
      </c>
      <c r="P943" s="8">
        <f t="shared" si="42"/>
        <v>-5.5999999999999091</v>
      </c>
      <c r="Q943" t="s">
        <v>40</v>
      </c>
      <c r="R943">
        <f t="shared" si="43"/>
        <v>3</v>
      </c>
      <c r="S943" t="str">
        <f t="shared" si="44"/>
        <v>Mar</v>
      </c>
      <c r="T943" s="9">
        <f>VLOOKUP(O943, Annual_Summary!A:B, 2, 0)</f>
        <v>-2.6699969854871962E-3</v>
      </c>
    </row>
    <row r="944" spans="1:20" x14ac:dyDescent="0.3">
      <c r="A944" s="1">
        <v>45734</v>
      </c>
      <c r="B944" s="3" t="s">
        <v>15</v>
      </c>
      <c r="C944" s="3">
        <v>2189.65</v>
      </c>
      <c r="D944" s="3">
        <v>2215</v>
      </c>
      <c r="E944" s="3">
        <v>2175</v>
      </c>
      <c r="F944" s="3">
        <v>2171.25</v>
      </c>
      <c r="G944" s="3">
        <v>2204.9</v>
      </c>
      <c r="H944" s="3">
        <v>2201.4</v>
      </c>
      <c r="I944" s="3">
        <v>2200.91</v>
      </c>
      <c r="J944" s="3">
        <v>3035</v>
      </c>
      <c r="K944" s="3">
        <v>2136</v>
      </c>
      <c r="L944">
        <v>1475585</v>
      </c>
      <c r="M944" s="2">
        <v>3247633509.0999999</v>
      </c>
      <c r="N944">
        <v>74920</v>
      </c>
      <c r="O944" t="s">
        <v>19</v>
      </c>
      <c r="P944" s="8">
        <f t="shared" si="42"/>
        <v>-18.400000000000091</v>
      </c>
      <c r="Q944" t="s">
        <v>40</v>
      </c>
      <c r="R944">
        <f t="shared" si="43"/>
        <v>3</v>
      </c>
      <c r="S944" t="str">
        <f t="shared" si="44"/>
        <v>Mar</v>
      </c>
      <c r="T944" s="9">
        <f>VLOOKUP(O944, Annual_Summary!A:B, 2, 0)</f>
        <v>-2.6699969854871962E-3</v>
      </c>
    </row>
    <row r="945" spans="1:20" x14ac:dyDescent="0.3">
      <c r="A945" s="1">
        <v>45733</v>
      </c>
      <c r="B945" s="3" t="s">
        <v>15</v>
      </c>
      <c r="C945" s="3">
        <v>2161</v>
      </c>
      <c r="D945" s="3">
        <v>2195.4499999999998</v>
      </c>
      <c r="E945" s="3">
        <v>2156.5</v>
      </c>
      <c r="F945" s="3">
        <v>2174.8000000000002</v>
      </c>
      <c r="G945" s="3">
        <v>2172.5</v>
      </c>
      <c r="H945" s="3">
        <v>2171.25</v>
      </c>
      <c r="I945" s="3">
        <v>2169.2600000000002</v>
      </c>
      <c r="J945" s="3">
        <v>3035</v>
      </c>
      <c r="K945" s="3">
        <v>2136</v>
      </c>
      <c r="L945">
        <v>1111886</v>
      </c>
      <c r="M945" s="2">
        <v>2411964953.4000001</v>
      </c>
      <c r="N945">
        <v>77099</v>
      </c>
      <c r="O945" t="s">
        <v>19</v>
      </c>
      <c r="P945" s="8">
        <f t="shared" si="42"/>
        <v>13.800000000000182</v>
      </c>
      <c r="Q945" t="s">
        <v>40</v>
      </c>
      <c r="R945">
        <f t="shared" si="43"/>
        <v>3</v>
      </c>
      <c r="S945" t="str">
        <f t="shared" si="44"/>
        <v>Mar</v>
      </c>
      <c r="T945" s="9">
        <f>VLOOKUP(O945, Annual_Summary!A:B, 2, 0)</f>
        <v>-2.6699969854871962E-3</v>
      </c>
    </row>
    <row r="946" spans="1:20" x14ac:dyDescent="0.3">
      <c r="A946" s="1">
        <v>45729</v>
      </c>
      <c r="B946" s="3" t="s">
        <v>15</v>
      </c>
      <c r="C946" s="3">
        <v>2185</v>
      </c>
      <c r="D946" s="3">
        <v>2209.9499999999998</v>
      </c>
      <c r="E946" s="3">
        <v>2164.4499999999998</v>
      </c>
      <c r="F946" s="3">
        <v>2192.9</v>
      </c>
      <c r="G946" s="3">
        <v>2177</v>
      </c>
      <c r="H946" s="3">
        <v>2174.8000000000002</v>
      </c>
      <c r="I946" s="3">
        <v>2185.5300000000002</v>
      </c>
      <c r="J946" s="3">
        <v>3035</v>
      </c>
      <c r="K946" s="3">
        <v>2136</v>
      </c>
      <c r="L946">
        <v>1845629</v>
      </c>
      <c r="M946" s="2">
        <v>4033679411.75</v>
      </c>
      <c r="N946">
        <v>97573</v>
      </c>
      <c r="O946" t="s">
        <v>19</v>
      </c>
      <c r="P946" s="8">
        <f t="shared" si="42"/>
        <v>7.9000000000000909</v>
      </c>
      <c r="Q946" t="s">
        <v>40</v>
      </c>
      <c r="R946">
        <f t="shared" si="43"/>
        <v>3</v>
      </c>
      <c r="S946" t="str">
        <f t="shared" si="44"/>
        <v>Mar</v>
      </c>
      <c r="T946" s="9">
        <f>VLOOKUP(O946, Annual_Summary!A:B, 2, 0)</f>
        <v>-2.6699969854871962E-3</v>
      </c>
    </row>
    <row r="947" spans="1:20" x14ac:dyDescent="0.3">
      <c r="A947" s="1">
        <v>45728</v>
      </c>
      <c r="B947" s="3" t="s">
        <v>15</v>
      </c>
      <c r="C947" s="3">
        <v>2217.35</v>
      </c>
      <c r="D947" s="3">
        <v>2229.9499999999998</v>
      </c>
      <c r="E947" s="3">
        <v>2185</v>
      </c>
      <c r="F947" s="3">
        <v>2216.9499999999998</v>
      </c>
      <c r="G947" s="3">
        <v>2194.65</v>
      </c>
      <c r="H947" s="3">
        <v>2192.9</v>
      </c>
      <c r="I947" s="3">
        <v>2209.6</v>
      </c>
      <c r="J947" s="3">
        <v>3035</v>
      </c>
      <c r="K947" s="3">
        <v>2136</v>
      </c>
      <c r="L947">
        <v>1526212</v>
      </c>
      <c r="M947" s="2">
        <v>3372315447.6999998</v>
      </c>
      <c r="N947">
        <v>73258</v>
      </c>
      <c r="O947" t="s">
        <v>19</v>
      </c>
      <c r="P947" s="8">
        <f t="shared" si="42"/>
        <v>-0.40000000000009095</v>
      </c>
      <c r="Q947" t="s">
        <v>40</v>
      </c>
      <c r="R947">
        <f t="shared" si="43"/>
        <v>3</v>
      </c>
      <c r="S947" t="str">
        <f t="shared" si="44"/>
        <v>Mar</v>
      </c>
      <c r="T947" s="9">
        <f>VLOOKUP(O947, Annual_Summary!A:B, 2, 0)</f>
        <v>-2.6699969854871962E-3</v>
      </c>
    </row>
    <row r="948" spans="1:20" x14ac:dyDescent="0.3">
      <c r="A948" s="1">
        <v>45727</v>
      </c>
      <c r="B948" s="3" t="s">
        <v>15</v>
      </c>
      <c r="C948" s="3">
        <v>2240</v>
      </c>
      <c r="D948" s="3">
        <v>2262.4499999999998</v>
      </c>
      <c r="E948" s="3">
        <v>2211.25</v>
      </c>
      <c r="F948" s="3">
        <v>2247.75</v>
      </c>
      <c r="G948" s="3">
        <v>2220</v>
      </c>
      <c r="H948" s="3">
        <v>2216.9499999999998</v>
      </c>
      <c r="I948" s="3">
        <v>2237.31</v>
      </c>
      <c r="J948" s="3">
        <v>3035</v>
      </c>
      <c r="K948" s="3">
        <v>2136</v>
      </c>
      <c r="L948">
        <v>1325891</v>
      </c>
      <c r="M948" s="2">
        <v>2966434804.4000001</v>
      </c>
      <c r="N948">
        <v>94027</v>
      </c>
      <c r="O948" t="s">
        <v>19</v>
      </c>
      <c r="P948" s="8">
        <f t="shared" si="42"/>
        <v>7.75</v>
      </c>
      <c r="Q948" t="s">
        <v>40</v>
      </c>
      <c r="R948">
        <f t="shared" si="43"/>
        <v>3</v>
      </c>
      <c r="S948" t="str">
        <f t="shared" si="44"/>
        <v>Mar</v>
      </c>
      <c r="T948" s="9">
        <f>VLOOKUP(O948, Annual_Summary!A:B, 2, 0)</f>
        <v>-2.6699969854871962E-3</v>
      </c>
    </row>
    <row r="949" spans="1:20" x14ac:dyDescent="0.3">
      <c r="A949" s="1">
        <v>45726</v>
      </c>
      <c r="B949" s="3" t="s">
        <v>15</v>
      </c>
      <c r="C949" s="3">
        <v>2208</v>
      </c>
      <c r="D949" s="3">
        <v>2267.15</v>
      </c>
      <c r="E949" s="3">
        <v>2194.65</v>
      </c>
      <c r="F949" s="3">
        <v>2204.5500000000002</v>
      </c>
      <c r="G949" s="3">
        <v>2246.5</v>
      </c>
      <c r="H949" s="3">
        <v>2247.75</v>
      </c>
      <c r="I949" s="3">
        <v>2249.5100000000002</v>
      </c>
      <c r="J949" s="3">
        <v>3035</v>
      </c>
      <c r="K949" s="3">
        <v>2136</v>
      </c>
      <c r="L949">
        <v>1242387</v>
      </c>
      <c r="M949" s="2">
        <v>2794766542.5999999</v>
      </c>
      <c r="N949">
        <v>100482</v>
      </c>
      <c r="O949" t="s">
        <v>19</v>
      </c>
      <c r="P949" s="8">
        <f t="shared" si="42"/>
        <v>-3.4499999999998181</v>
      </c>
      <c r="Q949" t="s">
        <v>40</v>
      </c>
      <c r="R949">
        <f t="shared" si="43"/>
        <v>3</v>
      </c>
      <c r="S949" t="str">
        <f t="shared" si="44"/>
        <v>Mar</v>
      </c>
      <c r="T949" s="9">
        <f>VLOOKUP(O949, Annual_Summary!A:B, 2, 0)</f>
        <v>-2.6699969854871962E-3</v>
      </c>
    </row>
    <row r="950" spans="1:20" x14ac:dyDescent="0.3">
      <c r="A950" s="1">
        <v>45723</v>
      </c>
      <c r="B950" s="3" t="s">
        <v>15</v>
      </c>
      <c r="C950" s="3">
        <v>2226.6999999999998</v>
      </c>
      <c r="D950" s="3">
        <v>2226.6999999999998</v>
      </c>
      <c r="E950" s="3">
        <v>2189.1999999999998</v>
      </c>
      <c r="F950" s="3">
        <v>2218.9499999999998</v>
      </c>
      <c r="G950" s="3">
        <v>2207.9499999999998</v>
      </c>
      <c r="H950" s="3">
        <v>2204.5500000000002</v>
      </c>
      <c r="I950" s="3">
        <v>2202.48</v>
      </c>
      <c r="J950" s="3">
        <v>3035</v>
      </c>
      <c r="K950" s="3">
        <v>2136</v>
      </c>
      <c r="L950">
        <v>1738356</v>
      </c>
      <c r="M950" s="2">
        <v>3828688639.3000002</v>
      </c>
      <c r="N950">
        <v>56239</v>
      </c>
      <c r="O950" t="s">
        <v>19</v>
      </c>
      <c r="P950" s="8">
        <f t="shared" si="42"/>
        <v>-7.75</v>
      </c>
      <c r="Q950" t="s">
        <v>40</v>
      </c>
      <c r="R950">
        <f t="shared" si="43"/>
        <v>3</v>
      </c>
      <c r="S950" t="str">
        <f t="shared" si="44"/>
        <v>Mar</v>
      </c>
      <c r="T950" s="9">
        <f>VLOOKUP(O950, Annual_Summary!A:B, 2, 0)</f>
        <v>-2.6699969854871962E-3</v>
      </c>
    </row>
    <row r="951" spans="1:20" x14ac:dyDescent="0.3">
      <c r="A951" s="1">
        <v>45722</v>
      </c>
      <c r="B951" s="3" t="s">
        <v>15</v>
      </c>
      <c r="C951" s="3">
        <v>2175</v>
      </c>
      <c r="D951" s="3">
        <v>2229.8000000000002</v>
      </c>
      <c r="E951" s="3">
        <v>2163.75</v>
      </c>
      <c r="F951" s="3">
        <v>2170.4499999999998</v>
      </c>
      <c r="G951" s="3">
        <v>2221.85</v>
      </c>
      <c r="H951" s="3">
        <v>2218.9499999999998</v>
      </c>
      <c r="I951" s="3">
        <v>2204.64</v>
      </c>
      <c r="J951" s="3">
        <v>3035</v>
      </c>
      <c r="K951" s="3">
        <v>2136</v>
      </c>
      <c r="L951">
        <v>1856868</v>
      </c>
      <c r="M951" s="2">
        <v>4093724918.4000001</v>
      </c>
      <c r="N951">
        <v>118991</v>
      </c>
      <c r="O951" t="s">
        <v>19</v>
      </c>
      <c r="P951" s="8">
        <f t="shared" si="42"/>
        <v>-4.5500000000001819</v>
      </c>
      <c r="Q951" t="s">
        <v>40</v>
      </c>
      <c r="R951">
        <f t="shared" si="43"/>
        <v>3</v>
      </c>
      <c r="S951" t="str">
        <f t="shared" si="44"/>
        <v>Mar</v>
      </c>
      <c r="T951" s="9">
        <f>VLOOKUP(O951, Annual_Summary!A:B, 2, 0)</f>
        <v>-2.6699969854871962E-3</v>
      </c>
    </row>
    <row r="952" spans="1:20" x14ac:dyDescent="0.3">
      <c r="A952" s="1">
        <v>45721</v>
      </c>
      <c r="B952" s="3" t="s">
        <v>15</v>
      </c>
      <c r="C952" s="3">
        <v>2152</v>
      </c>
      <c r="D952" s="3">
        <v>2191.9</v>
      </c>
      <c r="E952" s="3">
        <v>2150</v>
      </c>
      <c r="F952" s="3">
        <v>2157.35</v>
      </c>
      <c r="G952" s="3">
        <v>2175</v>
      </c>
      <c r="H952" s="3">
        <v>2170.4499999999998</v>
      </c>
      <c r="I952" s="3">
        <v>2174.2199999999998</v>
      </c>
      <c r="J952" s="3">
        <v>3035</v>
      </c>
      <c r="K952" s="3">
        <v>2136</v>
      </c>
      <c r="L952">
        <v>1145673</v>
      </c>
      <c r="M952" s="2">
        <v>2490948849.5999999</v>
      </c>
      <c r="N952">
        <v>74606</v>
      </c>
      <c r="O952" t="s">
        <v>19</v>
      </c>
      <c r="P952" s="8">
        <f t="shared" si="42"/>
        <v>5.3499999999999091</v>
      </c>
      <c r="Q952" t="s">
        <v>40</v>
      </c>
      <c r="R952">
        <f t="shared" si="43"/>
        <v>3</v>
      </c>
      <c r="S952" t="str">
        <f t="shared" si="44"/>
        <v>Mar</v>
      </c>
      <c r="T952" s="9">
        <f>VLOOKUP(O952, Annual_Summary!A:B, 2, 0)</f>
        <v>-2.6699969854871962E-3</v>
      </c>
    </row>
    <row r="953" spans="1:20" x14ac:dyDescent="0.3">
      <c r="A953" s="1">
        <v>45720</v>
      </c>
      <c r="B953" s="3" t="s">
        <v>15</v>
      </c>
      <c r="C953" s="3">
        <v>2179.9499999999998</v>
      </c>
      <c r="D953" s="3">
        <v>2180</v>
      </c>
      <c r="E953" s="3">
        <v>2136</v>
      </c>
      <c r="F953" s="3">
        <v>2176.85</v>
      </c>
      <c r="G953" s="3">
        <v>2152.5</v>
      </c>
      <c r="H953" s="3">
        <v>2157.35</v>
      </c>
      <c r="I953" s="3">
        <v>2154.7600000000002</v>
      </c>
      <c r="J953" s="3">
        <v>3035</v>
      </c>
      <c r="K953" s="3">
        <v>2136</v>
      </c>
      <c r="L953">
        <v>1800330</v>
      </c>
      <c r="M953" s="2">
        <v>3879276706.0500002</v>
      </c>
      <c r="N953">
        <v>93829</v>
      </c>
      <c r="O953" t="s">
        <v>19</v>
      </c>
      <c r="P953" s="8">
        <f t="shared" si="42"/>
        <v>-3.0999999999999091</v>
      </c>
      <c r="Q953" t="s">
        <v>40</v>
      </c>
      <c r="R953">
        <f t="shared" si="43"/>
        <v>3</v>
      </c>
      <c r="S953" t="str">
        <f t="shared" si="44"/>
        <v>Mar</v>
      </c>
      <c r="T953" s="9">
        <f>VLOOKUP(O953, Annual_Summary!A:B, 2, 0)</f>
        <v>-2.6699969854871962E-3</v>
      </c>
    </row>
    <row r="954" spans="1:20" x14ac:dyDescent="0.3">
      <c r="A954" s="1">
        <v>45719</v>
      </c>
      <c r="B954" s="3" t="s">
        <v>15</v>
      </c>
      <c r="C954" s="3">
        <v>2199</v>
      </c>
      <c r="D954" s="3">
        <v>2199</v>
      </c>
      <c r="E954" s="3">
        <v>2158.5</v>
      </c>
      <c r="F954" s="3">
        <v>2190.25</v>
      </c>
      <c r="G954" s="3">
        <v>2180</v>
      </c>
      <c r="H954" s="3">
        <v>2176.85</v>
      </c>
      <c r="I954" s="3">
        <v>2171.46</v>
      </c>
      <c r="J954" s="3">
        <v>3035</v>
      </c>
      <c r="K954" s="3">
        <v>2158.5</v>
      </c>
      <c r="L954">
        <v>1306470</v>
      </c>
      <c r="M954" s="2">
        <v>2836946795.25</v>
      </c>
      <c r="N954">
        <v>87808</v>
      </c>
      <c r="O954" t="s">
        <v>19</v>
      </c>
      <c r="P954" s="8">
        <f t="shared" si="42"/>
        <v>-8.75</v>
      </c>
      <c r="Q954" t="s">
        <v>40</v>
      </c>
      <c r="R954">
        <f t="shared" si="43"/>
        <v>3</v>
      </c>
      <c r="S954" t="str">
        <f t="shared" si="44"/>
        <v>Mar</v>
      </c>
      <c r="T954" s="9">
        <f>VLOOKUP(O954, Annual_Summary!A:B, 2, 0)</f>
        <v>-2.6699969854871962E-3</v>
      </c>
    </row>
    <row r="955" spans="1:20" x14ac:dyDescent="0.3">
      <c r="A955" s="1">
        <v>45716</v>
      </c>
      <c r="B955" s="3" t="s">
        <v>15</v>
      </c>
      <c r="C955" s="3">
        <v>2245.0500000000002</v>
      </c>
      <c r="D955" s="3">
        <v>2249.6</v>
      </c>
      <c r="E955" s="3">
        <v>2185.85</v>
      </c>
      <c r="F955" s="3">
        <v>2244.9499999999998</v>
      </c>
      <c r="G955" s="3">
        <v>2196</v>
      </c>
      <c r="H955" s="3">
        <v>2190.25</v>
      </c>
      <c r="I955" s="3">
        <v>2199.62</v>
      </c>
      <c r="J955" s="3">
        <v>3035</v>
      </c>
      <c r="K955" s="3">
        <v>2172.0500000000002</v>
      </c>
      <c r="L955">
        <v>3683249</v>
      </c>
      <c r="M955" s="2">
        <v>8101755687.5500002</v>
      </c>
      <c r="N955">
        <v>124357</v>
      </c>
      <c r="O955" t="s">
        <v>19</v>
      </c>
      <c r="P955" s="8">
        <f t="shared" si="42"/>
        <v>-0.1000000000003638</v>
      </c>
      <c r="Q955" t="s">
        <v>40</v>
      </c>
      <c r="R955">
        <f t="shared" si="43"/>
        <v>2</v>
      </c>
      <c r="S955" t="str">
        <f t="shared" si="44"/>
        <v>Feb</v>
      </c>
      <c r="T955" s="9">
        <f>VLOOKUP(O955, Annual_Summary!A:B, 2, 0)</f>
        <v>-2.6699969854871962E-3</v>
      </c>
    </row>
    <row r="956" spans="1:20" x14ac:dyDescent="0.3">
      <c r="A956" s="1">
        <v>45715</v>
      </c>
      <c r="B956" s="3" t="s">
        <v>15</v>
      </c>
      <c r="C956" s="3">
        <v>2269.65</v>
      </c>
      <c r="D956" s="3">
        <v>2269.65</v>
      </c>
      <c r="E956" s="3">
        <v>2233.1</v>
      </c>
      <c r="F956" s="3">
        <v>2259.3000000000002</v>
      </c>
      <c r="G956" s="3">
        <v>2243.5500000000002</v>
      </c>
      <c r="H956" s="3">
        <v>2244.9499999999998</v>
      </c>
      <c r="I956" s="3">
        <v>2248.58</v>
      </c>
      <c r="J956" s="3">
        <v>3035</v>
      </c>
      <c r="K956" s="3">
        <v>2172.0500000000002</v>
      </c>
      <c r="L956">
        <v>1699658</v>
      </c>
      <c r="M956" s="2">
        <v>3821812211.8499999</v>
      </c>
      <c r="N956">
        <v>93485</v>
      </c>
      <c r="O956" t="s">
        <v>19</v>
      </c>
      <c r="P956" s="8">
        <f t="shared" si="42"/>
        <v>-10.349999999999909</v>
      </c>
      <c r="Q956" t="s">
        <v>40</v>
      </c>
      <c r="R956">
        <f t="shared" si="43"/>
        <v>2</v>
      </c>
      <c r="S956" t="str">
        <f t="shared" si="44"/>
        <v>Feb</v>
      </c>
      <c r="T956" s="9">
        <f>VLOOKUP(O956, Annual_Summary!A:B, 2, 0)</f>
        <v>-2.6699969854871962E-3</v>
      </c>
    </row>
    <row r="957" spans="1:20" x14ac:dyDescent="0.3">
      <c r="A957" s="1">
        <v>45713</v>
      </c>
      <c r="B957" s="3" t="s">
        <v>15</v>
      </c>
      <c r="C957" s="3">
        <v>2243</v>
      </c>
      <c r="D957" s="3">
        <v>2269.6</v>
      </c>
      <c r="E957" s="3">
        <v>2237.9499999999998</v>
      </c>
      <c r="F957" s="3">
        <v>2241.4499999999998</v>
      </c>
      <c r="G957" s="3">
        <v>2254</v>
      </c>
      <c r="H957" s="3">
        <v>2259.3000000000002</v>
      </c>
      <c r="I957" s="3">
        <v>2256.4299999999998</v>
      </c>
      <c r="J957" s="3">
        <v>3035</v>
      </c>
      <c r="K957" s="3">
        <v>2172.0500000000002</v>
      </c>
      <c r="L957">
        <v>1988040</v>
      </c>
      <c r="M957" s="2">
        <v>4485870450.1999998</v>
      </c>
      <c r="N957">
        <v>101737</v>
      </c>
      <c r="O957" t="s">
        <v>19</v>
      </c>
      <c r="P957" s="8">
        <f t="shared" si="42"/>
        <v>-1.5500000000001819</v>
      </c>
      <c r="Q957" t="s">
        <v>40</v>
      </c>
      <c r="R957">
        <f t="shared" si="43"/>
        <v>2</v>
      </c>
      <c r="S957" t="str">
        <f t="shared" si="44"/>
        <v>Feb</v>
      </c>
      <c r="T957" s="9">
        <f>VLOOKUP(O957, Annual_Summary!A:B, 2, 0)</f>
        <v>-2.6699969854871962E-3</v>
      </c>
    </row>
    <row r="958" spans="1:20" x14ac:dyDescent="0.3">
      <c r="A958" s="1">
        <v>45712</v>
      </c>
      <c r="B958" s="3" t="s">
        <v>15</v>
      </c>
      <c r="C958" s="3">
        <v>2230</v>
      </c>
      <c r="D958" s="3">
        <v>2251</v>
      </c>
      <c r="E958" s="3">
        <v>2218.8000000000002</v>
      </c>
      <c r="F958" s="3">
        <v>2241.65</v>
      </c>
      <c r="G958" s="3">
        <v>2241.1999999999998</v>
      </c>
      <c r="H958" s="3">
        <v>2241.4499999999998</v>
      </c>
      <c r="I958" s="3">
        <v>2236.1999999999998</v>
      </c>
      <c r="J958" s="3">
        <v>3035</v>
      </c>
      <c r="K958" s="3">
        <v>2172.0500000000002</v>
      </c>
      <c r="L958">
        <v>1627949</v>
      </c>
      <c r="M958" s="2">
        <v>3640425365.6500001</v>
      </c>
      <c r="N958">
        <v>102226</v>
      </c>
      <c r="O958" t="s">
        <v>19</v>
      </c>
      <c r="P958" s="8">
        <f t="shared" si="42"/>
        <v>11.650000000000091</v>
      </c>
      <c r="Q958" t="s">
        <v>40</v>
      </c>
      <c r="R958">
        <f t="shared" si="43"/>
        <v>2</v>
      </c>
      <c r="S958" t="str">
        <f t="shared" si="44"/>
        <v>Feb</v>
      </c>
      <c r="T958" s="9">
        <f>VLOOKUP(O958, Annual_Summary!A:B, 2, 0)</f>
        <v>-2.6699969854871962E-3</v>
      </c>
    </row>
    <row r="959" spans="1:20" x14ac:dyDescent="0.3">
      <c r="A959" s="1">
        <v>45709</v>
      </c>
      <c r="B959" s="3" t="s">
        <v>15</v>
      </c>
      <c r="C959" s="3">
        <v>2248.0500000000002</v>
      </c>
      <c r="D959" s="3">
        <v>2253.5500000000002</v>
      </c>
      <c r="E959" s="3">
        <v>2226.4</v>
      </c>
      <c r="F959" s="3">
        <v>2248.0500000000002</v>
      </c>
      <c r="G959" s="3">
        <v>2238.5</v>
      </c>
      <c r="H959" s="3">
        <v>2241.65</v>
      </c>
      <c r="I959" s="3">
        <v>2238.8000000000002</v>
      </c>
      <c r="J959" s="3">
        <v>3035</v>
      </c>
      <c r="K959" s="3">
        <v>2172.0500000000002</v>
      </c>
      <c r="L959">
        <v>1781509</v>
      </c>
      <c r="M959" s="2">
        <v>3988450488.8000002</v>
      </c>
      <c r="N959">
        <v>107600</v>
      </c>
      <c r="O959" t="s">
        <v>19</v>
      </c>
      <c r="P959" s="8">
        <f t="shared" si="42"/>
        <v>0</v>
      </c>
      <c r="Q959" t="s">
        <v>40</v>
      </c>
      <c r="R959">
        <f t="shared" si="43"/>
        <v>2</v>
      </c>
      <c r="S959" t="str">
        <f t="shared" si="44"/>
        <v>Feb</v>
      </c>
      <c r="T959" s="9">
        <f>VLOOKUP(O959, Annual_Summary!A:B, 2, 0)</f>
        <v>-2.6699969854871962E-3</v>
      </c>
    </row>
    <row r="960" spans="1:20" x14ac:dyDescent="0.3">
      <c r="A960" s="1">
        <v>45708</v>
      </c>
      <c r="B960" s="3" t="s">
        <v>15</v>
      </c>
      <c r="C960" s="3">
        <v>2250.4</v>
      </c>
      <c r="D960" s="3">
        <v>2254.4499999999998</v>
      </c>
      <c r="E960" s="3">
        <v>2226.5</v>
      </c>
      <c r="F960" s="3">
        <v>2250.4</v>
      </c>
      <c r="G960" s="3">
        <v>2247.5500000000002</v>
      </c>
      <c r="H960" s="3">
        <v>2248.0500000000002</v>
      </c>
      <c r="I960" s="3">
        <v>2242.73</v>
      </c>
      <c r="J960" s="3">
        <v>3035</v>
      </c>
      <c r="K960" s="3">
        <v>2172.0500000000002</v>
      </c>
      <c r="L960">
        <v>2206196</v>
      </c>
      <c r="M960" s="2">
        <v>4947912584.0500002</v>
      </c>
      <c r="N960">
        <v>121656</v>
      </c>
      <c r="O960" t="s">
        <v>19</v>
      </c>
      <c r="P960" s="8">
        <f t="shared" si="42"/>
        <v>0</v>
      </c>
      <c r="Q960" t="s">
        <v>40</v>
      </c>
      <c r="R960">
        <f t="shared" si="43"/>
        <v>2</v>
      </c>
      <c r="S960" t="str">
        <f t="shared" si="44"/>
        <v>Feb</v>
      </c>
      <c r="T960" s="9">
        <f>VLOOKUP(O960, Annual_Summary!A:B, 2, 0)</f>
        <v>-2.6699969854871962E-3</v>
      </c>
    </row>
    <row r="961" spans="1:20" x14ac:dyDescent="0.3">
      <c r="A961" s="1">
        <v>45707</v>
      </c>
      <c r="B961" s="3" t="s">
        <v>15</v>
      </c>
      <c r="C961" s="3">
        <v>2298.75</v>
      </c>
      <c r="D961" s="3">
        <v>2305.6999999999998</v>
      </c>
      <c r="E961" s="3">
        <v>2248</v>
      </c>
      <c r="F961" s="3">
        <v>2296</v>
      </c>
      <c r="G961" s="3">
        <v>2250</v>
      </c>
      <c r="H961" s="3">
        <v>2250.4</v>
      </c>
      <c r="I961" s="3">
        <v>2259.2399999999998</v>
      </c>
      <c r="J961" s="3">
        <v>3035</v>
      </c>
      <c r="K961" s="3">
        <v>2172.0500000000002</v>
      </c>
      <c r="L961">
        <v>1521343</v>
      </c>
      <c r="M961" s="2">
        <v>3437076584.9000001</v>
      </c>
      <c r="N961">
        <v>119114</v>
      </c>
      <c r="O961" t="s">
        <v>19</v>
      </c>
      <c r="P961" s="8">
        <f t="shared" si="42"/>
        <v>-2.75</v>
      </c>
      <c r="Q961" t="s">
        <v>40</v>
      </c>
      <c r="R961">
        <f t="shared" si="43"/>
        <v>2</v>
      </c>
      <c r="S961" t="str">
        <f t="shared" si="44"/>
        <v>Feb</v>
      </c>
      <c r="T961" s="9">
        <f>VLOOKUP(O961, Annual_Summary!A:B, 2, 0)</f>
        <v>-2.6699969854871962E-3</v>
      </c>
    </row>
    <row r="962" spans="1:20" x14ac:dyDescent="0.3">
      <c r="A962" s="1">
        <v>45706</v>
      </c>
      <c r="B962" s="3" t="s">
        <v>15</v>
      </c>
      <c r="C962" s="3">
        <v>2329.4</v>
      </c>
      <c r="D962" s="3">
        <v>2338.5500000000002</v>
      </c>
      <c r="E962" s="3">
        <v>2288</v>
      </c>
      <c r="F962" s="3">
        <v>2329.4</v>
      </c>
      <c r="G962" s="3">
        <v>2297.5</v>
      </c>
      <c r="H962" s="3">
        <v>2296</v>
      </c>
      <c r="I962" s="3">
        <v>2304.96</v>
      </c>
      <c r="J962" s="3">
        <v>3035</v>
      </c>
      <c r="K962" s="3">
        <v>2172.0500000000002</v>
      </c>
      <c r="L962">
        <v>1035705</v>
      </c>
      <c r="M962" s="2">
        <v>2387257469.4000001</v>
      </c>
      <c r="N962">
        <v>74925</v>
      </c>
      <c r="O962" t="s">
        <v>19</v>
      </c>
      <c r="P962" s="8">
        <f t="shared" si="42"/>
        <v>0</v>
      </c>
      <c r="Q962" t="s">
        <v>40</v>
      </c>
      <c r="R962">
        <f t="shared" si="43"/>
        <v>2</v>
      </c>
      <c r="S962" t="str">
        <f t="shared" si="44"/>
        <v>Feb</v>
      </c>
      <c r="T962" s="9">
        <f>VLOOKUP(O962, Annual_Summary!A:B, 2, 0)</f>
        <v>-2.6699969854871962E-3</v>
      </c>
    </row>
    <row r="963" spans="1:20" x14ac:dyDescent="0.3">
      <c r="A963" s="1">
        <v>45705</v>
      </c>
      <c r="B963" s="3" t="s">
        <v>15</v>
      </c>
      <c r="C963" s="3">
        <v>2318.35</v>
      </c>
      <c r="D963" s="3">
        <v>2336</v>
      </c>
      <c r="E963" s="3">
        <v>2300</v>
      </c>
      <c r="F963" s="3">
        <v>2318.35</v>
      </c>
      <c r="G963" s="3">
        <v>2326</v>
      </c>
      <c r="H963" s="3">
        <v>2329.4</v>
      </c>
      <c r="I963" s="3">
        <v>2320.37</v>
      </c>
      <c r="J963" s="3">
        <v>3035</v>
      </c>
      <c r="K963" s="3">
        <v>2172.0500000000002</v>
      </c>
      <c r="L963">
        <v>1409168</v>
      </c>
      <c r="M963" s="2">
        <v>3269794822.9499998</v>
      </c>
      <c r="N963">
        <v>81591</v>
      </c>
      <c r="O963" t="s">
        <v>19</v>
      </c>
      <c r="P963" s="8">
        <f t="shared" ref="P963:P1026" si="45">F963-C963</f>
        <v>0</v>
      </c>
      <c r="Q963" t="s">
        <v>40</v>
      </c>
      <c r="R963">
        <f t="shared" ref="R963:R1026" si="46">MONTH(A963)</f>
        <v>2</v>
      </c>
      <c r="S963" t="str">
        <f t="shared" ref="S963:S1026" si="47">TEXT(A963,"mmm")</f>
        <v>Feb</v>
      </c>
      <c r="T963" s="9">
        <f>VLOOKUP(O963, Annual_Summary!A:B, 2, 0)</f>
        <v>-2.6699969854871962E-3</v>
      </c>
    </row>
    <row r="964" spans="1:20" x14ac:dyDescent="0.3">
      <c r="A964" s="1">
        <v>45702</v>
      </c>
      <c r="B964" s="3" t="s">
        <v>15</v>
      </c>
      <c r="C964" s="3">
        <v>2322</v>
      </c>
      <c r="D964" s="3">
        <v>2366</v>
      </c>
      <c r="E964" s="3">
        <v>2313.4</v>
      </c>
      <c r="F964" s="3">
        <v>2321.5</v>
      </c>
      <c r="G964" s="3">
        <v>2317.8000000000002</v>
      </c>
      <c r="H964" s="3">
        <v>2318.35</v>
      </c>
      <c r="I964" s="3">
        <v>2333.21</v>
      </c>
      <c r="J964" s="3">
        <v>3035</v>
      </c>
      <c r="K964" s="3">
        <v>2172.0500000000002</v>
      </c>
      <c r="L964">
        <v>1135380</v>
      </c>
      <c r="M964" s="2">
        <v>2649076295.4000001</v>
      </c>
      <c r="N964">
        <v>82057</v>
      </c>
      <c r="O964" t="s">
        <v>19</v>
      </c>
      <c r="P964" s="8">
        <f t="shared" si="45"/>
        <v>-0.5</v>
      </c>
      <c r="Q964" t="s">
        <v>40</v>
      </c>
      <c r="R964">
        <f t="shared" si="46"/>
        <v>2</v>
      </c>
      <c r="S964" t="str">
        <f t="shared" si="47"/>
        <v>Feb</v>
      </c>
      <c r="T964" s="9">
        <f>VLOOKUP(O964, Annual_Summary!A:B, 2, 0)</f>
        <v>-2.6699969854871962E-3</v>
      </c>
    </row>
    <row r="965" spans="1:20" x14ac:dyDescent="0.3">
      <c r="A965" s="1">
        <v>45701</v>
      </c>
      <c r="B965" s="3" t="s">
        <v>15</v>
      </c>
      <c r="C965" s="3">
        <v>2330.1</v>
      </c>
      <c r="D965" s="3">
        <v>2345.6</v>
      </c>
      <c r="E965" s="3">
        <v>2313.35</v>
      </c>
      <c r="F965" s="3">
        <v>2332.5</v>
      </c>
      <c r="G965" s="3">
        <v>2319.6</v>
      </c>
      <c r="H965" s="3">
        <v>2321.5</v>
      </c>
      <c r="I965" s="3">
        <v>2328.4</v>
      </c>
      <c r="J965" s="3">
        <v>3035</v>
      </c>
      <c r="K965" s="3">
        <v>2172.0500000000002</v>
      </c>
      <c r="L965">
        <v>1334967</v>
      </c>
      <c r="M965" s="2">
        <v>3108334189.75</v>
      </c>
      <c r="N965">
        <v>82367</v>
      </c>
      <c r="O965" t="s">
        <v>19</v>
      </c>
      <c r="P965" s="8">
        <f t="shared" si="45"/>
        <v>2.4000000000000909</v>
      </c>
      <c r="Q965" t="s">
        <v>40</v>
      </c>
      <c r="R965">
        <f t="shared" si="46"/>
        <v>2</v>
      </c>
      <c r="S965" t="str">
        <f t="shared" si="47"/>
        <v>Feb</v>
      </c>
      <c r="T965" s="9">
        <f>VLOOKUP(O965, Annual_Summary!A:B, 2, 0)</f>
        <v>-2.6699969854871962E-3</v>
      </c>
    </row>
    <row r="966" spans="1:20" x14ac:dyDescent="0.3">
      <c r="A966" s="1">
        <v>45700</v>
      </c>
      <c r="B966" s="3" t="s">
        <v>15</v>
      </c>
      <c r="C966" s="3">
        <v>2325.6999999999998</v>
      </c>
      <c r="D966" s="3">
        <v>2339.9</v>
      </c>
      <c r="E966" s="3">
        <v>2305.1</v>
      </c>
      <c r="F966" s="3">
        <v>2315.25</v>
      </c>
      <c r="G966" s="3">
        <v>2331</v>
      </c>
      <c r="H966" s="3">
        <v>2332.5</v>
      </c>
      <c r="I966" s="3">
        <v>2326.1799999999998</v>
      </c>
      <c r="J966" s="3">
        <v>3035</v>
      </c>
      <c r="K966" s="3">
        <v>2172.0500000000002</v>
      </c>
      <c r="L966">
        <v>1341909</v>
      </c>
      <c r="M966" s="2">
        <v>3121517789.0999999</v>
      </c>
      <c r="N966">
        <v>78808</v>
      </c>
      <c r="O966" t="s">
        <v>19</v>
      </c>
      <c r="P966" s="8">
        <f t="shared" si="45"/>
        <v>-10.449999999999818</v>
      </c>
      <c r="Q966" t="s">
        <v>40</v>
      </c>
      <c r="R966">
        <f t="shared" si="46"/>
        <v>2</v>
      </c>
      <c r="S966" t="str">
        <f t="shared" si="47"/>
        <v>Feb</v>
      </c>
      <c r="T966" s="9">
        <f>VLOOKUP(O966, Annual_Summary!A:B, 2, 0)</f>
        <v>-2.6699969854871962E-3</v>
      </c>
    </row>
    <row r="967" spans="1:20" x14ac:dyDescent="0.3">
      <c r="A967" s="1">
        <v>45699</v>
      </c>
      <c r="B967" s="3" t="s">
        <v>15</v>
      </c>
      <c r="C967" s="3">
        <v>2371</v>
      </c>
      <c r="D967" s="3">
        <v>2377.9499999999998</v>
      </c>
      <c r="E967" s="3">
        <v>2296.5500000000002</v>
      </c>
      <c r="F967" s="3">
        <v>2361.4499999999998</v>
      </c>
      <c r="G967" s="3">
        <v>2321.9</v>
      </c>
      <c r="H967" s="3">
        <v>2315.25</v>
      </c>
      <c r="I967" s="3">
        <v>2326.89</v>
      </c>
      <c r="J967" s="3">
        <v>3035</v>
      </c>
      <c r="K967" s="3">
        <v>2172.0500000000002</v>
      </c>
      <c r="L967">
        <v>1389260</v>
      </c>
      <c r="M967" s="2">
        <v>3232657580.3000002</v>
      </c>
      <c r="N967">
        <v>116191</v>
      </c>
      <c r="O967" t="s">
        <v>19</v>
      </c>
      <c r="P967" s="8">
        <f t="shared" si="45"/>
        <v>-9.5500000000001819</v>
      </c>
      <c r="Q967" t="s">
        <v>40</v>
      </c>
      <c r="R967">
        <f t="shared" si="46"/>
        <v>2</v>
      </c>
      <c r="S967" t="str">
        <f t="shared" si="47"/>
        <v>Feb</v>
      </c>
      <c r="T967" s="9">
        <f>VLOOKUP(O967, Annual_Summary!A:B, 2, 0)</f>
        <v>-2.6699969854871962E-3</v>
      </c>
    </row>
    <row r="968" spans="1:20" x14ac:dyDescent="0.3">
      <c r="A968" s="1">
        <v>45698</v>
      </c>
      <c r="B968" s="3" t="s">
        <v>15</v>
      </c>
      <c r="C968" s="3">
        <v>2370.9</v>
      </c>
      <c r="D968" s="3">
        <v>2398</v>
      </c>
      <c r="E968" s="3">
        <v>2352.0500000000002</v>
      </c>
      <c r="F968" s="3">
        <v>2363.85</v>
      </c>
      <c r="G968" s="3">
        <v>2356.5</v>
      </c>
      <c r="H968" s="3">
        <v>2361.4499999999998</v>
      </c>
      <c r="I968" s="3">
        <v>2370.6799999999998</v>
      </c>
      <c r="J968" s="3">
        <v>3035</v>
      </c>
      <c r="K968" s="3">
        <v>2172.0500000000002</v>
      </c>
      <c r="L968">
        <v>1326354</v>
      </c>
      <c r="M968" s="2">
        <v>3144355523.0500002</v>
      </c>
      <c r="N968">
        <v>76507</v>
      </c>
      <c r="O968" t="s">
        <v>19</v>
      </c>
      <c r="P968" s="8">
        <f t="shared" si="45"/>
        <v>-7.0500000000001819</v>
      </c>
      <c r="Q968" t="s">
        <v>40</v>
      </c>
      <c r="R968">
        <f t="shared" si="46"/>
        <v>2</v>
      </c>
      <c r="S968" t="str">
        <f t="shared" si="47"/>
        <v>Feb</v>
      </c>
      <c r="T968" s="9">
        <f>VLOOKUP(O968, Annual_Summary!A:B, 2, 0)</f>
        <v>-2.6699969854871962E-3</v>
      </c>
    </row>
    <row r="969" spans="1:20" x14ac:dyDescent="0.3">
      <c r="A969" s="1">
        <v>45695</v>
      </c>
      <c r="B969" s="3" t="s">
        <v>15</v>
      </c>
      <c r="C969" s="3">
        <v>2380</v>
      </c>
      <c r="D969" s="3">
        <v>2381.9499999999998</v>
      </c>
      <c r="E969" s="3">
        <v>2336.1</v>
      </c>
      <c r="F969" s="3">
        <v>2372.6999999999998</v>
      </c>
      <c r="G969" s="3">
        <v>2364.3000000000002</v>
      </c>
      <c r="H969" s="3">
        <v>2363.85</v>
      </c>
      <c r="I969" s="3">
        <v>2359.9699999999998</v>
      </c>
      <c r="J969" s="3">
        <v>3035</v>
      </c>
      <c r="K969" s="3">
        <v>2172.0500000000002</v>
      </c>
      <c r="L969">
        <v>855602</v>
      </c>
      <c r="M969" s="2">
        <v>2019196871.4000001</v>
      </c>
      <c r="N969">
        <v>63809</v>
      </c>
      <c r="O969" t="s">
        <v>19</v>
      </c>
      <c r="P969" s="8">
        <f t="shared" si="45"/>
        <v>-7.3000000000001819</v>
      </c>
      <c r="Q969" t="s">
        <v>40</v>
      </c>
      <c r="R969">
        <f t="shared" si="46"/>
        <v>2</v>
      </c>
      <c r="S969" t="str">
        <f t="shared" si="47"/>
        <v>Feb</v>
      </c>
      <c r="T969" s="9">
        <f>VLOOKUP(O969, Annual_Summary!A:B, 2, 0)</f>
        <v>-2.6699969854871962E-3</v>
      </c>
    </row>
    <row r="970" spans="1:20" x14ac:dyDescent="0.3">
      <c r="A970" s="1">
        <v>45694</v>
      </c>
      <c r="B970" s="3" t="s">
        <v>15</v>
      </c>
      <c r="C970" s="3">
        <v>2400</v>
      </c>
      <c r="D970" s="3">
        <v>2408.9499999999998</v>
      </c>
      <c r="E970" s="3">
        <v>2360.3000000000002</v>
      </c>
      <c r="F970" s="3">
        <v>2391.0500000000002</v>
      </c>
      <c r="G970" s="3">
        <v>2375.5</v>
      </c>
      <c r="H970" s="3">
        <v>2372.6999999999998</v>
      </c>
      <c r="I970" s="3">
        <v>2378.98</v>
      </c>
      <c r="J970" s="3">
        <v>3035</v>
      </c>
      <c r="K970" s="3">
        <v>2172.0500000000002</v>
      </c>
      <c r="L970">
        <v>1132113</v>
      </c>
      <c r="M970" s="2">
        <v>2693270250.5</v>
      </c>
      <c r="N970">
        <v>80657</v>
      </c>
      <c r="O970" t="s">
        <v>19</v>
      </c>
      <c r="P970" s="8">
        <f t="shared" si="45"/>
        <v>-8.9499999999998181</v>
      </c>
      <c r="Q970" t="s">
        <v>40</v>
      </c>
      <c r="R970">
        <f t="shared" si="46"/>
        <v>2</v>
      </c>
      <c r="S970" t="str">
        <f t="shared" si="47"/>
        <v>Feb</v>
      </c>
      <c r="T970" s="9">
        <f>VLOOKUP(O970, Annual_Summary!A:B, 2, 0)</f>
        <v>-2.6699969854871962E-3</v>
      </c>
    </row>
    <row r="971" spans="1:20" x14ac:dyDescent="0.3">
      <c r="A971" s="1">
        <v>45693</v>
      </c>
      <c r="B971" s="3" t="s">
        <v>15</v>
      </c>
      <c r="C971" s="3">
        <v>2453</v>
      </c>
      <c r="D971" s="3">
        <v>2453</v>
      </c>
      <c r="E971" s="3">
        <v>2387</v>
      </c>
      <c r="F971" s="3">
        <v>2438.0500000000002</v>
      </c>
      <c r="G971" s="3">
        <v>2392.85</v>
      </c>
      <c r="H971" s="3">
        <v>2391.0500000000002</v>
      </c>
      <c r="I971" s="3">
        <v>2406.59</v>
      </c>
      <c r="J971" s="3">
        <v>3035</v>
      </c>
      <c r="K971" s="3">
        <v>2172.0500000000002</v>
      </c>
      <c r="L971">
        <v>1357416</v>
      </c>
      <c r="M971" s="2">
        <v>3266742267.3499999</v>
      </c>
      <c r="N971">
        <v>86373</v>
      </c>
      <c r="O971" t="s">
        <v>19</v>
      </c>
      <c r="P971" s="8">
        <f t="shared" si="45"/>
        <v>-14.949999999999818</v>
      </c>
      <c r="Q971" t="s">
        <v>40</v>
      </c>
      <c r="R971">
        <f t="shared" si="46"/>
        <v>2</v>
      </c>
      <c r="S971" t="str">
        <f t="shared" si="47"/>
        <v>Feb</v>
      </c>
      <c r="T971" s="9">
        <f>VLOOKUP(O971, Annual_Summary!A:B, 2, 0)</f>
        <v>-2.6699969854871962E-3</v>
      </c>
    </row>
    <row r="972" spans="1:20" x14ac:dyDescent="0.3">
      <c r="A972" s="1">
        <v>45692</v>
      </c>
      <c r="B972" s="3" t="s">
        <v>15</v>
      </c>
      <c r="C972" s="3">
        <v>2450</v>
      </c>
      <c r="D972" s="3">
        <v>2450</v>
      </c>
      <c r="E972" s="3">
        <v>2402.85</v>
      </c>
      <c r="F972" s="3">
        <v>2441.9499999999998</v>
      </c>
      <c r="G972" s="3">
        <v>2433</v>
      </c>
      <c r="H972" s="3">
        <v>2438.0500000000002</v>
      </c>
      <c r="I972" s="3">
        <v>2428.06</v>
      </c>
      <c r="J972" s="3">
        <v>3035</v>
      </c>
      <c r="K972" s="3">
        <v>2172.0500000000002</v>
      </c>
      <c r="L972">
        <v>1992474</v>
      </c>
      <c r="M972" s="2">
        <v>4837851363.0500002</v>
      </c>
      <c r="N972">
        <v>111192</v>
      </c>
      <c r="O972" t="s">
        <v>19</v>
      </c>
      <c r="P972" s="8">
        <f t="shared" si="45"/>
        <v>-8.0500000000001819</v>
      </c>
      <c r="Q972" t="s">
        <v>40</v>
      </c>
      <c r="R972">
        <f t="shared" si="46"/>
        <v>2</v>
      </c>
      <c r="S972" t="str">
        <f t="shared" si="47"/>
        <v>Feb</v>
      </c>
      <c r="T972" s="9">
        <f>VLOOKUP(O972, Annual_Summary!A:B, 2, 0)</f>
        <v>-2.6699969854871962E-3</v>
      </c>
    </row>
    <row r="973" spans="1:20" x14ac:dyDescent="0.3">
      <c r="A973" s="1">
        <v>45691</v>
      </c>
      <c r="B973" s="3" t="s">
        <v>15</v>
      </c>
      <c r="C973" s="3">
        <v>2505</v>
      </c>
      <c r="D973" s="3">
        <v>2520</v>
      </c>
      <c r="E973" s="3">
        <v>2416.5</v>
      </c>
      <c r="F973" s="3">
        <v>2506.0500000000002</v>
      </c>
      <c r="G973" s="3">
        <v>2445.3000000000002</v>
      </c>
      <c r="H973" s="3">
        <v>2441.9499999999998</v>
      </c>
      <c r="I973" s="3">
        <v>2453.98</v>
      </c>
      <c r="J973" s="3">
        <v>3035</v>
      </c>
      <c r="K973" s="3">
        <v>2172.0500000000002</v>
      </c>
      <c r="L973">
        <v>2528480</v>
      </c>
      <c r="M973" s="2">
        <v>6204847461.8000002</v>
      </c>
      <c r="N973">
        <v>142095</v>
      </c>
      <c r="O973" t="s">
        <v>19</v>
      </c>
      <c r="P973" s="8">
        <f t="shared" si="45"/>
        <v>1.0500000000001819</v>
      </c>
      <c r="Q973" t="s">
        <v>40</v>
      </c>
      <c r="R973">
        <f t="shared" si="46"/>
        <v>2</v>
      </c>
      <c r="S973" t="str">
        <f t="shared" si="47"/>
        <v>Feb</v>
      </c>
      <c r="T973" s="9">
        <f>VLOOKUP(O973, Annual_Summary!A:B, 2, 0)</f>
        <v>-2.6699969854871962E-3</v>
      </c>
    </row>
    <row r="974" spans="1:20" x14ac:dyDescent="0.3">
      <c r="A974" s="1">
        <v>45689</v>
      </c>
      <c r="B974" s="3" t="s">
        <v>15</v>
      </c>
      <c r="C974" s="3">
        <v>2475</v>
      </c>
      <c r="D974" s="3">
        <v>2602</v>
      </c>
      <c r="E974" s="3">
        <v>2435.15</v>
      </c>
      <c r="F974" s="3">
        <v>2468.8000000000002</v>
      </c>
      <c r="G974" s="3">
        <v>2505</v>
      </c>
      <c r="H974" s="3">
        <v>2506.0500000000002</v>
      </c>
      <c r="I974" s="3">
        <v>2536.1</v>
      </c>
      <c r="J974" s="3">
        <v>3035</v>
      </c>
      <c r="K974" s="3">
        <v>2172.0500000000002</v>
      </c>
      <c r="L974">
        <v>2970999</v>
      </c>
      <c r="M974" s="2">
        <v>7534758009</v>
      </c>
      <c r="N974">
        <v>192649</v>
      </c>
      <c r="O974" t="s">
        <v>19</v>
      </c>
      <c r="P974" s="8">
        <f t="shared" si="45"/>
        <v>-6.1999999999998181</v>
      </c>
      <c r="Q974" t="s">
        <v>40</v>
      </c>
      <c r="R974">
        <f t="shared" si="46"/>
        <v>2</v>
      </c>
      <c r="S974" t="str">
        <f t="shared" si="47"/>
        <v>Feb</v>
      </c>
      <c r="T974" s="9">
        <f>VLOOKUP(O974, Annual_Summary!A:B, 2, 0)</f>
        <v>-2.6699969854871962E-3</v>
      </c>
    </row>
    <row r="975" spans="1:20" x14ac:dyDescent="0.3">
      <c r="A975" s="1">
        <v>45688</v>
      </c>
      <c r="B975" s="3" t="s">
        <v>15</v>
      </c>
      <c r="C975" s="3">
        <v>2401.5</v>
      </c>
      <c r="D975" s="3">
        <v>2479</v>
      </c>
      <c r="E975" s="3">
        <v>2401.5</v>
      </c>
      <c r="F975" s="3">
        <v>2408.75</v>
      </c>
      <c r="G975" s="3">
        <v>2473.65</v>
      </c>
      <c r="H975" s="3">
        <v>2468.8000000000002</v>
      </c>
      <c r="I975" s="3">
        <v>2452.41</v>
      </c>
      <c r="J975" s="3">
        <v>3035</v>
      </c>
      <c r="K975" s="3">
        <v>2172.0500000000002</v>
      </c>
      <c r="L975">
        <v>2116148</v>
      </c>
      <c r="M975" s="2">
        <v>5189670977.25</v>
      </c>
      <c r="N975">
        <v>138898</v>
      </c>
      <c r="O975" t="s">
        <v>19</v>
      </c>
      <c r="P975" s="8">
        <f t="shared" si="45"/>
        <v>7.25</v>
      </c>
      <c r="Q975" t="s">
        <v>40</v>
      </c>
      <c r="R975">
        <f t="shared" si="46"/>
        <v>1</v>
      </c>
      <c r="S975" t="str">
        <f t="shared" si="47"/>
        <v>Jan</v>
      </c>
      <c r="T975" s="9">
        <f>VLOOKUP(O975, Annual_Summary!A:B, 2, 0)</f>
        <v>-2.6699969854871962E-3</v>
      </c>
    </row>
    <row r="976" spans="1:20" x14ac:dyDescent="0.3">
      <c r="A976" s="1">
        <v>45687</v>
      </c>
      <c r="B976" s="3" t="s">
        <v>15</v>
      </c>
      <c r="C976" s="3">
        <v>2384</v>
      </c>
      <c r="D976" s="3">
        <v>2425</v>
      </c>
      <c r="E976" s="3">
        <v>2384</v>
      </c>
      <c r="F976" s="3">
        <v>2383.9499999999998</v>
      </c>
      <c r="G976" s="3">
        <v>2420</v>
      </c>
      <c r="H976" s="3">
        <v>2408.75</v>
      </c>
      <c r="I976" s="3">
        <v>2402.4699999999998</v>
      </c>
      <c r="J976" s="3">
        <v>3035</v>
      </c>
      <c r="K976" s="3">
        <v>2172.0500000000002</v>
      </c>
      <c r="L976">
        <v>1419960</v>
      </c>
      <c r="M976" s="2">
        <v>3411412576</v>
      </c>
      <c r="N976">
        <v>82042</v>
      </c>
      <c r="O976" t="s">
        <v>19</v>
      </c>
      <c r="P976" s="8">
        <f t="shared" si="45"/>
        <v>-5.0000000000181899E-2</v>
      </c>
      <c r="Q976" t="s">
        <v>40</v>
      </c>
      <c r="R976">
        <f t="shared" si="46"/>
        <v>1</v>
      </c>
      <c r="S976" t="str">
        <f t="shared" si="47"/>
        <v>Jan</v>
      </c>
      <c r="T976" s="9">
        <f>VLOOKUP(O976, Annual_Summary!A:B, 2, 0)</f>
        <v>-2.6699969854871962E-3</v>
      </c>
    </row>
    <row r="977" spans="1:20" x14ac:dyDescent="0.3">
      <c r="A977" s="1">
        <v>45686</v>
      </c>
      <c r="B977" s="3" t="s">
        <v>15</v>
      </c>
      <c r="C977" s="3">
        <v>2385.15</v>
      </c>
      <c r="D977" s="3">
        <v>2396</v>
      </c>
      <c r="E977" s="3">
        <v>2364</v>
      </c>
      <c r="F977" s="3">
        <v>2388.85</v>
      </c>
      <c r="G977" s="3">
        <v>2386.5</v>
      </c>
      <c r="H977" s="3">
        <v>2383.9499999999998</v>
      </c>
      <c r="I977" s="3">
        <v>2382.85</v>
      </c>
      <c r="J977" s="3">
        <v>3035</v>
      </c>
      <c r="K977" s="3">
        <v>2172.0500000000002</v>
      </c>
      <c r="L977">
        <v>699576</v>
      </c>
      <c r="M977" s="2">
        <v>1666986081.7</v>
      </c>
      <c r="N977">
        <v>70138</v>
      </c>
      <c r="O977" t="s">
        <v>19</v>
      </c>
      <c r="P977" s="8">
        <f t="shared" si="45"/>
        <v>3.6999999999998181</v>
      </c>
      <c r="Q977" t="s">
        <v>40</v>
      </c>
      <c r="R977">
        <f t="shared" si="46"/>
        <v>1</v>
      </c>
      <c r="S977" t="str">
        <f t="shared" si="47"/>
        <v>Jan</v>
      </c>
      <c r="T977" s="9">
        <f>VLOOKUP(O977, Annual_Summary!A:B, 2, 0)</f>
        <v>-2.6699969854871962E-3</v>
      </c>
    </row>
    <row r="978" spans="1:20" x14ac:dyDescent="0.3">
      <c r="A978" s="1">
        <v>45685</v>
      </c>
      <c r="B978" s="3" t="s">
        <v>15</v>
      </c>
      <c r="C978" s="3">
        <v>2401</v>
      </c>
      <c r="D978" s="3">
        <v>2407</v>
      </c>
      <c r="E978" s="3">
        <v>2379.4499999999998</v>
      </c>
      <c r="F978" s="3">
        <v>2392.85</v>
      </c>
      <c r="G978" s="3">
        <v>2383.0500000000002</v>
      </c>
      <c r="H978" s="3">
        <v>2388.85</v>
      </c>
      <c r="I978" s="3">
        <v>2392.35</v>
      </c>
      <c r="J978" s="3">
        <v>3035</v>
      </c>
      <c r="K978" s="3">
        <v>2172.0500000000002</v>
      </c>
      <c r="L978">
        <v>1892156</v>
      </c>
      <c r="M978" s="2">
        <v>4526694538.1000004</v>
      </c>
      <c r="N978">
        <v>102612</v>
      </c>
      <c r="O978" t="s">
        <v>19</v>
      </c>
      <c r="P978" s="8">
        <f t="shared" si="45"/>
        <v>-8.1500000000000909</v>
      </c>
      <c r="Q978" t="s">
        <v>40</v>
      </c>
      <c r="R978">
        <f t="shared" si="46"/>
        <v>1</v>
      </c>
      <c r="S978" t="str">
        <f t="shared" si="47"/>
        <v>Jan</v>
      </c>
      <c r="T978" s="9">
        <f>VLOOKUP(O978, Annual_Summary!A:B, 2, 0)</f>
        <v>-2.6699969854871962E-3</v>
      </c>
    </row>
    <row r="979" spans="1:20" x14ac:dyDescent="0.3">
      <c r="A979" s="1">
        <v>45684</v>
      </c>
      <c r="B979" s="3" t="s">
        <v>15</v>
      </c>
      <c r="C979" s="3">
        <v>2365</v>
      </c>
      <c r="D979" s="3">
        <v>2409.6999999999998</v>
      </c>
      <c r="E979" s="3">
        <v>2361.15</v>
      </c>
      <c r="F979" s="3">
        <v>2368.1</v>
      </c>
      <c r="G979" s="3">
        <v>2391.0500000000002</v>
      </c>
      <c r="H979" s="3">
        <v>2392.85</v>
      </c>
      <c r="I979" s="3">
        <v>2392.29</v>
      </c>
      <c r="J979" s="3">
        <v>3035</v>
      </c>
      <c r="K979" s="3">
        <v>2172.0500000000002</v>
      </c>
      <c r="L979">
        <v>2477358</v>
      </c>
      <c r="M979" s="2">
        <v>5926571142.8500004</v>
      </c>
      <c r="N979">
        <v>126605</v>
      </c>
      <c r="O979" t="s">
        <v>19</v>
      </c>
      <c r="P979" s="8">
        <f t="shared" si="45"/>
        <v>3.0999999999999091</v>
      </c>
      <c r="Q979" t="s">
        <v>40</v>
      </c>
      <c r="R979">
        <f t="shared" si="46"/>
        <v>1</v>
      </c>
      <c r="S979" t="str">
        <f t="shared" si="47"/>
        <v>Jan</v>
      </c>
      <c r="T979" s="9">
        <f>VLOOKUP(O979, Annual_Summary!A:B, 2, 0)</f>
        <v>-2.6699969854871962E-3</v>
      </c>
    </row>
    <row r="980" spans="1:20" x14ac:dyDescent="0.3">
      <c r="A980" s="1">
        <v>45681</v>
      </c>
      <c r="B980" s="3" t="s">
        <v>15</v>
      </c>
      <c r="C980" s="3">
        <v>2332.85</v>
      </c>
      <c r="D980" s="3">
        <v>2380.8000000000002</v>
      </c>
      <c r="E980" s="3">
        <v>2323</v>
      </c>
      <c r="F980" s="3">
        <v>2321.6999999999998</v>
      </c>
      <c r="G980" s="3">
        <v>2380.1</v>
      </c>
      <c r="H980" s="3">
        <v>2368.1</v>
      </c>
      <c r="I980" s="3">
        <v>2358.9499999999998</v>
      </c>
      <c r="J980" s="3">
        <v>3035</v>
      </c>
      <c r="K980" s="3">
        <v>2172.0500000000002</v>
      </c>
      <c r="L980">
        <v>1688664</v>
      </c>
      <c r="M980" s="2">
        <v>3983465854.1500001</v>
      </c>
      <c r="N980">
        <v>90539</v>
      </c>
      <c r="O980" t="s">
        <v>19</v>
      </c>
      <c r="P980" s="8">
        <f t="shared" si="45"/>
        <v>-11.150000000000091</v>
      </c>
      <c r="Q980" t="s">
        <v>40</v>
      </c>
      <c r="R980">
        <f t="shared" si="46"/>
        <v>1</v>
      </c>
      <c r="S980" t="str">
        <f t="shared" si="47"/>
        <v>Jan</v>
      </c>
      <c r="T980" s="9">
        <f>VLOOKUP(O980, Annual_Summary!A:B, 2, 0)</f>
        <v>-2.6699969854871962E-3</v>
      </c>
    </row>
    <row r="981" spans="1:20" x14ac:dyDescent="0.3">
      <c r="A981" s="1">
        <v>45680</v>
      </c>
      <c r="B981" s="3" t="s">
        <v>15</v>
      </c>
      <c r="C981" s="3">
        <v>2315</v>
      </c>
      <c r="D981" s="3">
        <v>2341.3000000000002</v>
      </c>
      <c r="E981" s="3">
        <v>2253.85</v>
      </c>
      <c r="F981" s="3">
        <v>2342.9499999999998</v>
      </c>
      <c r="G981" s="3">
        <v>2325.9</v>
      </c>
      <c r="H981" s="3">
        <v>2321.6999999999998</v>
      </c>
      <c r="I981" s="3">
        <v>2309.71</v>
      </c>
      <c r="J981" s="3">
        <v>3035</v>
      </c>
      <c r="K981" s="3">
        <v>2172.0500000000002</v>
      </c>
      <c r="L981">
        <v>3408925</v>
      </c>
      <c r="M981" s="2">
        <v>7873633933.5500002</v>
      </c>
      <c r="N981">
        <v>198293</v>
      </c>
      <c r="O981" t="s">
        <v>19</v>
      </c>
      <c r="P981" s="8">
        <f t="shared" si="45"/>
        <v>27.949999999999818</v>
      </c>
      <c r="Q981" t="s">
        <v>40</v>
      </c>
      <c r="R981">
        <f t="shared" si="46"/>
        <v>1</v>
      </c>
      <c r="S981" t="str">
        <f t="shared" si="47"/>
        <v>Jan</v>
      </c>
      <c r="T981" s="9">
        <f>VLOOKUP(O981, Annual_Summary!A:B, 2, 0)</f>
        <v>-2.6699969854871962E-3</v>
      </c>
    </row>
    <row r="982" spans="1:20" x14ac:dyDescent="0.3">
      <c r="A982" s="1">
        <v>45679</v>
      </c>
      <c r="B982" s="3" t="s">
        <v>15</v>
      </c>
      <c r="C982" s="3">
        <v>2342.5500000000002</v>
      </c>
      <c r="D982" s="3">
        <v>2362</v>
      </c>
      <c r="E982" s="3">
        <v>2332.1999999999998</v>
      </c>
      <c r="F982" s="3">
        <v>2340.5</v>
      </c>
      <c r="G982" s="3">
        <v>2340</v>
      </c>
      <c r="H982" s="3">
        <v>2342.9499999999998</v>
      </c>
      <c r="I982" s="3">
        <v>2345.4699999999998</v>
      </c>
      <c r="J982" s="3">
        <v>3035</v>
      </c>
      <c r="K982" s="3">
        <v>2172.0500000000002</v>
      </c>
      <c r="L982">
        <v>2658047</v>
      </c>
      <c r="M982" s="2">
        <v>6234358198.1000004</v>
      </c>
      <c r="N982">
        <v>112774</v>
      </c>
      <c r="O982" t="s">
        <v>19</v>
      </c>
      <c r="P982" s="8">
        <f t="shared" si="45"/>
        <v>-2.0500000000001819</v>
      </c>
      <c r="Q982" t="s">
        <v>40</v>
      </c>
      <c r="R982">
        <f t="shared" si="46"/>
        <v>1</v>
      </c>
      <c r="S982" t="str">
        <f t="shared" si="47"/>
        <v>Jan</v>
      </c>
      <c r="T982" s="9">
        <f>VLOOKUP(O982, Annual_Summary!A:B, 2, 0)</f>
        <v>-2.6699969854871962E-3</v>
      </c>
    </row>
    <row r="983" spans="1:20" x14ac:dyDescent="0.3">
      <c r="A983" s="1">
        <v>45678</v>
      </c>
      <c r="B983" s="3" t="s">
        <v>15</v>
      </c>
      <c r="C983" s="3">
        <v>2353.5</v>
      </c>
      <c r="D983" s="3">
        <v>2377.3000000000002</v>
      </c>
      <c r="E983" s="3">
        <v>2332.4499999999998</v>
      </c>
      <c r="F983" s="3">
        <v>2345.1999999999998</v>
      </c>
      <c r="G983" s="3">
        <v>2344.15</v>
      </c>
      <c r="H983" s="3">
        <v>2340.5</v>
      </c>
      <c r="I983" s="3">
        <v>2352.85</v>
      </c>
      <c r="J983" s="3">
        <v>3035</v>
      </c>
      <c r="K983" s="3">
        <v>2172.0500000000002</v>
      </c>
      <c r="L983">
        <v>1842885</v>
      </c>
      <c r="M983" s="2">
        <v>4336026636.1499996</v>
      </c>
      <c r="N983">
        <v>113425</v>
      </c>
      <c r="O983" t="s">
        <v>19</v>
      </c>
      <c r="P983" s="8">
        <f t="shared" si="45"/>
        <v>-8.3000000000001819</v>
      </c>
      <c r="Q983" t="s">
        <v>40</v>
      </c>
      <c r="R983">
        <f t="shared" si="46"/>
        <v>1</v>
      </c>
      <c r="S983" t="str">
        <f t="shared" si="47"/>
        <v>Jan</v>
      </c>
      <c r="T983" s="9">
        <f>VLOOKUP(O983, Annual_Summary!A:B, 2, 0)</f>
        <v>-2.6699969854871962E-3</v>
      </c>
    </row>
    <row r="984" spans="1:20" x14ac:dyDescent="0.3">
      <c r="A984" s="1">
        <v>45677</v>
      </c>
      <c r="B984" s="3" t="s">
        <v>15</v>
      </c>
      <c r="C984" s="3">
        <v>2356.4499999999998</v>
      </c>
      <c r="D984" s="3">
        <v>2368</v>
      </c>
      <c r="E984" s="3">
        <v>2335.65</v>
      </c>
      <c r="F984" s="3">
        <v>2354</v>
      </c>
      <c r="G984" s="3">
        <v>2345.5500000000002</v>
      </c>
      <c r="H984" s="3">
        <v>2345.1999999999998</v>
      </c>
      <c r="I984" s="3">
        <v>2355.89</v>
      </c>
      <c r="J984" s="3">
        <v>3035</v>
      </c>
      <c r="K984" s="3">
        <v>2172.0500000000002</v>
      </c>
      <c r="L984">
        <v>1382273</v>
      </c>
      <c r="M984" s="2">
        <v>3256489786.3499999</v>
      </c>
      <c r="N984">
        <v>67506</v>
      </c>
      <c r="O984" t="s">
        <v>19</v>
      </c>
      <c r="P984" s="8">
        <f t="shared" si="45"/>
        <v>-2.4499999999998181</v>
      </c>
      <c r="Q984" t="s">
        <v>40</v>
      </c>
      <c r="R984">
        <f t="shared" si="46"/>
        <v>1</v>
      </c>
      <c r="S984" t="str">
        <f t="shared" si="47"/>
        <v>Jan</v>
      </c>
      <c r="T984" s="9">
        <f>VLOOKUP(O984, Annual_Summary!A:B, 2, 0)</f>
        <v>-2.6699969854871962E-3</v>
      </c>
    </row>
    <row r="985" spans="1:20" x14ac:dyDescent="0.3">
      <c r="A985" s="1">
        <v>45674</v>
      </c>
      <c r="B985" s="3" t="s">
        <v>15</v>
      </c>
      <c r="C985" s="3">
        <v>2350</v>
      </c>
      <c r="D985" s="3">
        <v>2379.3000000000002</v>
      </c>
      <c r="E985" s="3">
        <v>2343</v>
      </c>
      <c r="F985" s="3">
        <v>2345</v>
      </c>
      <c r="G985" s="3">
        <v>2362</v>
      </c>
      <c r="H985" s="3">
        <v>2354</v>
      </c>
      <c r="I985" s="3">
        <v>2365.15</v>
      </c>
      <c r="J985" s="3">
        <v>3035</v>
      </c>
      <c r="K985" s="3">
        <v>2172.0500000000002</v>
      </c>
      <c r="L985">
        <v>1333005</v>
      </c>
      <c r="M985" s="2">
        <v>3152760450.5500002</v>
      </c>
      <c r="N985">
        <v>68739</v>
      </c>
      <c r="O985" t="s">
        <v>19</v>
      </c>
      <c r="P985" s="8">
        <f t="shared" si="45"/>
        <v>-5</v>
      </c>
      <c r="Q985" t="s">
        <v>40</v>
      </c>
      <c r="R985">
        <f t="shared" si="46"/>
        <v>1</v>
      </c>
      <c r="S985" t="str">
        <f t="shared" si="47"/>
        <v>Jan</v>
      </c>
      <c r="T985" s="9">
        <f>VLOOKUP(O985, Annual_Summary!A:B, 2, 0)</f>
        <v>-2.6699969854871962E-3</v>
      </c>
    </row>
    <row r="986" spans="1:20" x14ac:dyDescent="0.3">
      <c r="A986" s="1">
        <v>45673</v>
      </c>
      <c r="B986" s="3" t="s">
        <v>15</v>
      </c>
      <c r="C986" s="3">
        <v>2376.9499999999998</v>
      </c>
      <c r="D986" s="3">
        <v>2380</v>
      </c>
      <c r="E986" s="3">
        <v>2326.0500000000002</v>
      </c>
      <c r="F986" s="3">
        <v>2373</v>
      </c>
      <c r="G986" s="3">
        <v>2349.5</v>
      </c>
      <c r="H986" s="3">
        <v>2345</v>
      </c>
      <c r="I986" s="3">
        <v>2343.9299999999998</v>
      </c>
      <c r="J986" s="3">
        <v>3035</v>
      </c>
      <c r="K986" s="3">
        <v>2172.0500000000002</v>
      </c>
      <c r="L986">
        <v>2762596</v>
      </c>
      <c r="M986" s="2">
        <v>6475344420.1999998</v>
      </c>
      <c r="N986">
        <v>128063</v>
      </c>
      <c r="O986" t="s">
        <v>19</v>
      </c>
      <c r="P986" s="8">
        <f t="shared" si="45"/>
        <v>-3.9499999999998181</v>
      </c>
      <c r="Q986" t="s">
        <v>40</v>
      </c>
      <c r="R986">
        <f t="shared" si="46"/>
        <v>1</v>
      </c>
      <c r="S986" t="str">
        <f t="shared" si="47"/>
        <v>Jan</v>
      </c>
      <c r="T986" s="9">
        <f>VLOOKUP(O986, Annual_Summary!A:B, 2, 0)</f>
        <v>-2.6699969854871962E-3</v>
      </c>
    </row>
    <row r="987" spans="1:20" x14ac:dyDescent="0.3">
      <c r="A987" s="1">
        <v>45672</v>
      </c>
      <c r="B987" s="3" t="s">
        <v>15</v>
      </c>
      <c r="C987" s="3">
        <v>2373.9</v>
      </c>
      <c r="D987" s="3">
        <v>2384.9</v>
      </c>
      <c r="E987" s="3">
        <v>2350.1</v>
      </c>
      <c r="F987" s="3">
        <v>2367.9499999999998</v>
      </c>
      <c r="G987" s="3">
        <v>2376.8000000000002</v>
      </c>
      <c r="H987" s="3">
        <v>2373</v>
      </c>
      <c r="I987" s="3">
        <v>2366.1999999999998</v>
      </c>
      <c r="J987" s="3">
        <v>3035</v>
      </c>
      <c r="K987" s="3">
        <v>2172.0500000000002</v>
      </c>
      <c r="L987">
        <v>1215150</v>
      </c>
      <c r="M987" s="2">
        <v>2875284855.9499998</v>
      </c>
      <c r="N987">
        <v>92165</v>
      </c>
      <c r="O987" t="s">
        <v>19</v>
      </c>
      <c r="P987" s="8">
        <f t="shared" si="45"/>
        <v>-5.9500000000002728</v>
      </c>
      <c r="Q987" t="s">
        <v>40</v>
      </c>
      <c r="R987">
        <f t="shared" si="46"/>
        <v>1</v>
      </c>
      <c r="S987" t="str">
        <f t="shared" si="47"/>
        <v>Jan</v>
      </c>
      <c r="T987" s="9">
        <f>VLOOKUP(O987, Annual_Summary!A:B, 2, 0)</f>
        <v>-2.6699969854871962E-3</v>
      </c>
    </row>
    <row r="988" spans="1:20" x14ac:dyDescent="0.3">
      <c r="A988" s="1">
        <v>45671</v>
      </c>
      <c r="B988" s="3" t="s">
        <v>15</v>
      </c>
      <c r="C988" s="3">
        <v>2465</v>
      </c>
      <c r="D988" s="3">
        <v>2468</v>
      </c>
      <c r="E988" s="3">
        <v>2364.1</v>
      </c>
      <c r="F988" s="3">
        <v>2451</v>
      </c>
      <c r="G988" s="3">
        <v>2369</v>
      </c>
      <c r="H988" s="3">
        <v>2367.9499999999998</v>
      </c>
      <c r="I988" s="3">
        <v>2394.77</v>
      </c>
      <c r="J988" s="3">
        <v>3035</v>
      </c>
      <c r="K988" s="3">
        <v>2172.0500000000002</v>
      </c>
      <c r="L988">
        <v>2052741</v>
      </c>
      <c r="M988" s="2">
        <v>4915846431.3500004</v>
      </c>
      <c r="N988">
        <v>157018</v>
      </c>
      <c r="O988" t="s">
        <v>19</v>
      </c>
      <c r="P988" s="8">
        <f t="shared" si="45"/>
        <v>-14</v>
      </c>
      <c r="Q988" t="s">
        <v>40</v>
      </c>
      <c r="R988">
        <f t="shared" si="46"/>
        <v>1</v>
      </c>
      <c r="S988" t="str">
        <f t="shared" si="47"/>
        <v>Jan</v>
      </c>
      <c r="T988" s="9">
        <f>VLOOKUP(O988, Annual_Summary!A:B, 2, 0)</f>
        <v>-2.6699969854871962E-3</v>
      </c>
    </row>
    <row r="989" spans="1:20" x14ac:dyDescent="0.3">
      <c r="A989" s="1">
        <v>45670</v>
      </c>
      <c r="B989" s="3" t="s">
        <v>15</v>
      </c>
      <c r="C989" s="3">
        <v>2417.0500000000002</v>
      </c>
      <c r="D989" s="3">
        <v>2460.5</v>
      </c>
      <c r="E989" s="3">
        <v>2409.0500000000002</v>
      </c>
      <c r="F989" s="3">
        <v>2442.0500000000002</v>
      </c>
      <c r="G989" s="3">
        <v>2445.1</v>
      </c>
      <c r="H989" s="3">
        <v>2451</v>
      </c>
      <c r="I989" s="3">
        <v>2442.56</v>
      </c>
      <c r="J989" s="3">
        <v>3035</v>
      </c>
      <c r="K989" s="3">
        <v>2172.0500000000002</v>
      </c>
      <c r="L989">
        <v>2595013</v>
      </c>
      <c r="M989" s="2">
        <v>6338474538.5</v>
      </c>
      <c r="N989">
        <v>104958</v>
      </c>
      <c r="O989" t="s">
        <v>19</v>
      </c>
      <c r="P989" s="8">
        <f t="shared" si="45"/>
        <v>25</v>
      </c>
      <c r="Q989" t="s">
        <v>40</v>
      </c>
      <c r="R989">
        <f t="shared" si="46"/>
        <v>1</v>
      </c>
      <c r="S989" t="str">
        <f t="shared" si="47"/>
        <v>Jan</v>
      </c>
      <c r="T989" s="9">
        <f>VLOOKUP(O989, Annual_Summary!A:B, 2, 0)</f>
        <v>-2.6699969854871962E-3</v>
      </c>
    </row>
    <row r="990" spans="1:20" x14ac:dyDescent="0.3">
      <c r="A990" s="1">
        <v>45667</v>
      </c>
      <c r="B990" s="3" t="s">
        <v>15</v>
      </c>
      <c r="C990" s="3">
        <v>2435.4</v>
      </c>
      <c r="D990" s="3">
        <v>2456</v>
      </c>
      <c r="E990" s="3">
        <v>2413.8000000000002</v>
      </c>
      <c r="F990" s="3">
        <v>2435.4</v>
      </c>
      <c r="G990" s="3">
        <v>2440</v>
      </c>
      <c r="H990" s="3">
        <v>2442.0500000000002</v>
      </c>
      <c r="I990" s="3">
        <v>2442.5500000000002</v>
      </c>
      <c r="J990" s="3">
        <v>3035</v>
      </c>
      <c r="K990" s="3">
        <v>2172.0500000000002</v>
      </c>
      <c r="L990">
        <v>1651911</v>
      </c>
      <c r="M990" s="2">
        <v>4034881031.3000002</v>
      </c>
      <c r="N990">
        <v>97429</v>
      </c>
      <c r="O990" t="s">
        <v>19</v>
      </c>
      <c r="P990" s="8">
        <f t="shared" si="45"/>
        <v>0</v>
      </c>
      <c r="Q990" t="s">
        <v>40</v>
      </c>
      <c r="R990">
        <f t="shared" si="46"/>
        <v>1</v>
      </c>
      <c r="S990" t="str">
        <f t="shared" si="47"/>
        <v>Jan</v>
      </c>
      <c r="T990" s="9">
        <f>VLOOKUP(O990, Annual_Summary!A:B, 2, 0)</f>
        <v>-2.6699969854871962E-3</v>
      </c>
    </row>
    <row r="991" spans="1:20" x14ac:dyDescent="0.3">
      <c r="A991" s="1">
        <v>45666</v>
      </c>
      <c r="B991" s="3" t="s">
        <v>15</v>
      </c>
      <c r="C991" s="3">
        <v>2405.0500000000002</v>
      </c>
      <c r="D991" s="3">
        <v>2473.65</v>
      </c>
      <c r="E991" s="3">
        <v>2386.4</v>
      </c>
      <c r="F991" s="3">
        <v>2401</v>
      </c>
      <c r="G991" s="3">
        <v>2440</v>
      </c>
      <c r="H991" s="3">
        <v>2435.4</v>
      </c>
      <c r="I991" s="3">
        <v>2444.3000000000002</v>
      </c>
      <c r="J991" s="3">
        <v>3035</v>
      </c>
      <c r="K991" s="3">
        <v>2172.0500000000002</v>
      </c>
      <c r="L991">
        <v>2425267</v>
      </c>
      <c r="M991" s="2">
        <v>5928073050.8000002</v>
      </c>
      <c r="N991">
        <v>192379</v>
      </c>
      <c r="O991" t="s">
        <v>19</v>
      </c>
      <c r="P991" s="8">
        <f t="shared" si="45"/>
        <v>-4.0500000000001819</v>
      </c>
      <c r="Q991" t="s">
        <v>40</v>
      </c>
      <c r="R991">
        <f t="shared" si="46"/>
        <v>1</v>
      </c>
      <c r="S991" t="str">
        <f t="shared" si="47"/>
        <v>Jan</v>
      </c>
      <c r="T991" s="9">
        <f>VLOOKUP(O991, Annual_Summary!A:B, 2, 0)</f>
        <v>-2.6699969854871962E-3</v>
      </c>
    </row>
    <row r="992" spans="1:20" x14ac:dyDescent="0.3">
      <c r="A992" s="1">
        <v>45665</v>
      </c>
      <c r="B992" s="3" t="s">
        <v>15</v>
      </c>
      <c r="C992" s="3">
        <v>2391</v>
      </c>
      <c r="D992" s="3">
        <v>2409</v>
      </c>
      <c r="E992" s="3">
        <v>2368</v>
      </c>
      <c r="F992" s="3">
        <v>2390.8000000000002</v>
      </c>
      <c r="G992" s="3">
        <v>2400</v>
      </c>
      <c r="H992" s="3">
        <v>2401</v>
      </c>
      <c r="I992" s="3">
        <v>2393.65</v>
      </c>
      <c r="J992" s="3">
        <v>3035</v>
      </c>
      <c r="K992" s="3">
        <v>2172.0500000000002</v>
      </c>
      <c r="L992">
        <v>953351</v>
      </c>
      <c r="M992" s="2">
        <v>2281990630.75</v>
      </c>
      <c r="N992">
        <v>130405</v>
      </c>
      <c r="O992" t="s">
        <v>19</v>
      </c>
      <c r="P992" s="8">
        <f t="shared" si="45"/>
        <v>-0.1999999999998181</v>
      </c>
      <c r="Q992" t="s">
        <v>40</v>
      </c>
      <c r="R992">
        <f t="shared" si="46"/>
        <v>1</v>
      </c>
      <c r="S992" t="str">
        <f t="shared" si="47"/>
        <v>Jan</v>
      </c>
      <c r="T992" s="9">
        <f>VLOOKUP(O992, Annual_Summary!A:B, 2, 0)</f>
        <v>-2.6699969854871962E-3</v>
      </c>
    </row>
    <row r="993" spans="1:20" x14ac:dyDescent="0.3">
      <c r="A993" s="1">
        <v>45664</v>
      </c>
      <c r="B993" s="3" t="s">
        <v>15</v>
      </c>
      <c r="C993" s="3">
        <v>2377.15</v>
      </c>
      <c r="D993" s="3">
        <v>2402.25</v>
      </c>
      <c r="E993" s="3">
        <v>2375.25</v>
      </c>
      <c r="F993" s="3">
        <v>2376.1999999999998</v>
      </c>
      <c r="G993" s="3">
        <v>2390.25</v>
      </c>
      <c r="H993" s="3">
        <v>2390.8000000000002</v>
      </c>
      <c r="I993" s="3">
        <v>2388.79</v>
      </c>
      <c r="J993" s="3">
        <v>3035</v>
      </c>
      <c r="K993" s="3">
        <v>2172.0500000000002</v>
      </c>
      <c r="L993">
        <v>922768</v>
      </c>
      <c r="M993" s="2">
        <v>2204302406.5500002</v>
      </c>
      <c r="N993">
        <v>71444</v>
      </c>
      <c r="O993" t="s">
        <v>19</v>
      </c>
      <c r="P993" s="8">
        <f t="shared" si="45"/>
        <v>-0.95000000000027285</v>
      </c>
      <c r="Q993" t="s">
        <v>40</v>
      </c>
      <c r="R993">
        <f t="shared" si="46"/>
        <v>1</v>
      </c>
      <c r="S993" t="str">
        <f t="shared" si="47"/>
        <v>Jan</v>
      </c>
      <c r="T993" s="9">
        <f>VLOOKUP(O993, Annual_Summary!A:B, 2, 0)</f>
        <v>-2.6699969854871962E-3</v>
      </c>
    </row>
    <row r="994" spans="1:20" x14ac:dyDescent="0.3">
      <c r="A994" s="1">
        <v>45663</v>
      </c>
      <c r="B994" s="3" t="s">
        <v>15</v>
      </c>
      <c r="C994" s="3">
        <v>2418</v>
      </c>
      <c r="D994" s="3">
        <v>2418.9499999999998</v>
      </c>
      <c r="E994" s="3">
        <v>2361.65</v>
      </c>
      <c r="F994" s="3">
        <v>2406.25</v>
      </c>
      <c r="G994" s="3">
        <v>2379.65</v>
      </c>
      <c r="H994" s="3">
        <v>2376.1999999999998</v>
      </c>
      <c r="I994" s="3">
        <v>2377.9899999999998</v>
      </c>
      <c r="J994" s="3">
        <v>3035</v>
      </c>
      <c r="K994" s="3">
        <v>2172.0500000000002</v>
      </c>
      <c r="L994">
        <v>900419</v>
      </c>
      <c r="M994" s="2">
        <v>2141189399.05</v>
      </c>
      <c r="N994">
        <v>74651</v>
      </c>
      <c r="O994" t="s">
        <v>19</v>
      </c>
      <c r="P994" s="8">
        <f t="shared" si="45"/>
        <v>-11.75</v>
      </c>
      <c r="Q994" t="s">
        <v>40</v>
      </c>
      <c r="R994">
        <f t="shared" si="46"/>
        <v>1</v>
      </c>
      <c r="S994" t="str">
        <f t="shared" si="47"/>
        <v>Jan</v>
      </c>
      <c r="T994" s="9">
        <f>VLOOKUP(O994, Annual_Summary!A:B, 2, 0)</f>
        <v>-2.6699969854871962E-3</v>
      </c>
    </row>
    <row r="995" spans="1:20" x14ac:dyDescent="0.3">
      <c r="A995" s="1">
        <v>45660</v>
      </c>
      <c r="B995" s="3" t="s">
        <v>15</v>
      </c>
      <c r="C995" s="3">
        <v>2381.85</v>
      </c>
      <c r="D995" s="3">
        <v>2414.6</v>
      </c>
      <c r="E995" s="3">
        <v>2364.8000000000002</v>
      </c>
      <c r="F995" s="3">
        <v>2370</v>
      </c>
      <c r="G995" s="3">
        <v>2403</v>
      </c>
      <c r="H995" s="3">
        <v>2406.25</v>
      </c>
      <c r="I995" s="3">
        <v>2393.44</v>
      </c>
      <c r="J995" s="3">
        <v>3035</v>
      </c>
      <c r="K995" s="3">
        <v>2172.0500000000002</v>
      </c>
      <c r="L995">
        <v>1274239</v>
      </c>
      <c r="M995" s="2">
        <v>3049814135.1999998</v>
      </c>
      <c r="N995">
        <v>87897</v>
      </c>
      <c r="O995" t="s">
        <v>19</v>
      </c>
      <c r="P995" s="8">
        <f t="shared" si="45"/>
        <v>-11.849999999999909</v>
      </c>
      <c r="Q995" t="s">
        <v>40</v>
      </c>
      <c r="R995">
        <f t="shared" si="46"/>
        <v>1</v>
      </c>
      <c r="S995" t="str">
        <f t="shared" si="47"/>
        <v>Jan</v>
      </c>
      <c r="T995" s="9">
        <f>VLOOKUP(O995, Annual_Summary!A:B, 2, 0)</f>
        <v>-2.6699969854871962E-3</v>
      </c>
    </row>
    <row r="996" spans="1:20" x14ac:dyDescent="0.3">
      <c r="A996" s="1">
        <v>45659</v>
      </c>
      <c r="B996" s="3" t="s">
        <v>15</v>
      </c>
      <c r="C996" s="3">
        <v>2330</v>
      </c>
      <c r="D996" s="3">
        <v>2379.65</v>
      </c>
      <c r="E996" s="3">
        <v>2315.5</v>
      </c>
      <c r="F996" s="3">
        <v>2322.1</v>
      </c>
      <c r="G996" s="3">
        <v>2368.5</v>
      </c>
      <c r="H996" s="3">
        <v>2370</v>
      </c>
      <c r="I996" s="3">
        <v>2358.14</v>
      </c>
      <c r="J996" s="3">
        <v>3035</v>
      </c>
      <c r="K996" s="3">
        <v>2172.0500000000002</v>
      </c>
      <c r="L996">
        <v>1650744</v>
      </c>
      <c r="M996" s="2">
        <v>3892688213.0999999</v>
      </c>
      <c r="N996">
        <v>100398</v>
      </c>
      <c r="O996" t="s">
        <v>19</v>
      </c>
      <c r="P996" s="8">
        <f t="shared" si="45"/>
        <v>-7.9000000000000909</v>
      </c>
      <c r="Q996" t="s">
        <v>40</v>
      </c>
      <c r="R996">
        <f t="shared" si="46"/>
        <v>1</v>
      </c>
      <c r="S996" t="str">
        <f t="shared" si="47"/>
        <v>Jan</v>
      </c>
      <c r="T996" s="9">
        <f>VLOOKUP(O996, Annual_Summary!A:B, 2, 0)</f>
        <v>-2.6699969854871962E-3</v>
      </c>
    </row>
    <row r="997" spans="1:20" x14ac:dyDescent="0.3">
      <c r="A997" s="1">
        <v>45658</v>
      </c>
      <c r="B997" s="3" t="s">
        <v>15</v>
      </c>
      <c r="C997" s="3">
        <v>2325</v>
      </c>
      <c r="D997" s="3">
        <v>2337.15</v>
      </c>
      <c r="E997" s="3">
        <v>2320.25</v>
      </c>
      <c r="F997" s="3">
        <v>2326.85</v>
      </c>
      <c r="G997" s="3">
        <v>2324.4499999999998</v>
      </c>
      <c r="H997" s="3">
        <v>2322.1</v>
      </c>
      <c r="I997" s="3">
        <v>2326.59</v>
      </c>
      <c r="J997" s="3">
        <v>3035</v>
      </c>
      <c r="K997" s="3">
        <v>2172.0500000000002</v>
      </c>
      <c r="L997">
        <v>559893</v>
      </c>
      <c r="M997" s="2">
        <v>1302642477.4000001</v>
      </c>
      <c r="N997">
        <v>57042</v>
      </c>
      <c r="O997" t="s">
        <v>19</v>
      </c>
      <c r="P997" s="8">
        <f t="shared" si="45"/>
        <v>1.8499999999999091</v>
      </c>
      <c r="Q997" t="s">
        <v>40</v>
      </c>
      <c r="R997">
        <f t="shared" si="46"/>
        <v>1</v>
      </c>
      <c r="S997" t="str">
        <f t="shared" si="47"/>
        <v>Jan</v>
      </c>
      <c r="T997" s="9">
        <f>VLOOKUP(O997, Annual_Summary!A:B, 2, 0)</f>
        <v>-2.6699969854871962E-3</v>
      </c>
    </row>
    <row r="998" spans="1:20" x14ac:dyDescent="0.3">
      <c r="A998" s="1">
        <v>46022</v>
      </c>
      <c r="B998" t="s">
        <v>15</v>
      </c>
      <c r="C998" s="3">
        <v>1342.8</v>
      </c>
      <c r="D998" s="3">
        <v>1350</v>
      </c>
      <c r="E998" s="3">
        <v>1339.5</v>
      </c>
      <c r="F998" s="3">
        <v>1342.5</v>
      </c>
      <c r="G998" s="3">
        <v>1343</v>
      </c>
      <c r="H998" s="3">
        <v>1342.9</v>
      </c>
      <c r="I998" s="3">
        <v>1344.37</v>
      </c>
      <c r="J998" s="3">
        <v>1500</v>
      </c>
      <c r="K998" s="3">
        <v>1186</v>
      </c>
      <c r="L998" s="2">
        <v>6150634</v>
      </c>
      <c r="M998" s="2">
        <v>8268715778.6000004</v>
      </c>
      <c r="N998" s="2">
        <v>133779</v>
      </c>
      <c r="O998" t="s">
        <v>20</v>
      </c>
      <c r="P998" s="8">
        <f t="shared" si="45"/>
        <v>-0.29999999999995453</v>
      </c>
      <c r="Q998" t="s">
        <v>39</v>
      </c>
      <c r="R998">
        <f t="shared" si="46"/>
        <v>12</v>
      </c>
      <c r="S998" t="str">
        <f t="shared" si="47"/>
        <v>Dec</v>
      </c>
      <c r="T998" s="9">
        <f>VLOOKUP(O998, Annual_Summary!A:B, 2, 0)</f>
        <v>4.6157441670237213E-2</v>
      </c>
    </row>
    <row r="999" spans="1:20" x14ac:dyDescent="0.3">
      <c r="A999" s="1">
        <v>46021</v>
      </c>
      <c r="B999" t="s">
        <v>15</v>
      </c>
      <c r="C999" s="3">
        <v>1343.3</v>
      </c>
      <c r="D999" s="3">
        <v>1347.1</v>
      </c>
      <c r="E999" s="3">
        <v>1338.1</v>
      </c>
      <c r="F999" s="3">
        <v>1343.3</v>
      </c>
      <c r="G999" s="3">
        <v>1347</v>
      </c>
      <c r="H999" s="3">
        <v>1342.5</v>
      </c>
      <c r="I999" s="3">
        <v>1341.94</v>
      </c>
      <c r="J999" s="3">
        <v>1500</v>
      </c>
      <c r="K999" s="3">
        <v>1186</v>
      </c>
      <c r="L999" s="2">
        <v>18621277</v>
      </c>
      <c r="M999" s="2">
        <v>24988603546.5</v>
      </c>
      <c r="N999" s="2">
        <v>261375</v>
      </c>
      <c r="O999" t="s">
        <v>20</v>
      </c>
      <c r="P999" s="8">
        <f t="shared" si="45"/>
        <v>0</v>
      </c>
      <c r="Q999" t="s">
        <v>39</v>
      </c>
      <c r="R999">
        <f t="shared" si="46"/>
        <v>12</v>
      </c>
      <c r="S999" t="str">
        <f t="shared" si="47"/>
        <v>Dec</v>
      </c>
      <c r="T999" s="9">
        <f>VLOOKUP(O999, Annual_Summary!A:B, 2, 0)</f>
        <v>4.6157441670237213E-2</v>
      </c>
    </row>
    <row r="1000" spans="1:20" x14ac:dyDescent="0.3">
      <c r="A1000" s="1">
        <v>46020</v>
      </c>
      <c r="B1000" t="s">
        <v>15</v>
      </c>
      <c r="C1000" s="3">
        <v>1352.1</v>
      </c>
      <c r="D1000" s="3">
        <v>1355.7</v>
      </c>
      <c r="E1000" s="3">
        <v>1341.5</v>
      </c>
      <c r="F1000" s="3">
        <v>1350.4</v>
      </c>
      <c r="G1000" s="3">
        <v>1343.6</v>
      </c>
      <c r="H1000" s="3">
        <v>1343.3</v>
      </c>
      <c r="I1000" s="3">
        <v>1346.07</v>
      </c>
      <c r="J1000" s="3">
        <v>1500</v>
      </c>
      <c r="K1000" s="3">
        <v>1186</v>
      </c>
      <c r="L1000" s="2">
        <v>6057201</v>
      </c>
      <c r="M1000" s="2">
        <v>8153410855.3999996</v>
      </c>
      <c r="N1000" s="2">
        <v>145962</v>
      </c>
      <c r="O1000" t="s">
        <v>20</v>
      </c>
      <c r="P1000" s="8">
        <f t="shared" si="45"/>
        <v>-1.6999999999998181</v>
      </c>
      <c r="Q1000" t="s">
        <v>39</v>
      </c>
      <c r="R1000">
        <f t="shared" si="46"/>
        <v>12</v>
      </c>
      <c r="S1000" t="str">
        <f t="shared" si="47"/>
        <v>Dec</v>
      </c>
      <c r="T1000" s="9">
        <f>VLOOKUP(O1000, Annual_Summary!A:B, 2, 0)</f>
        <v>4.6157441670237213E-2</v>
      </c>
    </row>
    <row r="1001" spans="1:20" x14ac:dyDescent="0.3">
      <c r="A1001" s="1">
        <v>46017</v>
      </c>
      <c r="B1001" t="s">
        <v>15</v>
      </c>
      <c r="C1001" s="3">
        <v>1356.5</v>
      </c>
      <c r="D1001" s="3">
        <v>1362</v>
      </c>
      <c r="E1001" s="3">
        <v>1348.5</v>
      </c>
      <c r="F1001" s="3">
        <v>1359.8</v>
      </c>
      <c r="G1001" s="3">
        <v>1351</v>
      </c>
      <c r="H1001" s="3">
        <v>1350.4</v>
      </c>
      <c r="I1001" s="3">
        <v>1353.25</v>
      </c>
      <c r="J1001" s="3">
        <v>1500</v>
      </c>
      <c r="K1001" s="3">
        <v>1186</v>
      </c>
      <c r="L1001" s="2">
        <v>2812144</v>
      </c>
      <c r="M1001" s="2">
        <v>3805533190</v>
      </c>
      <c r="N1001" s="2">
        <v>92194</v>
      </c>
      <c r="O1001" t="s">
        <v>20</v>
      </c>
      <c r="P1001" s="8">
        <f t="shared" si="45"/>
        <v>3.2999999999999545</v>
      </c>
      <c r="Q1001" t="s">
        <v>39</v>
      </c>
      <c r="R1001">
        <f t="shared" si="46"/>
        <v>12</v>
      </c>
      <c r="S1001" t="str">
        <f t="shared" si="47"/>
        <v>Dec</v>
      </c>
      <c r="T1001" s="9">
        <f>VLOOKUP(O1001, Annual_Summary!A:B, 2, 0)</f>
        <v>4.6157441670237213E-2</v>
      </c>
    </row>
    <row r="1002" spans="1:20" x14ac:dyDescent="0.3">
      <c r="A1002" s="1">
        <v>46015</v>
      </c>
      <c r="B1002" t="s">
        <v>15</v>
      </c>
      <c r="C1002" s="3">
        <v>1363.8</v>
      </c>
      <c r="D1002" s="3">
        <v>1368.2</v>
      </c>
      <c r="E1002" s="3">
        <v>1357.6</v>
      </c>
      <c r="F1002" s="3">
        <v>1363</v>
      </c>
      <c r="G1002" s="3">
        <v>1359</v>
      </c>
      <c r="H1002" s="3">
        <v>1359.8</v>
      </c>
      <c r="I1002" s="3">
        <v>1362.26</v>
      </c>
      <c r="J1002" s="3">
        <v>1500</v>
      </c>
      <c r="K1002" s="3">
        <v>1186</v>
      </c>
      <c r="L1002" s="2">
        <v>8955140</v>
      </c>
      <c r="M1002" s="2">
        <v>12199271454</v>
      </c>
      <c r="N1002" s="2">
        <v>163168</v>
      </c>
      <c r="O1002" t="s">
        <v>20</v>
      </c>
      <c r="P1002" s="8">
        <f t="shared" si="45"/>
        <v>-0.79999999999995453</v>
      </c>
      <c r="Q1002" t="s">
        <v>39</v>
      </c>
      <c r="R1002">
        <f t="shared" si="46"/>
        <v>12</v>
      </c>
      <c r="S1002" t="str">
        <f t="shared" si="47"/>
        <v>Dec</v>
      </c>
      <c r="T1002" s="9">
        <f>VLOOKUP(O1002, Annual_Summary!A:B, 2, 0)</f>
        <v>4.6157441670237213E-2</v>
      </c>
    </row>
    <row r="1003" spans="1:20" x14ac:dyDescent="0.3">
      <c r="A1003" s="1">
        <v>46014</v>
      </c>
      <c r="B1003" t="s">
        <v>15</v>
      </c>
      <c r="C1003" s="3">
        <v>1361.1</v>
      </c>
      <c r="D1003" s="3">
        <v>1365</v>
      </c>
      <c r="E1003" s="3">
        <v>1357</v>
      </c>
      <c r="F1003" s="3">
        <v>1368.5</v>
      </c>
      <c r="G1003" s="3">
        <v>1362.4</v>
      </c>
      <c r="H1003" s="3">
        <v>1363</v>
      </c>
      <c r="I1003" s="3">
        <v>1361.81</v>
      </c>
      <c r="J1003" s="3">
        <v>1500</v>
      </c>
      <c r="K1003" s="3">
        <v>1186</v>
      </c>
      <c r="L1003" s="2">
        <v>9105467</v>
      </c>
      <c r="M1003" s="2">
        <v>12399897178.6</v>
      </c>
      <c r="N1003" s="2">
        <v>231134</v>
      </c>
      <c r="O1003" t="s">
        <v>20</v>
      </c>
      <c r="P1003" s="8">
        <f t="shared" si="45"/>
        <v>7.4000000000000909</v>
      </c>
      <c r="Q1003" t="s">
        <v>39</v>
      </c>
      <c r="R1003">
        <f t="shared" si="46"/>
        <v>12</v>
      </c>
      <c r="S1003" t="str">
        <f t="shared" si="47"/>
        <v>Dec</v>
      </c>
      <c r="T1003" s="9">
        <f>VLOOKUP(O1003, Annual_Summary!A:B, 2, 0)</f>
        <v>4.6157441670237213E-2</v>
      </c>
    </row>
    <row r="1004" spans="1:20" x14ac:dyDescent="0.3">
      <c r="A1004" s="1">
        <v>46013</v>
      </c>
      <c r="B1004" t="s">
        <v>15</v>
      </c>
      <c r="C1004" s="3">
        <v>1358</v>
      </c>
      <c r="D1004" s="3">
        <v>1371.3</v>
      </c>
      <c r="E1004" s="3">
        <v>1354.8</v>
      </c>
      <c r="F1004" s="3">
        <v>1354.1</v>
      </c>
      <c r="G1004" s="3">
        <v>1367.5</v>
      </c>
      <c r="H1004" s="3">
        <v>1368.5</v>
      </c>
      <c r="I1004" s="3">
        <v>1365.67</v>
      </c>
      <c r="J1004" s="3">
        <v>1500</v>
      </c>
      <c r="K1004" s="3">
        <v>1186</v>
      </c>
      <c r="L1004" s="2">
        <v>9375294</v>
      </c>
      <c r="M1004" s="2">
        <v>12803546328.799999</v>
      </c>
      <c r="N1004" s="2">
        <v>204189</v>
      </c>
      <c r="O1004" t="s">
        <v>20</v>
      </c>
      <c r="P1004" s="8">
        <f t="shared" si="45"/>
        <v>-3.9000000000000909</v>
      </c>
      <c r="Q1004" t="s">
        <v>39</v>
      </c>
      <c r="R1004">
        <f t="shared" si="46"/>
        <v>12</v>
      </c>
      <c r="S1004" t="str">
        <f t="shared" si="47"/>
        <v>Dec</v>
      </c>
      <c r="T1004" s="9">
        <f>VLOOKUP(O1004, Annual_Summary!A:B, 2, 0)</f>
        <v>4.6157441670237213E-2</v>
      </c>
    </row>
    <row r="1005" spans="1:20" x14ac:dyDescent="0.3">
      <c r="A1005" s="1">
        <v>46010</v>
      </c>
      <c r="B1005" t="s">
        <v>15</v>
      </c>
      <c r="C1005" s="3">
        <v>1354</v>
      </c>
      <c r="D1005" s="3">
        <v>1360.4</v>
      </c>
      <c r="E1005" s="3">
        <v>1350.8</v>
      </c>
      <c r="F1005" s="3">
        <v>1356.8</v>
      </c>
      <c r="G1005" s="3">
        <v>1354.3</v>
      </c>
      <c r="H1005" s="3">
        <v>1354.1</v>
      </c>
      <c r="I1005" s="3">
        <v>1354.21</v>
      </c>
      <c r="J1005" s="3">
        <v>1500</v>
      </c>
      <c r="K1005" s="3">
        <v>1186</v>
      </c>
      <c r="L1005" s="2">
        <v>14318512</v>
      </c>
      <c r="M1005" s="2">
        <v>19390242360.799999</v>
      </c>
      <c r="N1005" s="2">
        <v>224715</v>
      </c>
      <c r="O1005" t="s">
        <v>20</v>
      </c>
      <c r="P1005" s="8">
        <f t="shared" si="45"/>
        <v>2.7999999999999545</v>
      </c>
      <c r="Q1005" t="s">
        <v>39</v>
      </c>
      <c r="R1005">
        <f t="shared" si="46"/>
        <v>12</v>
      </c>
      <c r="S1005" t="str">
        <f t="shared" si="47"/>
        <v>Dec</v>
      </c>
      <c r="T1005" s="9">
        <f>VLOOKUP(O1005, Annual_Summary!A:B, 2, 0)</f>
        <v>4.6157441670237213E-2</v>
      </c>
    </row>
    <row r="1006" spans="1:20" x14ac:dyDescent="0.3">
      <c r="A1006" s="1">
        <v>46009</v>
      </c>
      <c r="B1006" t="s">
        <v>15</v>
      </c>
      <c r="C1006" s="3">
        <v>1346.3</v>
      </c>
      <c r="D1006" s="3">
        <v>1369.5</v>
      </c>
      <c r="E1006" s="3">
        <v>1345.5</v>
      </c>
      <c r="F1006" s="3">
        <v>1352.4</v>
      </c>
      <c r="G1006" s="3">
        <v>1357</v>
      </c>
      <c r="H1006" s="3">
        <v>1356.8</v>
      </c>
      <c r="I1006" s="3">
        <v>1360.11</v>
      </c>
      <c r="J1006" s="3">
        <v>1500</v>
      </c>
      <c r="K1006" s="3">
        <v>1186</v>
      </c>
      <c r="L1006" s="2">
        <v>7314573</v>
      </c>
      <c r="M1006" s="2">
        <v>9948607088.3999996</v>
      </c>
      <c r="N1006" s="2">
        <v>207464</v>
      </c>
      <c r="O1006" t="s">
        <v>20</v>
      </c>
      <c r="P1006" s="8">
        <f t="shared" si="45"/>
        <v>6.1000000000001364</v>
      </c>
      <c r="Q1006" t="s">
        <v>39</v>
      </c>
      <c r="R1006">
        <f t="shared" si="46"/>
        <v>12</v>
      </c>
      <c r="S1006" t="str">
        <f t="shared" si="47"/>
        <v>Dec</v>
      </c>
      <c r="T1006" s="9">
        <f>VLOOKUP(O1006, Annual_Summary!A:B, 2, 0)</f>
        <v>4.6157441670237213E-2</v>
      </c>
    </row>
    <row r="1007" spans="1:20" x14ac:dyDescent="0.3">
      <c r="A1007" s="1">
        <v>46008</v>
      </c>
      <c r="B1007" t="s">
        <v>15</v>
      </c>
      <c r="C1007" s="3">
        <v>1365</v>
      </c>
      <c r="D1007" s="3">
        <v>1365</v>
      </c>
      <c r="E1007" s="3">
        <v>1343.1</v>
      </c>
      <c r="F1007" s="3">
        <v>1366</v>
      </c>
      <c r="G1007" s="3">
        <v>1353.5</v>
      </c>
      <c r="H1007" s="3">
        <v>1352.4</v>
      </c>
      <c r="I1007" s="3">
        <v>1350.59</v>
      </c>
      <c r="J1007" s="3">
        <v>1500</v>
      </c>
      <c r="K1007" s="3">
        <v>1186</v>
      </c>
      <c r="L1007" s="2">
        <v>9440391</v>
      </c>
      <c r="M1007" s="2">
        <v>12750064577.5</v>
      </c>
      <c r="N1007" s="2">
        <v>199498</v>
      </c>
      <c r="O1007" t="s">
        <v>20</v>
      </c>
      <c r="P1007" s="8">
        <f t="shared" si="45"/>
        <v>1</v>
      </c>
      <c r="Q1007" t="s">
        <v>39</v>
      </c>
      <c r="R1007">
        <f t="shared" si="46"/>
        <v>12</v>
      </c>
      <c r="S1007" t="str">
        <f t="shared" si="47"/>
        <v>Dec</v>
      </c>
      <c r="T1007" s="9">
        <f>VLOOKUP(O1007, Annual_Summary!A:B, 2, 0)</f>
        <v>4.6157441670237213E-2</v>
      </c>
    </row>
    <row r="1008" spans="1:20" x14ac:dyDescent="0.3">
      <c r="A1008" s="1">
        <v>46007</v>
      </c>
      <c r="B1008" t="s">
        <v>15</v>
      </c>
      <c r="C1008" s="3">
        <v>1364</v>
      </c>
      <c r="D1008" s="3">
        <v>1368.7</v>
      </c>
      <c r="E1008" s="3">
        <v>1355.5</v>
      </c>
      <c r="F1008" s="3">
        <v>1365.2</v>
      </c>
      <c r="G1008" s="3">
        <v>1366.6</v>
      </c>
      <c r="H1008" s="3">
        <v>1366</v>
      </c>
      <c r="I1008" s="3">
        <v>1363.69</v>
      </c>
      <c r="J1008" s="3">
        <v>1500</v>
      </c>
      <c r="K1008" s="3">
        <v>1186</v>
      </c>
      <c r="L1008" s="2">
        <v>12359741</v>
      </c>
      <c r="M1008" s="2">
        <v>16854916855</v>
      </c>
      <c r="N1008" s="2">
        <v>345540</v>
      </c>
      <c r="O1008" t="s">
        <v>20</v>
      </c>
      <c r="P1008" s="8">
        <f t="shared" si="45"/>
        <v>1.2000000000000455</v>
      </c>
      <c r="Q1008" t="s">
        <v>39</v>
      </c>
      <c r="R1008">
        <f t="shared" si="46"/>
        <v>12</v>
      </c>
      <c r="S1008" t="str">
        <f t="shared" si="47"/>
        <v>Dec</v>
      </c>
      <c r="T1008" s="9">
        <f>VLOOKUP(O1008, Annual_Summary!A:B, 2, 0)</f>
        <v>4.6157441670237213E-2</v>
      </c>
    </row>
    <row r="1009" spans="1:20" x14ac:dyDescent="0.3">
      <c r="A1009" s="1">
        <v>46006</v>
      </c>
      <c r="B1009" t="s">
        <v>15</v>
      </c>
      <c r="C1009" s="3">
        <v>1356.1</v>
      </c>
      <c r="D1009" s="3">
        <v>1370</v>
      </c>
      <c r="E1009" s="3">
        <v>1356.1</v>
      </c>
      <c r="F1009" s="3">
        <v>1366</v>
      </c>
      <c r="G1009" s="3">
        <v>1365</v>
      </c>
      <c r="H1009" s="3">
        <v>1365.2</v>
      </c>
      <c r="I1009" s="3">
        <v>1364.54</v>
      </c>
      <c r="J1009" s="3">
        <v>1500</v>
      </c>
      <c r="K1009" s="3">
        <v>1186</v>
      </c>
      <c r="L1009" s="2">
        <v>5342530</v>
      </c>
      <c r="M1009" s="2">
        <v>7290105034.8999996</v>
      </c>
      <c r="N1009" s="2">
        <v>267792</v>
      </c>
      <c r="O1009" t="s">
        <v>20</v>
      </c>
      <c r="P1009" s="8">
        <f t="shared" si="45"/>
        <v>9.9000000000000909</v>
      </c>
      <c r="Q1009" t="s">
        <v>39</v>
      </c>
      <c r="R1009">
        <f t="shared" si="46"/>
        <v>12</v>
      </c>
      <c r="S1009" t="str">
        <f t="shared" si="47"/>
        <v>Dec</v>
      </c>
      <c r="T1009" s="9">
        <f>VLOOKUP(O1009, Annual_Summary!A:B, 2, 0)</f>
        <v>4.6157441670237213E-2</v>
      </c>
    </row>
    <row r="1010" spans="1:20" x14ac:dyDescent="0.3">
      <c r="A1010" s="1">
        <v>46003</v>
      </c>
      <c r="B1010" t="s">
        <v>15</v>
      </c>
      <c r="C1010" s="3">
        <v>1368</v>
      </c>
      <c r="D1010" s="3">
        <v>1370.7</v>
      </c>
      <c r="E1010" s="3">
        <v>1363.3</v>
      </c>
      <c r="F1010" s="3">
        <v>1360</v>
      </c>
      <c r="G1010" s="3">
        <v>1366</v>
      </c>
      <c r="H1010" s="3">
        <v>1366</v>
      </c>
      <c r="I1010" s="3">
        <v>1366.43</v>
      </c>
      <c r="J1010" s="3">
        <v>1500</v>
      </c>
      <c r="K1010" s="3">
        <v>1186</v>
      </c>
      <c r="L1010" s="2">
        <v>3890885</v>
      </c>
      <c r="M1010" s="2">
        <v>5316635958.1999998</v>
      </c>
      <c r="N1010" s="2">
        <v>113064</v>
      </c>
      <c r="O1010" t="s">
        <v>20</v>
      </c>
      <c r="P1010" s="8">
        <f t="shared" si="45"/>
        <v>-8</v>
      </c>
      <c r="Q1010" t="s">
        <v>39</v>
      </c>
      <c r="R1010">
        <f t="shared" si="46"/>
        <v>12</v>
      </c>
      <c r="S1010" t="str">
        <f t="shared" si="47"/>
        <v>Dec</v>
      </c>
      <c r="T1010" s="9">
        <f>VLOOKUP(O1010, Annual_Summary!A:B, 2, 0)</f>
        <v>4.6157441670237213E-2</v>
      </c>
    </row>
    <row r="1011" spans="1:20" x14ac:dyDescent="0.3">
      <c r="A1011" s="1">
        <v>46002</v>
      </c>
      <c r="B1011" t="s">
        <v>15</v>
      </c>
      <c r="C1011" s="3">
        <v>1363.7</v>
      </c>
      <c r="D1011" s="3">
        <v>1366.6</v>
      </c>
      <c r="E1011" s="3">
        <v>1352.8</v>
      </c>
      <c r="F1011" s="3">
        <v>1363.6</v>
      </c>
      <c r="G1011" s="3">
        <v>1361</v>
      </c>
      <c r="H1011" s="3">
        <v>1360</v>
      </c>
      <c r="I1011" s="3">
        <v>1360.4</v>
      </c>
      <c r="J1011" s="3">
        <v>1500</v>
      </c>
      <c r="K1011" s="3">
        <v>1186</v>
      </c>
      <c r="L1011" s="2">
        <v>6734750</v>
      </c>
      <c r="M1011" s="2">
        <v>9161934313.7000008</v>
      </c>
      <c r="N1011" s="2">
        <v>166103</v>
      </c>
      <c r="O1011" t="s">
        <v>20</v>
      </c>
      <c r="P1011" s="8">
        <f t="shared" si="45"/>
        <v>-0.10000000000013642</v>
      </c>
      <c r="Q1011" t="s">
        <v>39</v>
      </c>
      <c r="R1011">
        <f t="shared" si="46"/>
        <v>12</v>
      </c>
      <c r="S1011" t="str">
        <f t="shared" si="47"/>
        <v>Dec</v>
      </c>
      <c r="T1011" s="9">
        <f>VLOOKUP(O1011, Annual_Summary!A:B, 2, 0)</f>
        <v>4.6157441670237213E-2</v>
      </c>
    </row>
    <row r="1012" spans="1:20" x14ac:dyDescent="0.3">
      <c r="A1012" s="1">
        <v>46001</v>
      </c>
      <c r="B1012" t="s">
        <v>15</v>
      </c>
      <c r="C1012" s="3">
        <v>1377.9</v>
      </c>
      <c r="D1012" s="3">
        <v>1379.4</v>
      </c>
      <c r="E1012" s="3">
        <v>1357.9</v>
      </c>
      <c r="F1012" s="3">
        <v>1375.2</v>
      </c>
      <c r="G1012" s="3">
        <v>1364.5</v>
      </c>
      <c r="H1012" s="3">
        <v>1363.6</v>
      </c>
      <c r="I1012" s="3">
        <v>1366.49</v>
      </c>
      <c r="J1012" s="3">
        <v>1500</v>
      </c>
      <c r="K1012" s="3">
        <v>1186</v>
      </c>
      <c r="L1012" s="2">
        <v>8725381</v>
      </c>
      <c r="M1012" s="2">
        <v>11923188503.5</v>
      </c>
      <c r="N1012" s="2">
        <v>164913</v>
      </c>
      <c r="O1012" t="s">
        <v>20</v>
      </c>
      <c r="P1012" s="8">
        <f t="shared" si="45"/>
        <v>-2.7000000000000455</v>
      </c>
      <c r="Q1012" t="s">
        <v>39</v>
      </c>
      <c r="R1012">
        <f t="shared" si="46"/>
        <v>12</v>
      </c>
      <c r="S1012" t="str">
        <f t="shared" si="47"/>
        <v>Dec</v>
      </c>
      <c r="T1012" s="9">
        <f>VLOOKUP(O1012, Annual_Summary!A:B, 2, 0)</f>
        <v>4.6157441670237213E-2</v>
      </c>
    </row>
    <row r="1013" spans="1:20" x14ac:dyDescent="0.3">
      <c r="A1013" s="1">
        <v>46000</v>
      </c>
      <c r="B1013" t="s">
        <v>15</v>
      </c>
      <c r="C1013" s="3">
        <v>1379.9</v>
      </c>
      <c r="D1013" s="3">
        <v>1384.3</v>
      </c>
      <c r="E1013" s="3">
        <v>1373.4</v>
      </c>
      <c r="F1013" s="3">
        <v>1389.6</v>
      </c>
      <c r="G1013" s="3">
        <v>1375</v>
      </c>
      <c r="H1013" s="3">
        <v>1375.2</v>
      </c>
      <c r="I1013" s="3">
        <v>1377.4</v>
      </c>
      <c r="J1013" s="3">
        <v>1500</v>
      </c>
      <c r="K1013" s="3">
        <v>1186</v>
      </c>
      <c r="L1013" s="2">
        <v>10492030</v>
      </c>
      <c r="M1013" s="2">
        <v>14451676568.299999</v>
      </c>
      <c r="N1013" s="2">
        <v>175866</v>
      </c>
      <c r="O1013" t="s">
        <v>20</v>
      </c>
      <c r="P1013" s="8">
        <f t="shared" si="45"/>
        <v>9.6999999999998181</v>
      </c>
      <c r="Q1013" t="s">
        <v>39</v>
      </c>
      <c r="R1013">
        <f t="shared" si="46"/>
        <v>12</v>
      </c>
      <c r="S1013" t="str">
        <f t="shared" si="47"/>
        <v>Dec</v>
      </c>
      <c r="T1013" s="9">
        <f>VLOOKUP(O1013, Annual_Summary!A:B, 2, 0)</f>
        <v>4.6157441670237213E-2</v>
      </c>
    </row>
    <row r="1014" spans="1:20" x14ac:dyDescent="0.3">
      <c r="A1014" s="1">
        <v>45999</v>
      </c>
      <c r="B1014" t="s">
        <v>15</v>
      </c>
      <c r="C1014" s="3">
        <v>1387</v>
      </c>
      <c r="D1014" s="3">
        <v>1394.9</v>
      </c>
      <c r="E1014" s="3">
        <v>1383.3</v>
      </c>
      <c r="F1014" s="3">
        <v>1392.5</v>
      </c>
      <c r="G1014" s="3">
        <v>1387.5</v>
      </c>
      <c r="H1014" s="3">
        <v>1389.6</v>
      </c>
      <c r="I1014" s="3">
        <v>1388.87</v>
      </c>
      <c r="J1014" s="3">
        <v>1500</v>
      </c>
      <c r="K1014" s="3">
        <v>1186</v>
      </c>
      <c r="L1014" s="2">
        <v>7826227</v>
      </c>
      <c r="M1014" s="2">
        <v>10869628559.200001</v>
      </c>
      <c r="N1014" s="2">
        <v>177670</v>
      </c>
      <c r="O1014" t="s">
        <v>20</v>
      </c>
      <c r="P1014" s="8">
        <f t="shared" si="45"/>
        <v>5.5</v>
      </c>
      <c r="Q1014" t="s">
        <v>39</v>
      </c>
      <c r="R1014">
        <f t="shared" si="46"/>
        <v>12</v>
      </c>
      <c r="S1014" t="str">
        <f t="shared" si="47"/>
        <v>Dec</v>
      </c>
      <c r="T1014" s="9">
        <f>VLOOKUP(O1014, Annual_Summary!A:B, 2, 0)</f>
        <v>4.6157441670237213E-2</v>
      </c>
    </row>
    <row r="1015" spans="1:20" x14ac:dyDescent="0.3">
      <c r="A1015" s="1">
        <v>45996</v>
      </c>
      <c r="B1015" t="s">
        <v>15</v>
      </c>
      <c r="C1015" s="3">
        <v>1381</v>
      </c>
      <c r="D1015" s="3">
        <v>1395.3</v>
      </c>
      <c r="E1015" s="3">
        <v>1381</v>
      </c>
      <c r="F1015" s="3">
        <v>1386.7</v>
      </c>
      <c r="G1015" s="3">
        <v>1392.5</v>
      </c>
      <c r="H1015" s="3">
        <v>1392.5</v>
      </c>
      <c r="I1015" s="3">
        <v>1390.49</v>
      </c>
      <c r="J1015" s="3">
        <v>1500</v>
      </c>
      <c r="K1015" s="3">
        <v>1186</v>
      </c>
      <c r="L1015" s="2">
        <v>4942638</v>
      </c>
      <c r="M1015" s="2">
        <v>6872704506.8999996</v>
      </c>
      <c r="N1015" s="2">
        <v>130513</v>
      </c>
      <c r="O1015" t="s">
        <v>20</v>
      </c>
      <c r="P1015" s="8">
        <f t="shared" si="45"/>
        <v>5.7000000000000455</v>
      </c>
      <c r="Q1015" t="s">
        <v>39</v>
      </c>
      <c r="R1015">
        <f t="shared" si="46"/>
        <v>12</v>
      </c>
      <c r="S1015" t="str">
        <f t="shared" si="47"/>
        <v>Dec</v>
      </c>
      <c r="T1015" s="9">
        <f>VLOOKUP(O1015, Annual_Summary!A:B, 2, 0)</f>
        <v>4.6157441670237213E-2</v>
      </c>
    </row>
    <row r="1016" spans="1:20" x14ac:dyDescent="0.3">
      <c r="A1016" s="1">
        <v>45995</v>
      </c>
      <c r="B1016" t="s">
        <v>15</v>
      </c>
      <c r="C1016" s="3">
        <v>1387</v>
      </c>
      <c r="D1016" s="3">
        <v>1391.6</v>
      </c>
      <c r="E1016" s="3">
        <v>1379.9</v>
      </c>
      <c r="F1016" s="3">
        <v>1391.5</v>
      </c>
      <c r="G1016" s="3">
        <v>1386</v>
      </c>
      <c r="H1016" s="3">
        <v>1386.7</v>
      </c>
      <c r="I1016" s="3">
        <v>1385.21</v>
      </c>
      <c r="J1016" s="3">
        <v>1500</v>
      </c>
      <c r="K1016" s="3">
        <v>1186</v>
      </c>
      <c r="L1016" s="2">
        <v>7373909</v>
      </c>
      <c r="M1016" s="2">
        <v>10214431633.6</v>
      </c>
      <c r="N1016" s="2">
        <v>189163</v>
      </c>
      <c r="O1016" t="s">
        <v>20</v>
      </c>
      <c r="P1016" s="8">
        <f t="shared" si="45"/>
        <v>4.5</v>
      </c>
      <c r="Q1016" t="s">
        <v>39</v>
      </c>
      <c r="R1016">
        <f t="shared" si="46"/>
        <v>12</v>
      </c>
      <c r="S1016" t="str">
        <f t="shared" si="47"/>
        <v>Dec</v>
      </c>
      <c r="T1016" s="9">
        <f>VLOOKUP(O1016, Annual_Summary!A:B, 2, 0)</f>
        <v>4.6157441670237213E-2</v>
      </c>
    </row>
    <row r="1017" spans="1:20" x14ac:dyDescent="0.3">
      <c r="A1017" s="1">
        <v>45994</v>
      </c>
      <c r="B1017" t="s">
        <v>15</v>
      </c>
      <c r="C1017" s="3">
        <v>1367</v>
      </c>
      <c r="D1017" s="3">
        <v>1394.2</v>
      </c>
      <c r="E1017" s="3">
        <v>1367</v>
      </c>
      <c r="F1017" s="3">
        <v>1373</v>
      </c>
      <c r="G1017" s="3">
        <v>1392</v>
      </c>
      <c r="H1017" s="3">
        <v>1391.5</v>
      </c>
      <c r="I1017" s="3">
        <v>1383</v>
      </c>
      <c r="J1017" s="3">
        <v>1500</v>
      </c>
      <c r="K1017" s="3">
        <v>1186</v>
      </c>
      <c r="L1017" s="2">
        <v>7955933</v>
      </c>
      <c r="M1017" s="2">
        <v>11003040759.700001</v>
      </c>
      <c r="N1017" s="2">
        <v>182044</v>
      </c>
      <c r="O1017" t="s">
        <v>20</v>
      </c>
      <c r="P1017" s="8">
        <f t="shared" si="45"/>
        <v>6</v>
      </c>
      <c r="Q1017" t="s">
        <v>39</v>
      </c>
      <c r="R1017">
        <f t="shared" si="46"/>
        <v>12</v>
      </c>
      <c r="S1017" t="str">
        <f t="shared" si="47"/>
        <v>Dec</v>
      </c>
      <c r="T1017" s="9">
        <f>VLOOKUP(O1017, Annual_Summary!A:B, 2, 0)</f>
        <v>4.6157441670237213E-2</v>
      </c>
    </row>
    <row r="1018" spans="1:20" x14ac:dyDescent="0.3">
      <c r="A1018" s="1">
        <v>45993</v>
      </c>
      <c r="B1018" t="s">
        <v>15</v>
      </c>
      <c r="C1018" s="3">
        <v>1381.8</v>
      </c>
      <c r="D1018" s="3">
        <v>1381.8</v>
      </c>
      <c r="E1018" s="3">
        <v>1370.6</v>
      </c>
      <c r="F1018" s="3">
        <v>1390.1</v>
      </c>
      <c r="G1018" s="3">
        <v>1373.8</v>
      </c>
      <c r="H1018" s="3">
        <v>1373</v>
      </c>
      <c r="I1018" s="3">
        <v>1374.68</v>
      </c>
      <c r="J1018" s="3">
        <v>1500</v>
      </c>
      <c r="K1018" s="3">
        <v>1186</v>
      </c>
      <c r="L1018" s="2">
        <v>12126396</v>
      </c>
      <c r="M1018" s="2">
        <v>16669881069.6</v>
      </c>
      <c r="N1018" s="2">
        <v>335552</v>
      </c>
      <c r="O1018" t="s">
        <v>20</v>
      </c>
      <c r="P1018" s="8">
        <f t="shared" si="45"/>
        <v>8.2999999999999545</v>
      </c>
      <c r="Q1018" t="s">
        <v>39</v>
      </c>
      <c r="R1018">
        <f t="shared" si="46"/>
        <v>12</v>
      </c>
      <c r="S1018" t="str">
        <f t="shared" si="47"/>
        <v>Dec</v>
      </c>
      <c r="T1018" s="9">
        <f>VLOOKUP(O1018, Annual_Summary!A:B, 2, 0)</f>
        <v>4.6157441670237213E-2</v>
      </c>
    </row>
    <row r="1019" spans="1:20" x14ac:dyDescent="0.3">
      <c r="A1019" s="1">
        <v>45992</v>
      </c>
      <c r="B1019" t="s">
        <v>15</v>
      </c>
      <c r="C1019" s="3">
        <v>1394</v>
      </c>
      <c r="D1019" s="3">
        <v>1400</v>
      </c>
      <c r="E1019" s="3">
        <v>1385.4</v>
      </c>
      <c r="F1019" s="3">
        <v>1388.8</v>
      </c>
      <c r="G1019" s="3">
        <v>1390.2</v>
      </c>
      <c r="H1019" s="3">
        <v>1390.1</v>
      </c>
      <c r="I1019" s="3">
        <v>1393.22</v>
      </c>
      <c r="J1019" s="3">
        <v>1500</v>
      </c>
      <c r="K1019" s="3">
        <v>1186</v>
      </c>
      <c r="L1019" s="2">
        <v>8867593</v>
      </c>
      <c r="M1019" s="2">
        <v>12354467146.1</v>
      </c>
      <c r="N1019" s="2">
        <v>225630</v>
      </c>
      <c r="O1019" t="s">
        <v>20</v>
      </c>
      <c r="P1019" s="8">
        <f t="shared" si="45"/>
        <v>-5.2000000000000455</v>
      </c>
      <c r="Q1019" t="s">
        <v>39</v>
      </c>
      <c r="R1019">
        <f t="shared" si="46"/>
        <v>12</v>
      </c>
      <c r="S1019" t="str">
        <f t="shared" si="47"/>
        <v>Dec</v>
      </c>
      <c r="T1019" s="9">
        <f>VLOOKUP(O1019, Annual_Summary!A:B, 2, 0)</f>
        <v>4.6157441670237213E-2</v>
      </c>
    </row>
    <row r="1020" spans="1:20" x14ac:dyDescent="0.3">
      <c r="A1020" s="1">
        <v>45989</v>
      </c>
      <c r="B1020" t="s">
        <v>15</v>
      </c>
      <c r="C1020" s="3">
        <v>1392</v>
      </c>
      <c r="D1020" s="3">
        <v>1398.5</v>
      </c>
      <c r="E1020" s="3">
        <v>1385.6</v>
      </c>
      <c r="F1020" s="3">
        <v>1392.2</v>
      </c>
      <c r="G1020" s="3">
        <v>1388.4</v>
      </c>
      <c r="H1020" s="3">
        <v>1388.8</v>
      </c>
      <c r="I1020" s="3">
        <v>1390.33</v>
      </c>
      <c r="J1020" s="3">
        <v>1500</v>
      </c>
      <c r="K1020" s="3">
        <v>1186</v>
      </c>
      <c r="L1020" s="2">
        <v>7683986</v>
      </c>
      <c r="M1020" s="2">
        <v>10683252227</v>
      </c>
      <c r="N1020" s="2">
        <v>198302</v>
      </c>
      <c r="O1020" t="s">
        <v>20</v>
      </c>
      <c r="P1020" s="8">
        <f t="shared" si="45"/>
        <v>0.20000000000004547</v>
      </c>
      <c r="Q1020" t="s">
        <v>39</v>
      </c>
      <c r="R1020">
        <f t="shared" si="46"/>
        <v>11</v>
      </c>
      <c r="S1020" t="str">
        <f t="shared" si="47"/>
        <v>Nov</v>
      </c>
      <c r="T1020" s="9">
        <f>VLOOKUP(O1020, Annual_Summary!A:B, 2, 0)</f>
        <v>4.6157441670237213E-2</v>
      </c>
    </row>
    <row r="1021" spans="1:20" x14ac:dyDescent="0.3">
      <c r="A1021" s="1">
        <v>45988</v>
      </c>
      <c r="B1021" t="s">
        <v>15</v>
      </c>
      <c r="C1021" s="3">
        <v>1379</v>
      </c>
      <c r="D1021" s="3">
        <v>1394</v>
      </c>
      <c r="E1021" s="3">
        <v>1375.7</v>
      </c>
      <c r="F1021" s="3">
        <v>1375</v>
      </c>
      <c r="G1021" s="3">
        <v>1393.9</v>
      </c>
      <c r="H1021" s="3">
        <v>1392.2</v>
      </c>
      <c r="I1021" s="3">
        <v>1388.89</v>
      </c>
      <c r="J1021" s="3">
        <v>1500</v>
      </c>
      <c r="K1021" s="3">
        <v>1186</v>
      </c>
      <c r="L1021" s="2">
        <v>15158741</v>
      </c>
      <c r="M1021" s="2">
        <v>21053799768.400002</v>
      </c>
      <c r="N1021" s="2">
        <v>232290</v>
      </c>
      <c r="O1021" t="s">
        <v>20</v>
      </c>
      <c r="P1021" s="8">
        <f t="shared" si="45"/>
        <v>-4</v>
      </c>
      <c r="Q1021" t="s">
        <v>39</v>
      </c>
      <c r="R1021">
        <f t="shared" si="46"/>
        <v>11</v>
      </c>
      <c r="S1021" t="str">
        <f t="shared" si="47"/>
        <v>Nov</v>
      </c>
      <c r="T1021" s="9">
        <f>VLOOKUP(O1021, Annual_Summary!A:B, 2, 0)</f>
        <v>4.6157441670237213E-2</v>
      </c>
    </row>
    <row r="1022" spans="1:20" x14ac:dyDescent="0.3">
      <c r="A1022" s="1">
        <v>45987</v>
      </c>
      <c r="B1022" t="s">
        <v>15</v>
      </c>
      <c r="C1022" s="3">
        <v>1360</v>
      </c>
      <c r="D1022" s="3">
        <v>1377</v>
      </c>
      <c r="E1022" s="3">
        <v>1359.9</v>
      </c>
      <c r="F1022" s="3">
        <v>1357.8</v>
      </c>
      <c r="G1022" s="3">
        <v>1375</v>
      </c>
      <c r="H1022" s="3">
        <v>1375</v>
      </c>
      <c r="I1022" s="3">
        <v>1369.92</v>
      </c>
      <c r="J1022" s="3">
        <v>1500</v>
      </c>
      <c r="K1022" s="3">
        <v>1186</v>
      </c>
      <c r="L1022" s="2">
        <v>9659004</v>
      </c>
      <c r="M1022" s="2">
        <v>13232068784.9</v>
      </c>
      <c r="N1022" s="2">
        <v>140169</v>
      </c>
      <c r="O1022" t="s">
        <v>20</v>
      </c>
      <c r="P1022" s="8">
        <f t="shared" si="45"/>
        <v>-2.2000000000000455</v>
      </c>
      <c r="Q1022" t="s">
        <v>39</v>
      </c>
      <c r="R1022">
        <f t="shared" si="46"/>
        <v>11</v>
      </c>
      <c r="S1022" t="str">
        <f t="shared" si="47"/>
        <v>Nov</v>
      </c>
      <c r="T1022" s="9">
        <f>VLOOKUP(O1022, Annual_Summary!A:B, 2, 0)</f>
        <v>4.6157441670237213E-2</v>
      </c>
    </row>
    <row r="1023" spans="1:20" x14ac:dyDescent="0.3">
      <c r="A1023" s="1">
        <v>45986</v>
      </c>
      <c r="B1023" t="s">
        <v>15</v>
      </c>
      <c r="C1023" s="3">
        <v>1365</v>
      </c>
      <c r="D1023" s="3">
        <v>1376.9</v>
      </c>
      <c r="E1023" s="3">
        <v>1354.3</v>
      </c>
      <c r="F1023" s="3">
        <v>1368.4</v>
      </c>
      <c r="G1023" s="3">
        <v>1356.9</v>
      </c>
      <c r="H1023" s="3">
        <v>1357.8</v>
      </c>
      <c r="I1023" s="3">
        <v>1362.23</v>
      </c>
      <c r="J1023" s="3">
        <v>1500</v>
      </c>
      <c r="K1023" s="3">
        <v>1186</v>
      </c>
      <c r="L1023" s="2">
        <v>12235000</v>
      </c>
      <c r="M1023" s="2">
        <v>16666909341.5</v>
      </c>
      <c r="N1023" s="2">
        <v>217159</v>
      </c>
      <c r="O1023" t="s">
        <v>20</v>
      </c>
      <c r="P1023" s="8">
        <f t="shared" si="45"/>
        <v>3.4000000000000909</v>
      </c>
      <c r="Q1023" t="s">
        <v>39</v>
      </c>
      <c r="R1023">
        <f t="shared" si="46"/>
        <v>11</v>
      </c>
      <c r="S1023" t="str">
        <f t="shared" si="47"/>
        <v>Nov</v>
      </c>
      <c r="T1023" s="9">
        <f>VLOOKUP(O1023, Annual_Summary!A:B, 2, 0)</f>
        <v>4.6157441670237213E-2</v>
      </c>
    </row>
    <row r="1024" spans="1:20" x14ac:dyDescent="0.3">
      <c r="A1024" s="1">
        <v>45985</v>
      </c>
      <c r="B1024" t="s">
        <v>15</v>
      </c>
      <c r="C1024" s="3">
        <v>1373.3</v>
      </c>
      <c r="D1024" s="3">
        <v>1377</v>
      </c>
      <c r="E1024" s="3">
        <v>1361.5</v>
      </c>
      <c r="F1024" s="3">
        <v>1369.5</v>
      </c>
      <c r="G1024" s="3">
        <v>1366</v>
      </c>
      <c r="H1024" s="3">
        <v>1368.4</v>
      </c>
      <c r="I1024" s="3">
        <v>1369.72</v>
      </c>
      <c r="J1024" s="3">
        <v>1500</v>
      </c>
      <c r="K1024" s="3">
        <v>1186</v>
      </c>
      <c r="L1024" s="2">
        <v>15896003</v>
      </c>
      <c r="M1024" s="2">
        <v>21773146809.900002</v>
      </c>
      <c r="N1024" s="2">
        <v>192513</v>
      </c>
      <c r="O1024" t="s">
        <v>20</v>
      </c>
      <c r="P1024" s="8">
        <f t="shared" si="45"/>
        <v>-3.7999999999999545</v>
      </c>
      <c r="Q1024" t="s">
        <v>39</v>
      </c>
      <c r="R1024">
        <f t="shared" si="46"/>
        <v>11</v>
      </c>
      <c r="S1024" t="str">
        <f t="shared" si="47"/>
        <v>Nov</v>
      </c>
      <c r="T1024" s="9">
        <f>VLOOKUP(O1024, Annual_Summary!A:B, 2, 0)</f>
        <v>4.6157441670237213E-2</v>
      </c>
    </row>
    <row r="1025" spans="1:20" x14ac:dyDescent="0.3">
      <c r="A1025" s="1">
        <v>45982</v>
      </c>
      <c r="B1025" t="s">
        <v>15</v>
      </c>
      <c r="C1025" s="3">
        <v>1373</v>
      </c>
      <c r="D1025" s="3">
        <v>1376</v>
      </c>
      <c r="E1025" s="3">
        <v>1364.6</v>
      </c>
      <c r="F1025" s="3">
        <v>1383</v>
      </c>
      <c r="G1025" s="3">
        <v>1369</v>
      </c>
      <c r="H1025" s="3">
        <v>1369.5</v>
      </c>
      <c r="I1025" s="3">
        <v>1369.27</v>
      </c>
      <c r="J1025" s="3">
        <v>1500</v>
      </c>
      <c r="K1025" s="3">
        <v>1186</v>
      </c>
      <c r="L1025" s="2">
        <v>11483595</v>
      </c>
      <c r="M1025" s="2">
        <v>15724108014.6</v>
      </c>
      <c r="N1025" s="2">
        <v>171633</v>
      </c>
      <c r="O1025" t="s">
        <v>20</v>
      </c>
      <c r="P1025" s="8">
        <f t="shared" si="45"/>
        <v>10</v>
      </c>
      <c r="Q1025" t="s">
        <v>39</v>
      </c>
      <c r="R1025">
        <f t="shared" si="46"/>
        <v>11</v>
      </c>
      <c r="S1025" t="str">
        <f t="shared" si="47"/>
        <v>Nov</v>
      </c>
      <c r="T1025" s="9">
        <f>VLOOKUP(O1025, Annual_Summary!A:B, 2, 0)</f>
        <v>4.6157441670237213E-2</v>
      </c>
    </row>
    <row r="1026" spans="1:20" x14ac:dyDescent="0.3">
      <c r="A1026" s="1">
        <v>45981</v>
      </c>
      <c r="B1026" t="s">
        <v>15</v>
      </c>
      <c r="C1026" s="3">
        <v>1380.1</v>
      </c>
      <c r="D1026" s="3">
        <v>1388.3</v>
      </c>
      <c r="E1026" s="3">
        <v>1375.4</v>
      </c>
      <c r="F1026" s="3">
        <v>1383.1</v>
      </c>
      <c r="G1026" s="3">
        <v>1382</v>
      </c>
      <c r="H1026" s="3">
        <v>1383</v>
      </c>
      <c r="I1026" s="3">
        <v>1381.32</v>
      </c>
      <c r="J1026" s="3">
        <v>1500</v>
      </c>
      <c r="K1026" s="3">
        <v>1186</v>
      </c>
      <c r="L1026" s="2">
        <v>10131863</v>
      </c>
      <c r="M1026" s="2">
        <v>13995331858.299999</v>
      </c>
      <c r="N1026" s="2">
        <v>199484</v>
      </c>
      <c r="O1026" t="s">
        <v>20</v>
      </c>
      <c r="P1026" s="8">
        <f t="shared" si="45"/>
        <v>3</v>
      </c>
      <c r="Q1026" t="s">
        <v>39</v>
      </c>
      <c r="R1026">
        <f t="shared" si="46"/>
        <v>11</v>
      </c>
      <c r="S1026" t="str">
        <f t="shared" si="47"/>
        <v>Nov</v>
      </c>
      <c r="T1026" s="9">
        <f>VLOOKUP(O1026, Annual_Summary!A:B, 2, 0)</f>
        <v>4.6157441670237213E-2</v>
      </c>
    </row>
    <row r="1027" spans="1:20" x14ac:dyDescent="0.3">
      <c r="A1027" s="1">
        <v>45980</v>
      </c>
      <c r="B1027" t="s">
        <v>15</v>
      </c>
      <c r="C1027" s="3">
        <v>1373.5</v>
      </c>
      <c r="D1027" s="3">
        <v>1384</v>
      </c>
      <c r="E1027" s="3">
        <v>1371.6</v>
      </c>
      <c r="F1027" s="3">
        <v>1373.4</v>
      </c>
      <c r="G1027" s="3">
        <v>1383.1</v>
      </c>
      <c r="H1027" s="3">
        <v>1383.1</v>
      </c>
      <c r="I1027" s="3">
        <v>1379.61</v>
      </c>
      <c r="J1027" s="3">
        <v>1500</v>
      </c>
      <c r="K1027" s="3">
        <v>1186</v>
      </c>
      <c r="L1027" s="2">
        <v>10393918</v>
      </c>
      <c r="M1027" s="2">
        <v>14339582068.9</v>
      </c>
      <c r="N1027" s="2">
        <v>152320</v>
      </c>
      <c r="O1027" t="s">
        <v>20</v>
      </c>
      <c r="P1027" s="8">
        <f t="shared" ref="P1027:P1090" si="48">F1027-C1027</f>
        <v>-9.9999999999909051E-2</v>
      </c>
      <c r="Q1027" t="s">
        <v>39</v>
      </c>
      <c r="R1027">
        <f t="shared" ref="R1027:R1090" si="49">MONTH(A1027)</f>
        <v>11</v>
      </c>
      <c r="S1027" t="str">
        <f t="shared" ref="S1027:S1090" si="50">TEXT(A1027,"mmm")</f>
        <v>Nov</v>
      </c>
      <c r="T1027" s="9">
        <f>VLOOKUP(O1027, Annual_Summary!A:B, 2, 0)</f>
        <v>4.6157441670237213E-2</v>
      </c>
    </row>
    <row r="1028" spans="1:20" x14ac:dyDescent="0.3">
      <c r="A1028" s="1">
        <v>45979</v>
      </c>
      <c r="B1028" t="s">
        <v>15</v>
      </c>
      <c r="C1028" s="3">
        <v>1380.2</v>
      </c>
      <c r="D1028" s="3">
        <v>1382.8</v>
      </c>
      <c r="E1028" s="3">
        <v>1369.1</v>
      </c>
      <c r="F1028" s="3">
        <v>1379</v>
      </c>
      <c r="G1028" s="3">
        <v>1370</v>
      </c>
      <c r="H1028" s="3">
        <v>1373.4</v>
      </c>
      <c r="I1028" s="3">
        <v>1374.73</v>
      </c>
      <c r="J1028" s="3">
        <v>1500</v>
      </c>
      <c r="K1028" s="3">
        <v>1186</v>
      </c>
      <c r="L1028" s="2">
        <v>9529560</v>
      </c>
      <c r="M1028" s="2">
        <v>13100617263.5</v>
      </c>
      <c r="N1028" s="2">
        <v>143242</v>
      </c>
      <c r="O1028" t="s">
        <v>20</v>
      </c>
      <c r="P1028" s="8">
        <f t="shared" si="48"/>
        <v>-1.2000000000000455</v>
      </c>
      <c r="Q1028" t="s">
        <v>39</v>
      </c>
      <c r="R1028">
        <f t="shared" si="49"/>
        <v>11</v>
      </c>
      <c r="S1028" t="str">
        <f t="shared" si="50"/>
        <v>Nov</v>
      </c>
      <c r="T1028" s="9">
        <f>VLOOKUP(O1028, Annual_Summary!A:B, 2, 0)</f>
        <v>4.6157441670237213E-2</v>
      </c>
    </row>
    <row r="1029" spans="1:20" x14ac:dyDescent="0.3">
      <c r="A1029" s="1">
        <v>45978</v>
      </c>
      <c r="B1029" t="s">
        <v>15</v>
      </c>
      <c r="C1029" s="3">
        <v>1375.1</v>
      </c>
      <c r="D1029" s="3">
        <v>1382.5</v>
      </c>
      <c r="E1029" s="3">
        <v>1373.6</v>
      </c>
      <c r="F1029" s="3">
        <v>1373</v>
      </c>
      <c r="G1029" s="3">
        <v>1379.1</v>
      </c>
      <c r="H1029" s="3">
        <v>1379</v>
      </c>
      <c r="I1029" s="3">
        <v>1378.91</v>
      </c>
      <c r="J1029" s="3">
        <v>1500</v>
      </c>
      <c r="K1029" s="3">
        <v>1186</v>
      </c>
      <c r="L1029" s="2">
        <v>7660717</v>
      </c>
      <c r="M1029" s="2">
        <v>10563473675.799999</v>
      </c>
      <c r="N1029" s="2">
        <v>109085</v>
      </c>
      <c r="O1029" t="s">
        <v>20</v>
      </c>
      <c r="P1029" s="8">
        <f t="shared" si="48"/>
        <v>-2.0999999999999091</v>
      </c>
      <c r="Q1029" t="s">
        <v>39</v>
      </c>
      <c r="R1029">
        <f t="shared" si="49"/>
        <v>11</v>
      </c>
      <c r="S1029" t="str">
        <f t="shared" si="50"/>
        <v>Nov</v>
      </c>
      <c r="T1029" s="9">
        <f>VLOOKUP(O1029, Annual_Summary!A:B, 2, 0)</f>
        <v>4.6157441670237213E-2</v>
      </c>
    </row>
    <row r="1030" spans="1:20" x14ac:dyDescent="0.3">
      <c r="A1030" s="1">
        <v>45975</v>
      </c>
      <c r="B1030" t="s">
        <v>15</v>
      </c>
      <c r="C1030" s="3">
        <v>1374</v>
      </c>
      <c r="D1030" s="3">
        <v>1381.2</v>
      </c>
      <c r="E1030" s="3">
        <v>1363.2</v>
      </c>
      <c r="F1030" s="3">
        <v>1385.9</v>
      </c>
      <c r="G1030" s="3">
        <v>1373.2</v>
      </c>
      <c r="H1030" s="3">
        <v>1373</v>
      </c>
      <c r="I1030" s="3">
        <v>1370.92</v>
      </c>
      <c r="J1030" s="3">
        <v>1500</v>
      </c>
      <c r="K1030" s="3">
        <v>1186</v>
      </c>
      <c r="L1030" s="2">
        <v>9694498</v>
      </c>
      <c r="M1030" s="2">
        <v>13290412846.700001</v>
      </c>
      <c r="N1030" s="2">
        <v>190956</v>
      </c>
      <c r="O1030" t="s">
        <v>20</v>
      </c>
      <c r="P1030" s="8">
        <f t="shared" si="48"/>
        <v>11.900000000000091</v>
      </c>
      <c r="Q1030" t="s">
        <v>39</v>
      </c>
      <c r="R1030">
        <f t="shared" si="49"/>
        <v>11</v>
      </c>
      <c r="S1030" t="str">
        <f t="shared" si="50"/>
        <v>Nov</v>
      </c>
      <c r="T1030" s="9">
        <f>VLOOKUP(O1030, Annual_Summary!A:B, 2, 0)</f>
        <v>4.6157441670237213E-2</v>
      </c>
    </row>
    <row r="1031" spans="1:20" x14ac:dyDescent="0.3">
      <c r="A1031" s="1">
        <v>45974</v>
      </c>
      <c r="B1031" t="s">
        <v>15</v>
      </c>
      <c r="C1031" s="3">
        <v>1358.9</v>
      </c>
      <c r="D1031" s="3">
        <v>1390.4</v>
      </c>
      <c r="E1031" s="3">
        <v>1358.5</v>
      </c>
      <c r="F1031" s="3">
        <v>1358.9</v>
      </c>
      <c r="G1031" s="3">
        <v>1385.4</v>
      </c>
      <c r="H1031" s="3">
        <v>1385.9</v>
      </c>
      <c r="I1031" s="3">
        <v>1383.47</v>
      </c>
      <c r="J1031" s="3">
        <v>1500</v>
      </c>
      <c r="K1031" s="3">
        <v>1186</v>
      </c>
      <c r="L1031" s="2">
        <v>18296626</v>
      </c>
      <c r="M1031" s="2">
        <v>25312823046.700001</v>
      </c>
      <c r="N1031" s="2">
        <v>239327</v>
      </c>
      <c r="O1031" t="s">
        <v>20</v>
      </c>
      <c r="P1031" s="8">
        <f t="shared" si="48"/>
        <v>0</v>
      </c>
      <c r="Q1031" t="s">
        <v>39</v>
      </c>
      <c r="R1031">
        <f t="shared" si="49"/>
        <v>11</v>
      </c>
      <c r="S1031" t="str">
        <f t="shared" si="50"/>
        <v>Nov</v>
      </c>
      <c r="T1031" s="9">
        <f>VLOOKUP(O1031, Annual_Summary!A:B, 2, 0)</f>
        <v>4.6157441670237213E-2</v>
      </c>
    </row>
    <row r="1032" spans="1:20" x14ac:dyDescent="0.3">
      <c r="A1032" s="1">
        <v>45973</v>
      </c>
      <c r="B1032" t="s">
        <v>15</v>
      </c>
      <c r="C1032" s="3">
        <v>1370</v>
      </c>
      <c r="D1032" s="3">
        <v>1370</v>
      </c>
      <c r="E1032" s="3">
        <v>1355.4</v>
      </c>
      <c r="F1032" s="3">
        <v>1358.3</v>
      </c>
      <c r="G1032" s="3">
        <v>1358.5</v>
      </c>
      <c r="H1032" s="3">
        <v>1358.9</v>
      </c>
      <c r="I1032" s="3">
        <v>1361.79</v>
      </c>
      <c r="J1032" s="3">
        <v>1500</v>
      </c>
      <c r="K1032" s="3">
        <v>1186</v>
      </c>
      <c r="L1032" s="2">
        <v>9736761</v>
      </c>
      <c r="M1032" s="2">
        <v>13259441993.5</v>
      </c>
      <c r="N1032" s="2">
        <v>168204</v>
      </c>
      <c r="O1032" t="s">
        <v>20</v>
      </c>
      <c r="P1032" s="8">
        <f t="shared" si="48"/>
        <v>-11.700000000000045</v>
      </c>
      <c r="Q1032" t="s">
        <v>39</v>
      </c>
      <c r="R1032">
        <f t="shared" si="49"/>
        <v>11</v>
      </c>
      <c r="S1032" t="str">
        <f t="shared" si="50"/>
        <v>Nov</v>
      </c>
      <c r="T1032" s="9">
        <f>VLOOKUP(O1032, Annual_Summary!A:B, 2, 0)</f>
        <v>4.6157441670237213E-2</v>
      </c>
    </row>
    <row r="1033" spans="1:20" x14ac:dyDescent="0.3">
      <c r="A1033" s="1">
        <v>45972</v>
      </c>
      <c r="B1033" t="s">
        <v>15</v>
      </c>
      <c r="C1033" s="3">
        <v>1349</v>
      </c>
      <c r="D1033" s="3">
        <v>1360.4</v>
      </c>
      <c r="E1033" s="3">
        <v>1346.2</v>
      </c>
      <c r="F1033" s="3">
        <v>1348</v>
      </c>
      <c r="G1033" s="3">
        <v>1359</v>
      </c>
      <c r="H1033" s="3">
        <v>1358.3</v>
      </c>
      <c r="I1033" s="3">
        <v>1354.89</v>
      </c>
      <c r="J1033" s="3">
        <v>1500</v>
      </c>
      <c r="K1033" s="3">
        <v>1186</v>
      </c>
      <c r="L1033" s="2">
        <v>8305184</v>
      </c>
      <c r="M1033" s="2">
        <v>11252612832.299999</v>
      </c>
      <c r="N1033" s="2">
        <v>208140</v>
      </c>
      <c r="O1033" t="s">
        <v>20</v>
      </c>
      <c r="P1033" s="8">
        <f t="shared" si="48"/>
        <v>-1</v>
      </c>
      <c r="Q1033" t="s">
        <v>39</v>
      </c>
      <c r="R1033">
        <f t="shared" si="49"/>
        <v>11</v>
      </c>
      <c r="S1033" t="str">
        <f t="shared" si="50"/>
        <v>Nov</v>
      </c>
      <c r="T1033" s="9">
        <f>VLOOKUP(O1033, Annual_Summary!A:B, 2, 0)</f>
        <v>4.6157441670237213E-2</v>
      </c>
    </row>
    <row r="1034" spans="1:20" x14ac:dyDescent="0.3">
      <c r="A1034" s="1">
        <v>45971</v>
      </c>
      <c r="B1034" t="s">
        <v>15</v>
      </c>
      <c r="C1034" s="3">
        <v>1342.9</v>
      </c>
      <c r="D1034" s="3">
        <v>1349.6</v>
      </c>
      <c r="E1034" s="3">
        <v>1341</v>
      </c>
      <c r="F1034" s="3">
        <v>1343</v>
      </c>
      <c r="G1034" s="3">
        <v>1346.8</v>
      </c>
      <c r="H1034" s="3">
        <v>1348</v>
      </c>
      <c r="I1034" s="3">
        <v>1345.91</v>
      </c>
      <c r="J1034" s="3">
        <v>1500</v>
      </c>
      <c r="K1034" s="3">
        <v>1186</v>
      </c>
      <c r="L1034" s="2">
        <v>8542340</v>
      </c>
      <c r="M1034" s="2">
        <v>11497241405.299999</v>
      </c>
      <c r="N1034" s="2">
        <v>155442</v>
      </c>
      <c r="O1034" t="s">
        <v>20</v>
      </c>
      <c r="P1034" s="8">
        <f t="shared" si="48"/>
        <v>9.9999999999909051E-2</v>
      </c>
      <c r="Q1034" t="s">
        <v>39</v>
      </c>
      <c r="R1034">
        <f t="shared" si="49"/>
        <v>11</v>
      </c>
      <c r="S1034" t="str">
        <f t="shared" si="50"/>
        <v>Nov</v>
      </c>
      <c r="T1034" s="9">
        <f>VLOOKUP(O1034, Annual_Summary!A:B, 2, 0)</f>
        <v>4.6157441670237213E-2</v>
      </c>
    </row>
    <row r="1035" spans="1:20" x14ac:dyDescent="0.3">
      <c r="A1035" s="1">
        <v>45968</v>
      </c>
      <c r="B1035" t="s">
        <v>15</v>
      </c>
      <c r="C1035" s="3">
        <v>1320.4</v>
      </c>
      <c r="D1035" s="3">
        <v>1344.3</v>
      </c>
      <c r="E1035" s="3">
        <v>1318.6</v>
      </c>
      <c r="F1035" s="3">
        <v>1320.4</v>
      </c>
      <c r="G1035" s="3">
        <v>1342.6</v>
      </c>
      <c r="H1035" s="3">
        <v>1343</v>
      </c>
      <c r="I1035" s="3">
        <v>1337.7</v>
      </c>
      <c r="J1035" s="3">
        <v>1500</v>
      </c>
      <c r="K1035" s="3">
        <v>1186</v>
      </c>
      <c r="L1035" s="2">
        <v>7719245</v>
      </c>
      <c r="M1035" s="2">
        <v>10326029497</v>
      </c>
      <c r="N1035" s="2">
        <v>149776</v>
      </c>
      <c r="O1035" t="s">
        <v>20</v>
      </c>
      <c r="P1035" s="8">
        <f t="shared" si="48"/>
        <v>0</v>
      </c>
      <c r="Q1035" t="s">
        <v>39</v>
      </c>
      <c r="R1035">
        <f t="shared" si="49"/>
        <v>11</v>
      </c>
      <c r="S1035" t="str">
        <f t="shared" si="50"/>
        <v>Nov</v>
      </c>
      <c r="T1035" s="9">
        <f>VLOOKUP(O1035, Annual_Summary!A:B, 2, 0)</f>
        <v>4.6157441670237213E-2</v>
      </c>
    </row>
    <row r="1036" spans="1:20" x14ac:dyDescent="0.3">
      <c r="A1036" s="1">
        <v>45967</v>
      </c>
      <c r="B1036" t="s">
        <v>15</v>
      </c>
      <c r="C1036" s="3">
        <v>1330</v>
      </c>
      <c r="D1036" s="3">
        <v>1342.2</v>
      </c>
      <c r="E1036" s="3">
        <v>1317.4</v>
      </c>
      <c r="F1036" s="3">
        <v>1336.9</v>
      </c>
      <c r="G1036" s="3">
        <v>1320.3</v>
      </c>
      <c r="H1036" s="3">
        <v>1320.4</v>
      </c>
      <c r="I1036" s="3">
        <v>1324.61</v>
      </c>
      <c r="J1036" s="3">
        <v>1500</v>
      </c>
      <c r="K1036" s="3">
        <v>1186</v>
      </c>
      <c r="L1036" s="2">
        <v>24221853</v>
      </c>
      <c r="M1036" s="2">
        <v>32084516054.799999</v>
      </c>
      <c r="N1036" s="2">
        <v>368806</v>
      </c>
      <c r="O1036" t="s">
        <v>20</v>
      </c>
      <c r="P1036" s="8">
        <f t="shared" si="48"/>
        <v>6.9000000000000909</v>
      </c>
      <c r="Q1036" t="s">
        <v>39</v>
      </c>
      <c r="R1036">
        <f t="shared" si="49"/>
        <v>11</v>
      </c>
      <c r="S1036" t="str">
        <f t="shared" si="50"/>
        <v>Nov</v>
      </c>
      <c r="T1036" s="9">
        <f>VLOOKUP(O1036, Annual_Summary!A:B, 2, 0)</f>
        <v>4.6157441670237213E-2</v>
      </c>
    </row>
    <row r="1037" spans="1:20" x14ac:dyDescent="0.3">
      <c r="A1037" s="1">
        <v>45965</v>
      </c>
      <c r="B1037" t="s">
        <v>15</v>
      </c>
      <c r="C1037" s="3">
        <v>1342.6</v>
      </c>
      <c r="D1037" s="3">
        <v>1349.8</v>
      </c>
      <c r="E1037" s="3">
        <v>1333.2</v>
      </c>
      <c r="F1037" s="3">
        <v>1346.4</v>
      </c>
      <c r="G1037" s="3">
        <v>1336.9</v>
      </c>
      <c r="H1037" s="3">
        <v>1336.9</v>
      </c>
      <c r="I1037" s="3">
        <v>1337.49</v>
      </c>
      <c r="J1037" s="3">
        <v>1500</v>
      </c>
      <c r="K1037" s="3">
        <v>1186</v>
      </c>
      <c r="L1037" s="2">
        <v>15211183</v>
      </c>
      <c r="M1037" s="2">
        <v>20344838007</v>
      </c>
      <c r="N1037" s="2">
        <v>276007</v>
      </c>
      <c r="O1037" t="s">
        <v>20</v>
      </c>
      <c r="P1037" s="8">
        <f t="shared" si="48"/>
        <v>3.8000000000001819</v>
      </c>
      <c r="Q1037" t="s">
        <v>39</v>
      </c>
      <c r="R1037">
        <f t="shared" si="49"/>
        <v>11</v>
      </c>
      <c r="S1037" t="str">
        <f t="shared" si="50"/>
        <v>Nov</v>
      </c>
      <c r="T1037" s="9">
        <f>VLOOKUP(O1037, Annual_Summary!A:B, 2, 0)</f>
        <v>4.6157441670237213E-2</v>
      </c>
    </row>
    <row r="1038" spans="1:20" x14ac:dyDescent="0.3">
      <c r="A1038" s="1">
        <v>45964</v>
      </c>
      <c r="B1038" t="s">
        <v>15</v>
      </c>
      <c r="C1038" s="3">
        <v>1340.5</v>
      </c>
      <c r="D1038" s="3">
        <v>1351.6</v>
      </c>
      <c r="E1038" s="3">
        <v>1337.9</v>
      </c>
      <c r="F1038" s="3">
        <v>1345.3</v>
      </c>
      <c r="G1038" s="3">
        <v>1349</v>
      </c>
      <c r="H1038" s="3">
        <v>1346.4</v>
      </c>
      <c r="I1038" s="3">
        <v>1344.89</v>
      </c>
      <c r="J1038" s="3">
        <v>1500</v>
      </c>
      <c r="K1038" s="3">
        <v>1186</v>
      </c>
      <c r="L1038" s="2">
        <v>11071450</v>
      </c>
      <c r="M1038" s="2">
        <v>14889921391</v>
      </c>
      <c r="N1038" s="2">
        <v>301531</v>
      </c>
      <c r="O1038" t="s">
        <v>20</v>
      </c>
      <c r="P1038" s="8">
        <f t="shared" si="48"/>
        <v>4.7999999999999545</v>
      </c>
      <c r="Q1038" t="s">
        <v>39</v>
      </c>
      <c r="R1038">
        <f t="shared" si="49"/>
        <v>11</v>
      </c>
      <c r="S1038" t="str">
        <f t="shared" si="50"/>
        <v>Nov</v>
      </c>
      <c r="T1038" s="9">
        <f>VLOOKUP(O1038, Annual_Summary!A:B, 2, 0)</f>
        <v>4.6157441670237213E-2</v>
      </c>
    </row>
    <row r="1039" spans="1:20" x14ac:dyDescent="0.3">
      <c r="A1039" s="1">
        <v>45961</v>
      </c>
      <c r="B1039" t="s">
        <v>15</v>
      </c>
      <c r="C1039" s="3">
        <v>1357</v>
      </c>
      <c r="D1039" s="3">
        <v>1362</v>
      </c>
      <c r="E1039" s="3">
        <v>1343.3</v>
      </c>
      <c r="F1039" s="3">
        <v>1362.4</v>
      </c>
      <c r="G1039" s="3">
        <v>1345.5</v>
      </c>
      <c r="H1039" s="3">
        <v>1345.3</v>
      </c>
      <c r="I1039" s="3">
        <v>1349.3</v>
      </c>
      <c r="J1039" s="3">
        <v>1500</v>
      </c>
      <c r="K1039" s="3">
        <v>1186</v>
      </c>
      <c r="L1039" s="2">
        <v>15926798</v>
      </c>
      <c r="M1039" s="2">
        <v>21489988727.799999</v>
      </c>
      <c r="N1039" s="2">
        <v>309384</v>
      </c>
      <c r="O1039" t="s">
        <v>20</v>
      </c>
      <c r="P1039" s="8">
        <f t="shared" si="48"/>
        <v>5.4000000000000909</v>
      </c>
      <c r="Q1039" t="s">
        <v>39</v>
      </c>
      <c r="R1039">
        <f t="shared" si="49"/>
        <v>10</v>
      </c>
      <c r="S1039" t="str">
        <f t="shared" si="50"/>
        <v>Oct</v>
      </c>
      <c r="T1039" s="9">
        <f>VLOOKUP(O1039, Annual_Summary!A:B, 2, 0)</f>
        <v>4.6157441670237213E-2</v>
      </c>
    </row>
    <row r="1040" spans="1:20" x14ac:dyDescent="0.3">
      <c r="A1040" s="1">
        <v>45960</v>
      </c>
      <c r="B1040" t="s">
        <v>15</v>
      </c>
      <c r="C1040" s="3">
        <v>1362.4</v>
      </c>
      <c r="D1040" s="3">
        <v>1370.2</v>
      </c>
      <c r="E1040" s="3">
        <v>1361.3</v>
      </c>
      <c r="F1040" s="3">
        <v>1370.4</v>
      </c>
      <c r="G1040" s="3">
        <v>1362.4</v>
      </c>
      <c r="H1040" s="3">
        <v>1362.4</v>
      </c>
      <c r="I1040" s="3">
        <v>1364.23</v>
      </c>
      <c r="J1040" s="3">
        <v>1500</v>
      </c>
      <c r="K1040" s="3">
        <v>1186</v>
      </c>
      <c r="L1040" s="2">
        <v>9324401</v>
      </c>
      <c r="M1040" s="2">
        <v>12720637741.299999</v>
      </c>
      <c r="N1040" s="2">
        <v>301933</v>
      </c>
      <c r="O1040" t="s">
        <v>20</v>
      </c>
      <c r="P1040" s="8">
        <f t="shared" si="48"/>
        <v>8</v>
      </c>
      <c r="Q1040" t="s">
        <v>39</v>
      </c>
      <c r="R1040">
        <f t="shared" si="49"/>
        <v>10</v>
      </c>
      <c r="S1040" t="str">
        <f t="shared" si="50"/>
        <v>Oct</v>
      </c>
      <c r="T1040" s="9">
        <f>VLOOKUP(O1040, Annual_Summary!A:B, 2, 0)</f>
        <v>4.6157441670237213E-2</v>
      </c>
    </row>
    <row r="1041" spans="1:20" x14ac:dyDescent="0.3">
      <c r="A1041" s="1">
        <v>45959</v>
      </c>
      <c r="B1041" t="s">
        <v>15</v>
      </c>
      <c r="C1041" s="3">
        <v>1364.6</v>
      </c>
      <c r="D1041" s="3">
        <v>1371.7</v>
      </c>
      <c r="E1041" s="3">
        <v>1358.4</v>
      </c>
      <c r="F1041" s="3">
        <v>1363.1</v>
      </c>
      <c r="G1041" s="3">
        <v>1371.6</v>
      </c>
      <c r="H1041" s="3">
        <v>1370.4</v>
      </c>
      <c r="I1041" s="3">
        <v>1365.15</v>
      </c>
      <c r="J1041" s="3">
        <v>1500</v>
      </c>
      <c r="K1041" s="3">
        <v>1186</v>
      </c>
      <c r="L1041" s="2">
        <v>16129382</v>
      </c>
      <c r="M1041" s="2">
        <v>22019031340.900002</v>
      </c>
      <c r="N1041" s="2">
        <v>353776</v>
      </c>
      <c r="O1041" t="s">
        <v>20</v>
      </c>
      <c r="P1041" s="8">
        <f t="shared" si="48"/>
        <v>-1.5</v>
      </c>
      <c r="Q1041" t="s">
        <v>39</v>
      </c>
      <c r="R1041">
        <f t="shared" si="49"/>
        <v>10</v>
      </c>
      <c r="S1041" t="str">
        <f t="shared" si="50"/>
        <v>Oct</v>
      </c>
      <c r="T1041" s="9">
        <f>VLOOKUP(O1041, Annual_Summary!A:B, 2, 0)</f>
        <v>4.6157441670237213E-2</v>
      </c>
    </row>
    <row r="1042" spans="1:20" x14ac:dyDescent="0.3">
      <c r="A1042" s="1">
        <v>45958</v>
      </c>
      <c r="B1042" t="s">
        <v>15</v>
      </c>
      <c r="C1042" s="3">
        <v>1373</v>
      </c>
      <c r="D1042" s="3">
        <v>1375.8</v>
      </c>
      <c r="E1042" s="3">
        <v>1356.2</v>
      </c>
      <c r="F1042" s="3">
        <v>1377.6</v>
      </c>
      <c r="G1042" s="3">
        <v>1366.2</v>
      </c>
      <c r="H1042" s="3">
        <v>1363.1</v>
      </c>
      <c r="I1042" s="3">
        <v>1361.81</v>
      </c>
      <c r="J1042" s="3">
        <v>1500</v>
      </c>
      <c r="K1042" s="3">
        <v>1186</v>
      </c>
      <c r="L1042" s="2">
        <v>26477914</v>
      </c>
      <c r="M1042" s="2">
        <v>36057949499.5</v>
      </c>
      <c r="N1042" s="2">
        <v>480704</v>
      </c>
      <c r="O1042" t="s">
        <v>20</v>
      </c>
      <c r="P1042" s="8">
        <f t="shared" si="48"/>
        <v>4.5999999999999091</v>
      </c>
      <c r="Q1042" t="s">
        <v>39</v>
      </c>
      <c r="R1042">
        <f t="shared" si="49"/>
        <v>10</v>
      </c>
      <c r="S1042" t="str">
        <f t="shared" si="50"/>
        <v>Oct</v>
      </c>
      <c r="T1042" s="9">
        <f>VLOOKUP(O1042, Annual_Summary!A:B, 2, 0)</f>
        <v>4.6157441670237213E-2</v>
      </c>
    </row>
    <row r="1043" spans="1:20" x14ac:dyDescent="0.3">
      <c r="A1043" s="1">
        <v>45957</v>
      </c>
      <c r="B1043" t="s">
        <v>15</v>
      </c>
      <c r="C1043" s="3">
        <v>1382.1</v>
      </c>
      <c r="D1043" s="3">
        <v>1386.8</v>
      </c>
      <c r="E1043" s="3">
        <v>1374</v>
      </c>
      <c r="F1043" s="3">
        <v>1377.7</v>
      </c>
      <c r="G1043" s="3">
        <v>1379.6</v>
      </c>
      <c r="H1043" s="3">
        <v>1377.6</v>
      </c>
      <c r="I1043" s="3">
        <v>1379.13</v>
      </c>
      <c r="J1043" s="3">
        <v>1500</v>
      </c>
      <c r="K1043" s="3">
        <v>1186</v>
      </c>
      <c r="L1043" s="2">
        <v>11499836</v>
      </c>
      <c r="M1043" s="2">
        <v>15859716513.700001</v>
      </c>
      <c r="N1043" s="2">
        <v>296317</v>
      </c>
      <c r="O1043" t="s">
        <v>20</v>
      </c>
      <c r="P1043" s="8">
        <f t="shared" si="48"/>
        <v>-4.3999999999998636</v>
      </c>
      <c r="Q1043" t="s">
        <v>39</v>
      </c>
      <c r="R1043">
        <f t="shared" si="49"/>
        <v>10</v>
      </c>
      <c r="S1043" t="str">
        <f t="shared" si="50"/>
        <v>Oct</v>
      </c>
      <c r="T1043" s="9">
        <f>VLOOKUP(O1043, Annual_Summary!A:B, 2, 0)</f>
        <v>4.6157441670237213E-2</v>
      </c>
    </row>
    <row r="1044" spans="1:20" x14ac:dyDescent="0.3">
      <c r="A1044" s="1">
        <v>45954</v>
      </c>
      <c r="B1044" t="s">
        <v>15</v>
      </c>
      <c r="C1044" s="3">
        <v>1368.1</v>
      </c>
      <c r="D1044" s="3">
        <v>1381.6</v>
      </c>
      <c r="E1044" s="3">
        <v>1368.1</v>
      </c>
      <c r="F1044" s="3">
        <v>1363.7</v>
      </c>
      <c r="G1044" s="3">
        <v>1378</v>
      </c>
      <c r="H1044" s="3">
        <v>1377.7</v>
      </c>
      <c r="I1044" s="3">
        <v>1376.15</v>
      </c>
      <c r="J1044" s="3">
        <v>1500</v>
      </c>
      <c r="K1044" s="3">
        <v>1186</v>
      </c>
      <c r="L1044" s="2">
        <v>10570263</v>
      </c>
      <c r="M1044" s="2">
        <v>14546256446.299999</v>
      </c>
      <c r="N1044" s="2">
        <v>254633</v>
      </c>
      <c r="O1044" t="s">
        <v>20</v>
      </c>
      <c r="P1044" s="8">
        <f t="shared" si="48"/>
        <v>-4.3999999999998636</v>
      </c>
      <c r="Q1044" t="s">
        <v>39</v>
      </c>
      <c r="R1044">
        <f t="shared" si="49"/>
        <v>10</v>
      </c>
      <c r="S1044" t="str">
        <f t="shared" si="50"/>
        <v>Oct</v>
      </c>
      <c r="T1044" s="9">
        <f>VLOOKUP(O1044, Annual_Summary!A:B, 2, 0)</f>
        <v>4.6157441670237213E-2</v>
      </c>
    </row>
    <row r="1045" spans="1:20" x14ac:dyDescent="0.3">
      <c r="A1045" s="1">
        <v>45953</v>
      </c>
      <c r="B1045" t="s">
        <v>15</v>
      </c>
      <c r="C1045" s="3">
        <v>1385</v>
      </c>
      <c r="D1045" s="3">
        <v>1389.8</v>
      </c>
      <c r="E1045" s="3">
        <v>1360.1</v>
      </c>
      <c r="F1045" s="3">
        <v>1382</v>
      </c>
      <c r="G1045" s="3">
        <v>1364.3</v>
      </c>
      <c r="H1045" s="3">
        <v>1363.7</v>
      </c>
      <c r="I1045" s="3">
        <v>1375.57</v>
      </c>
      <c r="J1045" s="3">
        <v>1500</v>
      </c>
      <c r="K1045" s="3">
        <v>1186</v>
      </c>
      <c r="L1045" s="2">
        <v>21124942</v>
      </c>
      <c r="M1045" s="2">
        <v>29058772536.5</v>
      </c>
      <c r="N1045" s="2">
        <v>401439</v>
      </c>
      <c r="O1045" t="s">
        <v>20</v>
      </c>
      <c r="P1045" s="8">
        <f t="shared" si="48"/>
        <v>-3</v>
      </c>
      <c r="Q1045" t="s">
        <v>39</v>
      </c>
      <c r="R1045">
        <f t="shared" si="49"/>
        <v>10</v>
      </c>
      <c r="S1045" t="str">
        <f t="shared" si="50"/>
        <v>Oct</v>
      </c>
      <c r="T1045" s="9">
        <f>VLOOKUP(O1045, Annual_Summary!A:B, 2, 0)</f>
        <v>4.6157441670237213E-2</v>
      </c>
    </row>
    <row r="1046" spans="1:20" x14ac:dyDescent="0.3">
      <c r="A1046" s="1">
        <v>45951</v>
      </c>
      <c r="B1046" t="s">
        <v>15</v>
      </c>
      <c r="C1046" s="3">
        <v>1384.5</v>
      </c>
      <c r="D1046" s="3">
        <v>1387.6</v>
      </c>
      <c r="E1046" s="3">
        <v>1375.9</v>
      </c>
      <c r="F1046" s="3">
        <v>1390.3</v>
      </c>
      <c r="G1046" s="3">
        <v>1381.3</v>
      </c>
      <c r="H1046" s="3">
        <v>1382</v>
      </c>
      <c r="I1046" s="3">
        <v>1383.19</v>
      </c>
      <c r="J1046" s="3">
        <v>1500</v>
      </c>
      <c r="K1046" s="3">
        <v>1186</v>
      </c>
      <c r="L1046" s="2">
        <v>3415560</v>
      </c>
      <c r="M1046" s="2">
        <v>4724355077.3999996</v>
      </c>
      <c r="N1046" s="2">
        <v>93955</v>
      </c>
      <c r="O1046" t="s">
        <v>20</v>
      </c>
      <c r="P1046" s="8">
        <f t="shared" si="48"/>
        <v>5.7999999999999545</v>
      </c>
      <c r="Q1046" t="s">
        <v>39</v>
      </c>
      <c r="R1046">
        <f t="shared" si="49"/>
        <v>10</v>
      </c>
      <c r="S1046" t="str">
        <f t="shared" si="50"/>
        <v>Oct</v>
      </c>
      <c r="T1046" s="9">
        <f>VLOOKUP(O1046, Annual_Summary!A:B, 2, 0)</f>
        <v>4.6157441670237213E-2</v>
      </c>
    </row>
    <row r="1047" spans="1:20" x14ac:dyDescent="0.3">
      <c r="A1047" s="1">
        <v>45950</v>
      </c>
      <c r="B1047" t="s">
        <v>15</v>
      </c>
      <c r="C1047" s="3">
        <v>1442</v>
      </c>
      <c r="D1047" s="3">
        <v>1445</v>
      </c>
      <c r="E1047" s="3">
        <v>1389.2</v>
      </c>
      <c r="F1047" s="3">
        <v>1436.6</v>
      </c>
      <c r="G1047" s="3">
        <v>1393</v>
      </c>
      <c r="H1047" s="3">
        <v>1390.3</v>
      </c>
      <c r="I1047" s="3">
        <v>1401.64</v>
      </c>
      <c r="J1047" s="3">
        <v>1500</v>
      </c>
      <c r="K1047" s="3">
        <v>1186</v>
      </c>
      <c r="L1047" s="2">
        <v>23330227</v>
      </c>
      <c r="M1047" s="2">
        <v>32700479176.400002</v>
      </c>
      <c r="N1047" s="2">
        <v>670783</v>
      </c>
      <c r="O1047" t="s">
        <v>20</v>
      </c>
      <c r="P1047" s="8">
        <f t="shared" si="48"/>
        <v>-5.4000000000000909</v>
      </c>
      <c r="Q1047" t="s">
        <v>39</v>
      </c>
      <c r="R1047">
        <f t="shared" si="49"/>
        <v>10</v>
      </c>
      <c r="S1047" t="str">
        <f t="shared" si="50"/>
        <v>Oct</v>
      </c>
      <c r="T1047" s="9">
        <f>VLOOKUP(O1047, Annual_Summary!A:B, 2, 0)</f>
        <v>4.6157441670237213E-2</v>
      </c>
    </row>
    <row r="1048" spans="1:20" x14ac:dyDescent="0.3">
      <c r="A1048" s="1">
        <v>45947</v>
      </c>
      <c r="B1048" t="s">
        <v>15</v>
      </c>
      <c r="C1048" s="3">
        <v>1412</v>
      </c>
      <c r="D1048" s="3">
        <v>1439.6</v>
      </c>
      <c r="E1048" s="3">
        <v>1410.9</v>
      </c>
      <c r="F1048" s="3">
        <v>1417.3</v>
      </c>
      <c r="G1048" s="3">
        <v>1436.6</v>
      </c>
      <c r="H1048" s="3">
        <v>1436.6</v>
      </c>
      <c r="I1048" s="3">
        <v>1427.77</v>
      </c>
      <c r="J1048" s="3">
        <v>1500</v>
      </c>
      <c r="K1048" s="3">
        <v>1186</v>
      </c>
      <c r="L1048" s="2">
        <v>17037215</v>
      </c>
      <c r="M1048" s="2">
        <v>24325273729.900002</v>
      </c>
      <c r="N1048" s="2">
        <v>326926</v>
      </c>
      <c r="O1048" t="s">
        <v>20</v>
      </c>
      <c r="P1048" s="8">
        <f t="shared" si="48"/>
        <v>5.2999999999999545</v>
      </c>
      <c r="Q1048" t="s">
        <v>39</v>
      </c>
      <c r="R1048">
        <f t="shared" si="49"/>
        <v>10</v>
      </c>
      <c r="S1048" t="str">
        <f t="shared" si="50"/>
        <v>Oct</v>
      </c>
      <c r="T1048" s="9">
        <f>VLOOKUP(O1048, Annual_Summary!A:B, 2, 0)</f>
        <v>4.6157441670237213E-2</v>
      </c>
    </row>
    <row r="1049" spans="1:20" x14ac:dyDescent="0.3">
      <c r="A1049" s="1">
        <v>45946</v>
      </c>
      <c r="B1049" t="s">
        <v>15</v>
      </c>
      <c r="C1049" s="3">
        <v>1401</v>
      </c>
      <c r="D1049" s="3">
        <v>1418.9</v>
      </c>
      <c r="E1049" s="3">
        <v>1399.4</v>
      </c>
      <c r="F1049" s="3">
        <v>1398.4</v>
      </c>
      <c r="G1049" s="3">
        <v>1417.4</v>
      </c>
      <c r="H1049" s="3">
        <v>1417.3</v>
      </c>
      <c r="I1049" s="3">
        <v>1412.88</v>
      </c>
      <c r="J1049" s="3">
        <v>1500</v>
      </c>
      <c r="K1049" s="3">
        <v>1186</v>
      </c>
      <c r="L1049" s="2">
        <v>12185032</v>
      </c>
      <c r="M1049" s="2">
        <v>17215999886.5</v>
      </c>
      <c r="N1049" s="2">
        <v>233599</v>
      </c>
      <c r="O1049" t="s">
        <v>20</v>
      </c>
      <c r="P1049" s="8">
        <f t="shared" si="48"/>
        <v>-2.5999999999999091</v>
      </c>
      <c r="Q1049" t="s">
        <v>39</v>
      </c>
      <c r="R1049">
        <f t="shared" si="49"/>
        <v>10</v>
      </c>
      <c r="S1049" t="str">
        <f t="shared" si="50"/>
        <v>Oct</v>
      </c>
      <c r="T1049" s="9">
        <f>VLOOKUP(O1049, Annual_Summary!A:B, 2, 0)</f>
        <v>4.6157441670237213E-2</v>
      </c>
    </row>
    <row r="1050" spans="1:20" x14ac:dyDescent="0.3">
      <c r="A1050" s="1">
        <v>45945</v>
      </c>
      <c r="B1050" t="s">
        <v>15</v>
      </c>
      <c r="C1050" s="3">
        <v>1386.5</v>
      </c>
      <c r="D1050" s="3">
        <v>1400.4</v>
      </c>
      <c r="E1050" s="3">
        <v>1385.5</v>
      </c>
      <c r="F1050" s="3">
        <v>1384.1</v>
      </c>
      <c r="G1050" s="3">
        <v>1399</v>
      </c>
      <c r="H1050" s="3">
        <v>1398.4</v>
      </c>
      <c r="I1050" s="3">
        <v>1394.81</v>
      </c>
      <c r="J1050" s="3">
        <v>1500</v>
      </c>
      <c r="K1050" s="3">
        <v>1186</v>
      </c>
      <c r="L1050" s="2">
        <v>8988550</v>
      </c>
      <c r="M1050" s="2">
        <v>12537342798.299999</v>
      </c>
      <c r="N1050" s="2">
        <v>244373</v>
      </c>
      <c r="O1050" t="s">
        <v>20</v>
      </c>
      <c r="P1050" s="8">
        <f t="shared" si="48"/>
        <v>-2.4000000000000909</v>
      </c>
      <c r="Q1050" t="s">
        <v>39</v>
      </c>
      <c r="R1050">
        <f t="shared" si="49"/>
        <v>10</v>
      </c>
      <c r="S1050" t="str">
        <f t="shared" si="50"/>
        <v>Oct</v>
      </c>
      <c r="T1050" s="9">
        <f>VLOOKUP(O1050, Annual_Summary!A:B, 2, 0)</f>
        <v>4.6157441670237213E-2</v>
      </c>
    </row>
    <row r="1051" spans="1:20" x14ac:dyDescent="0.3">
      <c r="A1051" s="1">
        <v>45944</v>
      </c>
      <c r="B1051" t="s">
        <v>15</v>
      </c>
      <c r="C1051" s="3">
        <v>1389</v>
      </c>
      <c r="D1051" s="3">
        <v>1389</v>
      </c>
      <c r="E1051" s="3">
        <v>1375.1</v>
      </c>
      <c r="F1051" s="3">
        <v>1379.4</v>
      </c>
      <c r="G1051" s="3">
        <v>1384.8</v>
      </c>
      <c r="H1051" s="3">
        <v>1384.1</v>
      </c>
      <c r="I1051" s="3">
        <v>1381.47</v>
      </c>
      <c r="J1051" s="3">
        <v>1500</v>
      </c>
      <c r="K1051" s="3">
        <v>1186</v>
      </c>
      <c r="L1051" s="2">
        <v>10610855</v>
      </c>
      <c r="M1051" s="2">
        <v>14658607710.700001</v>
      </c>
      <c r="N1051" s="2">
        <v>126104</v>
      </c>
      <c r="O1051" t="s">
        <v>20</v>
      </c>
      <c r="P1051" s="8">
        <f t="shared" si="48"/>
        <v>-9.5999999999999091</v>
      </c>
      <c r="Q1051" t="s">
        <v>39</v>
      </c>
      <c r="R1051">
        <f t="shared" si="49"/>
        <v>10</v>
      </c>
      <c r="S1051" t="str">
        <f t="shared" si="50"/>
        <v>Oct</v>
      </c>
      <c r="T1051" s="9">
        <f>VLOOKUP(O1051, Annual_Summary!A:B, 2, 0)</f>
        <v>4.6157441670237213E-2</v>
      </c>
    </row>
    <row r="1052" spans="1:20" x14ac:dyDescent="0.3">
      <c r="A1052" s="1">
        <v>45943</v>
      </c>
      <c r="B1052" t="s">
        <v>15</v>
      </c>
      <c r="C1052" s="3">
        <v>1373.1</v>
      </c>
      <c r="D1052" s="3">
        <v>1386.4</v>
      </c>
      <c r="E1052" s="3">
        <v>1373.1</v>
      </c>
      <c r="F1052" s="3">
        <v>1380.3</v>
      </c>
      <c r="G1052" s="3">
        <v>1381</v>
      </c>
      <c r="H1052" s="3">
        <v>1379.4</v>
      </c>
      <c r="I1052" s="3">
        <v>1379.11</v>
      </c>
      <c r="J1052" s="3">
        <v>1500</v>
      </c>
      <c r="K1052" s="3">
        <v>1186</v>
      </c>
      <c r="L1052" s="2">
        <v>8923018</v>
      </c>
      <c r="M1052" s="2">
        <v>12305847453.299999</v>
      </c>
      <c r="N1052" s="2">
        <v>295408</v>
      </c>
      <c r="O1052" t="s">
        <v>20</v>
      </c>
      <c r="P1052" s="8">
        <f t="shared" si="48"/>
        <v>7.2000000000000455</v>
      </c>
      <c r="Q1052" t="s">
        <v>39</v>
      </c>
      <c r="R1052">
        <f t="shared" si="49"/>
        <v>10</v>
      </c>
      <c r="S1052" t="str">
        <f t="shared" si="50"/>
        <v>Oct</v>
      </c>
      <c r="T1052" s="9">
        <f>VLOOKUP(O1052, Annual_Summary!A:B, 2, 0)</f>
        <v>4.6157441670237213E-2</v>
      </c>
    </row>
    <row r="1053" spans="1:20" x14ac:dyDescent="0.3">
      <c r="A1053" s="1">
        <v>45940</v>
      </c>
      <c r="B1053" t="s">
        <v>15</v>
      </c>
      <c r="C1053" s="3">
        <v>1370.3</v>
      </c>
      <c r="D1053" s="3">
        <v>1385</v>
      </c>
      <c r="E1053" s="3">
        <v>1370.3</v>
      </c>
      <c r="F1053" s="3">
        <v>1376.2</v>
      </c>
      <c r="G1053" s="3">
        <v>1380.4</v>
      </c>
      <c r="H1053" s="3">
        <v>1380.3</v>
      </c>
      <c r="I1053" s="3">
        <v>1380.18</v>
      </c>
      <c r="J1053" s="3">
        <v>1500</v>
      </c>
      <c r="K1053" s="3">
        <v>1186</v>
      </c>
      <c r="L1053" s="2">
        <v>7673816</v>
      </c>
      <c r="M1053" s="2">
        <v>10591267726.700001</v>
      </c>
      <c r="N1053" s="2">
        <v>136734</v>
      </c>
      <c r="O1053" t="s">
        <v>20</v>
      </c>
      <c r="P1053" s="8">
        <f t="shared" si="48"/>
        <v>5.9000000000000909</v>
      </c>
      <c r="Q1053" t="s">
        <v>39</v>
      </c>
      <c r="R1053">
        <f t="shared" si="49"/>
        <v>10</v>
      </c>
      <c r="S1053" t="str">
        <f t="shared" si="50"/>
        <v>Oct</v>
      </c>
      <c r="T1053" s="9">
        <f>VLOOKUP(O1053, Annual_Summary!A:B, 2, 0)</f>
        <v>4.6157441670237213E-2</v>
      </c>
    </row>
    <row r="1054" spans="1:20" x14ac:dyDescent="0.3">
      <c r="A1054" s="1">
        <v>45939</v>
      </c>
      <c r="B1054" t="s">
        <v>15</v>
      </c>
      <c r="C1054" s="3">
        <v>1369.8</v>
      </c>
      <c r="D1054" s="3">
        <v>1378.7</v>
      </c>
      <c r="E1054" s="3">
        <v>1365.1</v>
      </c>
      <c r="F1054" s="3">
        <v>1370.3</v>
      </c>
      <c r="G1054" s="3">
        <v>1374</v>
      </c>
      <c r="H1054" s="3">
        <v>1376.2</v>
      </c>
      <c r="I1054" s="3">
        <v>1374.5</v>
      </c>
      <c r="J1054" s="3">
        <v>1500</v>
      </c>
      <c r="K1054" s="3">
        <v>1186</v>
      </c>
      <c r="L1054" s="2">
        <v>7909575</v>
      </c>
      <c r="M1054" s="2">
        <v>10871677779.1</v>
      </c>
      <c r="N1054" s="2">
        <v>175558</v>
      </c>
      <c r="O1054" t="s">
        <v>20</v>
      </c>
      <c r="P1054" s="8">
        <f t="shared" si="48"/>
        <v>0.5</v>
      </c>
      <c r="Q1054" t="s">
        <v>39</v>
      </c>
      <c r="R1054">
        <f t="shared" si="49"/>
        <v>10</v>
      </c>
      <c r="S1054" t="str">
        <f t="shared" si="50"/>
        <v>Oct</v>
      </c>
      <c r="T1054" s="9">
        <f>VLOOKUP(O1054, Annual_Summary!A:B, 2, 0)</f>
        <v>4.6157441670237213E-2</v>
      </c>
    </row>
    <row r="1055" spans="1:20" x14ac:dyDescent="0.3">
      <c r="A1055" s="1">
        <v>45938</v>
      </c>
      <c r="B1055" t="s">
        <v>15</v>
      </c>
      <c r="C1055" s="3">
        <v>1372.3</v>
      </c>
      <c r="D1055" s="3">
        <v>1381.6</v>
      </c>
      <c r="E1055" s="3">
        <v>1364.3</v>
      </c>
      <c r="F1055" s="3">
        <v>1375.9</v>
      </c>
      <c r="G1055" s="3">
        <v>1367.8</v>
      </c>
      <c r="H1055" s="3">
        <v>1370.3</v>
      </c>
      <c r="I1055" s="3">
        <v>1372.13</v>
      </c>
      <c r="J1055" s="3">
        <v>1500</v>
      </c>
      <c r="K1055" s="3">
        <v>1186</v>
      </c>
      <c r="L1055" s="2">
        <v>8100832</v>
      </c>
      <c r="M1055" s="2">
        <v>11115359090.299999</v>
      </c>
      <c r="N1055" s="2">
        <v>176755</v>
      </c>
      <c r="O1055" t="s">
        <v>20</v>
      </c>
      <c r="P1055" s="8">
        <f t="shared" si="48"/>
        <v>3.6000000000001364</v>
      </c>
      <c r="Q1055" t="s">
        <v>39</v>
      </c>
      <c r="R1055">
        <f t="shared" si="49"/>
        <v>10</v>
      </c>
      <c r="S1055" t="str">
        <f t="shared" si="50"/>
        <v>Oct</v>
      </c>
      <c r="T1055" s="9">
        <f>VLOOKUP(O1055, Annual_Summary!A:B, 2, 0)</f>
        <v>4.6157441670237213E-2</v>
      </c>
    </row>
    <row r="1056" spans="1:20" x14ac:dyDescent="0.3">
      <c r="A1056" s="1">
        <v>45937</v>
      </c>
      <c r="B1056" t="s">
        <v>15</v>
      </c>
      <c r="C1056" s="3">
        <v>1363.6</v>
      </c>
      <c r="D1056" s="3">
        <v>1383.1</v>
      </c>
      <c r="E1056" s="3">
        <v>1363.6</v>
      </c>
      <c r="F1056" s="3">
        <v>1363.4</v>
      </c>
      <c r="G1056" s="3">
        <v>1375</v>
      </c>
      <c r="H1056" s="3">
        <v>1375.9</v>
      </c>
      <c r="I1056" s="3">
        <v>1377.91</v>
      </c>
      <c r="J1056" s="3">
        <v>1500</v>
      </c>
      <c r="K1056" s="3">
        <v>1186</v>
      </c>
      <c r="L1056" s="2">
        <v>16126464</v>
      </c>
      <c r="M1056" s="2">
        <v>22220830751.099998</v>
      </c>
      <c r="N1056" s="2">
        <v>217688</v>
      </c>
      <c r="O1056" t="s">
        <v>20</v>
      </c>
      <c r="P1056" s="8">
        <f t="shared" si="48"/>
        <v>-0.1999999999998181</v>
      </c>
      <c r="Q1056" t="s">
        <v>39</v>
      </c>
      <c r="R1056">
        <f t="shared" si="49"/>
        <v>10</v>
      </c>
      <c r="S1056" t="str">
        <f t="shared" si="50"/>
        <v>Oct</v>
      </c>
      <c r="T1056" s="9">
        <f>VLOOKUP(O1056, Annual_Summary!A:B, 2, 0)</f>
        <v>4.6157441670237213E-2</v>
      </c>
    </row>
    <row r="1057" spans="1:20" x14ac:dyDescent="0.3">
      <c r="A1057" s="1">
        <v>45936</v>
      </c>
      <c r="B1057" t="s">
        <v>15</v>
      </c>
      <c r="C1057" s="3">
        <v>1371</v>
      </c>
      <c r="D1057" s="3">
        <v>1372.6</v>
      </c>
      <c r="E1057" s="3">
        <v>1359.1</v>
      </c>
      <c r="F1057" s="3">
        <v>1365.2</v>
      </c>
      <c r="G1057" s="3">
        <v>1363.9</v>
      </c>
      <c r="H1057" s="3">
        <v>1363.4</v>
      </c>
      <c r="I1057" s="3">
        <v>1364.15</v>
      </c>
      <c r="J1057" s="3">
        <v>1500</v>
      </c>
      <c r="K1057" s="3">
        <v>1186</v>
      </c>
      <c r="L1057" s="2">
        <v>14314283</v>
      </c>
      <c r="M1057" s="2">
        <v>19526828804.400002</v>
      </c>
      <c r="N1057" s="2">
        <v>200684</v>
      </c>
      <c r="O1057" t="s">
        <v>20</v>
      </c>
      <c r="P1057" s="8">
        <f t="shared" si="48"/>
        <v>-5.7999999999999545</v>
      </c>
      <c r="Q1057" t="s">
        <v>39</v>
      </c>
      <c r="R1057">
        <f t="shared" si="49"/>
        <v>10</v>
      </c>
      <c r="S1057" t="str">
        <f t="shared" si="50"/>
        <v>Oct</v>
      </c>
      <c r="T1057" s="9">
        <f>VLOOKUP(O1057, Annual_Summary!A:B, 2, 0)</f>
        <v>4.6157441670237213E-2</v>
      </c>
    </row>
    <row r="1058" spans="1:20" x14ac:dyDescent="0.3">
      <c r="A1058" s="1">
        <v>45933</v>
      </c>
      <c r="B1058" t="s">
        <v>15</v>
      </c>
      <c r="C1058" s="3">
        <v>1371.9</v>
      </c>
      <c r="D1058" s="3">
        <v>1371.9</v>
      </c>
      <c r="E1058" s="3">
        <v>1361.3</v>
      </c>
      <c r="F1058" s="3">
        <v>1372</v>
      </c>
      <c r="G1058" s="3">
        <v>1365</v>
      </c>
      <c r="H1058" s="3">
        <v>1365.2</v>
      </c>
      <c r="I1058" s="3">
        <v>1366.86</v>
      </c>
      <c r="J1058" s="3">
        <v>1500</v>
      </c>
      <c r="K1058" s="3">
        <v>1186</v>
      </c>
      <c r="L1058" s="2">
        <v>12163695</v>
      </c>
      <c r="M1058" s="2">
        <v>16626122666.1</v>
      </c>
      <c r="N1058" s="2">
        <v>192526</v>
      </c>
      <c r="O1058" t="s">
        <v>20</v>
      </c>
      <c r="P1058" s="8">
        <f t="shared" si="48"/>
        <v>9.9999999999909051E-2</v>
      </c>
      <c r="Q1058" t="s">
        <v>39</v>
      </c>
      <c r="R1058">
        <f t="shared" si="49"/>
        <v>10</v>
      </c>
      <c r="S1058" t="str">
        <f t="shared" si="50"/>
        <v>Oct</v>
      </c>
      <c r="T1058" s="9">
        <f>VLOOKUP(O1058, Annual_Summary!A:B, 2, 0)</f>
        <v>4.6157441670237213E-2</v>
      </c>
    </row>
    <row r="1059" spans="1:20" x14ac:dyDescent="0.3">
      <c r="A1059" s="1">
        <v>45931</v>
      </c>
      <c r="B1059" t="s">
        <v>15</v>
      </c>
      <c r="C1059" s="3">
        <v>1348</v>
      </c>
      <c r="D1059" s="3">
        <v>1379.4</v>
      </c>
      <c r="E1059" s="3">
        <v>1347.1</v>
      </c>
      <c r="F1059" s="3">
        <v>1348</v>
      </c>
      <c r="G1059" s="3">
        <v>1372</v>
      </c>
      <c r="H1059" s="3">
        <v>1372</v>
      </c>
      <c r="I1059" s="3">
        <v>1368.92</v>
      </c>
      <c r="J1059" s="3">
        <v>1500</v>
      </c>
      <c r="K1059" s="3">
        <v>1186</v>
      </c>
      <c r="L1059" s="2">
        <v>20952632</v>
      </c>
      <c r="M1059" s="2">
        <v>28682559363.900002</v>
      </c>
      <c r="N1059" s="2">
        <v>490279</v>
      </c>
      <c r="O1059" t="s">
        <v>20</v>
      </c>
      <c r="P1059" s="8">
        <f t="shared" si="48"/>
        <v>0</v>
      </c>
      <c r="Q1059" t="s">
        <v>39</v>
      </c>
      <c r="R1059">
        <f t="shared" si="49"/>
        <v>10</v>
      </c>
      <c r="S1059" t="str">
        <f t="shared" si="50"/>
        <v>Oct</v>
      </c>
      <c r="T1059" s="9">
        <f>VLOOKUP(O1059, Annual_Summary!A:B, 2, 0)</f>
        <v>4.6157441670237213E-2</v>
      </c>
    </row>
    <row r="1060" spans="1:20" x14ac:dyDescent="0.3">
      <c r="A1060" s="1">
        <v>45930</v>
      </c>
      <c r="B1060" t="s">
        <v>15</v>
      </c>
      <c r="C1060" s="3">
        <v>1353.7</v>
      </c>
      <c r="D1060" s="3">
        <v>1356.6</v>
      </c>
      <c r="E1060" s="3">
        <v>1342.6</v>
      </c>
      <c r="F1060" s="3">
        <v>1348.1</v>
      </c>
      <c r="G1060" s="3">
        <v>1348.9</v>
      </c>
      <c r="H1060" s="3">
        <v>1348</v>
      </c>
      <c r="I1060" s="3">
        <v>1349.21</v>
      </c>
      <c r="J1060" s="3">
        <v>1500</v>
      </c>
      <c r="K1060" s="3">
        <v>1186</v>
      </c>
      <c r="L1060" s="2">
        <v>20166871</v>
      </c>
      <c r="M1060" s="2">
        <v>27209326360.400002</v>
      </c>
      <c r="N1060" s="2">
        <v>214277</v>
      </c>
      <c r="O1060" t="s">
        <v>20</v>
      </c>
      <c r="P1060" s="8">
        <f t="shared" si="48"/>
        <v>-5.6000000000001364</v>
      </c>
      <c r="Q1060" t="s">
        <v>39</v>
      </c>
      <c r="R1060">
        <f t="shared" si="49"/>
        <v>9</v>
      </c>
      <c r="S1060" t="str">
        <f t="shared" si="50"/>
        <v>Sep</v>
      </c>
      <c r="T1060" s="9">
        <f>VLOOKUP(O1060, Annual_Summary!A:B, 2, 0)</f>
        <v>4.6157441670237213E-2</v>
      </c>
    </row>
    <row r="1061" spans="1:20" x14ac:dyDescent="0.3">
      <c r="A1061" s="1">
        <v>45929</v>
      </c>
      <c r="B1061" t="s">
        <v>15</v>
      </c>
      <c r="C1061" s="3">
        <v>1359.6</v>
      </c>
      <c r="D1061" s="3">
        <v>1366.5</v>
      </c>
      <c r="E1061" s="3">
        <v>1346.2</v>
      </c>
      <c r="F1061" s="3">
        <v>1359.6</v>
      </c>
      <c r="G1061" s="3">
        <v>1350</v>
      </c>
      <c r="H1061" s="3">
        <v>1348.1</v>
      </c>
      <c r="I1061" s="3">
        <v>1352.69</v>
      </c>
      <c r="J1061" s="3">
        <v>1500</v>
      </c>
      <c r="K1061" s="3">
        <v>1186</v>
      </c>
      <c r="L1061" s="2">
        <v>20563163</v>
      </c>
      <c r="M1061" s="2">
        <v>27815685218.200001</v>
      </c>
      <c r="N1061" s="2">
        <v>277001</v>
      </c>
      <c r="O1061" t="s">
        <v>20</v>
      </c>
      <c r="P1061" s="8">
        <f t="shared" si="48"/>
        <v>0</v>
      </c>
      <c r="Q1061" t="s">
        <v>39</v>
      </c>
      <c r="R1061">
        <f t="shared" si="49"/>
        <v>9</v>
      </c>
      <c r="S1061" t="str">
        <f t="shared" si="50"/>
        <v>Sep</v>
      </c>
      <c r="T1061" s="9">
        <f>VLOOKUP(O1061, Annual_Summary!A:B, 2, 0)</f>
        <v>4.6157441670237213E-2</v>
      </c>
    </row>
    <row r="1062" spans="1:20" x14ac:dyDescent="0.3">
      <c r="A1062" s="1">
        <v>45926</v>
      </c>
      <c r="B1062" t="s">
        <v>15</v>
      </c>
      <c r="C1062" s="3">
        <v>1368</v>
      </c>
      <c r="D1062" s="3">
        <v>1372.7</v>
      </c>
      <c r="E1062" s="3">
        <v>1357</v>
      </c>
      <c r="F1062" s="3">
        <v>1375.8</v>
      </c>
      <c r="G1062" s="3">
        <v>1362.5</v>
      </c>
      <c r="H1062" s="3">
        <v>1359.6</v>
      </c>
      <c r="I1062" s="3">
        <v>1363.33</v>
      </c>
      <c r="J1062" s="3">
        <v>1500</v>
      </c>
      <c r="K1062" s="3">
        <v>1186</v>
      </c>
      <c r="L1062" s="2">
        <v>18342280</v>
      </c>
      <c r="M1062" s="2">
        <v>25006644406.5</v>
      </c>
      <c r="N1062" s="2">
        <v>183369</v>
      </c>
      <c r="O1062" t="s">
        <v>20</v>
      </c>
      <c r="P1062" s="8">
        <f t="shared" si="48"/>
        <v>7.7999999999999545</v>
      </c>
      <c r="Q1062" t="s">
        <v>39</v>
      </c>
      <c r="R1062">
        <f t="shared" si="49"/>
        <v>9</v>
      </c>
      <c r="S1062" t="str">
        <f t="shared" si="50"/>
        <v>Sep</v>
      </c>
      <c r="T1062" s="9">
        <f>VLOOKUP(O1062, Annual_Summary!A:B, 2, 0)</f>
        <v>4.6157441670237213E-2</v>
      </c>
    </row>
    <row r="1063" spans="1:20" x14ac:dyDescent="0.3">
      <c r="A1063" s="1">
        <v>45925</v>
      </c>
      <c r="B1063" t="s">
        <v>15</v>
      </c>
      <c r="C1063" s="3">
        <v>1377</v>
      </c>
      <c r="D1063" s="3">
        <v>1391.5</v>
      </c>
      <c r="E1063" s="3">
        <v>1371.8</v>
      </c>
      <c r="F1063" s="3">
        <v>1382.7</v>
      </c>
      <c r="G1063" s="3">
        <v>1373.7</v>
      </c>
      <c r="H1063" s="3">
        <v>1375.8</v>
      </c>
      <c r="I1063" s="3">
        <v>1378.32</v>
      </c>
      <c r="J1063" s="3">
        <v>1500</v>
      </c>
      <c r="K1063" s="3">
        <v>1186</v>
      </c>
      <c r="L1063" s="2">
        <v>21613389</v>
      </c>
      <c r="M1063" s="2">
        <v>29790090966.099998</v>
      </c>
      <c r="N1063" s="2">
        <v>196991</v>
      </c>
      <c r="O1063" t="s">
        <v>20</v>
      </c>
      <c r="P1063" s="8">
        <f t="shared" si="48"/>
        <v>5.7000000000000455</v>
      </c>
      <c r="Q1063" t="s">
        <v>39</v>
      </c>
      <c r="R1063">
        <f t="shared" si="49"/>
        <v>9</v>
      </c>
      <c r="S1063" t="str">
        <f t="shared" si="50"/>
        <v>Sep</v>
      </c>
      <c r="T1063" s="9">
        <f>VLOOKUP(O1063, Annual_Summary!A:B, 2, 0)</f>
        <v>4.6157441670237213E-2</v>
      </c>
    </row>
    <row r="1064" spans="1:20" x14ac:dyDescent="0.3">
      <c r="A1064" s="1">
        <v>45924</v>
      </c>
      <c r="B1064" t="s">
        <v>15</v>
      </c>
      <c r="C1064" s="3">
        <v>1386.4</v>
      </c>
      <c r="D1064" s="3">
        <v>1390.9</v>
      </c>
      <c r="E1064" s="3">
        <v>1376.5</v>
      </c>
      <c r="F1064" s="3">
        <v>1394.3</v>
      </c>
      <c r="G1064" s="3">
        <v>1383</v>
      </c>
      <c r="H1064" s="3">
        <v>1382.7</v>
      </c>
      <c r="I1064" s="3">
        <v>1382.2</v>
      </c>
      <c r="J1064" s="3">
        <v>1500</v>
      </c>
      <c r="K1064" s="3">
        <v>1186</v>
      </c>
      <c r="L1064" s="2">
        <v>9735678</v>
      </c>
      <c r="M1064" s="2">
        <v>13456684266.1</v>
      </c>
      <c r="N1064" s="2">
        <v>210851</v>
      </c>
      <c r="O1064" t="s">
        <v>20</v>
      </c>
      <c r="P1064" s="8">
        <f t="shared" si="48"/>
        <v>7.8999999999998636</v>
      </c>
      <c r="Q1064" t="s">
        <v>39</v>
      </c>
      <c r="R1064">
        <f t="shared" si="49"/>
        <v>9</v>
      </c>
      <c r="S1064" t="str">
        <f t="shared" si="50"/>
        <v>Sep</v>
      </c>
      <c r="T1064" s="9">
        <f>VLOOKUP(O1064, Annual_Summary!A:B, 2, 0)</f>
        <v>4.6157441670237213E-2</v>
      </c>
    </row>
    <row r="1065" spans="1:20" x14ac:dyDescent="0.3">
      <c r="A1065" s="1">
        <v>45923</v>
      </c>
      <c r="B1065" t="s">
        <v>15</v>
      </c>
      <c r="C1065" s="3">
        <v>1391</v>
      </c>
      <c r="D1065" s="3">
        <v>1403.3</v>
      </c>
      <c r="E1065" s="3">
        <v>1391</v>
      </c>
      <c r="F1065" s="3">
        <v>1401.5</v>
      </c>
      <c r="G1065" s="3">
        <v>1396.1</v>
      </c>
      <c r="H1065" s="3">
        <v>1394.3</v>
      </c>
      <c r="I1065" s="3">
        <v>1396.75</v>
      </c>
      <c r="J1065" s="3">
        <v>1500</v>
      </c>
      <c r="K1065" s="3">
        <v>1186</v>
      </c>
      <c r="L1065" s="2">
        <v>12827524</v>
      </c>
      <c r="M1065" s="2">
        <v>17916801862.900002</v>
      </c>
      <c r="N1065" s="2">
        <v>197247</v>
      </c>
      <c r="O1065" t="s">
        <v>20</v>
      </c>
      <c r="P1065" s="8">
        <f t="shared" si="48"/>
        <v>10.5</v>
      </c>
      <c r="Q1065" t="s">
        <v>39</v>
      </c>
      <c r="R1065">
        <f t="shared" si="49"/>
        <v>9</v>
      </c>
      <c r="S1065" t="str">
        <f t="shared" si="50"/>
        <v>Sep</v>
      </c>
      <c r="T1065" s="9">
        <f>VLOOKUP(O1065, Annual_Summary!A:B, 2, 0)</f>
        <v>4.6157441670237213E-2</v>
      </c>
    </row>
    <row r="1066" spans="1:20" x14ac:dyDescent="0.3">
      <c r="A1066" s="1">
        <v>45922</v>
      </c>
      <c r="B1066" t="s">
        <v>15</v>
      </c>
      <c r="C1066" s="3">
        <v>1403.9</v>
      </c>
      <c r="D1066" s="3">
        <v>1409.9</v>
      </c>
      <c r="E1066" s="3">
        <v>1397.2</v>
      </c>
      <c r="F1066" s="3">
        <v>1402.2</v>
      </c>
      <c r="G1066" s="3">
        <v>1402.2</v>
      </c>
      <c r="H1066" s="3">
        <v>1401.5</v>
      </c>
      <c r="I1066" s="3">
        <v>1403.29</v>
      </c>
      <c r="J1066" s="3">
        <v>1500</v>
      </c>
      <c r="K1066" s="3">
        <v>1186</v>
      </c>
      <c r="L1066" s="2">
        <v>8847948</v>
      </c>
      <c r="M1066" s="2">
        <v>12416209740.200001</v>
      </c>
      <c r="N1066" s="2">
        <v>113260</v>
      </c>
      <c r="O1066" t="s">
        <v>20</v>
      </c>
      <c r="P1066" s="8">
        <f t="shared" si="48"/>
        <v>-1.7000000000000455</v>
      </c>
      <c r="Q1066" t="s">
        <v>39</v>
      </c>
      <c r="R1066">
        <f t="shared" si="49"/>
        <v>9</v>
      </c>
      <c r="S1066" t="str">
        <f t="shared" si="50"/>
        <v>Sep</v>
      </c>
      <c r="T1066" s="9">
        <f>VLOOKUP(O1066, Annual_Summary!A:B, 2, 0)</f>
        <v>4.6157441670237213E-2</v>
      </c>
    </row>
    <row r="1067" spans="1:20" x14ac:dyDescent="0.3">
      <c r="A1067" s="1">
        <v>45919</v>
      </c>
      <c r="B1067" t="s">
        <v>15</v>
      </c>
      <c r="C1067" s="3">
        <v>1416.1</v>
      </c>
      <c r="D1067" s="3">
        <v>1418</v>
      </c>
      <c r="E1067" s="3">
        <v>1400.2</v>
      </c>
      <c r="F1067" s="3">
        <v>1421.7</v>
      </c>
      <c r="G1067" s="3">
        <v>1402.5</v>
      </c>
      <c r="H1067" s="3">
        <v>1402.2</v>
      </c>
      <c r="I1067" s="3">
        <v>1404.18</v>
      </c>
      <c r="J1067" s="3">
        <v>1500</v>
      </c>
      <c r="K1067" s="3">
        <v>1186</v>
      </c>
      <c r="L1067" s="2">
        <v>13457344</v>
      </c>
      <c r="M1067" s="2">
        <v>18896559650.799999</v>
      </c>
      <c r="N1067" s="2">
        <v>172737</v>
      </c>
      <c r="O1067" t="s">
        <v>20</v>
      </c>
      <c r="P1067" s="8">
        <f t="shared" si="48"/>
        <v>5.6000000000001364</v>
      </c>
      <c r="Q1067" t="s">
        <v>39</v>
      </c>
      <c r="R1067">
        <f t="shared" si="49"/>
        <v>9</v>
      </c>
      <c r="S1067" t="str">
        <f t="shared" si="50"/>
        <v>Sep</v>
      </c>
      <c r="T1067" s="9">
        <f>VLOOKUP(O1067, Annual_Summary!A:B, 2, 0)</f>
        <v>4.6157441670237213E-2</v>
      </c>
    </row>
    <row r="1068" spans="1:20" x14ac:dyDescent="0.3">
      <c r="A1068" s="1">
        <v>45918</v>
      </c>
      <c r="B1068" t="s">
        <v>15</v>
      </c>
      <c r="C1068" s="3">
        <v>1431.1</v>
      </c>
      <c r="D1068" s="3">
        <v>1432.8</v>
      </c>
      <c r="E1068" s="3">
        <v>1415.3</v>
      </c>
      <c r="F1068" s="3">
        <v>1419.2</v>
      </c>
      <c r="G1068" s="3">
        <v>1423</v>
      </c>
      <c r="H1068" s="3">
        <v>1421.7</v>
      </c>
      <c r="I1068" s="3">
        <v>1422.48</v>
      </c>
      <c r="J1068" s="3">
        <v>1500</v>
      </c>
      <c r="K1068" s="3">
        <v>1186</v>
      </c>
      <c r="L1068" s="2">
        <v>8130537</v>
      </c>
      <c r="M1068" s="2">
        <v>11565563636.6</v>
      </c>
      <c r="N1068" s="2">
        <v>165955</v>
      </c>
      <c r="O1068" t="s">
        <v>20</v>
      </c>
      <c r="P1068" s="8">
        <f t="shared" si="48"/>
        <v>-11.899999999999864</v>
      </c>
      <c r="Q1068" t="s">
        <v>39</v>
      </c>
      <c r="R1068">
        <f t="shared" si="49"/>
        <v>9</v>
      </c>
      <c r="S1068" t="str">
        <f t="shared" si="50"/>
        <v>Sep</v>
      </c>
      <c r="T1068" s="9">
        <f>VLOOKUP(O1068, Annual_Summary!A:B, 2, 0)</f>
        <v>4.6157441670237213E-2</v>
      </c>
    </row>
    <row r="1069" spans="1:20" x14ac:dyDescent="0.3">
      <c r="A1069" s="1">
        <v>45917</v>
      </c>
      <c r="B1069" t="s">
        <v>15</v>
      </c>
      <c r="C1069" s="3">
        <v>1420.1</v>
      </c>
      <c r="D1069" s="3">
        <v>1426.1</v>
      </c>
      <c r="E1069" s="3">
        <v>1416.4</v>
      </c>
      <c r="F1069" s="3">
        <v>1421.6</v>
      </c>
      <c r="G1069" s="3">
        <v>1417.2</v>
      </c>
      <c r="H1069" s="3">
        <v>1419.2</v>
      </c>
      <c r="I1069" s="3">
        <v>1420.85</v>
      </c>
      <c r="J1069" s="3">
        <v>1500</v>
      </c>
      <c r="K1069" s="3">
        <v>1186</v>
      </c>
      <c r="L1069" s="2">
        <v>7484283</v>
      </c>
      <c r="M1069" s="2">
        <v>10634007393.700001</v>
      </c>
      <c r="N1069" s="2">
        <v>131200</v>
      </c>
      <c r="O1069" t="s">
        <v>20</v>
      </c>
      <c r="P1069" s="8">
        <f t="shared" si="48"/>
        <v>1.5</v>
      </c>
      <c r="Q1069" t="s">
        <v>39</v>
      </c>
      <c r="R1069">
        <f t="shared" si="49"/>
        <v>9</v>
      </c>
      <c r="S1069" t="str">
        <f t="shared" si="50"/>
        <v>Sep</v>
      </c>
      <c r="T1069" s="9">
        <f>VLOOKUP(O1069, Annual_Summary!A:B, 2, 0)</f>
        <v>4.6157441670237213E-2</v>
      </c>
    </row>
    <row r="1070" spans="1:20" x14ac:dyDescent="0.3">
      <c r="A1070" s="1">
        <v>45916</v>
      </c>
      <c r="B1070" t="s">
        <v>15</v>
      </c>
      <c r="C1070" s="3">
        <v>1414</v>
      </c>
      <c r="D1070" s="3">
        <v>1424.9</v>
      </c>
      <c r="E1070" s="3">
        <v>1413.7</v>
      </c>
      <c r="F1070" s="3">
        <v>1419.4</v>
      </c>
      <c r="G1070" s="3">
        <v>1422.4</v>
      </c>
      <c r="H1070" s="3">
        <v>1421.6</v>
      </c>
      <c r="I1070" s="3">
        <v>1420.63</v>
      </c>
      <c r="J1070" s="3">
        <v>1500</v>
      </c>
      <c r="K1070" s="3">
        <v>1186</v>
      </c>
      <c r="L1070" s="2">
        <v>8213151</v>
      </c>
      <c r="M1070" s="2">
        <v>11667859743.799999</v>
      </c>
      <c r="N1070" s="2">
        <v>139536</v>
      </c>
      <c r="O1070" t="s">
        <v>20</v>
      </c>
      <c r="P1070" s="8">
        <f t="shared" si="48"/>
        <v>5.4000000000000909</v>
      </c>
      <c r="Q1070" t="s">
        <v>39</v>
      </c>
      <c r="R1070">
        <f t="shared" si="49"/>
        <v>9</v>
      </c>
      <c r="S1070" t="str">
        <f t="shared" si="50"/>
        <v>Sep</v>
      </c>
      <c r="T1070" s="9">
        <f>VLOOKUP(O1070, Annual_Summary!A:B, 2, 0)</f>
        <v>4.6157441670237213E-2</v>
      </c>
    </row>
    <row r="1071" spans="1:20" x14ac:dyDescent="0.3">
      <c r="A1071" s="1">
        <v>45915</v>
      </c>
      <c r="B1071" t="s">
        <v>15</v>
      </c>
      <c r="C1071" s="3">
        <v>1422</v>
      </c>
      <c r="D1071" s="3">
        <v>1426.8</v>
      </c>
      <c r="E1071" s="3">
        <v>1416.3</v>
      </c>
      <c r="F1071" s="3">
        <v>1417.7</v>
      </c>
      <c r="G1071" s="3">
        <v>1418</v>
      </c>
      <c r="H1071" s="3">
        <v>1419.4</v>
      </c>
      <c r="I1071" s="3">
        <v>1421.99</v>
      </c>
      <c r="J1071" s="3">
        <v>1500</v>
      </c>
      <c r="K1071" s="3">
        <v>1186</v>
      </c>
      <c r="L1071" s="2">
        <v>5845637</v>
      </c>
      <c r="M1071" s="2">
        <v>8312411904.6000004</v>
      </c>
      <c r="N1071" s="2">
        <v>130816</v>
      </c>
      <c r="O1071" t="s">
        <v>20</v>
      </c>
      <c r="P1071" s="8">
        <f t="shared" si="48"/>
        <v>-4.2999999999999545</v>
      </c>
      <c r="Q1071" t="s">
        <v>39</v>
      </c>
      <c r="R1071">
        <f t="shared" si="49"/>
        <v>9</v>
      </c>
      <c r="S1071" t="str">
        <f t="shared" si="50"/>
        <v>Sep</v>
      </c>
      <c r="T1071" s="9">
        <f>VLOOKUP(O1071, Annual_Summary!A:B, 2, 0)</f>
        <v>4.6157441670237213E-2</v>
      </c>
    </row>
    <row r="1072" spans="1:20" x14ac:dyDescent="0.3">
      <c r="A1072" s="1">
        <v>45912</v>
      </c>
      <c r="B1072" t="s">
        <v>15</v>
      </c>
      <c r="C1072" s="3">
        <v>1405.1</v>
      </c>
      <c r="D1072" s="3">
        <v>1419.7</v>
      </c>
      <c r="E1072" s="3">
        <v>1400.1</v>
      </c>
      <c r="F1072" s="3">
        <v>1401.6</v>
      </c>
      <c r="G1072" s="3">
        <v>1417.5</v>
      </c>
      <c r="H1072" s="3">
        <v>1417.7</v>
      </c>
      <c r="I1072" s="3">
        <v>1412.86</v>
      </c>
      <c r="J1072" s="3">
        <v>1500</v>
      </c>
      <c r="K1072" s="3">
        <v>1186</v>
      </c>
      <c r="L1072" s="2">
        <v>7770038</v>
      </c>
      <c r="M1072" s="2">
        <v>10977991343.799999</v>
      </c>
      <c r="N1072" s="2">
        <v>165154</v>
      </c>
      <c r="O1072" t="s">
        <v>20</v>
      </c>
      <c r="P1072" s="8">
        <f t="shared" si="48"/>
        <v>-3.5</v>
      </c>
      <c r="Q1072" t="s">
        <v>39</v>
      </c>
      <c r="R1072">
        <f t="shared" si="49"/>
        <v>9</v>
      </c>
      <c r="S1072" t="str">
        <f t="shared" si="50"/>
        <v>Sep</v>
      </c>
      <c r="T1072" s="9">
        <f>VLOOKUP(O1072, Annual_Summary!A:B, 2, 0)</f>
        <v>4.6157441670237213E-2</v>
      </c>
    </row>
    <row r="1073" spans="1:20" x14ac:dyDescent="0.3">
      <c r="A1073" s="1">
        <v>45911</v>
      </c>
      <c r="B1073" t="s">
        <v>15</v>
      </c>
      <c r="C1073" s="3">
        <v>1398</v>
      </c>
      <c r="D1073" s="3">
        <v>1408</v>
      </c>
      <c r="E1073" s="3">
        <v>1396</v>
      </c>
      <c r="F1073" s="3">
        <v>1403.9</v>
      </c>
      <c r="G1073" s="3">
        <v>1401.6</v>
      </c>
      <c r="H1073" s="3">
        <v>1401.6</v>
      </c>
      <c r="I1073" s="3">
        <v>1403.25</v>
      </c>
      <c r="J1073" s="3">
        <v>1500</v>
      </c>
      <c r="K1073" s="3">
        <v>1186</v>
      </c>
      <c r="L1073" s="2">
        <v>10192026</v>
      </c>
      <c r="M1073" s="2">
        <v>14301923215.799999</v>
      </c>
      <c r="N1073" s="2">
        <v>181447</v>
      </c>
      <c r="O1073" t="s">
        <v>20</v>
      </c>
      <c r="P1073" s="8">
        <f t="shared" si="48"/>
        <v>5.9000000000000909</v>
      </c>
      <c r="Q1073" t="s">
        <v>39</v>
      </c>
      <c r="R1073">
        <f t="shared" si="49"/>
        <v>9</v>
      </c>
      <c r="S1073" t="str">
        <f t="shared" si="50"/>
        <v>Sep</v>
      </c>
      <c r="T1073" s="9">
        <f>VLOOKUP(O1073, Annual_Summary!A:B, 2, 0)</f>
        <v>4.6157441670237213E-2</v>
      </c>
    </row>
    <row r="1074" spans="1:20" x14ac:dyDescent="0.3">
      <c r="A1074" s="1">
        <v>45910</v>
      </c>
      <c r="B1074" t="s">
        <v>15</v>
      </c>
      <c r="C1074" s="3">
        <v>1410</v>
      </c>
      <c r="D1074" s="3">
        <v>1413.7</v>
      </c>
      <c r="E1074" s="3">
        <v>1402.1</v>
      </c>
      <c r="F1074" s="3">
        <v>1403.7</v>
      </c>
      <c r="G1074" s="3">
        <v>1403.3</v>
      </c>
      <c r="H1074" s="3">
        <v>1403.9</v>
      </c>
      <c r="I1074" s="3">
        <v>1407.17</v>
      </c>
      <c r="J1074" s="3">
        <v>1500</v>
      </c>
      <c r="K1074" s="3">
        <v>1186</v>
      </c>
      <c r="L1074" s="2">
        <v>7452347</v>
      </c>
      <c r="M1074" s="2">
        <v>10486722637.700001</v>
      </c>
      <c r="N1074" s="2">
        <v>216180</v>
      </c>
      <c r="O1074" t="s">
        <v>20</v>
      </c>
      <c r="P1074" s="8">
        <f t="shared" si="48"/>
        <v>-6.2999999999999545</v>
      </c>
      <c r="Q1074" t="s">
        <v>39</v>
      </c>
      <c r="R1074">
        <f t="shared" si="49"/>
        <v>9</v>
      </c>
      <c r="S1074" t="str">
        <f t="shared" si="50"/>
        <v>Sep</v>
      </c>
      <c r="T1074" s="9">
        <f>VLOOKUP(O1074, Annual_Summary!A:B, 2, 0)</f>
        <v>4.6157441670237213E-2</v>
      </c>
    </row>
    <row r="1075" spans="1:20" x14ac:dyDescent="0.3">
      <c r="A1075" s="1">
        <v>45909</v>
      </c>
      <c r="B1075" t="s">
        <v>15</v>
      </c>
      <c r="C1075" s="3">
        <v>1399</v>
      </c>
      <c r="D1075" s="3">
        <v>1407.5</v>
      </c>
      <c r="E1075" s="3">
        <v>1395.2</v>
      </c>
      <c r="F1075" s="3">
        <v>1402.7</v>
      </c>
      <c r="G1075" s="3">
        <v>1402.4</v>
      </c>
      <c r="H1075" s="3">
        <v>1403.7</v>
      </c>
      <c r="I1075" s="3">
        <v>1401.81</v>
      </c>
      <c r="J1075" s="3">
        <v>1500</v>
      </c>
      <c r="K1075" s="3">
        <v>1186</v>
      </c>
      <c r="L1075" s="2">
        <v>6470679</v>
      </c>
      <c r="M1075" s="2">
        <v>9070676168.8999996</v>
      </c>
      <c r="N1075" s="2">
        <v>129854</v>
      </c>
      <c r="O1075" t="s">
        <v>20</v>
      </c>
      <c r="P1075" s="8">
        <f t="shared" si="48"/>
        <v>3.7000000000000455</v>
      </c>
      <c r="Q1075" t="s">
        <v>39</v>
      </c>
      <c r="R1075">
        <f t="shared" si="49"/>
        <v>9</v>
      </c>
      <c r="S1075" t="str">
        <f t="shared" si="50"/>
        <v>Sep</v>
      </c>
      <c r="T1075" s="9">
        <f>VLOOKUP(O1075, Annual_Summary!A:B, 2, 0)</f>
        <v>4.6157441670237213E-2</v>
      </c>
    </row>
    <row r="1076" spans="1:20" x14ac:dyDescent="0.3">
      <c r="A1076" s="1">
        <v>45908</v>
      </c>
      <c r="B1076" t="s">
        <v>15</v>
      </c>
      <c r="C1076" s="3">
        <v>1402.2</v>
      </c>
      <c r="D1076" s="3">
        <v>1410.6</v>
      </c>
      <c r="E1076" s="3">
        <v>1397.6</v>
      </c>
      <c r="F1076" s="3">
        <v>1402.8</v>
      </c>
      <c r="G1076" s="3">
        <v>1403</v>
      </c>
      <c r="H1076" s="3">
        <v>1402.7</v>
      </c>
      <c r="I1076" s="3">
        <v>1404.56</v>
      </c>
      <c r="J1076" s="3">
        <v>1500</v>
      </c>
      <c r="K1076" s="3">
        <v>1186</v>
      </c>
      <c r="L1076" s="2">
        <v>5880943</v>
      </c>
      <c r="M1076" s="2">
        <v>8260153082.3000002</v>
      </c>
      <c r="N1076" s="2">
        <v>133142</v>
      </c>
      <c r="O1076" t="s">
        <v>20</v>
      </c>
      <c r="P1076" s="8">
        <f t="shared" si="48"/>
        <v>0.59999999999990905</v>
      </c>
      <c r="Q1076" t="s">
        <v>39</v>
      </c>
      <c r="R1076">
        <f t="shared" si="49"/>
        <v>9</v>
      </c>
      <c r="S1076" t="str">
        <f t="shared" si="50"/>
        <v>Sep</v>
      </c>
      <c r="T1076" s="9">
        <f>VLOOKUP(O1076, Annual_Summary!A:B, 2, 0)</f>
        <v>4.6157441670237213E-2</v>
      </c>
    </row>
    <row r="1077" spans="1:20" x14ac:dyDescent="0.3">
      <c r="A1077" s="1">
        <v>45905</v>
      </c>
      <c r="B1077" t="s">
        <v>15</v>
      </c>
      <c r="C1077" s="3">
        <v>1411</v>
      </c>
      <c r="D1077" s="3">
        <v>1411.5</v>
      </c>
      <c r="E1077" s="3">
        <v>1387.7</v>
      </c>
      <c r="F1077" s="3">
        <v>1405.5</v>
      </c>
      <c r="G1077" s="3">
        <v>1402.3</v>
      </c>
      <c r="H1077" s="3">
        <v>1402.8</v>
      </c>
      <c r="I1077" s="3">
        <v>1397.54</v>
      </c>
      <c r="J1077" s="3">
        <v>1500</v>
      </c>
      <c r="K1077" s="3">
        <v>1186</v>
      </c>
      <c r="L1077" s="2">
        <v>6621077</v>
      </c>
      <c r="M1077" s="2">
        <v>9253243890.2999992</v>
      </c>
      <c r="N1077" s="2">
        <v>129950</v>
      </c>
      <c r="O1077" t="s">
        <v>20</v>
      </c>
      <c r="P1077" s="8">
        <f t="shared" si="48"/>
        <v>-5.5</v>
      </c>
      <c r="Q1077" t="s">
        <v>39</v>
      </c>
      <c r="R1077">
        <f t="shared" si="49"/>
        <v>9</v>
      </c>
      <c r="S1077" t="str">
        <f t="shared" si="50"/>
        <v>Sep</v>
      </c>
      <c r="T1077" s="9">
        <f>VLOOKUP(O1077, Annual_Summary!A:B, 2, 0)</f>
        <v>4.6157441670237213E-2</v>
      </c>
    </row>
    <row r="1078" spans="1:20" x14ac:dyDescent="0.3">
      <c r="A1078" s="1">
        <v>45904</v>
      </c>
      <c r="B1078" t="s">
        <v>15</v>
      </c>
      <c r="C1078" s="3">
        <v>1409.9</v>
      </c>
      <c r="D1078" s="3">
        <v>1415.1</v>
      </c>
      <c r="E1078" s="3">
        <v>1401.9</v>
      </c>
      <c r="F1078" s="3">
        <v>1397</v>
      </c>
      <c r="G1078" s="3">
        <v>1408</v>
      </c>
      <c r="H1078" s="3">
        <v>1405.5</v>
      </c>
      <c r="I1078" s="3">
        <v>1408.38</v>
      </c>
      <c r="J1078" s="3">
        <v>1500</v>
      </c>
      <c r="K1078" s="3">
        <v>1186</v>
      </c>
      <c r="L1078" s="2">
        <v>10564859</v>
      </c>
      <c r="M1078" s="2">
        <v>14879368496.700001</v>
      </c>
      <c r="N1078" s="2">
        <v>178722</v>
      </c>
      <c r="O1078" t="s">
        <v>20</v>
      </c>
      <c r="P1078" s="8">
        <f t="shared" si="48"/>
        <v>-12.900000000000091</v>
      </c>
      <c r="Q1078" t="s">
        <v>39</v>
      </c>
      <c r="R1078">
        <f t="shared" si="49"/>
        <v>9</v>
      </c>
      <c r="S1078" t="str">
        <f t="shared" si="50"/>
        <v>Sep</v>
      </c>
      <c r="T1078" s="9">
        <f>VLOOKUP(O1078, Annual_Summary!A:B, 2, 0)</f>
        <v>4.6157441670237213E-2</v>
      </c>
    </row>
    <row r="1079" spans="1:20" x14ac:dyDescent="0.3">
      <c r="A1079" s="1">
        <v>45903</v>
      </c>
      <c r="B1079" t="s">
        <v>15</v>
      </c>
      <c r="C1079" s="3">
        <v>1389</v>
      </c>
      <c r="D1079" s="3">
        <v>1400</v>
      </c>
      <c r="E1079" s="3">
        <v>1384.2</v>
      </c>
      <c r="F1079" s="3">
        <v>1394.2</v>
      </c>
      <c r="G1079" s="3">
        <v>1396.6</v>
      </c>
      <c r="H1079" s="3">
        <v>1397</v>
      </c>
      <c r="I1079" s="3">
        <v>1392.24</v>
      </c>
      <c r="J1079" s="3">
        <v>1500</v>
      </c>
      <c r="K1079" s="3">
        <v>1186</v>
      </c>
      <c r="L1079" s="2">
        <v>9813382</v>
      </c>
      <c r="M1079" s="2">
        <v>13662618272.4</v>
      </c>
      <c r="N1079" s="2">
        <v>215122</v>
      </c>
      <c r="O1079" t="s">
        <v>20</v>
      </c>
      <c r="P1079" s="8">
        <f t="shared" si="48"/>
        <v>5.2000000000000455</v>
      </c>
      <c r="Q1079" t="s">
        <v>39</v>
      </c>
      <c r="R1079">
        <f t="shared" si="49"/>
        <v>9</v>
      </c>
      <c r="S1079" t="str">
        <f t="shared" si="50"/>
        <v>Sep</v>
      </c>
      <c r="T1079" s="9">
        <f>VLOOKUP(O1079, Annual_Summary!A:B, 2, 0)</f>
        <v>4.6157441670237213E-2</v>
      </c>
    </row>
    <row r="1080" spans="1:20" x14ac:dyDescent="0.3">
      <c r="A1080" s="1">
        <v>45902</v>
      </c>
      <c r="B1080" t="s">
        <v>15</v>
      </c>
      <c r="C1080" s="3">
        <v>1413.9</v>
      </c>
      <c r="D1080" s="3">
        <v>1413.9</v>
      </c>
      <c r="E1080" s="3">
        <v>1390</v>
      </c>
      <c r="F1080" s="3">
        <v>1411</v>
      </c>
      <c r="G1080" s="3">
        <v>1391</v>
      </c>
      <c r="H1080" s="3">
        <v>1394.2</v>
      </c>
      <c r="I1080" s="3">
        <v>1401.96</v>
      </c>
      <c r="J1080" s="3">
        <v>1500</v>
      </c>
      <c r="K1080" s="3">
        <v>1186</v>
      </c>
      <c r="L1080" s="2">
        <v>7163073</v>
      </c>
      <c r="M1080" s="2">
        <v>10042341320.299999</v>
      </c>
      <c r="N1080" s="2">
        <v>207579</v>
      </c>
      <c r="O1080" t="s">
        <v>20</v>
      </c>
      <c r="P1080" s="8">
        <f t="shared" si="48"/>
        <v>-2.9000000000000909</v>
      </c>
      <c r="Q1080" t="s">
        <v>39</v>
      </c>
      <c r="R1080">
        <f t="shared" si="49"/>
        <v>9</v>
      </c>
      <c r="S1080" t="str">
        <f t="shared" si="50"/>
        <v>Sep</v>
      </c>
      <c r="T1080" s="9">
        <f>VLOOKUP(O1080, Annual_Summary!A:B, 2, 0)</f>
        <v>4.6157441670237213E-2</v>
      </c>
    </row>
    <row r="1081" spans="1:20" x14ac:dyDescent="0.3">
      <c r="A1081" s="1">
        <v>45901</v>
      </c>
      <c r="B1081" t="s">
        <v>15</v>
      </c>
      <c r="C1081" s="3">
        <v>1398.1</v>
      </c>
      <c r="D1081" s="3">
        <v>1412.4</v>
      </c>
      <c r="E1081" s="3">
        <v>1398.1</v>
      </c>
      <c r="F1081" s="3">
        <v>1397.8</v>
      </c>
      <c r="G1081" s="3">
        <v>1411</v>
      </c>
      <c r="H1081" s="3">
        <v>1411</v>
      </c>
      <c r="I1081" s="3">
        <v>1406.76</v>
      </c>
      <c r="J1081" s="3">
        <v>1500</v>
      </c>
      <c r="K1081" s="3">
        <v>1186</v>
      </c>
      <c r="L1081" s="2">
        <v>4927348</v>
      </c>
      <c r="M1081" s="2">
        <v>6931617328.6999998</v>
      </c>
      <c r="N1081" s="2">
        <v>137472</v>
      </c>
      <c r="O1081" t="s">
        <v>20</v>
      </c>
      <c r="P1081" s="8">
        <f t="shared" si="48"/>
        <v>-0.29999999999995453</v>
      </c>
      <c r="Q1081" t="s">
        <v>39</v>
      </c>
      <c r="R1081">
        <f t="shared" si="49"/>
        <v>9</v>
      </c>
      <c r="S1081" t="str">
        <f t="shared" si="50"/>
        <v>Sep</v>
      </c>
      <c r="T1081" s="9">
        <f>VLOOKUP(O1081, Annual_Summary!A:B, 2, 0)</f>
        <v>4.6157441670237213E-2</v>
      </c>
    </row>
    <row r="1082" spans="1:20" x14ac:dyDescent="0.3">
      <c r="A1082" s="1">
        <v>45898</v>
      </c>
      <c r="B1082" t="s">
        <v>15</v>
      </c>
      <c r="C1082" s="3">
        <v>1392.1</v>
      </c>
      <c r="D1082" s="3">
        <v>1405</v>
      </c>
      <c r="E1082" s="3">
        <v>1392.1</v>
      </c>
      <c r="F1082" s="3">
        <v>1399.1</v>
      </c>
      <c r="G1082" s="3">
        <v>1396.2</v>
      </c>
      <c r="H1082" s="3">
        <v>1397.8</v>
      </c>
      <c r="I1082" s="3">
        <v>1399.82</v>
      </c>
      <c r="J1082" s="3">
        <v>1500</v>
      </c>
      <c r="K1082" s="3">
        <v>1186</v>
      </c>
      <c r="L1082" s="2">
        <v>8519507</v>
      </c>
      <c r="M1082" s="2">
        <v>11925741661</v>
      </c>
      <c r="N1082" s="2">
        <v>183125</v>
      </c>
      <c r="O1082" t="s">
        <v>20</v>
      </c>
      <c r="P1082" s="8">
        <f t="shared" si="48"/>
        <v>7</v>
      </c>
      <c r="Q1082" t="s">
        <v>39</v>
      </c>
      <c r="R1082">
        <f t="shared" si="49"/>
        <v>8</v>
      </c>
      <c r="S1082" t="str">
        <f t="shared" si="50"/>
        <v>Aug</v>
      </c>
      <c r="T1082" s="9">
        <f>VLOOKUP(O1082, Annual_Summary!A:B, 2, 0)</f>
        <v>4.6157441670237213E-2</v>
      </c>
    </row>
    <row r="1083" spans="1:20" x14ac:dyDescent="0.3">
      <c r="A1083" s="1">
        <v>45897</v>
      </c>
      <c r="B1083" t="s">
        <v>15</v>
      </c>
      <c r="C1083" s="3">
        <v>1408</v>
      </c>
      <c r="D1083" s="3">
        <v>1411.8</v>
      </c>
      <c r="E1083" s="3">
        <v>1396.3</v>
      </c>
      <c r="F1083" s="3">
        <v>1416.6</v>
      </c>
      <c r="G1083" s="3">
        <v>1397.6</v>
      </c>
      <c r="H1083" s="3">
        <v>1399.1</v>
      </c>
      <c r="I1083" s="3">
        <v>1403.02</v>
      </c>
      <c r="J1083" s="3">
        <v>1500</v>
      </c>
      <c r="K1083" s="3">
        <v>1186</v>
      </c>
      <c r="L1083" s="2">
        <v>12990789</v>
      </c>
      <c r="M1083" s="2">
        <v>18226341926.400002</v>
      </c>
      <c r="N1083" s="2">
        <v>241173</v>
      </c>
      <c r="O1083" t="s">
        <v>20</v>
      </c>
      <c r="P1083" s="8">
        <f t="shared" si="48"/>
        <v>8.5999999999999091</v>
      </c>
      <c r="Q1083" t="s">
        <v>39</v>
      </c>
      <c r="R1083">
        <f t="shared" si="49"/>
        <v>8</v>
      </c>
      <c r="S1083" t="str">
        <f t="shared" si="50"/>
        <v>Aug</v>
      </c>
      <c r="T1083" s="9">
        <f>VLOOKUP(O1083, Annual_Summary!A:B, 2, 0)</f>
        <v>4.6157441670237213E-2</v>
      </c>
    </row>
    <row r="1084" spans="1:20" x14ac:dyDescent="0.3">
      <c r="A1084" s="1">
        <v>45895</v>
      </c>
      <c r="B1084" t="s">
        <v>15</v>
      </c>
      <c r="C1084" s="3">
        <v>1427.9</v>
      </c>
      <c r="D1084" s="3">
        <v>1427.9</v>
      </c>
      <c r="E1084" s="3">
        <v>1413.1</v>
      </c>
      <c r="F1084" s="3">
        <v>1433.2</v>
      </c>
      <c r="G1084" s="3">
        <v>1415</v>
      </c>
      <c r="H1084" s="3">
        <v>1416.6</v>
      </c>
      <c r="I1084" s="3">
        <v>1417.47</v>
      </c>
      <c r="J1084" s="3">
        <v>1500</v>
      </c>
      <c r="K1084" s="3">
        <v>1186</v>
      </c>
      <c r="L1084" s="2">
        <v>8720155</v>
      </c>
      <c r="M1084" s="2">
        <v>12360595794</v>
      </c>
      <c r="N1084" s="2">
        <v>201100</v>
      </c>
      <c r="O1084" t="s">
        <v>20</v>
      </c>
      <c r="P1084" s="8">
        <f t="shared" si="48"/>
        <v>5.2999999999999545</v>
      </c>
      <c r="Q1084" t="s">
        <v>39</v>
      </c>
      <c r="R1084">
        <f t="shared" si="49"/>
        <v>8</v>
      </c>
      <c r="S1084" t="str">
        <f t="shared" si="50"/>
        <v>Aug</v>
      </c>
      <c r="T1084" s="9">
        <f>VLOOKUP(O1084, Annual_Summary!A:B, 2, 0)</f>
        <v>4.6157441670237213E-2</v>
      </c>
    </row>
    <row r="1085" spans="1:20" x14ac:dyDescent="0.3">
      <c r="A1085" s="1">
        <v>45894</v>
      </c>
      <c r="B1085" t="s">
        <v>15</v>
      </c>
      <c r="C1085" s="3">
        <v>1435.9</v>
      </c>
      <c r="D1085" s="3">
        <v>1435.9</v>
      </c>
      <c r="E1085" s="3">
        <v>1424</v>
      </c>
      <c r="F1085" s="3">
        <v>1436.4</v>
      </c>
      <c r="G1085" s="3">
        <v>1430.9</v>
      </c>
      <c r="H1085" s="3">
        <v>1433.2</v>
      </c>
      <c r="I1085" s="3">
        <v>1430.14</v>
      </c>
      <c r="J1085" s="3">
        <v>1500</v>
      </c>
      <c r="K1085" s="3">
        <v>1186</v>
      </c>
      <c r="L1085" s="2">
        <v>6738427</v>
      </c>
      <c r="M1085" s="2">
        <v>9636918576</v>
      </c>
      <c r="N1085" s="2">
        <v>142654</v>
      </c>
      <c r="O1085" t="s">
        <v>20</v>
      </c>
      <c r="P1085" s="8">
        <f t="shared" si="48"/>
        <v>0.5</v>
      </c>
      <c r="Q1085" t="s">
        <v>39</v>
      </c>
      <c r="R1085">
        <f t="shared" si="49"/>
        <v>8</v>
      </c>
      <c r="S1085" t="str">
        <f t="shared" si="50"/>
        <v>Aug</v>
      </c>
      <c r="T1085" s="9">
        <f>VLOOKUP(O1085, Annual_Summary!A:B, 2, 0)</f>
        <v>4.6157441670237213E-2</v>
      </c>
    </row>
    <row r="1086" spans="1:20" x14ac:dyDescent="0.3">
      <c r="A1086" s="1">
        <v>45891</v>
      </c>
      <c r="B1086" t="s">
        <v>15</v>
      </c>
      <c r="C1086" s="3">
        <v>1444.3</v>
      </c>
      <c r="D1086" s="3">
        <v>1446</v>
      </c>
      <c r="E1086" s="3">
        <v>1429.4</v>
      </c>
      <c r="F1086" s="3">
        <v>1446</v>
      </c>
      <c r="G1086" s="3">
        <v>1435.9</v>
      </c>
      <c r="H1086" s="3">
        <v>1436.4</v>
      </c>
      <c r="I1086" s="3">
        <v>1436.69</v>
      </c>
      <c r="J1086" s="3">
        <v>1500</v>
      </c>
      <c r="K1086" s="3">
        <v>1165.0999999999999</v>
      </c>
      <c r="L1086" s="2">
        <v>6657207</v>
      </c>
      <c r="M1086" s="2">
        <v>9564347160.1000004</v>
      </c>
      <c r="N1086" s="2">
        <v>161483</v>
      </c>
      <c r="O1086" t="s">
        <v>20</v>
      </c>
      <c r="P1086" s="8">
        <f t="shared" si="48"/>
        <v>1.7000000000000455</v>
      </c>
      <c r="Q1086" t="s">
        <v>39</v>
      </c>
      <c r="R1086">
        <f t="shared" si="49"/>
        <v>8</v>
      </c>
      <c r="S1086" t="str">
        <f t="shared" si="50"/>
        <v>Aug</v>
      </c>
      <c r="T1086" s="9">
        <f>VLOOKUP(O1086, Annual_Summary!A:B, 2, 0)</f>
        <v>4.6157441670237213E-2</v>
      </c>
    </row>
    <row r="1087" spans="1:20" x14ac:dyDescent="0.3">
      <c r="A1087" s="1">
        <v>45890</v>
      </c>
      <c r="B1087" t="s">
        <v>15</v>
      </c>
      <c r="C1087" s="3">
        <v>1440.1</v>
      </c>
      <c r="D1087" s="3">
        <v>1447.8</v>
      </c>
      <c r="E1087" s="3">
        <v>1436.4</v>
      </c>
      <c r="F1087" s="3">
        <v>1430.6</v>
      </c>
      <c r="G1087" s="3">
        <v>1444.7</v>
      </c>
      <c r="H1087" s="3">
        <v>1446</v>
      </c>
      <c r="I1087" s="3">
        <v>1442.76</v>
      </c>
      <c r="J1087" s="3">
        <v>1500</v>
      </c>
      <c r="K1087" s="3">
        <v>1165.0999999999999</v>
      </c>
      <c r="L1087" s="2">
        <v>6238645</v>
      </c>
      <c r="M1087" s="2">
        <v>9000876523.3999996</v>
      </c>
      <c r="N1087" s="2">
        <v>161682</v>
      </c>
      <c r="O1087" t="s">
        <v>20</v>
      </c>
      <c r="P1087" s="8">
        <f t="shared" si="48"/>
        <v>-9.5</v>
      </c>
      <c r="Q1087" t="s">
        <v>39</v>
      </c>
      <c r="R1087">
        <f t="shared" si="49"/>
        <v>8</v>
      </c>
      <c r="S1087" t="str">
        <f t="shared" si="50"/>
        <v>Aug</v>
      </c>
      <c r="T1087" s="9">
        <f>VLOOKUP(O1087, Annual_Summary!A:B, 2, 0)</f>
        <v>4.6157441670237213E-2</v>
      </c>
    </row>
    <row r="1088" spans="1:20" x14ac:dyDescent="0.3">
      <c r="A1088" s="1">
        <v>45889</v>
      </c>
      <c r="B1088" t="s">
        <v>15</v>
      </c>
      <c r="C1088" s="3">
        <v>1432.6</v>
      </c>
      <c r="D1088" s="3">
        <v>1435.9</v>
      </c>
      <c r="E1088" s="3">
        <v>1423</v>
      </c>
      <c r="F1088" s="3">
        <v>1436.3</v>
      </c>
      <c r="G1088" s="3">
        <v>1430</v>
      </c>
      <c r="H1088" s="3">
        <v>1430.6</v>
      </c>
      <c r="I1088" s="3">
        <v>1429.9</v>
      </c>
      <c r="J1088" s="3">
        <v>1500</v>
      </c>
      <c r="K1088" s="3">
        <v>1165.0999999999999</v>
      </c>
      <c r="L1088" s="2">
        <v>5817858</v>
      </c>
      <c r="M1088" s="2">
        <v>8318955912.5</v>
      </c>
      <c r="N1088" s="2">
        <v>153109</v>
      </c>
      <c r="O1088" t="s">
        <v>20</v>
      </c>
      <c r="P1088" s="8">
        <f t="shared" si="48"/>
        <v>3.7000000000000455</v>
      </c>
      <c r="Q1088" t="s">
        <v>39</v>
      </c>
      <c r="R1088">
        <f t="shared" si="49"/>
        <v>8</v>
      </c>
      <c r="S1088" t="str">
        <f t="shared" si="50"/>
        <v>Aug</v>
      </c>
      <c r="T1088" s="9">
        <f>VLOOKUP(O1088, Annual_Summary!A:B, 2, 0)</f>
        <v>4.6157441670237213E-2</v>
      </c>
    </row>
    <row r="1089" spans="1:20" x14ac:dyDescent="0.3">
      <c r="A1089" s="1">
        <v>45888</v>
      </c>
      <c r="B1089" t="s">
        <v>15</v>
      </c>
      <c r="C1089" s="3">
        <v>1431.1</v>
      </c>
      <c r="D1089" s="3">
        <v>1438.5</v>
      </c>
      <c r="E1089" s="3">
        <v>1426.3</v>
      </c>
      <c r="F1089" s="3">
        <v>1434.6</v>
      </c>
      <c r="G1089" s="3">
        <v>1436.9</v>
      </c>
      <c r="H1089" s="3">
        <v>1436.3</v>
      </c>
      <c r="I1089" s="3">
        <v>1434.78</v>
      </c>
      <c r="J1089" s="3">
        <v>1500</v>
      </c>
      <c r="K1089" s="3">
        <v>1165.0999999999999</v>
      </c>
      <c r="L1089" s="2">
        <v>6709554</v>
      </c>
      <c r="M1089" s="2">
        <v>9626706605.8999996</v>
      </c>
      <c r="N1089" s="2">
        <v>161273</v>
      </c>
      <c r="O1089" t="s">
        <v>20</v>
      </c>
      <c r="P1089" s="8">
        <f t="shared" si="48"/>
        <v>3.5</v>
      </c>
      <c r="Q1089" t="s">
        <v>39</v>
      </c>
      <c r="R1089">
        <f t="shared" si="49"/>
        <v>8</v>
      </c>
      <c r="S1089" t="str">
        <f t="shared" si="50"/>
        <v>Aug</v>
      </c>
      <c r="T1089" s="9">
        <f>VLOOKUP(O1089, Annual_Summary!A:B, 2, 0)</f>
        <v>4.6157441670237213E-2</v>
      </c>
    </row>
    <row r="1090" spans="1:20" x14ac:dyDescent="0.3">
      <c r="A1090" s="1">
        <v>45887</v>
      </c>
      <c r="B1090" t="s">
        <v>15</v>
      </c>
      <c r="C1090" s="3">
        <v>1450</v>
      </c>
      <c r="D1090" s="3">
        <v>1452.4</v>
      </c>
      <c r="E1090" s="3">
        <v>1431</v>
      </c>
      <c r="F1090" s="3">
        <v>1427.3</v>
      </c>
      <c r="G1090" s="3">
        <v>1436.3</v>
      </c>
      <c r="H1090" s="3">
        <v>1434.6</v>
      </c>
      <c r="I1090" s="3">
        <v>1440.6</v>
      </c>
      <c r="J1090" s="3">
        <v>1500</v>
      </c>
      <c r="K1090" s="3">
        <v>1165.0999999999999</v>
      </c>
      <c r="L1090" s="2">
        <v>6908844</v>
      </c>
      <c r="M1090" s="2">
        <v>9952855665.5</v>
      </c>
      <c r="N1090" s="2">
        <v>150892</v>
      </c>
      <c r="O1090" t="s">
        <v>20</v>
      </c>
      <c r="P1090" s="8">
        <f t="shared" si="48"/>
        <v>-22.700000000000045</v>
      </c>
      <c r="Q1090" t="s">
        <v>39</v>
      </c>
      <c r="R1090">
        <f t="shared" si="49"/>
        <v>8</v>
      </c>
      <c r="S1090" t="str">
        <f t="shared" si="50"/>
        <v>Aug</v>
      </c>
      <c r="T1090" s="9">
        <f>VLOOKUP(O1090, Annual_Summary!A:B, 2, 0)</f>
        <v>4.6157441670237213E-2</v>
      </c>
    </row>
    <row r="1091" spans="1:20" x14ac:dyDescent="0.3">
      <c r="A1091" s="1">
        <v>45883</v>
      </c>
      <c r="B1091" t="s">
        <v>15</v>
      </c>
      <c r="C1091" s="3">
        <v>1412</v>
      </c>
      <c r="D1091" s="3">
        <v>1431.1</v>
      </c>
      <c r="E1091" s="3">
        <v>1412</v>
      </c>
      <c r="F1091" s="3">
        <v>1420.8</v>
      </c>
      <c r="G1091" s="3">
        <v>1427.6</v>
      </c>
      <c r="H1091" s="3">
        <v>1427.3</v>
      </c>
      <c r="I1091" s="3">
        <v>1426.41</v>
      </c>
      <c r="J1091" s="3">
        <v>1500</v>
      </c>
      <c r="K1091" s="3">
        <v>1153</v>
      </c>
      <c r="L1091" s="2">
        <v>7577793</v>
      </c>
      <c r="M1091" s="2">
        <v>10809059788.700001</v>
      </c>
      <c r="N1091" s="2">
        <v>146431</v>
      </c>
      <c r="O1091" t="s">
        <v>20</v>
      </c>
      <c r="P1091" s="8">
        <f t="shared" ref="P1091:P1154" si="51">F1091-C1091</f>
        <v>8.7999999999999545</v>
      </c>
      <c r="Q1091" t="s">
        <v>39</v>
      </c>
      <c r="R1091">
        <f t="shared" ref="R1091:R1154" si="52">MONTH(A1091)</f>
        <v>8</v>
      </c>
      <c r="S1091" t="str">
        <f t="shared" ref="S1091:S1154" si="53">TEXT(A1091,"mmm")</f>
        <v>Aug</v>
      </c>
      <c r="T1091" s="9">
        <f>VLOOKUP(O1091, Annual_Summary!A:B, 2, 0)</f>
        <v>4.6157441670237213E-2</v>
      </c>
    </row>
    <row r="1092" spans="1:20" x14ac:dyDescent="0.3">
      <c r="A1092" s="1">
        <v>45882</v>
      </c>
      <c r="B1092" t="s">
        <v>15</v>
      </c>
      <c r="C1092" s="3">
        <v>1424.6</v>
      </c>
      <c r="D1092" s="3">
        <v>1427.7</v>
      </c>
      <c r="E1092" s="3">
        <v>1415.2</v>
      </c>
      <c r="F1092" s="3">
        <v>1422</v>
      </c>
      <c r="G1092" s="3">
        <v>1421.8</v>
      </c>
      <c r="H1092" s="3">
        <v>1420.8</v>
      </c>
      <c r="I1092" s="3">
        <v>1421.23</v>
      </c>
      <c r="J1092" s="3">
        <v>1500</v>
      </c>
      <c r="K1092" s="3">
        <v>1153</v>
      </c>
      <c r="L1092" s="2">
        <v>9009465</v>
      </c>
      <c r="M1092" s="2">
        <v>12804539647.1</v>
      </c>
      <c r="N1092" s="2">
        <v>158523</v>
      </c>
      <c r="O1092" t="s">
        <v>20</v>
      </c>
      <c r="P1092" s="8">
        <f t="shared" si="51"/>
        <v>-2.5999999999999091</v>
      </c>
      <c r="Q1092" t="s">
        <v>39</v>
      </c>
      <c r="R1092">
        <f t="shared" si="52"/>
        <v>8</v>
      </c>
      <c r="S1092" t="str">
        <f t="shared" si="53"/>
        <v>Aug</v>
      </c>
      <c r="T1092" s="9">
        <f>VLOOKUP(O1092, Annual_Summary!A:B, 2, 0)</f>
        <v>4.6157441670237213E-2</v>
      </c>
    </row>
    <row r="1093" spans="1:20" x14ac:dyDescent="0.3">
      <c r="A1093" s="1">
        <v>45881</v>
      </c>
      <c r="B1093" t="s">
        <v>15</v>
      </c>
      <c r="C1093" s="3">
        <v>1431</v>
      </c>
      <c r="D1093" s="3">
        <v>1433.8</v>
      </c>
      <c r="E1093" s="3">
        <v>1420.1</v>
      </c>
      <c r="F1093" s="3">
        <v>1436.6</v>
      </c>
      <c r="G1093" s="3">
        <v>1421.4</v>
      </c>
      <c r="H1093" s="3">
        <v>1422</v>
      </c>
      <c r="I1093" s="3">
        <v>1425.1</v>
      </c>
      <c r="J1093" s="3">
        <v>1500</v>
      </c>
      <c r="K1093" s="3">
        <v>1153</v>
      </c>
      <c r="L1093" s="2">
        <v>5913947</v>
      </c>
      <c r="M1093" s="2">
        <v>8427986637</v>
      </c>
      <c r="N1093" s="2">
        <v>199744</v>
      </c>
      <c r="O1093" t="s">
        <v>20</v>
      </c>
      <c r="P1093" s="8">
        <f t="shared" si="51"/>
        <v>5.5999999999999091</v>
      </c>
      <c r="Q1093" t="s">
        <v>39</v>
      </c>
      <c r="R1093">
        <f t="shared" si="52"/>
        <v>8</v>
      </c>
      <c r="S1093" t="str">
        <f t="shared" si="53"/>
        <v>Aug</v>
      </c>
      <c r="T1093" s="9">
        <f>VLOOKUP(O1093, Annual_Summary!A:B, 2, 0)</f>
        <v>4.6157441670237213E-2</v>
      </c>
    </row>
    <row r="1094" spans="1:20" x14ac:dyDescent="0.3">
      <c r="A1094" s="1">
        <v>45880</v>
      </c>
      <c r="B1094" t="s">
        <v>15</v>
      </c>
      <c r="C1094" s="3">
        <v>1427.9</v>
      </c>
      <c r="D1094" s="3">
        <v>1438.4</v>
      </c>
      <c r="E1094" s="3">
        <v>1420.4</v>
      </c>
      <c r="F1094" s="3">
        <v>1435.9</v>
      </c>
      <c r="G1094" s="3">
        <v>1437.3</v>
      </c>
      <c r="H1094" s="3">
        <v>1436.6</v>
      </c>
      <c r="I1094" s="3">
        <v>1428.92</v>
      </c>
      <c r="J1094" s="3">
        <v>1500</v>
      </c>
      <c r="K1094" s="3">
        <v>1153</v>
      </c>
      <c r="L1094" s="2">
        <v>8492484</v>
      </c>
      <c r="M1094" s="2">
        <v>12135055891.299999</v>
      </c>
      <c r="N1094" s="2">
        <v>182653</v>
      </c>
      <c r="O1094" t="s">
        <v>20</v>
      </c>
      <c r="P1094" s="8">
        <f t="shared" si="51"/>
        <v>8</v>
      </c>
      <c r="Q1094" t="s">
        <v>39</v>
      </c>
      <c r="R1094">
        <f t="shared" si="52"/>
        <v>8</v>
      </c>
      <c r="S1094" t="str">
        <f t="shared" si="53"/>
        <v>Aug</v>
      </c>
      <c r="T1094" s="9">
        <f>VLOOKUP(O1094, Annual_Summary!A:B, 2, 0)</f>
        <v>4.6157441670237213E-2</v>
      </c>
    </row>
    <row r="1095" spans="1:20" x14ac:dyDescent="0.3">
      <c r="A1095" s="1">
        <v>45877</v>
      </c>
      <c r="B1095" t="s">
        <v>15</v>
      </c>
      <c r="C1095" s="3">
        <v>1445.9</v>
      </c>
      <c r="D1095" s="3">
        <v>1447.6</v>
      </c>
      <c r="E1095" s="3">
        <v>1432</v>
      </c>
      <c r="F1095" s="3">
        <v>1440.3</v>
      </c>
      <c r="G1095" s="3">
        <v>1432</v>
      </c>
      <c r="H1095" s="3">
        <v>1435.9</v>
      </c>
      <c r="I1095" s="3">
        <v>1436.99</v>
      </c>
      <c r="J1095" s="3">
        <v>1500</v>
      </c>
      <c r="K1095" s="3">
        <v>1153</v>
      </c>
      <c r="L1095" s="2">
        <v>5415511</v>
      </c>
      <c r="M1095" s="2">
        <v>7782061616.8999996</v>
      </c>
      <c r="N1095" s="2">
        <v>102913</v>
      </c>
      <c r="O1095" t="s">
        <v>20</v>
      </c>
      <c r="P1095" s="8">
        <f t="shared" si="51"/>
        <v>-5.6000000000001364</v>
      </c>
      <c r="Q1095" t="s">
        <v>39</v>
      </c>
      <c r="R1095">
        <f t="shared" si="52"/>
        <v>8</v>
      </c>
      <c r="S1095" t="str">
        <f t="shared" si="53"/>
        <v>Aug</v>
      </c>
      <c r="T1095" s="9">
        <f>VLOOKUP(O1095, Annual_Summary!A:B, 2, 0)</f>
        <v>4.6157441670237213E-2</v>
      </c>
    </row>
    <row r="1096" spans="1:20" x14ac:dyDescent="0.3">
      <c r="A1096" s="1">
        <v>45876</v>
      </c>
      <c r="B1096" t="s">
        <v>15</v>
      </c>
      <c r="C1096" s="3">
        <v>1441.1</v>
      </c>
      <c r="D1096" s="3">
        <v>1447.9</v>
      </c>
      <c r="E1096" s="3">
        <v>1429.1</v>
      </c>
      <c r="F1096" s="3">
        <v>1443.6</v>
      </c>
      <c r="G1096" s="3">
        <v>1441</v>
      </c>
      <c r="H1096" s="3">
        <v>1440.3</v>
      </c>
      <c r="I1096" s="3">
        <v>1435.71</v>
      </c>
      <c r="J1096" s="3">
        <v>1500</v>
      </c>
      <c r="K1096" s="3">
        <v>1153</v>
      </c>
      <c r="L1096" s="2">
        <v>7432535</v>
      </c>
      <c r="M1096" s="2">
        <v>10670930441.9</v>
      </c>
      <c r="N1096" s="2">
        <v>151043</v>
      </c>
      <c r="O1096" t="s">
        <v>20</v>
      </c>
      <c r="P1096" s="8">
        <f t="shared" si="51"/>
        <v>2.5</v>
      </c>
      <c r="Q1096" t="s">
        <v>39</v>
      </c>
      <c r="R1096">
        <f t="shared" si="52"/>
        <v>8</v>
      </c>
      <c r="S1096" t="str">
        <f t="shared" si="53"/>
        <v>Aug</v>
      </c>
      <c r="T1096" s="9">
        <f>VLOOKUP(O1096, Annual_Summary!A:B, 2, 0)</f>
        <v>4.6157441670237213E-2</v>
      </c>
    </row>
    <row r="1097" spans="1:20" x14ac:dyDescent="0.3">
      <c r="A1097" s="1">
        <v>45875</v>
      </c>
      <c r="B1097" t="s">
        <v>15</v>
      </c>
      <c r="C1097" s="3">
        <v>1442.3</v>
      </c>
      <c r="D1097" s="3">
        <v>1454</v>
      </c>
      <c r="E1097" s="3">
        <v>1441.6</v>
      </c>
      <c r="F1097" s="3">
        <v>1444.4</v>
      </c>
      <c r="G1097" s="3">
        <v>1443.5</v>
      </c>
      <c r="H1097" s="3">
        <v>1443.6</v>
      </c>
      <c r="I1097" s="3">
        <v>1446.52</v>
      </c>
      <c r="J1097" s="3">
        <v>1500</v>
      </c>
      <c r="K1097" s="3">
        <v>1153</v>
      </c>
      <c r="L1097" s="2">
        <v>7805252</v>
      </c>
      <c r="M1097" s="2">
        <v>11290438379.5</v>
      </c>
      <c r="N1097" s="2">
        <v>121663</v>
      </c>
      <c r="O1097" t="s">
        <v>20</v>
      </c>
      <c r="P1097" s="8">
        <f t="shared" si="51"/>
        <v>2.1000000000001364</v>
      </c>
      <c r="Q1097" t="s">
        <v>39</v>
      </c>
      <c r="R1097">
        <f t="shared" si="52"/>
        <v>8</v>
      </c>
      <c r="S1097" t="str">
        <f t="shared" si="53"/>
        <v>Aug</v>
      </c>
      <c r="T1097" s="9">
        <f>VLOOKUP(O1097, Annual_Summary!A:B, 2, 0)</f>
        <v>4.6157441670237213E-2</v>
      </c>
    </row>
    <row r="1098" spans="1:20" x14ac:dyDescent="0.3">
      <c r="A1098" s="1">
        <v>45874</v>
      </c>
      <c r="B1098" t="s">
        <v>15</v>
      </c>
      <c r="C1098" s="3">
        <v>1453</v>
      </c>
      <c r="D1098" s="3">
        <v>1461.5</v>
      </c>
      <c r="E1098" s="3">
        <v>1441</v>
      </c>
      <c r="F1098" s="3">
        <v>1463.2</v>
      </c>
      <c r="G1098" s="3">
        <v>1445</v>
      </c>
      <c r="H1098" s="3">
        <v>1444.4</v>
      </c>
      <c r="I1098" s="3">
        <v>1445.77</v>
      </c>
      <c r="J1098" s="3">
        <v>1500</v>
      </c>
      <c r="K1098" s="3">
        <v>1153</v>
      </c>
      <c r="L1098" s="2">
        <v>14799343</v>
      </c>
      <c r="M1098" s="2">
        <v>21396397537.400002</v>
      </c>
      <c r="N1098" s="2">
        <v>156234</v>
      </c>
      <c r="O1098" t="s">
        <v>20</v>
      </c>
      <c r="P1098" s="8">
        <f t="shared" si="51"/>
        <v>10.200000000000045</v>
      </c>
      <c r="Q1098" t="s">
        <v>39</v>
      </c>
      <c r="R1098">
        <f t="shared" si="52"/>
        <v>8</v>
      </c>
      <c r="S1098" t="str">
        <f t="shared" si="53"/>
        <v>Aug</v>
      </c>
      <c r="T1098" s="9">
        <f>VLOOKUP(O1098, Annual_Summary!A:B, 2, 0)</f>
        <v>4.6157441670237213E-2</v>
      </c>
    </row>
    <row r="1099" spans="1:20" x14ac:dyDescent="0.3">
      <c r="A1099" s="1">
        <v>45873</v>
      </c>
      <c r="B1099" t="s">
        <v>15</v>
      </c>
      <c r="C1099" s="3">
        <v>1476.8</v>
      </c>
      <c r="D1099" s="3">
        <v>1478.8</v>
      </c>
      <c r="E1099" s="3">
        <v>1461.3</v>
      </c>
      <c r="F1099" s="3">
        <v>1471.6</v>
      </c>
      <c r="G1099" s="3">
        <v>1463.1</v>
      </c>
      <c r="H1099" s="3">
        <v>1463.2</v>
      </c>
      <c r="I1099" s="3">
        <v>1466.67</v>
      </c>
      <c r="J1099" s="3">
        <v>1500</v>
      </c>
      <c r="K1099" s="3">
        <v>1153</v>
      </c>
      <c r="L1099" s="2">
        <v>6140054</v>
      </c>
      <c r="M1099" s="2">
        <v>9005448862.6000004</v>
      </c>
      <c r="N1099" s="2">
        <v>135797</v>
      </c>
      <c r="O1099" t="s">
        <v>20</v>
      </c>
      <c r="P1099" s="8">
        <f t="shared" si="51"/>
        <v>-5.2000000000000455</v>
      </c>
      <c r="Q1099" t="s">
        <v>39</v>
      </c>
      <c r="R1099">
        <f t="shared" si="52"/>
        <v>8</v>
      </c>
      <c r="S1099" t="str">
        <f t="shared" si="53"/>
        <v>Aug</v>
      </c>
      <c r="T1099" s="9">
        <f>VLOOKUP(O1099, Annual_Summary!A:B, 2, 0)</f>
        <v>4.6157441670237213E-2</v>
      </c>
    </row>
    <row r="1100" spans="1:20" x14ac:dyDescent="0.3">
      <c r="A1100" s="1">
        <v>45870</v>
      </c>
      <c r="B1100" t="s">
        <v>15</v>
      </c>
      <c r="C1100" s="3">
        <v>1480.4</v>
      </c>
      <c r="D1100" s="3">
        <v>1485.1</v>
      </c>
      <c r="E1100" s="3">
        <v>1469.8</v>
      </c>
      <c r="F1100" s="3">
        <v>1481.4</v>
      </c>
      <c r="G1100" s="3">
        <v>1470.1</v>
      </c>
      <c r="H1100" s="3">
        <v>1471.6</v>
      </c>
      <c r="I1100" s="3">
        <v>1474.75</v>
      </c>
      <c r="J1100" s="3">
        <v>1500</v>
      </c>
      <c r="K1100" s="3">
        <v>1153</v>
      </c>
      <c r="L1100" s="2">
        <v>4416771</v>
      </c>
      <c r="M1100" s="2">
        <v>6513645513.8000002</v>
      </c>
      <c r="N1100" s="2">
        <v>142277</v>
      </c>
      <c r="O1100" t="s">
        <v>20</v>
      </c>
      <c r="P1100" s="8">
        <f t="shared" si="51"/>
        <v>1</v>
      </c>
      <c r="Q1100" t="s">
        <v>39</v>
      </c>
      <c r="R1100">
        <f t="shared" si="52"/>
        <v>8</v>
      </c>
      <c r="S1100" t="str">
        <f t="shared" si="53"/>
        <v>Aug</v>
      </c>
      <c r="T1100" s="9">
        <f>VLOOKUP(O1100, Annual_Summary!A:B, 2, 0)</f>
        <v>4.6157441670237213E-2</v>
      </c>
    </row>
    <row r="1101" spans="1:20" x14ac:dyDescent="0.3">
      <c r="A1101" s="1">
        <v>45869</v>
      </c>
      <c r="B1101" t="s">
        <v>15</v>
      </c>
      <c r="C1101" s="3">
        <v>1469.9</v>
      </c>
      <c r="D1101" s="3">
        <v>1494.5</v>
      </c>
      <c r="E1101" s="3">
        <v>1464</v>
      </c>
      <c r="F1101" s="3">
        <v>1482.4</v>
      </c>
      <c r="G1101" s="3">
        <v>1485.1</v>
      </c>
      <c r="H1101" s="3">
        <v>1481.4</v>
      </c>
      <c r="I1101" s="3">
        <v>1481.12</v>
      </c>
      <c r="J1101" s="3">
        <v>1500</v>
      </c>
      <c r="K1101" s="3">
        <v>1153</v>
      </c>
      <c r="L1101" s="2">
        <v>12406146</v>
      </c>
      <c r="M1101" s="2">
        <v>18375022495.400002</v>
      </c>
      <c r="N1101" s="2">
        <v>306162</v>
      </c>
      <c r="O1101" t="s">
        <v>20</v>
      </c>
      <c r="P1101" s="8">
        <f t="shared" si="51"/>
        <v>12.5</v>
      </c>
      <c r="Q1101" t="s">
        <v>39</v>
      </c>
      <c r="R1101">
        <f t="shared" si="52"/>
        <v>7</v>
      </c>
      <c r="S1101" t="str">
        <f t="shared" si="53"/>
        <v>Jul</v>
      </c>
      <c r="T1101" s="9">
        <f>VLOOKUP(O1101, Annual_Summary!A:B, 2, 0)</f>
        <v>4.6157441670237213E-2</v>
      </c>
    </row>
    <row r="1102" spans="1:20" x14ac:dyDescent="0.3">
      <c r="A1102" s="1">
        <v>45868</v>
      </c>
      <c r="B1102" t="s">
        <v>15</v>
      </c>
      <c r="C1102" s="3">
        <v>1487.7</v>
      </c>
      <c r="D1102" s="3">
        <v>1488.5</v>
      </c>
      <c r="E1102" s="3">
        <v>1477.3</v>
      </c>
      <c r="F1102" s="3">
        <v>1486.2</v>
      </c>
      <c r="G1102" s="3">
        <v>1480.1</v>
      </c>
      <c r="H1102" s="3">
        <v>1482.4</v>
      </c>
      <c r="I1102" s="3">
        <v>1483.4</v>
      </c>
      <c r="J1102" s="3">
        <v>1500</v>
      </c>
      <c r="K1102" s="3">
        <v>1153</v>
      </c>
      <c r="L1102" s="2">
        <v>7238625</v>
      </c>
      <c r="M1102" s="2">
        <v>10737774608</v>
      </c>
      <c r="N1102" s="2">
        <v>176359</v>
      </c>
      <c r="O1102" t="s">
        <v>20</v>
      </c>
      <c r="P1102" s="8">
        <f t="shared" si="51"/>
        <v>-1.5</v>
      </c>
      <c r="Q1102" t="s">
        <v>39</v>
      </c>
      <c r="R1102">
        <f t="shared" si="52"/>
        <v>7</v>
      </c>
      <c r="S1102" t="str">
        <f t="shared" si="53"/>
        <v>Jul</v>
      </c>
      <c r="T1102" s="9">
        <f>VLOOKUP(O1102, Annual_Summary!A:B, 2, 0)</f>
        <v>4.6157441670237213E-2</v>
      </c>
    </row>
    <row r="1103" spans="1:20" x14ac:dyDescent="0.3">
      <c r="A1103" s="1">
        <v>45867</v>
      </c>
      <c r="B1103" t="s">
        <v>15</v>
      </c>
      <c r="C1103" s="3">
        <v>1479.9</v>
      </c>
      <c r="D1103" s="3">
        <v>1489.8</v>
      </c>
      <c r="E1103" s="3">
        <v>1475.4</v>
      </c>
      <c r="F1103" s="3">
        <v>1488.4</v>
      </c>
      <c r="G1103" s="3">
        <v>1484.9</v>
      </c>
      <c r="H1103" s="3">
        <v>1486.2</v>
      </c>
      <c r="I1103" s="3">
        <v>1483.47</v>
      </c>
      <c r="J1103" s="3">
        <v>1500</v>
      </c>
      <c r="K1103" s="3">
        <v>1153</v>
      </c>
      <c r="L1103" s="2">
        <v>9776027</v>
      </c>
      <c r="M1103" s="2">
        <v>14502489122.799999</v>
      </c>
      <c r="N1103" s="2">
        <v>230759</v>
      </c>
      <c r="O1103" t="s">
        <v>20</v>
      </c>
      <c r="P1103" s="8">
        <f t="shared" si="51"/>
        <v>8.5</v>
      </c>
      <c r="Q1103" t="s">
        <v>39</v>
      </c>
      <c r="R1103">
        <f t="shared" si="52"/>
        <v>7</v>
      </c>
      <c r="S1103" t="str">
        <f t="shared" si="53"/>
        <v>Jul</v>
      </c>
      <c r="T1103" s="9">
        <f>VLOOKUP(O1103, Annual_Summary!A:B, 2, 0)</f>
        <v>4.6157441670237213E-2</v>
      </c>
    </row>
    <row r="1104" spans="1:20" x14ac:dyDescent="0.3">
      <c r="A1104" s="1">
        <v>45866</v>
      </c>
      <c r="B1104" t="s">
        <v>15</v>
      </c>
      <c r="C1104" s="3">
        <v>1477.1</v>
      </c>
      <c r="D1104" s="3">
        <v>1493.8</v>
      </c>
      <c r="E1104" s="3">
        <v>1477.1</v>
      </c>
      <c r="F1104" s="3">
        <v>1477.1</v>
      </c>
      <c r="G1104" s="3">
        <v>1488</v>
      </c>
      <c r="H1104" s="3">
        <v>1488.4</v>
      </c>
      <c r="I1104" s="3">
        <v>1487.05</v>
      </c>
      <c r="J1104" s="3">
        <v>1500</v>
      </c>
      <c r="K1104" s="3">
        <v>1153</v>
      </c>
      <c r="L1104" s="2">
        <v>7507479</v>
      </c>
      <c r="M1104" s="2">
        <v>11164017329.700001</v>
      </c>
      <c r="N1104" s="2">
        <v>199416</v>
      </c>
      <c r="O1104" t="s">
        <v>20</v>
      </c>
      <c r="P1104" s="8">
        <f t="shared" si="51"/>
        <v>0</v>
      </c>
      <c r="Q1104" t="s">
        <v>39</v>
      </c>
      <c r="R1104">
        <f t="shared" si="52"/>
        <v>7</v>
      </c>
      <c r="S1104" t="str">
        <f t="shared" si="53"/>
        <v>Jul</v>
      </c>
      <c r="T1104" s="9">
        <f>VLOOKUP(O1104, Annual_Summary!A:B, 2, 0)</f>
        <v>4.6157441670237213E-2</v>
      </c>
    </row>
    <row r="1105" spans="1:20" x14ac:dyDescent="0.3">
      <c r="A1105" s="1">
        <v>45863</v>
      </c>
      <c r="B1105" t="s">
        <v>15</v>
      </c>
      <c r="C1105" s="3">
        <v>1500</v>
      </c>
      <c r="D1105" s="3">
        <v>1500</v>
      </c>
      <c r="E1105" s="3">
        <v>1473.6</v>
      </c>
      <c r="F1105" s="3">
        <v>1483.4</v>
      </c>
      <c r="G1105" s="3">
        <v>1477.9</v>
      </c>
      <c r="H1105" s="3">
        <v>1477.1</v>
      </c>
      <c r="I1105" s="3">
        <v>1481.47</v>
      </c>
      <c r="J1105" s="3">
        <v>1500</v>
      </c>
      <c r="K1105" s="3">
        <v>1153</v>
      </c>
      <c r="L1105" s="2">
        <v>8696077</v>
      </c>
      <c r="M1105" s="2">
        <v>12883011018.6</v>
      </c>
      <c r="N1105" s="2">
        <v>193064</v>
      </c>
      <c r="O1105" t="s">
        <v>20</v>
      </c>
      <c r="P1105" s="8">
        <f t="shared" si="51"/>
        <v>-16.599999999999909</v>
      </c>
      <c r="Q1105" t="s">
        <v>39</v>
      </c>
      <c r="R1105">
        <f t="shared" si="52"/>
        <v>7</v>
      </c>
      <c r="S1105" t="str">
        <f t="shared" si="53"/>
        <v>Jul</v>
      </c>
      <c r="T1105" s="9">
        <f>VLOOKUP(O1105, Annual_Summary!A:B, 2, 0)</f>
        <v>4.6157441670237213E-2</v>
      </c>
    </row>
    <row r="1106" spans="1:20" x14ac:dyDescent="0.3">
      <c r="A1106" s="1">
        <v>45862</v>
      </c>
      <c r="B1106" t="s">
        <v>15</v>
      </c>
      <c r="C1106" s="3">
        <v>1487.7</v>
      </c>
      <c r="D1106" s="3">
        <v>1488.7</v>
      </c>
      <c r="E1106" s="3">
        <v>1478.1</v>
      </c>
      <c r="F1106" s="3">
        <v>1488.6</v>
      </c>
      <c r="G1106" s="3">
        <v>1480.9</v>
      </c>
      <c r="H1106" s="3">
        <v>1483.4</v>
      </c>
      <c r="I1106" s="3">
        <v>1484.44</v>
      </c>
      <c r="J1106" s="3">
        <v>1490</v>
      </c>
      <c r="K1106" s="3">
        <v>1153</v>
      </c>
      <c r="L1106" s="2">
        <v>6700578</v>
      </c>
      <c r="M1106" s="2">
        <v>9946614738.2999992</v>
      </c>
      <c r="N1106" s="2">
        <v>137503</v>
      </c>
      <c r="O1106" t="s">
        <v>20</v>
      </c>
      <c r="P1106" s="8">
        <f t="shared" si="51"/>
        <v>0.89999999999986358</v>
      </c>
      <c r="Q1106" t="s">
        <v>39</v>
      </c>
      <c r="R1106">
        <f t="shared" si="52"/>
        <v>7</v>
      </c>
      <c r="S1106" t="str">
        <f t="shared" si="53"/>
        <v>Jul</v>
      </c>
      <c r="T1106" s="9">
        <f>VLOOKUP(O1106, Annual_Summary!A:B, 2, 0)</f>
        <v>4.6157441670237213E-2</v>
      </c>
    </row>
    <row r="1107" spans="1:20" x14ac:dyDescent="0.3">
      <c r="A1107" s="1">
        <v>45861</v>
      </c>
      <c r="B1107" t="s">
        <v>15</v>
      </c>
      <c r="C1107" s="3">
        <v>1482.9</v>
      </c>
      <c r="D1107" s="3">
        <v>1490</v>
      </c>
      <c r="E1107" s="3">
        <v>1472.6</v>
      </c>
      <c r="F1107" s="3">
        <v>1473.6</v>
      </c>
      <c r="G1107" s="3">
        <v>1486.6</v>
      </c>
      <c r="H1107" s="3">
        <v>1488.6</v>
      </c>
      <c r="I1107" s="3">
        <v>1483.02</v>
      </c>
      <c r="J1107" s="3">
        <v>1490</v>
      </c>
      <c r="K1107" s="3">
        <v>1153</v>
      </c>
      <c r="L1107" s="2">
        <v>11974174</v>
      </c>
      <c r="M1107" s="2">
        <v>17757890209.5</v>
      </c>
      <c r="N1107" s="2">
        <v>184240</v>
      </c>
      <c r="O1107" t="s">
        <v>20</v>
      </c>
      <c r="P1107" s="8">
        <f t="shared" si="51"/>
        <v>-9.3000000000001819</v>
      </c>
      <c r="Q1107" t="s">
        <v>39</v>
      </c>
      <c r="R1107">
        <f t="shared" si="52"/>
        <v>7</v>
      </c>
      <c r="S1107" t="str">
        <f t="shared" si="53"/>
        <v>Jul</v>
      </c>
      <c r="T1107" s="9">
        <f>VLOOKUP(O1107, Annual_Summary!A:B, 2, 0)</f>
        <v>4.6157441670237213E-2</v>
      </c>
    </row>
    <row r="1108" spans="1:20" x14ac:dyDescent="0.3">
      <c r="A1108" s="1">
        <v>45860</v>
      </c>
      <c r="B1108" t="s">
        <v>15</v>
      </c>
      <c r="C1108" s="3">
        <v>1474.1</v>
      </c>
      <c r="D1108" s="3">
        <v>1482</v>
      </c>
      <c r="E1108" s="3">
        <v>1469.7</v>
      </c>
      <c r="F1108" s="3">
        <v>1465.8</v>
      </c>
      <c r="G1108" s="3">
        <v>1471.6</v>
      </c>
      <c r="H1108" s="3">
        <v>1473.6</v>
      </c>
      <c r="I1108" s="3">
        <v>1474.9</v>
      </c>
      <c r="J1108" s="3">
        <v>1482</v>
      </c>
      <c r="K1108" s="3">
        <v>1153</v>
      </c>
      <c r="L1108" s="2">
        <v>8930165</v>
      </c>
      <c r="M1108" s="2">
        <v>13171093377.9</v>
      </c>
      <c r="N1108" s="2">
        <v>233507</v>
      </c>
      <c r="O1108" t="s">
        <v>20</v>
      </c>
      <c r="P1108" s="8">
        <f t="shared" si="51"/>
        <v>-8.2999999999999545</v>
      </c>
      <c r="Q1108" t="s">
        <v>39</v>
      </c>
      <c r="R1108">
        <f t="shared" si="52"/>
        <v>7</v>
      </c>
      <c r="S1108" t="str">
        <f t="shared" si="53"/>
        <v>Jul</v>
      </c>
      <c r="T1108" s="9">
        <f>VLOOKUP(O1108, Annual_Summary!A:B, 2, 0)</f>
        <v>4.6157441670237213E-2</v>
      </c>
    </row>
    <row r="1109" spans="1:20" x14ac:dyDescent="0.3">
      <c r="A1109" s="1">
        <v>45859</v>
      </c>
      <c r="B1109" t="s">
        <v>15</v>
      </c>
      <c r="C1109" s="3">
        <v>1448</v>
      </c>
      <c r="D1109" s="3">
        <v>1467.7</v>
      </c>
      <c r="E1109" s="3">
        <v>1437</v>
      </c>
      <c r="F1109" s="3">
        <v>1425.8</v>
      </c>
      <c r="G1109" s="3">
        <v>1464.5</v>
      </c>
      <c r="H1109" s="3">
        <v>1465.8</v>
      </c>
      <c r="I1109" s="3">
        <v>1457.79</v>
      </c>
      <c r="J1109" s="3">
        <v>1471.6</v>
      </c>
      <c r="K1109" s="3">
        <v>1153</v>
      </c>
      <c r="L1109" s="2">
        <v>13867136</v>
      </c>
      <c r="M1109" s="2">
        <v>20215422421.299999</v>
      </c>
      <c r="N1109" s="2">
        <v>232151</v>
      </c>
      <c r="O1109" t="s">
        <v>20</v>
      </c>
      <c r="P1109" s="8">
        <f t="shared" si="51"/>
        <v>-22.200000000000045</v>
      </c>
      <c r="Q1109" t="s">
        <v>39</v>
      </c>
      <c r="R1109">
        <f t="shared" si="52"/>
        <v>7</v>
      </c>
      <c r="S1109" t="str">
        <f t="shared" si="53"/>
        <v>Jul</v>
      </c>
      <c r="T1109" s="9">
        <f>VLOOKUP(O1109, Annual_Summary!A:B, 2, 0)</f>
        <v>4.6157441670237213E-2</v>
      </c>
    </row>
    <row r="1110" spans="1:20" x14ac:dyDescent="0.3">
      <c r="A1110" s="1">
        <v>45856</v>
      </c>
      <c r="B1110" t="s">
        <v>15</v>
      </c>
      <c r="C1110" s="3">
        <v>1415.8</v>
      </c>
      <c r="D1110" s="3">
        <v>1429</v>
      </c>
      <c r="E1110" s="3">
        <v>1408.5</v>
      </c>
      <c r="F1110" s="3">
        <v>1418.7</v>
      </c>
      <c r="G1110" s="3">
        <v>1426.7</v>
      </c>
      <c r="H1110" s="3">
        <v>1425.8</v>
      </c>
      <c r="I1110" s="3">
        <v>1418.92</v>
      </c>
      <c r="J1110" s="3">
        <v>1471.6</v>
      </c>
      <c r="K1110" s="3">
        <v>1153</v>
      </c>
      <c r="L1110" s="2">
        <v>11297246</v>
      </c>
      <c r="M1110" s="2">
        <v>16029882215.200001</v>
      </c>
      <c r="N1110" s="2">
        <v>205005</v>
      </c>
      <c r="O1110" t="s">
        <v>20</v>
      </c>
      <c r="P1110" s="8">
        <f t="shared" si="51"/>
        <v>2.9000000000000909</v>
      </c>
      <c r="Q1110" t="s">
        <v>39</v>
      </c>
      <c r="R1110">
        <f t="shared" si="52"/>
        <v>7</v>
      </c>
      <c r="S1110" t="str">
        <f t="shared" si="53"/>
        <v>Jul</v>
      </c>
      <c r="T1110" s="9">
        <f>VLOOKUP(O1110, Annual_Summary!A:B, 2, 0)</f>
        <v>4.6157441670237213E-2</v>
      </c>
    </row>
    <row r="1111" spans="1:20" x14ac:dyDescent="0.3">
      <c r="A1111" s="1">
        <v>45855</v>
      </c>
      <c r="B1111" t="s">
        <v>15</v>
      </c>
      <c r="C1111" s="3">
        <v>1421</v>
      </c>
      <c r="D1111" s="3">
        <v>1423.2</v>
      </c>
      <c r="E1111" s="3">
        <v>1409.5</v>
      </c>
      <c r="F1111" s="3">
        <v>1426.4</v>
      </c>
      <c r="G1111" s="3">
        <v>1418.4</v>
      </c>
      <c r="H1111" s="3">
        <v>1418.7</v>
      </c>
      <c r="I1111" s="3">
        <v>1416.65</v>
      </c>
      <c r="J1111" s="3">
        <v>1471.6</v>
      </c>
      <c r="K1111" s="3">
        <v>1153</v>
      </c>
      <c r="L1111" s="2">
        <v>12927394</v>
      </c>
      <c r="M1111" s="2">
        <v>18313603998.400002</v>
      </c>
      <c r="N1111" s="2">
        <v>234109</v>
      </c>
      <c r="O1111" t="s">
        <v>20</v>
      </c>
      <c r="P1111" s="8">
        <f t="shared" si="51"/>
        <v>5.4000000000000909</v>
      </c>
      <c r="Q1111" t="s">
        <v>39</v>
      </c>
      <c r="R1111">
        <f t="shared" si="52"/>
        <v>7</v>
      </c>
      <c r="S1111" t="str">
        <f t="shared" si="53"/>
        <v>Jul</v>
      </c>
      <c r="T1111" s="9">
        <f>VLOOKUP(O1111, Annual_Summary!A:B, 2, 0)</f>
        <v>4.6157441670237213E-2</v>
      </c>
    </row>
    <row r="1112" spans="1:20" x14ac:dyDescent="0.3">
      <c r="A1112" s="1">
        <v>45854</v>
      </c>
      <c r="B1112" t="s">
        <v>15</v>
      </c>
      <c r="C1112" s="3">
        <v>1426</v>
      </c>
      <c r="D1112" s="3">
        <v>1429.2</v>
      </c>
      <c r="E1112" s="3">
        <v>1419.1</v>
      </c>
      <c r="F1112" s="3">
        <v>1430.8</v>
      </c>
      <c r="G1112" s="3">
        <v>1425.9</v>
      </c>
      <c r="H1112" s="3">
        <v>1426.4</v>
      </c>
      <c r="I1112" s="3">
        <v>1425.18</v>
      </c>
      <c r="J1112" s="3">
        <v>1471.6</v>
      </c>
      <c r="K1112" s="3">
        <v>1153</v>
      </c>
      <c r="L1112" s="2">
        <v>5649093</v>
      </c>
      <c r="M1112" s="2">
        <v>8050995851.3999996</v>
      </c>
      <c r="N1112" s="2">
        <v>121488</v>
      </c>
      <c r="O1112" t="s">
        <v>20</v>
      </c>
      <c r="P1112" s="8">
        <f t="shared" si="51"/>
        <v>4.7999999999999545</v>
      </c>
      <c r="Q1112" t="s">
        <v>39</v>
      </c>
      <c r="R1112">
        <f t="shared" si="52"/>
        <v>7</v>
      </c>
      <c r="S1112" t="str">
        <f t="shared" si="53"/>
        <v>Jul</v>
      </c>
      <c r="T1112" s="9">
        <f>VLOOKUP(O1112, Annual_Summary!A:B, 2, 0)</f>
        <v>4.6157441670237213E-2</v>
      </c>
    </row>
    <row r="1113" spans="1:20" x14ac:dyDescent="0.3">
      <c r="A1113" s="1">
        <v>45853</v>
      </c>
      <c r="B1113" t="s">
        <v>15</v>
      </c>
      <c r="C1113" s="3">
        <v>1421.1</v>
      </c>
      <c r="D1113" s="3">
        <v>1433.8</v>
      </c>
      <c r="E1113" s="3">
        <v>1419</v>
      </c>
      <c r="F1113" s="3">
        <v>1423</v>
      </c>
      <c r="G1113" s="3">
        <v>1432</v>
      </c>
      <c r="H1113" s="3">
        <v>1430.8</v>
      </c>
      <c r="I1113" s="3">
        <v>1426.47</v>
      </c>
      <c r="J1113" s="3">
        <v>1471.6</v>
      </c>
      <c r="K1113" s="3">
        <v>1153</v>
      </c>
      <c r="L1113" s="2">
        <v>6041457</v>
      </c>
      <c r="M1113" s="2">
        <v>8617966324.8999996</v>
      </c>
      <c r="N1113" s="2">
        <v>175820</v>
      </c>
      <c r="O1113" t="s">
        <v>20</v>
      </c>
      <c r="P1113" s="8">
        <f t="shared" si="51"/>
        <v>1.9000000000000909</v>
      </c>
      <c r="Q1113" t="s">
        <v>39</v>
      </c>
      <c r="R1113">
        <f t="shared" si="52"/>
        <v>7</v>
      </c>
      <c r="S1113" t="str">
        <f t="shared" si="53"/>
        <v>Jul</v>
      </c>
      <c r="T1113" s="9">
        <f>VLOOKUP(O1113, Annual_Summary!A:B, 2, 0)</f>
        <v>4.6157441670237213E-2</v>
      </c>
    </row>
    <row r="1114" spans="1:20" x14ac:dyDescent="0.3">
      <c r="A1114" s="1">
        <v>45852</v>
      </c>
      <c r="B1114" t="s">
        <v>15</v>
      </c>
      <c r="C1114" s="3">
        <v>1424.9</v>
      </c>
      <c r="D1114" s="3">
        <v>1424.9</v>
      </c>
      <c r="E1114" s="3">
        <v>1416.1</v>
      </c>
      <c r="F1114" s="3">
        <v>1421.9</v>
      </c>
      <c r="G1114" s="3">
        <v>1421.9</v>
      </c>
      <c r="H1114" s="3">
        <v>1423</v>
      </c>
      <c r="I1114" s="3">
        <v>1421.21</v>
      </c>
      <c r="J1114" s="3">
        <v>1471.6</v>
      </c>
      <c r="K1114" s="3">
        <v>1153</v>
      </c>
      <c r="L1114" s="2">
        <v>5846154</v>
      </c>
      <c r="M1114" s="2">
        <v>8308587601.3000002</v>
      </c>
      <c r="N1114" s="2">
        <v>113668</v>
      </c>
      <c r="O1114" t="s">
        <v>20</v>
      </c>
      <c r="P1114" s="8">
        <f t="shared" si="51"/>
        <v>-3</v>
      </c>
      <c r="Q1114" t="s">
        <v>39</v>
      </c>
      <c r="R1114">
        <f t="shared" si="52"/>
        <v>7</v>
      </c>
      <c r="S1114" t="str">
        <f t="shared" si="53"/>
        <v>Jul</v>
      </c>
      <c r="T1114" s="9">
        <f>VLOOKUP(O1114, Annual_Summary!A:B, 2, 0)</f>
        <v>4.6157441670237213E-2</v>
      </c>
    </row>
    <row r="1115" spans="1:20" x14ac:dyDescent="0.3">
      <c r="A1115" s="1">
        <v>45849</v>
      </c>
      <c r="B1115" t="s">
        <v>15</v>
      </c>
      <c r="C1115" s="3">
        <v>1422</v>
      </c>
      <c r="D1115" s="3">
        <v>1428</v>
      </c>
      <c r="E1115" s="3">
        <v>1414.6</v>
      </c>
      <c r="F1115" s="3">
        <v>1424.1</v>
      </c>
      <c r="G1115" s="3">
        <v>1422</v>
      </c>
      <c r="H1115" s="3">
        <v>1421.9</v>
      </c>
      <c r="I1115" s="3">
        <v>1420.14</v>
      </c>
      <c r="J1115" s="3">
        <v>1471.6</v>
      </c>
      <c r="K1115" s="3">
        <v>1153</v>
      </c>
      <c r="L1115" s="2">
        <v>7158015</v>
      </c>
      <c r="M1115" s="2">
        <v>10165411225.4</v>
      </c>
      <c r="N1115" s="2">
        <v>154732</v>
      </c>
      <c r="O1115" t="s">
        <v>20</v>
      </c>
      <c r="P1115" s="8">
        <f t="shared" si="51"/>
        <v>2.0999999999999091</v>
      </c>
      <c r="Q1115" t="s">
        <v>39</v>
      </c>
      <c r="R1115">
        <f t="shared" si="52"/>
        <v>7</v>
      </c>
      <c r="S1115" t="str">
        <f t="shared" si="53"/>
        <v>Jul</v>
      </c>
      <c r="T1115" s="9">
        <f>VLOOKUP(O1115, Annual_Summary!A:B, 2, 0)</f>
        <v>4.6157441670237213E-2</v>
      </c>
    </row>
    <row r="1116" spans="1:20" x14ac:dyDescent="0.3">
      <c r="A1116" s="1">
        <v>45848</v>
      </c>
      <c r="B1116" t="s">
        <v>15</v>
      </c>
      <c r="C1116" s="3">
        <v>1436.8</v>
      </c>
      <c r="D1116" s="3">
        <v>1439</v>
      </c>
      <c r="E1116" s="3">
        <v>1422.1</v>
      </c>
      <c r="F1116" s="3">
        <v>1431.9</v>
      </c>
      <c r="G1116" s="3">
        <v>1424</v>
      </c>
      <c r="H1116" s="3">
        <v>1424.1</v>
      </c>
      <c r="I1116" s="3">
        <v>1426.47</v>
      </c>
      <c r="J1116" s="3">
        <v>1471.6</v>
      </c>
      <c r="K1116" s="3">
        <v>1153</v>
      </c>
      <c r="L1116" s="2">
        <v>7795964</v>
      </c>
      <c r="M1116" s="2">
        <v>11120735791.1</v>
      </c>
      <c r="N1116" s="2">
        <v>158233</v>
      </c>
      <c r="O1116" t="s">
        <v>20</v>
      </c>
      <c r="P1116" s="8">
        <f t="shared" si="51"/>
        <v>-4.8999999999998636</v>
      </c>
      <c r="Q1116" t="s">
        <v>39</v>
      </c>
      <c r="R1116">
        <f t="shared" si="52"/>
        <v>7</v>
      </c>
      <c r="S1116" t="str">
        <f t="shared" si="53"/>
        <v>Jul</v>
      </c>
      <c r="T1116" s="9">
        <f>VLOOKUP(O1116, Annual_Summary!A:B, 2, 0)</f>
        <v>4.6157441670237213E-2</v>
      </c>
    </row>
    <row r="1117" spans="1:20" x14ac:dyDescent="0.3">
      <c r="A1117" s="1">
        <v>45847</v>
      </c>
      <c r="B1117" t="s">
        <v>15</v>
      </c>
      <c r="C1117" s="3">
        <v>1436.2</v>
      </c>
      <c r="D1117" s="3">
        <v>1438.7</v>
      </c>
      <c r="E1117" s="3">
        <v>1426.6</v>
      </c>
      <c r="F1117" s="3">
        <v>1442</v>
      </c>
      <c r="G1117" s="3">
        <v>1430.8</v>
      </c>
      <c r="H1117" s="3">
        <v>1431.9</v>
      </c>
      <c r="I1117" s="3">
        <v>1431.91</v>
      </c>
      <c r="J1117" s="3">
        <v>1471.6</v>
      </c>
      <c r="K1117" s="3">
        <v>1153</v>
      </c>
      <c r="L1117" s="2">
        <v>8827347</v>
      </c>
      <c r="M1117" s="2">
        <v>12639971093.5</v>
      </c>
      <c r="N1117" s="2">
        <v>120088</v>
      </c>
      <c r="O1117" t="s">
        <v>20</v>
      </c>
      <c r="P1117" s="8">
        <f t="shared" si="51"/>
        <v>5.7999999999999545</v>
      </c>
      <c r="Q1117" t="s">
        <v>39</v>
      </c>
      <c r="R1117">
        <f t="shared" si="52"/>
        <v>7</v>
      </c>
      <c r="S1117" t="str">
        <f t="shared" si="53"/>
        <v>Jul</v>
      </c>
      <c r="T1117" s="9">
        <f>VLOOKUP(O1117, Annual_Summary!A:B, 2, 0)</f>
        <v>4.6157441670237213E-2</v>
      </c>
    </row>
    <row r="1118" spans="1:20" x14ac:dyDescent="0.3">
      <c r="A1118" s="1">
        <v>45846</v>
      </c>
      <c r="B1118" t="s">
        <v>15</v>
      </c>
      <c r="C1118" s="3">
        <v>1432</v>
      </c>
      <c r="D1118" s="3">
        <v>1445</v>
      </c>
      <c r="E1118" s="3">
        <v>1430</v>
      </c>
      <c r="F1118" s="3">
        <v>1435.7</v>
      </c>
      <c r="G1118" s="3">
        <v>1443</v>
      </c>
      <c r="H1118" s="3">
        <v>1442</v>
      </c>
      <c r="I1118" s="3">
        <v>1440.56</v>
      </c>
      <c r="J1118" s="3">
        <v>1471.6</v>
      </c>
      <c r="K1118" s="3">
        <v>1153</v>
      </c>
      <c r="L1118" s="2">
        <v>5315847</v>
      </c>
      <c r="M1118" s="2">
        <v>7657790478.1000004</v>
      </c>
      <c r="N1118" s="2">
        <v>123124</v>
      </c>
      <c r="O1118" t="s">
        <v>20</v>
      </c>
      <c r="P1118" s="8">
        <f t="shared" si="51"/>
        <v>3.7000000000000455</v>
      </c>
      <c r="Q1118" t="s">
        <v>39</v>
      </c>
      <c r="R1118">
        <f t="shared" si="52"/>
        <v>7</v>
      </c>
      <c r="S1118" t="str">
        <f t="shared" si="53"/>
        <v>Jul</v>
      </c>
      <c r="T1118" s="9">
        <f>VLOOKUP(O1118, Annual_Summary!A:B, 2, 0)</f>
        <v>4.6157441670237213E-2</v>
      </c>
    </row>
    <row r="1119" spans="1:20" x14ac:dyDescent="0.3">
      <c r="A1119" s="1">
        <v>45845</v>
      </c>
      <c r="B1119" t="s">
        <v>15</v>
      </c>
      <c r="C1119" s="3">
        <v>1437</v>
      </c>
      <c r="D1119" s="3">
        <v>1440.9</v>
      </c>
      <c r="E1119" s="3">
        <v>1429.6</v>
      </c>
      <c r="F1119" s="3">
        <v>1442.8</v>
      </c>
      <c r="G1119" s="3">
        <v>1435.9</v>
      </c>
      <c r="H1119" s="3">
        <v>1435.7</v>
      </c>
      <c r="I1119" s="3">
        <v>1433.38</v>
      </c>
      <c r="J1119" s="3">
        <v>1471.6</v>
      </c>
      <c r="K1119" s="3">
        <v>1153</v>
      </c>
      <c r="L1119" s="2">
        <v>5177477</v>
      </c>
      <c r="M1119" s="2">
        <v>7421312203.1000004</v>
      </c>
      <c r="N1119" s="2">
        <v>127818</v>
      </c>
      <c r="O1119" t="s">
        <v>20</v>
      </c>
      <c r="P1119" s="8">
        <f t="shared" si="51"/>
        <v>5.7999999999999545</v>
      </c>
      <c r="Q1119" t="s">
        <v>39</v>
      </c>
      <c r="R1119">
        <f t="shared" si="52"/>
        <v>7</v>
      </c>
      <c r="S1119" t="str">
        <f t="shared" si="53"/>
        <v>Jul</v>
      </c>
      <c r="T1119" s="9">
        <f>VLOOKUP(O1119, Annual_Summary!A:B, 2, 0)</f>
        <v>4.6157441670237213E-2</v>
      </c>
    </row>
    <row r="1120" spans="1:20" x14ac:dyDescent="0.3">
      <c r="A1120" s="1">
        <v>45842</v>
      </c>
      <c r="B1120" t="s">
        <v>15</v>
      </c>
      <c r="C1120" s="3">
        <v>1427</v>
      </c>
      <c r="D1120" s="3">
        <v>1444.4</v>
      </c>
      <c r="E1120" s="3">
        <v>1421.1</v>
      </c>
      <c r="F1120" s="3">
        <v>1425.9</v>
      </c>
      <c r="G1120" s="3">
        <v>1443</v>
      </c>
      <c r="H1120" s="3">
        <v>1442.8</v>
      </c>
      <c r="I1120" s="3">
        <v>1433.52</v>
      </c>
      <c r="J1120" s="3">
        <v>1471.6</v>
      </c>
      <c r="K1120" s="3">
        <v>1153</v>
      </c>
      <c r="L1120" s="2">
        <v>5066503</v>
      </c>
      <c r="M1120" s="2">
        <v>7262913585.5</v>
      </c>
      <c r="N1120" s="2">
        <v>127265</v>
      </c>
      <c r="O1120" t="s">
        <v>20</v>
      </c>
      <c r="P1120" s="8">
        <f t="shared" si="51"/>
        <v>-1.0999999999999091</v>
      </c>
      <c r="Q1120" t="s">
        <v>39</v>
      </c>
      <c r="R1120">
        <f t="shared" si="52"/>
        <v>7</v>
      </c>
      <c r="S1120" t="str">
        <f t="shared" si="53"/>
        <v>Jul</v>
      </c>
      <c r="T1120" s="9">
        <f>VLOOKUP(O1120, Annual_Summary!A:B, 2, 0)</f>
        <v>4.6157441670237213E-2</v>
      </c>
    </row>
    <row r="1121" spans="1:20" x14ac:dyDescent="0.3">
      <c r="A1121" s="1">
        <v>45841</v>
      </c>
      <c r="B1121" t="s">
        <v>15</v>
      </c>
      <c r="C1121" s="3">
        <v>1432.1</v>
      </c>
      <c r="D1121" s="3">
        <v>1446.1</v>
      </c>
      <c r="E1121" s="3">
        <v>1423.7</v>
      </c>
      <c r="F1121" s="3">
        <v>1427.8</v>
      </c>
      <c r="G1121" s="3">
        <v>1427</v>
      </c>
      <c r="H1121" s="3">
        <v>1425.9</v>
      </c>
      <c r="I1121" s="3">
        <v>1429.96</v>
      </c>
      <c r="J1121" s="3">
        <v>1471.6</v>
      </c>
      <c r="K1121" s="3">
        <v>1153</v>
      </c>
      <c r="L1121" s="2">
        <v>10177738</v>
      </c>
      <c r="M1121" s="2">
        <v>14553751194.799999</v>
      </c>
      <c r="N1121" s="2">
        <v>181095</v>
      </c>
      <c r="O1121" t="s">
        <v>20</v>
      </c>
      <c r="P1121" s="8">
        <f t="shared" si="51"/>
        <v>-4.2999999999999545</v>
      </c>
      <c r="Q1121" t="s">
        <v>39</v>
      </c>
      <c r="R1121">
        <f t="shared" si="52"/>
        <v>7</v>
      </c>
      <c r="S1121" t="str">
        <f t="shared" si="53"/>
        <v>Jul</v>
      </c>
      <c r="T1121" s="9">
        <f>VLOOKUP(O1121, Annual_Summary!A:B, 2, 0)</f>
        <v>4.6157441670237213E-2</v>
      </c>
    </row>
    <row r="1122" spans="1:20" x14ac:dyDescent="0.3">
      <c r="A1122" s="1">
        <v>45840</v>
      </c>
      <c r="B1122" t="s">
        <v>15</v>
      </c>
      <c r="C1122" s="3">
        <v>1432.2</v>
      </c>
      <c r="D1122" s="3">
        <v>1451</v>
      </c>
      <c r="E1122" s="3">
        <v>1422.6</v>
      </c>
      <c r="F1122" s="3">
        <v>1432</v>
      </c>
      <c r="G1122" s="3">
        <v>1427.8</v>
      </c>
      <c r="H1122" s="3">
        <v>1427.8</v>
      </c>
      <c r="I1122" s="3">
        <v>1430.58</v>
      </c>
      <c r="J1122" s="3">
        <v>1471.6</v>
      </c>
      <c r="K1122" s="3">
        <v>1153</v>
      </c>
      <c r="L1122" s="2">
        <v>13372280</v>
      </c>
      <c r="M1122" s="2">
        <v>19130157807.700001</v>
      </c>
      <c r="N1122" s="2">
        <v>213176</v>
      </c>
      <c r="O1122" t="s">
        <v>20</v>
      </c>
      <c r="P1122" s="8">
        <f t="shared" si="51"/>
        <v>-0.20000000000004547</v>
      </c>
      <c r="Q1122" t="s">
        <v>39</v>
      </c>
      <c r="R1122">
        <f t="shared" si="52"/>
        <v>7</v>
      </c>
      <c r="S1122" t="str">
        <f t="shared" si="53"/>
        <v>Jul</v>
      </c>
      <c r="T1122" s="9">
        <f>VLOOKUP(O1122, Annual_Summary!A:B, 2, 0)</f>
        <v>4.6157441670237213E-2</v>
      </c>
    </row>
    <row r="1123" spans="1:20" x14ac:dyDescent="0.3">
      <c r="A1123" s="1">
        <v>45839</v>
      </c>
      <c r="B1123" t="s">
        <v>15</v>
      </c>
      <c r="C1123" s="3">
        <v>1445.7</v>
      </c>
      <c r="D1123" s="3">
        <v>1447.6</v>
      </c>
      <c r="E1123" s="3">
        <v>1429.6</v>
      </c>
      <c r="F1123" s="3">
        <v>1445.8</v>
      </c>
      <c r="G1123" s="3">
        <v>1431.7</v>
      </c>
      <c r="H1123" s="3">
        <v>1432</v>
      </c>
      <c r="I1123" s="3">
        <v>1435.52</v>
      </c>
      <c r="J1123" s="3">
        <v>1471.6</v>
      </c>
      <c r="K1123" s="3">
        <v>1153</v>
      </c>
      <c r="L1123" s="2">
        <v>7761449</v>
      </c>
      <c r="M1123" s="2">
        <v>11141735649.700001</v>
      </c>
      <c r="N1123" s="2">
        <v>185345</v>
      </c>
      <c r="O1123" t="s">
        <v>20</v>
      </c>
      <c r="P1123" s="8">
        <f t="shared" si="51"/>
        <v>9.9999999999909051E-2</v>
      </c>
      <c r="Q1123" t="s">
        <v>39</v>
      </c>
      <c r="R1123">
        <f t="shared" si="52"/>
        <v>7</v>
      </c>
      <c r="S1123" t="str">
        <f t="shared" si="53"/>
        <v>Jul</v>
      </c>
      <c r="T1123" s="9">
        <f>VLOOKUP(O1123, Annual_Summary!A:B, 2, 0)</f>
        <v>4.6157441670237213E-2</v>
      </c>
    </row>
    <row r="1124" spans="1:20" x14ac:dyDescent="0.3">
      <c r="A1124" s="1">
        <v>45838</v>
      </c>
      <c r="B1124" t="s">
        <v>15</v>
      </c>
      <c r="C1124" s="3">
        <v>1461.8</v>
      </c>
      <c r="D1124" s="3">
        <v>1461.9</v>
      </c>
      <c r="E1124" s="3">
        <v>1442.3</v>
      </c>
      <c r="F1124" s="3">
        <v>1462.2</v>
      </c>
      <c r="G1124" s="3">
        <v>1449</v>
      </c>
      <c r="H1124" s="3">
        <v>1445.8</v>
      </c>
      <c r="I1124" s="3">
        <v>1449.97</v>
      </c>
      <c r="J1124" s="3">
        <v>1471.6</v>
      </c>
      <c r="K1124" s="3">
        <v>1153</v>
      </c>
      <c r="L1124" s="2">
        <v>6325073</v>
      </c>
      <c r="M1124" s="2">
        <v>9171182603.2000008</v>
      </c>
      <c r="N1124" s="2">
        <v>187773</v>
      </c>
      <c r="O1124" t="s">
        <v>20</v>
      </c>
      <c r="P1124" s="8">
        <f t="shared" si="51"/>
        <v>0.40000000000009095</v>
      </c>
      <c r="Q1124" t="s">
        <v>39</v>
      </c>
      <c r="R1124">
        <f t="shared" si="52"/>
        <v>6</v>
      </c>
      <c r="S1124" t="str">
        <f t="shared" si="53"/>
        <v>Jun</v>
      </c>
      <c r="T1124" s="9">
        <f>VLOOKUP(O1124, Annual_Summary!A:B, 2, 0)</f>
        <v>4.6157441670237213E-2</v>
      </c>
    </row>
    <row r="1125" spans="1:20" x14ac:dyDescent="0.3">
      <c r="A1125" s="1">
        <v>45835</v>
      </c>
      <c r="B1125" t="s">
        <v>15</v>
      </c>
      <c r="C1125" s="3">
        <v>1438.9</v>
      </c>
      <c r="D1125" s="3">
        <v>1466</v>
      </c>
      <c r="E1125" s="3">
        <v>1437.1</v>
      </c>
      <c r="F1125" s="3">
        <v>1439.1</v>
      </c>
      <c r="G1125" s="3">
        <v>1457.9</v>
      </c>
      <c r="H1125" s="3">
        <v>1462.2</v>
      </c>
      <c r="I1125" s="3">
        <v>1457.56</v>
      </c>
      <c r="J1125" s="3">
        <v>1471.6</v>
      </c>
      <c r="K1125" s="3">
        <v>1152.6500000000001</v>
      </c>
      <c r="L1125" s="2">
        <v>22532899</v>
      </c>
      <c r="M1125" s="2">
        <v>32843085618.200001</v>
      </c>
      <c r="N1125" s="2">
        <v>217058</v>
      </c>
      <c r="O1125" t="s">
        <v>20</v>
      </c>
      <c r="P1125" s="8">
        <f t="shared" si="51"/>
        <v>0.1999999999998181</v>
      </c>
      <c r="Q1125" t="s">
        <v>39</v>
      </c>
      <c r="R1125">
        <f t="shared" si="52"/>
        <v>6</v>
      </c>
      <c r="S1125" t="str">
        <f t="shared" si="53"/>
        <v>Jun</v>
      </c>
      <c r="T1125" s="9">
        <f>VLOOKUP(O1125, Annual_Summary!A:B, 2, 0)</f>
        <v>4.6157441670237213E-2</v>
      </c>
    </row>
    <row r="1126" spans="1:20" x14ac:dyDescent="0.3">
      <c r="A1126" s="1">
        <v>45834</v>
      </c>
      <c r="B1126" t="s">
        <v>15</v>
      </c>
      <c r="C1126" s="3">
        <v>1424.8</v>
      </c>
      <c r="D1126" s="3">
        <v>1447.5</v>
      </c>
      <c r="E1126" s="3">
        <v>1421.7</v>
      </c>
      <c r="F1126" s="3">
        <v>1425.8</v>
      </c>
      <c r="G1126" s="3">
        <v>1440</v>
      </c>
      <c r="H1126" s="3">
        <v>1439.1</v>
      </c>
      <c r="I1126" s="3">
        <v>1436.85</v>
      </c>
      <c r="J1126" s="3">
        <v>1471.6</v>
      </c>
      <c r="K1126" s="3">
        <v>1152.6500000000001</v>
      </c>
      <c r="L1126" s="2">
        <v>13617435</v>
      </c>
      <c r="M1126" s="2">
        <v>19566210028.900002</v>
      </c>
      <c r="N1126" s="2">
        <v>220490</v>
      </c>
      <c r="O1126" t="s">
        <v>20</v>
      </c>
      <c r="P1126" s="8">
        <f t="shared" si="51"/>
        <v>1</v>
      </c>
      <c r="Q1126" t="s">
        <v>39</v>
      </c>
      <c r="R1126">
        <f t="shared" si="52"/>
        <v>6</v>
      </c>
      <c r="S1126" t="str">
        <f t="shared" si="53"/>
        <v>Jun</v>
      </c>
      <c r="T1126" s="9">
        <f>VLOOKUP(O1126, Annual_Summary!A:B, 2, 0)</f>
        <v>4.6157441670237213E-2</v>
      </c>
    </row>
    <row r="1127" spans="1:20" x14ac:dyDescent="0.3">
      <c r="A1127" s="1">
        <v>45833</v>
      </c>
      <c r="B1127" t="s">
        <v>15</v>
      </c>
      <c r="C1127" s="3">
        <v>1422</v>
      </c>
      <c r="D1127" s="3">
        <v>1428.9</v>
      </c>
      <c r="E1127" s="3">
        <v>1415.3</v>
      </c>
      <c r="F1127" s="3">
        <v>1424.1</v>
      </c>
      <c r="G1127" s="3">
        <v>1424.5</v>
      </c>
      <c r="H1127" s="3">
        <v>1425.8</v>
      </c>
      <c r="I1127" s="3">
        <v>1423.08</v>
      </c>
      <c r="J1127" s="3">
        <v>1471.6</v>
      </c>
      <c r="K1127" s="3">
        <v>1152.6500000000001</v>
      </c>
      <c r="L1127" s="2">
        <v>7527388</v>
      </c>
      <c r="M1127" s="2">
        <v>10712047350.9</v>
      </c>
      <c r="N1127" s="2">
        <v>147548</v>
      </c>
      <c r="O1127" t="s">
        <v>20</v>
      </c>
      <c r="P1127" s="8">
        <f t="shared" si="51"/>
        <v>2.0999999999999091</v>
      </c>
      <c r="Q1127" t="s">
        <v>39</v>
      </c>
      <c r="R1127">
        <f t="shared" si="52"/>
        <v>6</v>
      </c>
      <c r="S1127" t="str">
        <f t="shared" si="53"/>
        <v>Jun</v>
      </c>
      <c r="T1127" s="9">
        <f>VLOOKUP(O1127, Annual_Summary!A:B, 2, 0)</f>
        <v>4.6157441670237213E-2</v>
      </c>
    </row>
    <row r="1128" spans="1:20" x14ac:dyDescent="0.3">
      <c r="A1128" s="1">
        <v>45832</v>
      </c>
      <c r="B1128" t="s">
        <v>15</v>
      </c>
      <c r="C1128" s="3">
        <v>1427.7</v>
      </c>
      <c r="D1128" s="3">
        <v>1435.9</v>
      </c>
      <c r="E1128" s="3">
        <v>1416.5</v>
      </c>
      <c r="F1128" s="3">
        <v>1420.1</v>
      </c>
      <c r="G1128" s="3">
        <v>1424</v>
      </c>
      <c r="H1128" s="3">
        <v>1424.1</v>
      </c>
      <c r="I1128" s="3">
        <v>1425.61</v>
      </c>
      <c r="J1128" s="3">
        <v>1471.6</v>
      </c>
      <c r="K1128" s="3">
        <v>1152.6500000000001</v>
      </c>
      <c r="L1128" s="2">
        <v>11188438</v>
      </c>
      <c r="M1128" s="2">
        <v>15950352718.799999</v>
      </c>
      <c r="N1128" s="2">
        <v>188014</v>
      </c>
      <c r="O1128" t="s">
        <v>20</v>
      </c>
      <c r="P1128" s="8">
        <f t="shared" si="51"/>
        <v>-7.6000000000001364</v>
      </c>
      <c r="Q1128" t="s">
        <v>39</v>
      </c>
      <c r="R1128">
        <f t="shared" si="52"/>
        <v>6</v>
      </c>
      <c r="S1128" t="str">
        <f t="shared" si="53"/>
        <v>Jun</v>
      </c>
      <c r="T1128" s="9">
        <f>VLOOKUP(O1128, Annual_Summary!A:B, 2, 0)</f>
        <v>4.6157441670237213E-2</v>
      </c>
    </row>
    <row r="1129" spans="1:20" x14ac:dyDescent="0.3">
      <c r="A1129" s="1">
        <v>45831</v>
      </c>
      <c r="B1129" t="s">
        <v>15</v>
      </c>
      <c r="C1129" s="3">
        <v>1417</v>
      </c>
      <c r="D1129" s="3">
        <v>1423.2</v>
      </c>
      <c r="E1129" s="3">
        <v>1411.9</v>
      </c>
      <c r="F1129" s="3">
        <v>1427.1</v>
      </c>
      <c r="G1129" s="3">
        <v>1419.1</v>
      </c>
      <c r="H1129" s="3">
        <v>1420.1</v>
      </c>
      <c r="I1129" s="3">
        <v>1417.98</v>
      </c>
      <c r="J1129" s="3">
        <v>1471.6</v>
      </c>
      <c r="K1129" s="3">
        <v>1152.6500000000001</v>
      </c>
      <c r="L1129" s="2">
        <v>5514384</v>
      </c>
      <c r="M1129" s="2">
        <v>7819302210.1999998</v>
      </c>
      <c r="N1129" s="2">
        <v>160229</v>
      </c>
      <c r="O1129" t="s">
        <v>20</v>
      </c>
      <c r="P1129" s="8">
        <f t="shared" si="51"/>
        <v>10.099999999999909</v>
      </c>
      <c r="Q1129" t="s">
        <v>39</v>
      </c>
      <c r="R1129">
        <f t="shared" si="52"/>
        <v>6</v>
      </c>
      <c r="S1129" t="str">
        <f t="shared" si="53"/>
        <v>Jun</v>
      </c>
      <c r="T1129" s="9">
        <f>VLOOKUP(O1129, Annual_Summary!A:B, 2, 0)</f>
        <v>4.6157441670237213E-2</v>
      </c>
    </row>
    <row r="1130" spans="1:20" x14ac:dyDescent="0.3">
      <c r="A1130" s="1">
        <v>45828</v>
      </c>
      <c r="B1130" t="s">
        <v>15</v>
      </c>
      <c r="C1130" s="3">
        <v>1411.3</v>
      </c>
      <c r="D1130" s="3">
        <v>1433.3</v>
      </c>
      <c r="E1130" s="3">
        <v>1410.2</v>
      </c>
      <c r="F1130" s="3">
        <v>1411.3</v>
      </c>
      <c r="G1130" s="3">
        <v>1426.4</v>
      </c>
      <c r="H1130" s="3">
        <v>1427.1</v>
      </c>
      <c r="I1130" s="3">
        <v>1426.55</v>
      </c>
      <c r="J1130" s="3">
        <v>1471.6</v>
      </c>
      <c r="K1130" s="3">
        <v>1101.2</v>
      </c>
      <c r="L1130" s="2">
        <v>12408178</v>
      </c>
      <c r="M1130" s="2">
        <v>17700887653.799999</v>
      </c>
      <c r="N1130" s="2">
        <v>160865</v>
      </c>
      <c r="O1130" t="s">
        <v>20</v>
      </c>
      <c r="P1130" s="8">
        <f t="shared" si="51"/>
        <v>0</v>
      </c>
      <c r="Q1130" t="s">
        <v>39</v>
      </c>
      <c r="R1130">
        <f t="shared" si="52"/>
        <v>6</v>
      </c>
      <c r="S1130" t="str">
        <f t="shared" si="53"/>
        <v>Jun</v>
      </c>
      <c r="T1130" s="9">
        <f>VLOOKUP(O1130, Annual_Summary!A:B, 2, 0)</f>
        <v>4.6157441670237213E-2</v>
      </c>
    </row>
    <row r="1131" spans="1:20" x14ac:dyDescent="0.3">
      <c r="A1131" s="1">
        <v>45827</v>
      </c>
      <c r="B1131" t="s">
        <v>15</v>
      </c>
      <c r="C1131" s="3">
        <v>1408</v>
      </c>
      <c r="D1131" s="3">
        <v>1414.7</v>
      </c>
      <c r="E1131" s="3">
        <v>1404.7</v>
      </c>
      <c r="F1131" s="3">
        <v>1412.6</v>
      </c>
      <c r="G1131" s="3">
        <v>1410</v>
      </c>
      <c r="H1131" s="3">
        <v>1411.3</v>
      </c>
      <c r="I1131" s="3">
        <v>1409.62</v>
      </c>
      <c r="J1131" s="3">
        <v>1471.6</v>
      </c>
      <c r="K1131" s="3">
        <v>1101.2</v>
      </c>
      <c r="L1131" s="2">
        <v>8849883</v>
      </c>
      <c r="M1131" s="2">
        <v>12474998015.5</v>
      </c>
      <c r="N1131" s="2">
        <v>342983</v>
      </c>
      <c r="O1131" t="s">
        <v>20</v>
      </c>
      <c r="P1131" s="8">
        <f t="shared" si="51"/>
        <v>4.5999999999999091</v>
      </c>
      <c r="Q1131" t="s">
        <v>39</v>
      </c>
      <c r="R1131">
        <f t="shared" si="52"/>
        <v>6</v>
      </c>
      <c r="S1131" t="str">
        <f t="shared" si="53"/>
        <v>Jun</v>
      </c>
      <c r="T1131" s="9">
        <f>VLOOKUP(O1131, Annual_Summary!A:B, 2, 0)</f>
        <v>4.6157441670237213E-2</v>
      </c>
    </row>
    <row r="1132" spans="1:20" x14ac:dyDescent="0.3">
      <c r="A1132" s="1">
        <v>45826</v>
      </c>
      <c r="B1132" t="s">
        <v>15</v>
      </c>
      <c r="C1132" s="3">
        <v>1417</v>
      </c>
      <c r="D1132" s="3">
        <v>1432</v>
      </c>
      <c r="E1132" s="3">
        <v>1410.2</v>
      </c>
      <c r="F1132" s="3">
        <v>1423.2</v>
      </c>
      <c r="G1132" s="3">
        <v>1413</v>
      </c>
      <c r="H1132" s="3">
        <v>1412.6</v>
      </c>
      <c r="I1132" s="3">
        <v>1415.55</v>
      </c>
      <c r="J1132" s="3">
        <v>1471.6</v>
      </c>
      <c r="K1132" s="3">
        <v>1101.2</v>
      </c>
      <c r="L1132" s="2">
        <v>6751745</v>
      </c>
      <c r="M1132" s="2">
        <v>9557444212.1000004</v>
      </c>
      <c r="N1132" s="2">
        <v>162388</v>
      </c>
      <c r="O1132" t="s">
        <v>20</v>
      </c>
      <c r="P1132" s="8">
        <f t="shared" si="51"/>
        <v>6.2000000000000455</v>
      </c>
      <c r="Q1132" t="s">
        <v>39</v>
      </c>
      <c r="R1132">
        <f t="shared" si="52"/>
        <v>6</v>
      </c>
      <c r="S1132" t="str">
        <f t="shared" si="53"/>
        <v>Jun</v>
      </c>
      <c r="T1132" s="9">
        <f>VLOOKUP(O1132, Annual_Summary!A:B, 2, 0)</f>
        <v>4.6157441670237213E-2</v>
      </c>
    </row>
    <row r="1133" spans="1:20" x14ac:dyDescent="0.3">
      <c r="A1133" s="1">
        <v>45825</v>
      </c>
      <c r="B1133" t="s">
        <v>15</v>
      </c>
      <c r="C1133" s="3">
        <v>1426.9</v>
      </c>
      <c r="D1133" s="3">
        <v>1429.8</v>
      </c>
      <c r="E1133" s="3">
        <v>1417.8</v>
      </c>
      <c r="F1133" s="3">
        <v>1426.9</v>
      </c>
      <c r="G1133" s="3">
        <v>1422</v>
      </c>
      <c r="H1133" s="3">
        <v>1423.2</v>
      </c>
      <c r="I1133" s="3">
        <v>1423.27</v>
      </c>
      <c r="J1133" s="3">
        <v>1471.6</v>
      </c>
      <c r="K1133" s="3">
        <v>1101.2</v>
      </c>
      <c r="L1133" s="2">
        <v>6970098</v>
      </c>
      <c r="M1133" s="2">
        <v>9920298395</v>
      </c>
      <c r="N1133" s="2">
        <v>193761</v>
      </c>
      <c r="O1133" t="s">
        <v>20</v>
      </c>
      <c r="P1133" s="8">
        <f t="shared" si="51"/>
        <v>0</v>
      </c>
      <c r="Q1133" t="s">
        <v>39</v>
      </c>
      <c r="R1133">
        <f t="shared" si="52"/>
        <v>6</v>
      </c>
      <c r="S1133" t="str">
        <f t="shared" si="53"/>
        <v>Jun</v>
      </c>
      <c r="T1133" s="9">
        <f>VLOOKUP(O1133, Annual_Summary!A:B, 2, 0)</f>
        <v>4.6157441670237213E-2</v>
      </c>
    </row>
    <row r="1134" spans="1:20" x14ac:dyDescent="0.3">
      <c r="A1134" s="1">
        <v>45824</v>
      </c>
      <c r="B1134" t="s">
        <v>15</v>
      </c>
      <c r="C1134" s="3">
        <v>1416.6</v>
      </c>
      <c r="D1134" s="3">
        <v>1429</v>
      </c>
      <c r="E1134" s="3">
        <v>1414.2</v>
      </c>
      <c r="F1134" s="3">
        <v>1416.1</v>
      </c>
      <c r="G1134" s="3">
        <v>1427.9</v>
      </c>
      <c r="H1134" s="3">
        <v>1426.9</v>
      </c>
      <c r="I1134" s="3">
        <v>1423.44</v>
      </c>
      <c r="J1134" s="3">
        <v>1471.6</v>
      </c>
      <c r="K1134" s="3">
        <v>1101.2</v>
      </c>
      <c r="L1134" s="2">
        <v>5451137</v>
      </c>
      <c r="M1134" s="2">
        <v>7759340748.3999996</v>
      </c>
      <c r="N1134" s="2">
        <v>89237</v>
      </c>
      <c r="O1134" t="s">
        <v>20</v>
      </c>
      <c r="P1134" s="8">
        <f t="shared" si="51"/>
        <v>-0.5</v>
      </c>
      <c r="Q1134" t="s">
        <v>39</v>
      </c>
      <c r="R1134">
        <f t="shared" si="52"/>
        <v>6</v>
      </c>
      <c r="S1134" t="str">
        <f t="shared" si="53"/>
        <v>Jun</v>
      </c>
      <c r="T1134" s="9">
        <f>VLOOKUP(O1134, Annual_Summary!A:B, 2, 0)</f>
        <v>4.6157441670237213E-2</v>
      </c>
    </row>
    <row r="1135" spans="1:20" x14ac:dyDescent="0.3">
      <c r="A1135" s="1">
        <v>45821</v>
      </c>
      <c r="B1135" t="s">
        <v>15</v>
      </c>
      <c r="C1135" s="3">
        <v>1403.6</v>
      </c>
      <c r="D1135" s="3">
        <v>1421.5</v>
      </c>
      <c r="E1135" s="3">
        <v>1403.6</v>
      </c>
      <c r="F1135" s="3">
        <v>1425.2</v>
      </c>
      <c r="G1135" s="3">
        <v>1417.7</v>
      </c>
      <c r="H1135" s="3">
        <v>1416.1</v>
      </c>
      <c r="I1135" s="3">
        <v>1413.67</v>
      </c>
      <c r="J1135" s="3">
        <v>1471.6</v>
      </c>
      <c r="K1135" s="3">
        <v>1099.45</v>
      </c>
      <c r="L1135" s="2">
        <v>7573103</v>
      </c>
      <c r="M1135" s="2">
        <v>10705843818.299999</v>
      </c>
      <c r="N1135" s="2">
        <v>188584</v>
      </c>
      <c r="O1135" t="s">
        <v>20</v>
      </c>
      <c r="P1135" s="8">
        <f t="shared" si="51"/>
        <v>21.600000000000136</v>
      </c>
      <c r="Q1135" t="s">
        <v>39</v>
      </c>
      <c r="R1135">
        <f t="shared" si="52"/>
        <v>6</v>
      </c>
      <c r="S1135" t="str">
        <f t="shared" si="53"/>
        <v>Jun</v>
      </c>
      <c r="T1135" s="9">
        <f>VLOOKUP(O1135, Annual_Summary!A:B, 2, 0)</f>
        <v>4.6157441670237213E-2</v>
      </c>
    </row>
    <row r="1136" spans="1:20" x14ac:dyDescent="0.3">
      <c r="A1136" s="1">
        <v>45820</v>
      </c>
      <c r="B1136" t="s">
        <v>15</v>
      </c>
      <c r="C1136" s="3">
        <v>1430.5</v>
      </c>
      <c r="D1136" s="3">
        <v>1436.5</v>
      </c>
      <c r="E1136" s="3">
        <v>1420</v>
      </c>
      <c r="F1136" s="3">
        <v>1431</v>
      </c>
      <c r="G1136" s="3">
        <v>1424.5</v>
      </c>
      <c r="H1136" s="3">
        <v>1425.2</v>
      </c>
      <c r="I1136" s="3">
        <v>1425.62</v>
      </c>
      <c r="J1136" s="3">
        <v>1471.6</v>
      </c>
      <c r="K1136" s="3">
        <v>1099.45</v>
      </c>
      <c r="L1136" s="2">
        <v>7953247</v>
      </c>
      <c r="M1136" s="2">
        <v>11338280353.6</v>
      </c>
      <c r="N1136" s="2">
        <v>184161</v>
      </c>
      <c r="O1136" t="s">
        <v>20</v>
      </c>
      <c r="P1136" s="8">
        <f t="shared" si="51"/>
        <v>0.5</v>
      </c>
      <c r="Q1136" t="s">
        <v>39</v>
      </c>
      <c r="R1136">
        <f t="shared" si="52"/>
        <v>6</v>
      </c>
      <c r="S1136" t="str">
        <f t="shared" si="53"/>
        <v>Jun</v>
      </c>
      <c r="T1136" s="9">
        <f>VLOOKUP(O1136, Annual_Summary!A:B, 2, 0)</f>
        <v>4.6157441670237213E-2</v>
      </c>
    </row>
    <row r="1137" spans="1:20" x14ac:dyDescent="0.3">
      <c r="A1137" s="1">
        <v>45819</v>
      </c>
      <c r="B1137" t="s">
        <v>15</v>
      </c>
      <c r="C1137" s="3">
        <v>1421.8</v>
      </c>
      <c r="D1137" s="3">
        <v>1434.5</v>
      </c>
      <c r="E1137" s="3">
        <v>1418.6</v>
      </c>
      <c r="F1137" s="3">
        <v>1422.9</v>
      </c>
      <c r="G1137" s="3">
        <v>1430.3</v>
      </c>
      <c r="H1137" s="3">
        <v>1431</v>
      </c>
      <c r="I1137" s="3">
        <v>1430.07</v>
      </c>
      <c r="J1137" s="3">
        <v>1471.6</v>
      </c>
      <c r="K1137" s="3">
        <v>1099.45</v>
      </c>
      <c r="L1137" s="2">
        <v>7136877</v>
      </c>
      <c r="M1137" s="2">
        <v>10206208002.700001</v>
      </c>
      <c r="N1137" s="2">
        <v>234139</v>
      </c>
      <c r="O1137" t="s">
        <v>20</v>
      </c>
      <c r="P1137" s="8">
        <f t="shared" si="51"/>
        <v>1.1000000000001364</v>
      </c>
      <c r="Q1137" t="s">
        <v>39</v>
      </c>
      <c r="R1137">
        <f t="shared" si="52"/>
        <v>6</v>
      </c>
      <c r="S1137" t="str">
        <f t="shared" si="53"/>
        <v>Jun</v>
      </c>
      <c r="T1137" s="9">
        <f>VLOOKUP(O1137, Annual_Summary!A:B, 2, 0)</f>
        <v>4.6157441670237213E-2</v>
      </c>
    </row>
    <row r="1138" spans="1:20" x14ac:dyDescent="0.3">
      <c r="A1138" s="1">
        <v>45818</v>
      </c>
      <c r="B1138" t="s">
        <v>15</v>
      </c>
      <c r="C1138" s="3">
        <v>1439</v>
      </c>
      <c r="D1138" s="3">
        <v>1441.7</v>
      </c>
      <c r="E1138" s="3">
        <v>1416.5</v>
      </c>
      <c r="F1138" s="3">
        <v>1434.8</v>
      </c>
      <c r="G1138" s="3">
        <v>1421.8</v>
      </c>
      <c r="H1138" s="3">
        <v>1422.9</v>
      </c>
      <c r="I1138" s="3">
        <v>1422.89</v>
      </c>
      <c r="J1138" s="3">
        <v>1471.6</v>
      </c>
      <c r="K1138" s="3">
        <v>1099.45</v>
      </c>
      <c r="L1138" s="2">
        <v>12905272</v>
      </c>
      <c r="M1138" s="2">
        <v>18362844057.099998</v>
      </c>
      <c r="N1138" s="2">
        <v>376346</v>
      </c>
      <c r="O1138" t="s">
        <v>20</v>
      </c>
      <c r="P1138" s="8">
        <f t="shared" si="51"/>
        <v>-4.2000000000000455</v>
      </c>
      <c r="Q1138" t="s">
        <v>39</v>
      </c>
      <c r="R1138">
        <f t="shared" si="52"/>
        <v>6</v>
      </c>
      <c r="S1138" t="str">
        <f t="shared" si="53"/>
        <v>Jun</v>
      </c>
      <c r="T1138" s="9">
        <f>VLOOKUP(O1138, Annual_Summary!A:B, 2, 0)</f>
        <v>4.6157441670237213E-2</v>
      </c>
    </row>
    <row r="1139" spans="1:20" x14ac:dyDescent="0.3">
      <c r="A1139" s="1">
        <v>45817</v>
      </c>
      <c r="B1139" t="s">
        <v>15</v>
      </c>
      <c r="C1139" s="3">
        <v>1465</v>
      </c>
      <c r="D1139" s="3">
        <v>1466.8</v>
      </c>
      <c r="E1139" s="3">
        <v>1433.4</v>
      </c>
      <c r="F1139" s="3">
        <v>1459.7</v>
      </c>
      <c r="G1139" s="3">
        <v>1434.5</v>
      </c>
      <c r="H1139" s="3">
        <v>1434.8</v>
      </c>
      <c r="I1139" s="3">
        <v>1441.92</v>
      </c>
      <c r="J1139" s="3">
        <v>1471.6</v>
      </c>
      <c r="K1139" s="3">
        <v>1099.45</v>
      </c>
      <c r="L1139" s="2">
        <v>11022031</v>
      </c>
      <c r="M1139" s="2">
        <v>15892838386.700001</v>
      </c>
      <c r="N1139" s="2">
        <v>337749</v>
      </c>
      <c r="O1139" t="s">
        <v>20</v>
      </c>
      <c r="P1139" s="8">
        <f t="shared" si="51"/>
        <v>-5.2999999999999545</v>
      </c>
      <c r="Q1139" t="s">
        <v>39</v>
      </c>
      <c r="R1139">
        <f t="shared" si="52"/>
        <v>6</v>
      </c>
      <c r="S1139" t="str">
        <f t="shared" si="53"/>
        <v>Jun</v>
      </c>
      <c r="T1139" s="9">
        <f>VLOOKUP(O1139, Annual_Summary!A:B, 2, 0)</f>
        <v>4.6157441670237213E-2</v>
      </c>
    </row>
    <row r="1140" spans="1:20" x14ac:dyDescent="0.3">
      <c r="A1140" s="1">
        <v>45814</v>
      </c>
      <c r="B1140" t="s">
        <v>15</v>
      </c>
      <c r="C1140" s="3">
        <v>1448.6</v>
      </c>
      <c r="D1140" s="3">
        <v>1461.4</v>
      </c>
      <c r="E1140" s="3">
        <v>1442.1</v>
      </c>
      <c r="F1140" s="3">
        <v>1454.8</v>
      </c>
      <c r="G1140" s="3">
        <v>1460</v>
      </c>
      <c r="H1140" s="3">
        <v>1459.7</v>
      </c>
      <c r="I1140" s="3">
        <v>1455.63</v>
      </c>
      <c r="J1140" s="3">
        <v>1471.6</v>
      </c>
      <c r="K1140" s="3">
        <v>1051.05</v>
      </c>
      <c r="L1140" s="2">
        <v>11580994</v>
      </c>
      <c r="M1140" s="2">
        <v>16857621605.200001</v>
      </c>
      <c r="N1140" s="2">
        <v>215279</v>
      </c>
      <c r="O1140" t="s">
        <v>20</v>
      </c>
      <c r="P1140" s="8">
        <f t="shared" si="51"/>
        <v>6.2000000000000455</v>
      </c>
      <c r="Q1140" t="s">
        <v>39</v>
      </c>
      <c r="R1140">
        <f t="shared" si="52"/>
        <v>6</v>
      </c>
      <c r="S1140" t="str">
        <f t="shared" si="53"/>
        <v>Jun</v>
      </c>
      <c r="T1140" s="9">
        <f>VLOOKUP(O1140, Annual_Summary!A:B, 2, 0)</f>
        <v>4.6157441670237213E-2</v>
      </c>
    </row>
    <row r="1141" spans="1:20" x14ac:dyDescent="0.3">
      <c r="A1141" s="1">
        <v>45813</v>
      </c>
      <c r="B1141" t="s">
        <v>15</v>
      </c>
      <c r="C1141" s="3">
        <v>1430.9</v>
      </c>
      <c r="D1141" s="3">
        <v>1459</v>
      </c>
      <c r="E1141" s="3">
        <v>1427.3</v>
      </c>
      <c r="F1141" s="3">
        <v>1431</v>
      </c>
      <c r="G1141" s="3">
        <v>1456.3</v>
      </c>
      <c r="H1141" s="3">
        <v>1454.8</v>
      </c>
      <c r="I1141" s="3">
        <v>1448.79</v>
      </c>
      <c r="J1141" s="3">
        <v>1471.6</v>
      </c>
      <c r="K1141" s="3">
        <v>1051.05</v>
      </c>
      <c r="L1141" s="2">
        <v>11385668</v>
      </c>
      <c r="M1141" s="2">
        <v>16495394104.4</v>
      </c>
      <c r="N1141" s="2">
        <v>176086</v>
      </c>
      <c r="O1141" t="s">
        <v>20</v>
      </c>
      <c r="P1141" s="8">
        <f t="shared" si="51"/>
        <v>9.9999999999909051E-2</v>
      </c>
      <c r="Q1141" t="s">
        <v>39</v>
      </c>
      <c r="R1141">
        <f t="shared" si="52"/>
        <v>6</v>
      </c>
      <c r="S1141" t="str">
        <f t="shared" si="53"/>
        <v>Jun</v>
      </c>
      <c r="T1141" s="9">
        <f>VLOOKUP(O1141, Annual_Summary!A:B, 2, 0)</f>
        <v>4.6157441670237213E-2</v>
      </c>
    </row>
    <row r="1142" spans="1:20" x14ac:dyDescent="0.3">
      <c r="A1142" s="1">
        <v>45812</v>
      </c>
      <c r="B1142" t="s">
        <v>15</v>
      </c>
      <c r="C1142" s="3">
        <v>1437.4</v>
      </c>
      <c r="D1142" s="3">
        <v>1440.1</v>
      </c>
      <c r="E1142" s="3">
        <v>1426.4</v>
      </c>
      <c r="F1142" s="3">
        <v>1437.9</v>
      </c>
      <c r="G1142" s="3">
        <v>1431.1</v>
      </c>
      <c r="H1142" s="3">
        <v>1431</v>
      </c>
      <c r="I1142" s="3">
        <v>1430.63</v>
      </c>
      <c r="J1142" s="3">
        <v>1471.6</v>
      </c>
      <c r="K1142" s="3">
        <v>1051.05</v>
      </c>
      <c r="L1142" s="2">
        <v>8025388</v>
      </c>
      <c r="M1142" s="2">
        <v>11481343481.9</v>
      </c>
      <c r="N1142" s="2">
        <v>147312</v>
      </c>
      <c r="O1142" t="s">
        <v>20</v>
      </c>
      <c r="P1142" s="8">
        <f t="shared" si="51"/>
        <v>0.5</v>
      </c>
      <c r="Q1142" t="s">
        <v>39</v>
      </c>
      <c r="R1142">
        <f t="shared" si="52"/>
        <v>6</v>
      </c>
      <c r="S1142" t="str">
        <f t="shared" si="53"/>
        <v>Jun</v>
      </c>
      <c r="T1142" s="9">
        <f>VLOOKUP(O1142, Annual_Summary!A:B, 2, 0)</f>
        <v>4.6157441670237213E-2</v>
      </c>
    </row>
    <row r="1143" spans="1:20" x14ac:dyDescent="0.3">
      <c r="A1143" s="1">
        <v>45811</v>
      </c>
      <c r="B1143" t="s">
        <v>15</v>
      </c>
      <c r="C1143" s="3">
        <v>1454.9</v>
      </c>
      <c r="D1143" s="3">
        <v>1455</v>
      </c>
      <c r="E1143" s="3">
        <v>1432</v>
      </c>
      <c r="F1143" s="3">
        <v>1450.5</v>
      </c>
      <c r="G1143" s="3">
        <v>1437</v>
      </c>
      <c r="H1143" s="3">
        <v>1437.9</v>
      </c>
      <c r="I1143" s="3">
        <v>1438.02</v>
      </c>
      <c r="J1143" s="3">
        <v>1471.6</v>
      </c>
      <c r="K1143" s="3">
        <v>1051.05</v>
      </c>
      <c r="L1143" s="2">
        <v>11167345</v>
      </c>
      <c r="M1143" s="2">
        <v>16058876541.299999</v>
      </c>
      <c r="N1143" s="2">
        <v>225871</v>
      </c>
      <c r="O1143" t="s">
        <v>20</v>
      </c>
      <c r="P1143" s="8">
        <f t="shared" si="51"/>
        <v>-4.4000000000000909</v>
      </c>
      <c r="Q1143" t="s">
        <v>39</v>
      </c>
      <c r="R1143">
        <f t="shared" si="52"/>
        <v>6</v>
      </c>
      <c r="S1143" t="str">
        <f t="shared" si="53"/>
        <v>Jun</v>
      </c>
      <c r="T1143" s="9">
        <f>VLOOKUP(O1143, Annual_Summary!A:B, 2, 0)</f>
        <v>4.6157441670237213E-2</v>
      </c>
    </row>
    <row r="1144" spans="1:20" x14ac:dyDescent="0.3">
      <c r="A1144" s="1">
        <v>45810</v>
      </c>
      <c r="B1144" t="s">
        <v>15</v>
      </c>
      <c r="C1144" s="3">
        <v>1442</v>
      </c>
      <c r="D1144" s="3">
        <v>1460</v>
      </c>
      <c r="E1144" s="3">
        <v>1432.8</v>
      </c>
      <c r="F1144" s="3">
        <v>1445.8</v>
      </c>
      <c r="G1144" s="3">
        <v>1447.7</v>
      </c>
      <c r="H1144" s="3">
        <v>1450.5</v>
      </c>
      <c r="I1144" s="3">
        <v>1442.4</v>
      </c>
      <c r="J1144" s="3">
        <v>1471.6</v>
      </c>
      <c r="K1144" s="3">
        <v>1051.05</v>
      </c>
      <c r="L1144" s="2">
        <v>9458990</v>
      </c>
      <c r="M1144" s="2">
        <v>13643623560.299999</v>
      </c>
      <c r="N1144" s="2">
        <v>178241</v>
      </c>
      <c r="O1144" t="s">
        <v>20</v>
      </c>
      <c r="P1144" s="8">
        <f t="shared" si="51"/>
        <v>3.7999999999999545</v>
      </c>
      <c r="Q1144" t="s">
        <v>39</v>
      </c>
      <c r="R1144">
        <f t="shared" si="52"/>
        <v>6</v>
      </c>
      <c r="S1144" t="str">
        <f t="shared" si="53"/>
        <v>Jun</v>
      </c>
      <c r="T1144" s="9">
        <f>VLOOKUP(O1144, Annual_Summary!A:B, 2, 0)</f>
        <v>4.6157441670237213E-2</v>
      </c>
    </row>
    <row r="1145" spans="1:20" x14ac:dyDescent="0.3">
      <c r="A1145" s="1">
        <v>45807</v>
      </c>
      <c r="B1145" t="s">
        <v>15</v>
      </c>
      <c r="C1145" s="3">
        <v>1459.9</v>
      </c>
      <c r="D1145" s="3">
        <v>1460.9</v>
      </c>
      <c r="E1145" s="3">
        <v>1444.3</v>
      </c>
      <c r="F1145" s="3">
        <v>1456.5</v>
      </c>
      <c r="G1145" s="3">
        <v>1446.1</v>
      </c>
      <c r="H1145" s="3">
        <v>1445.8</v>
      </c>
      <c r="I1145" s="3">
        <v>1449.04</v>
      </c>
      <c r="J1145" s="3">
        <v>1471.6</v>
      </c>
      <c r="K1145" s="3">
        <v>1051.05</v>
      </c>
      <c r="L1145" s="2">
        <v>11803975</v>
      </c>
      <c r="M1145" s="2">
        <v>17104465533.299999</v>
      </c>
      <c r="N1145" s="2">
        <v>155611</v>
      </c>
      <c r="O1145" t="s">
        <v>20</v>
      </c>
      <c r="P1145" s="8">
        <f t="shared" si="51"/>
        <v>-3.4000000000000909</v>
      </c>
      <c r="Q1145" t="s">
        <v>39</v>
      </c>
      <c r="R1145">
        <f t="shared" si="52"/>
        <v>5</v>
      </c>
      <c r="S1145" t="str">
        <f t="shared" si="53"/>
        <v>May</v>
      </c>
      <c r="T1145" s="9">
        <f>VLOOKUP(O1145, Annual_Summary!A:B, 2, 0)</f>
        <v>4.6157441670237213E-2</v>
      </c>
    </row>
    <row r="1146" spans="1:20" x14ac:dyDescent="0.3">
      <c r="A1146" s="1">
        <v>45806</v>
      </c>
      <c r="B1146" t="s">
        <v>15</v>
      </c>
      <c r="C1146" s="3">
        <v>1456.6</v>
      </c>
      <c r="D1146" s="3">
        <v>1462.9</v>
      </c>
      <c r="E1146" s="3">
        <v>1445</v>
      </c>
      <c r="F1146" s="3">
        <v>1453.8</v>
      </c>
      <c r="G1146" s="3">
        <v>1461</v>
      </c>
      <c r="H1146" s="3">
        <v>1456.5</v>
      </c>
      <c r="I1146" s="3">
        <v>1452.26</v>
      </c>
      <c r="J1146" s="3">
        <v>1471.6</v>
      </c>
      <c r="K1146" s="3">
        <v>1051.05</v>
      </c>
      <c r="L1146" s="2">
        <v>15545514</v>
      </c>
      <c r="M1146" s="2">
        <v>22576188990.200001</v>
      </c>
      <c r="N1146" s="2">
        <v>210205</v>
      </c>
      <c r="O1146" t="s">
        <v>20</v>
      </c>
      <c r="P1146" s="8">
        <f t="shared" si="51"/>
        <v>-2.7999999999999545</v>
      </c>
      <c r="Q1146" t="s">
        <v>39</v>
      </c>
      <c r="R1146">
        <f t="shared" si="52"/>
        <v>5</v>
      </c>
      <c r="S1146" t="str">
        <f t="shared" si="53"/>
        <v>May</v>
      </c>
      <c r="T1146" s="9">
        <f>VLOOKUP(O1146, Annual_Summary!A:B, 2, 0)</f>
        <v>4.6157441670237213E-2</v>
      </c>
    </row>
    <row r="1147" spans="1:20" x14ac:dyDescent="0.3">
      <c r="A1147" s="1">
        <v>45805</v>
      </c>
      <c r="B1147" t="s">
        <v>15</v>
      </c>
      <c r="C1147" s="3">
        <v>1447.6</v>
      </c>
      <c r="D1147" s="3">
        <v>1458</v>
      </c>
      <c r="E1147" s="3">
        <v>1442.5</v>
      </c>
      <c r="F1147" s="3">
        <v>1446.4</v>
      </c>
      <c r="G1147" s="3">
        <v>1452.9</v>
      </c>
      <c r="H1147" s="3">
        <v>1453.8</v>
      </c>
      <c r="I1147" s="3">
        <v>1452.83</v>
      </c>
      <c r="J1147" s="3">
        <v>1471.6</v>
      </c>
      <c r="K1147" s="3">
        <v>1051.05</v>
      </c>
      <c r="L1147" s="2">
        <v>8618343</v>
      </c>
      <c r="M1147" s="2">
        <v>12521029815.6</v>
      </c>
      <c r="N1147" s="2">
        <v>135239</v>
      </c>
      <c r="O1147" t="s">
        <v>20</v>
      </c>
      <c r="P1147" s="8">
        <f t="shared" si="51"/>
        <v>-1.1999999999998181</v>
      </c>
      <c r="Q1147" t="s">
        <v>39</v>
      </c>
      <c r="R1147">
        <f t="shared" si="52"/>
        <v>5</v>
      </c>
      <c r="S1147" t="str">
        <f t="shared" si="53"/>
        <v>May</v>
      </c>
      <c r="T1147" s="9">
        <f>VLOOKUP(O1147, Annual_Summary!A:B, 2, 0)</f>
        <v>4.6157441670237213E-2</v>
      </c>
    </row>
    <row r="1148" spans="1:20" x14ac:dyDescent="0.3">
      <c r="A1148" s="1">
        <v>45804</v>
      </c>
      <c r="B1148" t="s">
        <v>15</v>
      </c>
      <c r="C1148" s="3">
        <v>1452.5</v>
      </c>
      <c r="D1148" s="3">
        <v>1463</v>
      </c>
      <c r="E1148" s="3">
        <v>1435.7</v>
      </c>
      <c r="F1148" s="3">
        <v>1460.6</v>
      </c>
      <c r="G1148" s="3">
        <v>1445.3</v>
      </c>
      <c r="H1148" s="3">
        <v>1446.4</v>
      </c>
      <c r="I1148" s="3">
        <v>1445.59</v>
      </c>
      <c r="J1148" s="3">
        <v>1471.6</v>
      </c>
      <c r="K1148" s="3">
        <v>1051.05</v>
      </c>
      <c r="L1148" s="2">
        <v>14842959</v>
      </c>
      <c r="M1148" s="2">
        <v>21456811800.599998</v>
      </c>
      <c r="N1148" s="2">
        <v>221484</v>
      </c>
      <c r="O1148" t="s">
        <v>20</v>
      </c>
      <c r="P1148" s="8">
        <f t="shared" si="51"/>
        <v>8.0999999999999091</v>
      </c>
      <c r="Q1148" t="s">
        <v>39</v>
      </c>
      <c r="R1148">
        <f t="shared" si="52"/>
        <v>5</v>
      </c>
      <c r="S1148" t="str">
        <f t="shared" si="53"/>
        <v>May</v>
      </c>
      <c r="T1148" s="9">
        <f>VLOOKUP(O1148, Annual_Summary!A:B, 2, 0)</f>
        <v>4.6157441670237213E-2</v>
      </c>
    </row>
    <row r="1149" spans="1:20" x14ac:dyDescent="0.3">
      <c r="A1149" s="1">
        <v>45803</v>
      </c>
      <c r="B1149" t="s">
        <v>15</v>
      </c>
      <c r="C1149" s="3">
        <v>1458</v>
      </c>
      <c r="D1149" s="3">
        <v>1471.6</v>
      </c>
      <c r="E1149" s="3">
        <v>1455</v>
      </c>
      <c r="F1149" s="3">
        <v>1449.8</v>
      </c>
      <c r="G1149" s="3">
        <v>1460.5</v>
      </c>
      <c r="H1149" s="3">
        <v>1460.6</v>
      </c>
      <c r="I1149" s="3">
        <v>1460.94</v>
      </c>
      <c r="J1149" s="3">
        <v>1471.6</v>
      </c>
      <c r="K1149" s="3">
        <v>1051.05</v>
      </c>
      <c r="L1149" s="2">
        <v>5608725</v>
      </c>
      <c r="M1149" s="2">
        <v>8193994503.6999998</v>
      </c>
      <c r="N1149" s="2">
        <v>189038</v>
      </c>
      <c r="O1149" t="s">
        <v>20</v>
      </c>
      <c r="P1149" s="8">
        <f t="shared" si="51"/>
        <v>-8.2000000000000455</v>
      </c>
      <c r="Q1149" t="s">
        <v>39</v>
      </c>
      <c r="R1149">
        <f t="shared" si="52"/>
        <v>5</v>
      </c>
      <c r="S1149" t="str">
        <f t="shared" si="53"/>
        <v>May</v>
      </c>
      <c r="T1149" s="9">
        <f>VLOOKUP(O1149, Annual_Summary!A:B, 2, 0)</f>
        <v>4.6157441670237213E-2</v>
      </c>
    </row>
    <row r="1150" spans="1:20" x14ac:dyDescent="0.3">
      <c r="A1150" s="1">
        <v>45800</v>
      </c>
      <c r="B1150" t="s">
        <v>15</v>
      </c>
      <c r="C1150" s="3">
        <v>1442.2</v>
      </c>
      <c r="D1150" s="3">
        <v>1451.8</v>
      </c>
      <c r="E1150" s="3">
        <v>1434.4</v>
      </c>
      <c r="F1150" s="3">
        <v>1442.1</v>
      </c>
      <c r="G1150" s="3">
        <v>1450.5</v>
      </c>
      <c r="H1150" s="3">
        <v>1449.8</v>
      </c>
      <c r="I1150" s="3">
        <v>1446.83</v>
      </c>
      <c r="J1150" s="3">
        <v>1459.7</v>
      </c>
      <c r="K1150" s="3">
        <v>1051.05</v>
      </c>
      <c r="L1150" s="2">
        <v>5203706</v>
      </c>
      <c r="M1150" s="2">
        <v>7528852323.3000002</v>
      </c>
      <c r="N1150" s="2">
        <v>113699</v>
      </c>
      <c r="O1150" t="s">
        <v>20</v>
      </c>
      <c r="P1150" s="8">
        <f t="shared" si="51"/>
        <v>-0.10000000000013642</v>
      </c>
      <c r="Q1150" t="s">
        <v>39</v>
      </c>
      <c r="R1150">
        <f t="shared" si="52"/>
        <v>5</v>
      </c>
      <c r="S1150" t="str">
        <f t="shared" si="53"/>
        <v>May</v>
      </c>
      <c r="T1150" s="9">
        <f>VLOOKUP(O1150, Annual_Summary!A:B, 2, 0)</f>
        <v>4.6157441670237213E-2</v>
      </c>
    </row>
    <row r="1151" spans="1:20" x14ac:dyDescent="0.3">
      <c r="A1151" s="1">
        <v>45799</v>
      </c>
      <c r="B1151" t="s">
        <v>15</v>
      </c>
      <c r="C1151" s="3">
        <v>1441.1</v>
      </c>
      <c r="D1151" s="3">
        <v>1445.3</v>
      </c>
      <c r="E1151" s="3">
        <v>1427.8</v>
      </c>
      <c r="F1151" s="3">
        <v>1444.7</v>
      </c>
      <c r="G1151" s="3">
        <v>1440</v>
      </c>
      <c r="H1151" s="3">
        <v>1442.1</v>
      </c>
      <c r="I1151" s="3">
        <v>1435.62</v>
      </c>
      <c r="J1151" s="3">
        <v>1459.7</v>
      </c>
      <c r="K1151" s="3">
        <v>1051.05</v>
      </c>
      <c r="L1151" s="2">
        <v>7245933</v>
      </c>
      <c r="M1151" s="2">
        <v>10402374075.4</v>
      </c>
      <c r="N1151" s="2">
        <v>147665</v>
      </c>
      <c r="O1151" t="s">
        <v>20</v>
      </c>
      <c r="P1151" s="8">
        <f t="shared" si="51"/>
        <v>3.6000000000001364</v>
      </c>
      <c r="Q1151" t="s">
        <v>39</v>
      </c>
      <c r="R1151">
        <f t="shared" si="52"/>
        <v>5</v>
      </c>
      <c r="S1151" t="str">
        <f t="shared" si="53"/>
        <v>May</v>
      </c>
      <c r="T1151" s="9">
        <f>VLOOKUP(O1151, Annual_Summary!A:B, 2, 0)</f>
        <v>4.6157441670237213E-2</v>
      </c>
    </row>
    <row r="1152" spans="1:20" x14ac:dyDescent="0.3">
      <c r="A1152" s="1">
        <v>45798</v>
      </c>
      <c r="B1152" t="s">
        <v>15</v>
      </c>
      <c r="C1152" s="3">
        <v>1442.9</v>
      </c>
      <c r="D1152" s="3">
        <v>1451.3</v>
      </c>
      <c r="E1152" s="3">
        <v>1438.5</v>
      </c>
      <c r="F1152" s="3">
        <v>1438.2</v>
      </c>
      <c r="G1152" s="3">
        <v>1445.4</v>
      </c>
      <c r="H1152" s="3">
        <v>1444.7</v>
      </c>
      <c r="I1152" s="3">
        <v>1445.11</v>
      </c>
      <c r="J1152" s="3">
        <v>1459.7</v>
      </c>
      <c r="K1152" s="3">
        <v>1051.05</v>
      </c>
      <c r="L1152" s="2">
        <v>5510460</v>
      </c>
      <c r="M1152" s="2">
        <v>7963242254.5</v>
      </c>
      <c r="N1152" s="2">
        <v>106396</v>
      </c>
      <c r="O1152" t="s">
        <v>20</v>
      </c>
      <c r="P1152" s="8">
        <f t="shared" si="51"/>
        <v>-4.7000000000000455</v>
      </c>
      <c r="Q1152" t="s">
        <v>39</v>
      </c>
      <c r="R1152">
        <f t="shared" si="52"/>
        <v>5</v>
      </c>
      <c r="S1152" t="str">
        <f t="shared" si="53"/>
        <v>May</v>
      </c>
      <c r="T1152" s="9">
        <f>VLOOKUP(O1152, Annual_Summary!A:B, 2, 0)</f>
        <v>4.6157441670237213E-2</v>
      </c>
    </row>
    <row r="1153" spans="1:20" x14ac:dyDescent="0.3">
      <c r="A1153" s="1">
        <v>45797</v>
      </c>
      <c r="B1153" t="s">
        <v>15</v>
      </c>
      <c r="C1153" s="3">
        <v>1450.2</v>
      </c>
      <c r="D1153" s="3">
        <v>1459</v>
      </c>
      <c r="E1153" s="3">
        <v>1435.5</v>
      </c>
      <c r="F1153" s="3">
        <v>1449</v>
      </c>
      <c r="G1153" s="3">
        <v>1439.5</v>
      </c>
      <c r="H1153" s="3">
        <v>1438.2</v>
      </c>
      <c r="I1153" s="3">
        <v>1440.54</v>
      </c>
      <c r="J1153" s="3">
        <v>1459.7</v>
      </c>
      <c r="K1153" s="3">
        <v>1051.05</v>
      </c>
      <c r="L1153" s="2">
        <v>11352383</v>
      </c>
      <c r="M1153" s="2">
        <v>16353593402.1</v>
      </c>
      <c r="N1153" s="2">
        <v>128816</v>
      </c>
      <c r="O1153" t="s">
        <v>20</v>
      </c>
      <c r="P1153" s="8">
        <f t="shared" si="51"/>
        <v>-1.2000000000000455</v>
      </c>
      <c r="Q1153" t="s">
        <v>39</v>
      </c>
      <c r="R1153">
        <f t="shared" si="52"/>
        <v>5</v>
      </c>
      <c r="S1153" t="str">
        <f t="shared" si="53"/>
        <v>May</v>
      </c>
      <c r="T1153" s="9">
        <f>VLOOKUP(O1153, Annual_Summary!A:B, 2, 0)</f>
        <v>4.6157441670237213E-2</v>
      </c>
    </row>
    <row r="1154" spans="1:20" x14ac:dyDescent="0.3">
      <c r="A1154" s="1">
        <v>45796</v>
      </c>
      <c r="B1154" t="s">
        <v>15</v>
      </c>
      <c r="C1154" s="3">
        <v>1446.5</v>
      </c>
      <c r="D1154" s="3">
        <v>1459.7</v>
      </c>
      <c r="E1154" s="3">
        <v>1443.8</v>
      </c>
      <c r="F1154" s="3">
        <v>1454</v>
      </c>
      <c r="G1154" s="3">
        <v>1447</v>
      </c>
      <c r="H1154" s="3">
        <v>1449</v>
      </c>
      <c r="I1154" s="3">
        <v>1451.29</v>
      </c>
      <c r="J1154" s="3">
        <v>1459.7</v>
      </c>
      <c r="K1154" s="3">
        <v>1051.05</v>
      </c>
      <c r="L1154" s="2">
        <v>6005334</v>
      </c>
      <c r="M1154" s="2">
        <v>8715502198.1000004</v>
      </c>
      <c r="N1154" s="2">
        <v>139810</v>
      </c>
      <c r="O1154" t="s">
        <v>20</v>
      </c>
      <c r="P1154" s="8">
        <f t="shared" si="51"/>
        <v>7.5</v>
      </c>
      <c r="Q1154" t="s">
        <v>39</v>
      </c>
      <c r="R1154">
        <f t="shared" si="52"/>
        <v>5</v>
      </c>
      <c r="S1154" t="str">
        <f t="shared" si="53"/>
        <v>May</v>
      </c>
      <c r="T1154" s="9">
        <f>VLOOKUP(O1154, Annual_Summary!A:B, 2, 0)</f>
        <v>4.6157441670237213E-2</v>
      </c>
    </row>
    <row r="1155" spans="1:20" x14ac:dyDescent="0.3">
      <c r="A1155" s="1">
        <v>45793</v>
      </c>
      <c r="B1155" t="s">
        <v>15</v>
      </c>
      <c r="C1155" s="3">
        <v>1453.3</v>
      </c>
      <c r="D1155" s="3">
        <v>1458.7</v>
      </c>
      <c r="E1155" s="3">
        <v>1447</v>
      </c>
      <c r="F1155" s="3">
        <v>1450.8</v>
      </c>
      <c r="G1155" s="3">
        <v>1452.4</v>
      </c>
      <c r="H1155" s="3">
        <v>1454</v>
      </c>
      <c r="I1155" s="3">
        <v>1454.25</v>
      </c>
      <c r="J1155" s="3">
        <v>1458.7</v>
      </c>
      <c r="K1155" s="3">
        <v>1051.05</v>
      </c>
      <c r="L1155" s="2">
        <v>6439208</v>
      </c>
      <c r="M1155" s="2">
        <v>9364246054.8999996</v>
      </c>
      <c r="N1155" s="2">
        <v>145344</v>
      </c>
      <c r="O1155" t="s">
        <v>20</v>
      </c>
      <c r="P1155" s="8">
        <f t="shared" ref="P1155:P1218" si="54">F1155-C1155</f>
        <v>-2.5</v>
      </c>
      <c r="Q1155" t="s">
        <v>39</v>
      </c>
      <c r="R1155">
        <f t="shared" ref="R1155:R1218" si="55">MONTH(A1155)</f>
        <v>5</v>
      </c>
      <c r="S1155" t="str">
        <f t="shared" ref="S1155:S1218" si="56">TEXT(A1155,"mmm")</f>
        <v>May</v>
      </c>
      <c r="T1155" s="9">
        <f>VLOOKUP(O1155, Annual_Summary!A:B, 2, 0)</f>
        <v>4.6157441670237213E-2</v>
      </c>
    </row>
    <row r="1156" spans="1:20" x14ac:dyDescent="0.3">
      <c r="A1156" s="1">
        <v>45792</v>
      </c>
      <c r="B1156" t="s">
        <v>15</v>
      </c>
      <c r="C1156" s="3">
        <v>1425.9</v>
      </c>
      <c r="D1156" s="3">
        <v>1456.5</v>
      </c>
      <c r="E1156" s="3">
        <v>1415.5</v>
      </c>
      <c r="F1156" s="3">
        <v>1426.2</v>
      </c>
      <c r="G1156" s="3">
        <v>1451</v>
      </c>
      <c r="H1156" s="3">
        <v>1450.8</v>
      </c>
      <c r="I1156" s="3">
        <v>1438.96</v>
      </c>
      <c r="J1156" s="3">
        <v>1456.5</v>
      </c>
      <c r="K1156" s="3">
        <v>1051.05</v>
      </c>
      <c r="L1156" s="2">
        <v>18209264</v>
      </c>
      <c r="M1156" s="2">
        <v>26202383268.599998</v>
      </c>
      <c r="N1156" s="2">
        <v>211899</v>
      </c>
      <c r="O1156" t="s">
        <v>20</v>
      </c>
      <c r="P1156" s="8">
        <f t="shared" si="54"/>
        <v>0.29999999999995453</v>
      </c>
      <c r="Q1156" t="s">
        <v>39</v>
      </c>
      <c r="R1156">
        <f t="shared" si="55"/>
        <v>5</v>
      </c>
      <c r="S1156" t="str">
        <f t="shared" si="56"/>
        <v>May</v>
      </c>
      <c r="T1156" s="9">
        <f>VLOOKUP(O1156, Annual_Summary!A:B, 2, 0)</f>
        <v>4.6157441670237213E-2</v>
      </c>
    </row>
    <row r="1157" spans="1:20" x14ac:dyDescent="0.3">
      <c r="A1157" s="1">
        <v>45791</v>
      </c>
      <c r="B1157" t="s">
        <v>15</v>
      </c>
      <c r="C1157" s="3">
        <v>1429.9</v>
      </c>
      <c r="D1157" s="3">
        <v>1440.7</v>
      </c>
      <c r="E1157" s="3">
        <v>1417.3</v>
      </c>
      <c r="F1157" s="3">
        <v>1430.6</v>
      </c>
      <c r="G1157" s="3">
        <v>1427.4</v>
      </c>
      <c r="H1157" s="3">
        <v>1426.2</v>
      </c>
      <c r="I1157" s="3">
        <v>1427.87</v>
      </c>
      <c r="J1157" s="3">
        <v>1453</v>
      </c>
      <c r="K1157" s="3">
        <v>1051.05</v>
      </c>
      <c r="L1157" s="2">
        <v>8026837</v>
      </c>
      <c r="M1157" s="2">
        <v>11461311035</v>
      </c>
      <c r="N1157" s="2">
        <v>143054</v>
      </c>
      <c r="O1157" t="s">
        <v>20</v>
      </c>
      <c r="P1157" s="8">
        <f t="shared" si="54"/>
        <v>0.6999999999998181</v>
      </c>
      <c r="Q1157" t="s">
        <v>39</v>
      </c>
      <c r="R1157">
        <f t="shared" si="55"/>
        <v>5</v>
      </c>
      <c r="S1157" t="str">
        <f t="shared" si="56"/>
        <v>May</v>
      </c>
      <c r="T1157" s="9">
        <f>VLOOKUP(O1157, Annual_Summary!A:B, 2, 0)</f>
        <v>4.6157441670237213E-2</v>
      </c>
    </row>
    <row r="1158" spans="1:20" x14ac:dyDescent="0.3">
      <c r="A1158" s="1">
        <v>45790</v>
      </c>
      <c r="B1158" t="s">
        <v>15</v>
      </c>
      <c r="C1158" s="3">
        <v>1440.1</v>
      </c>
      <c r="D1158" s="3">
        <v>1447.9</v>
      </c>
      <c r="E1158" s="3">
        <v>1427.4</v>
      </c>
      <c r="F1158" s="3">
        <v>1448.5</v>
      </c>
      <c r="G1158" s="3">
        <v>1430.8</v>
      </c>
      <c r="H1158" s="3">
        <v>1430.6</v>
      </c>
      <c r="I1158" s="3">
        <v>1432.31</v>
      </c>
      <c r="J1158" s="3">
        <v>1453</v>
      </c>
      <c r="K1158" s="3">
        <v>1051.05</v>
      </c>
      <c r="L1158" s="2">
        <v>12475424</v>
      </c>
      <c r="M1158" s="2">
        <v>17868617217.5</v>
      </c>
      <c r="N1158" s="2">
        <v>209013</v>
      </c>
      <c r="O1158" t="s">
        <v>20</v>
      </c>
      <c r="P1158" s="8">
        <f t="shared" si="54"/>
        <v>8.4000000000000909</v>
      </c>
      <c r="Q1158" t="s">
        <v>39</v>
      </c>
      <c r="R1158">
        <f t="shared" si="55"/>
        <v>5</v>
      </c>
      <c r="S1158" t="str">
        <f t="shared" si="56"/>
        <v>May</v>
      </c>
      <c r="T1158" s="9">
        <f>VLOOKUP(O1158, Annual_Summary!A:B, 2, 0)</f>
        <v>4.6157441670237213E-2</v>
      </c>
    </row>
    <row r="1159" spans="1:20" x14ac:dyDescent="0.3">
      <c r="A1159" s="1">
        <v>45789</v>
      </c>
      <c r="B1159" t="s">
        <v>15</v>
      </c>
      <c r="C1159" s="3">
        <v>1409.4</v>
      </c>
      <c r="D1159" s="3">
        <v>1453</v>
      </c>
      <c r="E1159" s="3">
        <v>1404</v>
      </c>
      <c r="F1159" s="3">
        <v>1388.9</v>
      </c>
      <c r="G1159" s="3">
        <v>1451.5</v>
      </c>
      <c r="H1159" s="3">
        <v>1448.5</v>
      </c>
      <c r="I1159" s="3">
        <v>1436.69</v>
      </c>
      <c r="J1159" s="3">
        <v>1453</v>
      </c>
      <c r="K1159" s="3">
        <v>1051.05</v>
      </c>
      <c r="L1159" s="2">
        <v>9925445</v>
      </c>
      <c r="M1159" s="2">
        <v>14259837185.1</v>
      </c>
      <c r="N1159" s="2">
        <v>180758</v>
      </c>
      <c r="O1159" t="s">
        <v>20</v>
      </c>
      <c r="P1159" s="8">
        <f t="shared" si="54"/>
        <v>-20.5</v>
      </c>
      <c r="Q1159" t="s">
        <v>39</v>
      </c>
      <c r="R1159">
        <f t="shared" si="55"/>
        <v>5</v>
      </c>
      <c r="S1159" t="str">
        <f t="shared" si="56"/>
        <v>May</v>
      </c>
      <c r="T1159" s="9">
        <f>VLOOKUP(O1159, Annual_Summary!A:B, 2, 0)</f>
        <v>4.6157441670237213E-2</v>
      </c>
    </row>
    <row r="1160" spans="1:20" x14ac:dyDescent="0.3">
      <c r="A1160" s="1">
        <v>45786</v>
      </c>
      <c r="B1160" t="s">
        <v>15</v>
      </c>
      <c r="C1160" s="3">
        <v>1415.2</v>
      </c>
      <c r="D1160" s="3">
        <v>1419.9</v>
      </c>
      <c r="E1160" s="3">
        <v>1387</v>
      </c>
      <c r="F1160" s="3">
        <v>1435.5</v>
      </c>
      <c r="G1160" s="3">
        <v>1389</v>
      </c>
      <c r="H1160" s="3">
        <v>1388.9</v>
      </c>
      <c r="I1160" s="3">
        <v>1394.54</v>
      </c>
      <c r="J1160" s="3">
        <v>1448.9</v>
      </c>
      <c r="K1160" s="3">
        <v>1051.05</v>
      </c>
      <c r="L1160" s="2">
        <v>13491197</v>
      </c>
      <c r="M1160" s="2">
        <v>18814033148</v>
      </c>
      <c r="N1160" s="2">
        <v>248736</v>
      </c>
      <c r="O1160" t="s">
        <v>20</v>
      </c>
      <c r="P1160" s="8">
        <f t="shared" si="54"/>
        <v>20.299999999999955</v>
      </c>
      <c r="Q1160" t="s">
        <v>39</v>
      </c>
      <c r="R1160">
        <f t="shared" si="55"/>
        <v>5</v>
      </c>
      <c r="S1160" t="str">
        <f t="shared" si="56"/>
        <v>May</v>
      </c>
      <c r="T1160" s="9">
        <f>VLOOKUP(O1160, Annual_Summary!A:B, 2, 0)</f>
        <v>4.6157441670237213E-2</v>
      </c>
    </row>
    <row r="1161" spans="1:20" x14ac:dyDescent="0.3">
      <c r="A1161" s="1">
        <v>45785</v>
      </c>
      <c r="B1161" t="s">
        <v>15</v>
      </c>
      <c r="C1161" s="3">
        <v>1438.6</v>
      </c>
      <c r="D1161" s="3">
        <v>1448.9</v>
      </c>
      <c r="E1161" s="3">
        <v>1426.1</v>
      </c>
      <c r="F1161" s="3">
        <v>1435.4</v>
      </c>
      <c r="G1161" s="3">
        <v>1427.3</v>
      </c>
      <c r="H1161" s="3">
        <v>1435.5</v>
      </c>
      <c r="I1161" s="3">
        <v>1439.49</v>
      </c>
      <c r="J1161" s="3">
        <v>1448.9</v>
      </c>
      <c r="K1161" s="3">
        <v>1051.05</v>
      </c>
      <c r="L1161" s="2">
        <v>15306490</v>
      </c>
      <c r="M1161" s="2">
        <v>22033510832</v>
      </c>
      <c r="N1161" s="2">
        <v>182407</v>
      </c>
      <c r="O1161" t="s">
        <v>20</v>
      </c>
      <c r="P1161" s="8">
        <f t="shared" si="54"/>
        <v>-3.1999999999998181</v>
      </c>
      <c r="Q1161" t="s">
        <v>39</v>
      </c>
      <c r="R1161">
        <f t="shared" si="55"/>
        <v>5</v>
      </c>
      <c r="S1161" t="str">
        <f t="shared" si="56"/>
        <v>May</v>
      </c>
      <c r="T1161" s="9">
        <f>VLOOKUP(O1161, Annual_Summary!A:B, 2, 0)</f>
        <v>4.6157441670237213E-2</v>
      </c>
    </row>
    <row r="1162" spans="1:20" x14ac:dyDescent="0.3">
      <c r="A1162" s="1">
        <v>45784</v>
      </c>
      <c r="B1162" t="s">
        <v>15</v>
      </c>
      <c r="C1162" s="3">
        <v>1425</v>
      </c>
      <c r="D1162" s="3">
        <v>1442</v>
      </c>
      <c r="E1162" s="3">
        <v>1421</v>
      </c>
      <c r="F1162" s="3">
        <v>1431.6</v>
      </c>
      <c r="G1162" s="3">
        <v>1437.1</v>
      </c>
      <c r="H1162" s="3">
        <v>1435.4</v>
      </c>
      <c r="I1162" s="3">
        <v>1431.25</v>
      </c>
      <c r="J1162" s="3">
        <v>1446.8</v>
      </c>
      <c r="K1162" s="3">
        <v>1051.05</v>
      </c>
      <c r="L1162" s="2">
        <v>10480453</v>
      </c>
      <c r="M1162" s="2">
        <v>15000167610.700001</v>
      </c>
      <c r="N1162" s="2">
        <v>166481</v>
      </c>
      <c r="O1162" t="s">
        <v>20</v>
      </c>
      <c r="P1162" s="8">
        <f t="shared" si="54"/>
        <v>6.5999999999999091</v>
      </c>
      <c r="Q1162" t="s">
        <v>39</v>
      </c>
      <c r="R1162">
        <f t="shared" si="55"/>
        <v>5</v>
      </c>
      <c r="S1162" t="str">
        <f t="shared" si="56"/>
        <v>May</v>
      </c>
      <c r="T1162" s="9">
        <f>VLOOKUP(O1162, Annual_Summary!A:B, 2, 0)</f>
        <v>4.6157441670237213E-2</v>
      </c>
    </row>
    <row r="1163" spans="1:20" x14ac:dyDescent="0.3">
      <c r="A1163" s="1">
        <v>45783</v>
      </c>
      <c r="B1163" t="s">
        <v>15</v>
      </c>
      <c r="C1163" s="3">
        <v>1429</v>
      </c>
      <c r="D1163" s="3">
        <v>1433.7</v>
      </c>
      <c r="E1163" s="3">
        <v>1420.4</v>
      </c>
      <c r="F1163" s="3">
        <v>1429.4</v>
      </c>
      <c r="G1163" s="3">
        <v>1430</v>
      </c>
      <c r="H1163" s="3">
        <v>1431.6</v>
      </c>
      <c r="I1163" s="3">
        <v>1428.23</v>
      </c>
      <c r="J1163" s="3">
        <v>1446.8</v>
      </c>
      <c r="K1163" s="3">
        <v>1051.05</v>
      </c>
      <c r="L1163" s="2">
        <v>6301690</v>
      </c>
      <c r="M1163" s="2">
        <v>9000265687.1000004</v>
      </c>
      <c r="N1163" s="2">
        <v>133476</v>
      </c>
      <c r="O1163" t="s">
        <v>20</v>
      </c>
      <c r="P1163" s="8">
        <f t="shared" si="54"/>
        <v>0.40000000000009095</v>
      </c>
      <c r="Q1163" t="s">
        <v>39</v>
      </c>
      <c r="R1163">
        <f t="shared" si="55"/>
        <v>5</v>
      </c>
      <c r="S1163" t="str">
        <f t="shared" si="56"/>
        <v>May</v>
      </c>
      <c r="T1163" s="9">
        <f>VLOOKUP(O1163, Annual_Summary!A:B, 2, 0)</f>
        <v>4.6157441670237213E-2</v>
      </c>
    </row>
    <row r="1164" spans="1:20" x14ac:dyDescent="0.3">
      <c r="A1164" s="1">
        <v>45782</v>
      </c>
      <c r="B1164" t="s">
        <v>15</v>
      </c>
      <c r="C1164" s="3">
        <v>1440</v>
      </c>
      <c r="D1164" s="3">
        <v>1446.8</v>
      </c>
      <c r="E1164" s="3">
        <v>1426</v>
      </c>
      <c r="F1164" s="3">
        <v>1432.4</v>
      </c>
      <c r="G1164" s="3">
        <v>1427.4</v>
      </c>
      <c r="H1164" s="3">
        <v>1429.4</v>
      </c>
      <c r="I1164" s="3">
        <v>1432.29</v>
      </c>
      <c r="J1164" s="3">
        <v>1446.8</v>
      </c>
      <c r="K1164" s="3">
        <v>1051.05</v>
      </c>
      <c r="L1164" s="2">
        <v>4565705</v>
      </c>
      <c r="M1164" s="2">
        <v>6539397953.3999996</v>
      </c>
      <c r="N1164" s="2">
        <v>115354</v>
      </c>
      <c r="O1164" t="s">
        <v>20</v>
      </c>
      <c r="P1164" s="8">
        <f t="shared" si="54"/>
        <v>-7.5999999999999091</v>
      </c>
      <c r="Q1164" t="s">
        <v>39</v>
      </c>
      <c r="R1164">
        <f t="shared" si="55"/>
        <v>5</v>
      </c>
      <c r="S1164" t="str">
        <f t="shared" si="56"/>
        <v>May</v>
      </c>
      <c r="T1164" s="9">
        <f>VLOOKUP(O1164, Annual_Summary!A:B, 2, 0)</f>
        <v>4.6157441670237213E-2</v>
      </c>
    </row>
    <row r="1165" spans="1:20" x14ac:dyDescent="0.3">
      <c r="A1165" s="1">
        <v>45779</v>
      </c>
      <c r="B1165" t="s">
        <v>15</v>
      </c>
      <c r="C1165" s="3">
        <v>1426.9</v>
      </c>
      <c r="D1165" s="3">
        <v>1446.6</v>
      </c>
      <c r="E1165" s="3">
        <v>1424.6</v>
      </c>
      <c r="F1165" s="3">
        <v>1427</v>
      </c>
      <c r="G1165" s="3">
        <v>1429</v>
      </c>
      <c r="H1165" s="3">
        <v>1432.4</v>
      </c>
      <c r="I1165" s="3">
        <v>1436.51</v>
      </c>
      <c r="J1165" s="3">
        <v>1446.6</v>
      </c>
      <c r="K1165" s="3">
        <v>1051.05</v>
      </c>
      <c r="L1165" s="2">
        <v>10763492</v>
      </c>
      <c r="M1165" s="2">
        <v>15461819959.1</v>
      </c>
      <c r="N1165" s="2">
        <v>170242</v>
      </c>
      <c r="O1165" t="s">
        <v>20</v>
      </c>
      <c r="P1165" s="8">
        <f t="shared" si="54"/>
        <v>9.9999999999909051E-2</v>
      </c>
      <c r="Q1165" t="s">
        <v>39</v>
      </c>
      <c r="R1165">
        <f t="shared" si="55"/>
        <v>5</v>
      </c>
      <c r="S1165" t="str">
        <f t="shared" si="56"/>
        <v>May</v>
      </c>
      <c r="T1165" s="9">
        <f>VLOOKUP(O1165, Annual_Summary!A:B, 2, 0)</f>
        <v>4.6157441670237213E-2</v>
      </c>
    </row>
    <row r="1166" spans="1:20" x14ac:dyDescent="0.3">
      <c r="A1166" s="1">
        <v>45777</v>
      </c>
      <c r="B1166" t="s">
        <v>15</v>
      </c>
      <c r="C1166" s="3">
        <v>1433</v>
      </c>
      <c r="D1166" s="3">
        <v>1433.7</v>
      </c>
      <c r="E1166" s="3">
        <v>1400</v>
      </c>
      <c r="F1166" s="3">
        <v>1429.8</v>
      </c>
      <c r="G1166" s="3">
        <v>1424.3</v>
      </c>
      <c r="H1166" s="3">
        <v>1427</v>
      </c>
      <c r="I1166" s="3">
        <v>1427.91</v>
      </c>
      <c r="J1166" s="3">
        <v>1438.3</v>
      </c>
      <c r="K1166" s="3">
        <v>1051.05</v>
      </c>
      <c r="L1166" s="2">
        <v>14192027</v>
      </c>
      <c r="M1166" s="2">
        <v>20264976307.299999</v>
      </c>
      <c r="N1166" s="2">
        <v>238248</v>
      </c>
      <c r="O1166" t="s">
        <v>20</v>
      </c>
      <c r="P1166" s="8">
        <f t="shared" si="54"/>
        <v>-3.2000000000000455</v>
      </c>
      <c r="Q1166" t="s">
        <v>39</v>
      </c>
      <c r="R1166">
        <f t="shared" si="55"/>
        <v>4</v>
      </c>
      <c r="S1166" t="str">
        <f t="shared" si="56"/>
        <v>Apr</v>
      </c>
      <c r="T1166" s="9">
        <f>VLOOKUP(O1166, Annual_Summary!A:B, 2, 0)</f>
        <v>4.6157441670237213E-2</v>
      </c>
    </row>
    <row r="1167" spans="1:20" x14ac:dyDescent="0.3">
      <c r="A1167" s="1">
        <v>45776</v>
      </c>
      <c r="B1167" t="s">
        <v>15</v>
      </c>
      <c r="C1167" s="3">
        <v>1428.8</v>
      </c>
      <c r="D1167" s="3">
        <v>1438.3</v>
      </c>
      <c r="E1167" s="3">
        <v>1422.6</v>
      </c>
      <c r="F1167" s="3">
        <v>1428.8</v>
      </c>
      <c r="G1167" s="3">
        <v>1425.5</v>
      </c>
      <c r="H1167" s="3">
        <v>1429.8</v>
      </c>
      <c r="I1167" s="3">
        <v>1428.52</v>
      </c>
      <c r="J1167" s="3">
        <v>1438.3</v>
      </c>
      <c r="K1167" s="3">
        <v>1051.05</v>
      </c>
      <c r="L1167" s="2">
        <v>10786910</v>
      </c>
      <c r="M1167" s="2">
        <v>15409265024.5</v>
      </c>
      <c r="N1167" s="2">
        <v>223499</v>
      </c>
      <c r="O1167" t="s">
        <v>20</v>
      </c>
      <c r="P1167" s="8">
        <f t="shared" si="54"/>
        <v>0</v>
      </c>
      <c r="Q1167" t="s">
        <v>39</v>
      </c>
      <c r="R1167">
        <f t="shared" si="55"/>
        <v>4</v>
      </c>
      <c r="S1167" t="str">
        <f t="shared" si="56"/>
        <v>Apr</v>
      </c>
      <c r="T1167" s="9">
        <f>VLOOKUP(O1167, Annual_Summary!A:B, 2, 0)</f>
        <v>4.6157441670237213E-2</v>
      </c>
    </row>
    <row r="1168" spans="1:20" x14ac:dyDescent="0.3">
      <c r="A1168" s="1">
        <v>45775</v>
      </c>
      <c r="B1168" t="s">
        <v>15</v>
      </c>
      <c r="C1168" s="3">
        <v>1405.6</v>
      </c>
      <c r="D1168" s="3">
        <v>1435</v>
      </c>
      <c r="E1168" s="3">
        <v>1403.8</v>
      </c>
      <c r="F1168" s="3">
        <v>1404.8</v>
      </c>
      <c r="G1168" s="3">
        <v>1428</v>
      </c>
      <c r="H1168" s="3">
        <v>1428.8</v>
      </c>
      <c r="I1168" s="3">
        <v>1427.33</v>
      </c>
      <c r="J1168" s="3">
        <v>1436</v>
      </c>
      <c r="K1168" s="3">
        <v>1051.05</v>
      </c>
      <c r="L1168" s="2">
        <v>10948561</v>
      </c>
      <c r="M1168" s="2">
        <v>15627194700.700001</v>
      </c>
      <c r="N1168" s="2">
        <v>192819</v>
      </c>
      <c r="O1168" t="s">
        <v>20</v>
      </c>
      <c r="P1168" s="8">
        <f t="shared" si="54"/>
        <v>-0.79999999999995453</v>
      </c>
      <c r="Q1168" t="s">
        <v>39</v>
      </c>
      <c r="R1168">
        <f t="shared" si="55"/>
        <v>4</v>
      </c>
      <c r="S1168" t="str">
        <f t="shared" si="56"/>
        <v>Apr</v>
      </c>
      <c r="T1168" s="9">
        <f>VLOOKUP(O1168, Annual_Summary!A:B, 2, 0)</f>
        <v>4.6157441670237213E-2</v>
      </c>
    </row>
    <row r="1169" spans="1:20" x14ac:dyDescent="0.3">
      <c r="A1169" s="1">
        <v>45772</v>
      </c>
      <c r="B1169" t="s">
        <v>15</v>
      </c>
      <c r="C1169" s="3">
        <v>1410</v>
      </c>
      <c r="D1169" s="3">
        <v>1414.8</v>
      </c>
      <c r="E1169" s="3">
        <v>1388.4</v>
      </c>
      <c r="F1169" s="3">
        <v>1402.7</v>
      </c>
      <c r="G1169" s="3">
        <v>1403</v>
      </c>
      <c r="H1169" s="3">
        <v>1404.8</v>
      </c>
      <c r="I1169" s="3">
        <v>1400.91</v>
      </c>
      <c r="J1169" s="3">
        <v>1436</v>
      </c>
      <c r="K1169" s="3">
        <v>1051.05</v>
      </c>
      <c r="L1169" s="2">
        <v>11705093</v>
      </c>
      <c r="M1169" s="2">
        <v>16397782261.9</v>
      </c>
      <c r="N1169" s="2">
        <v>234552</v>
      </c>
      <c r="O1169" t="s">
        <v>20</v>
      </c>
      <c r="P1169" s="8">
        <f t="shared" si="54"/>
        <v>-7.2999999999999545</v>
      </c>
      <c r="Q1169" t="s">
        <v>39</v>
      </c>
      <c r="R1169">
        <f t="shared" si="55"/>
        <v>4</v>
      </c>
      <c r="S1169" t="str">
        <f t="shared" si="56"/>
        <v>Apr</v>
      </c>
      <c r="T1169" s="9">
        <f>VLOOKUP(O1169, Annual_Summary!A:B, 2, 0)</f>
        <v>4.6157441670237213E-2</v>
      </c>
    </row>
    <row r="1170" spans="1:20" x14ac:dyDescent="0.3">
      <c r="A1170" s="1">
        <v>45771</v>
      </c>
      <c r="B1170" t="s">
        <v>15</v>
      </c>
      <c r="C1170" s="3">
        <v>1416.3</v>
      </c>
      <c r="D1170" s="3">
        <v>1421.2</v>
      </c>
      <c r="E1170" s="3">
        <v>1398.8</v>
      </c>
      <c r="F1170" s="3">
        <v>1424.4</v>
      </c>
      <c r="G1170" s="3">
        <v>1401</v>
      </c>
      <c r="H1170" s="3">
        <v>1402.7</v>
      </c>
      <c r="I1170" s="3">
        <v>1407.84</v>
      </c>
      <c r="J1170" s="3">
        <v>1436</v>
      </c>
      <c r="K1170" s="3">
        <v>1051.05</v>
      </c>
      <c r="L1170" s="2">
        <v>15678099</v>
      </c>
      <c r="M1170" s="2">
        <v>22072210947.599998</v>
      </c>
      <c r="N1170" s="2">
        <v>210098</v>
      </c>
      <c r="O1170" t="s">
        <v>20</v>
      </c>
      <c r="P1170" s="8">
        <f t="shared" si="54"/>
        <v>8.1000000000001364</v>
      </c>
      <c r="Q1170" t="s">
        <v>39</v>
      </c>
      <c r="R1170">
        <f t="shared" si="55"/>
        <v>4</v>
      </c>
      <c r="S1170" t="str">
        <f t="shared" si="56"/>
        <v>Apr</v>
      </c>
      <c r="T1170" s="9">
        <f>VLOOKUP(O1170, Annual_Summary!A:B, 2, 0)</f>
        <v>4.6157441670237213E-2</v>
      </c>
    </row>
    <row r="1171" spans="1:20" x14ac:dyDescent="0.3">
      <c r="A1171" s="1">
        <v>45770</v>
      </c>
      <c r="B1171" t="s">
        <v>15</v>
      </c>
      <c r="C1171" s="3">
        <v>1429</v>
      </c>
      <c r="D1171" s="3">
        <v>1429.9</v>
      </c>
      <c r="E1171" s="3">
        <v>1411.3</v>
      </c>
      <c r="F1171" s="3">
        <v>1416.5</v>
      </c>
      <c r="G1171" s="3">
        <v>1422</v>
      </c>
      <c r="H1171" s="3">
        <v>1424.4</v>
      </c>
      <c r="I1171" s="3">
        <v>1421.06</v>
      </c>
      <c r="J1171" s="3">
        <v>1436</v>
      </c>
      <c r="K1171" s="3">
        <v>1051.05</v>
      </c>
      <c r="L1171" s="2">
        <v>13990764</v>
      </c>
      <c r="M1171" s="2">
        <v>19881670203.599998</v>
      </c>
      <c r="N1171" s="2">
        <v>220724</v>
      </c>
      <c r="O1171" t="s">
        <v>20</v>
      </c>
      <c r="P1171" s="8">
        <f t="shared" si="54"/>
        <v>-12.5</v>
      </c>
      <c r="Q1171" t="s">
        <v>39</v>
      </c>
      <c r="R1171">
        <f t="shared" si="55"/>
        <v>4</v>
      </c>
      <c r="S1171" t="str">
        <f t="shared" si="56"/>
        <v>Apr</v>
      </c>
      <c r="T1171" s="9">
        <f>VLOOKUP(O1171, Annual_Summary!A:B, 2, 0)</f>
        <v>4.6157441670237213E-2</v>
      </c>
    </row>
    <row r="1172" spans="1:20" x14ac:dyDescent="0.3">
      <c r="A1172" s="1">
        <v>45769</v>
      </c>
      <c r="B1172" t="s">
        <v>15</v>
      </c>
      <c r="C1172" s="3">
        <v>1412.8</v>
      </c>
      <c r="D1172" s="3">
        <v>1418.8</v>
      </c>
      <c r="E1172" s="3">
        <v>1398.9</v>
      </c>
      <c r="F1172" s="3">
        <v>1409.8</v>
      </c>
      <c r="G1172" s="3">
        <v>1414</v>
      </c>
      <c r="H1172" s="3">
        <v>1416.5</v>
      </c>
      <c r="I1172" s="3">
        <v>1410.65</v>
      </c>
      <c r="J1172" s="3">
        <v>1436</v>
      </c>
      <c r="K1172" s="3">
        <v>1051.05</v>
      </c>
      <c r="L1172" s="2">
        <v>16135274</v>
      </c>
      <c r="M1172" s="2">
        <v>22761177353.900002</v>
      </c>
      <c r="N1172" s="2">
        <v>275616</v>
      </c>
      <c r="O1172" t="s">
        <v>20</v>
      </c>
      <c r="P1172" s="8">
        <f t="shared" si="54"/>
        <v>-3</v>
      </c>
      <c r="Q1172" t="s">
        <v>39</v>
      </c>
      <c r="R1172">
        <f t="shared" si="55"/>
        <v>4</v>
      </c>
      <c r="S1172" t="str">
        <f t="shared" si="56"/>
        <v>Apr</v>
      </c>
      <c r="T1172" s="9">
        <f>VLOOKUP(O1172, Annual_Summary!A:B, 2, 0)</f>
        <v>4.6157441670237213E-2</v>
      </c>
    </row>
    <row r="1173" spans="1:20" x14ac:dyDescent="0.3">
      <c r="A1173" s="1">
        <v>45768</v>
      </c>
      <c r="B1173" t="s">
        <v>15</v>
      </c>
      <c r="C1173" s="3">
        <v>1436</v>
      </c>
      <c r="D1173" s="3">
        <v>1436</v>
      </c>
      <c r="E1173" s="3">
        <v>1404.7</v>
      </c>
      <c r="F1173" s="3">
        <v>1406.7</v>
      </c>
      <c r="G1173" s="3">
        <v>1408.1</v>
      </c>
      <c r="H1173" s="3">
        <v>1409.8</v>
      </c>
      <c r="I1173" s="3">
        <v>1416.7</v>
      </c>
      <c r="J1173" s="3">
        <v>1436</v>
      </c>
      <c r="K1173" s="3">
        <v>1051.05</v>
      </c>
      <c r="L1173" s="2">
        <v>16882426</v>
      </c>
      <c r="M1173" s="2">
        <v>23917404930.599998</v>
      </c>
      <c r="N1173" s="2">
        <v>291654</v>
      </c>
      <c r="O1173" t="s">
        <v>20</v>
      </c>
      <c r="P1173" s="8">
        <f t="shared" si="54"/>
        <v>-29.299999999999955</v>
      </c>
      <c r="Q1173" t="s">
        <v>39</v>
      </c>
      <c r="R1173">
        <f t="shared" si="55"/>
        <v>4</v>
      </c>
      <c r="S1173" t="str">
        <f t="shared" si="56"/>
        <v>Apr</v>
      </c>
      <c r="T1173" s="9">
        <f>VLOOKUP(O1173, Annual_Summary!A:B, 2, 0)</f>
        <v>4.6157441670237213E-2</v>
      </c>
    </row>
    <row r="1174" spans="1:20" x14ac:dyDescent="0.3">
      <c r="A1174" s="1">
        <v>45764</v>
      </c>
      <c r="B1174" t="s">
        <v>15</v>
      </c>
      <c r="C1174" s="3">
        <v>1362</v>
      </c>
      <c r="D1174" s="3">
        <v>1408.9</v>
      </c>
      <c r="E1174" s="3">
        <v>1360.1</v>
      </c>
      <c r="F1174" s="3">
        <v>1356.4</v>
      </c>
      <c r="G1174" s="3">
        <v>1407</v>
      </c>
      <c r="H1174" s="3">
        <v>1406.7</v>
      </c>
      <c r="I1174" s="3">
        <v>1391.92</v>
      </c>
      <c r="J1174" s="3">
        <v>1408.9</v>
      </c>
      <c r="K1174" s="3">
        <v>1048.0999999999999</v>
      </c>
      <c r="L1174" s="2">
        <v>17490424</v>
      </c>
      <c r="M1174" s="2">
        <v>24345198635.099998</v>
      </c>
      <c r="N1174" s="2">
        <v>294006</v>
      </c>
      <c r="O1174" t="s">
        <v>20</v>
      </c>
      <c r="P1174" s="8">
        <f t="shared" si="54"/>
        <v>-5.5999999999999091</v>
      </c>
      <c r="Q1174" t="s">
        <v>39</v>
      </c>
      <c r="R1174">
        <f t="shared" si="55"/>
        <v>4</v>
      </c>
      <c r="S1174" t="str">
        <f t="shared" si="56"/>
        <v>Apr</v>
      </c>
      <c r="T1174" s="9">
        <f>VLOOKUP(O1174, Annual_Summary!A:B, 2, 0)</f>
        <v>4.6157441670237213E-2</v>
      </c>
    </row>
    <row r="1175" spans="1:20" x14ac:dyDescent="0.3">
      <c r="A1175" s="1">
        <v>45763</v>
      </c>
      <c r="B1175" t="s">
        <v>15</v>
      </c>
      <c r="C1175" s="3">
        <v>1357</v>
      </c>
      <c r="D1175" s="3">
        <v>1359.7</v>
      </c>
      <c r="E1175" s="3">
        <v>1342.9</v>
      </c>
      <c r="F1175" s="3">
        <v>1350.2</v>
      </c>
      <c r="G1175" s="3">
        <v>1358</v>
      </c>
      <c r="H1175" s="3">
        <v>1356.4</v>
      </c>
      <c r="I1175" s="3">
        <v>1350.44</v>
      </c>
      <c r="J1175" s="3">
        <v>1373</v>
      </c>
      <c r="K1175" s="3">
        <v>1048.0999999999999</v>
      </c>
      <c r="L1175" s="2">
        <v>14039073</v>
      </c>
      <c r="M1175" s="2">
        <v>18958940775</v>
      </c>
      <c r="N1175" s="2">
        <v>180990</v>
      </c>
      <c r="O1175" t="s">
        <v>20</v>
      </c>
      <c r="P1175" s="8">
        <f t="shared" si="54"/>
        <v>-6.7999999999999545</v>
      </c>
      <c r="Q1175" t="s">
        <v>39</v>
      </c>
      <c r="R1175">
        <f t="shared" si="55"/>
        <v>4</v>
      </c>
      <c r="S1175" t="str">
        <f t="shared" si="56"/>
        <v>Apr</v>
      </c>
      <c r="T1175" s="9">
        <f>VLOOKUP(O1175, Annual_Summary!A:B, 2, 0)</f>
        <v>4.6157441670237213E-2</v>
      </c>
    </row>
    <row r="1176" spans="1:20" x14ac:dyDescent="0.3">
      <c r="A1176" s="1">
        <v>45762</v>
      </c>
      <c r="B1176" t="s">
        <v>15</v>
      </c>
      <c r="C1176" s="3">
        <v>1351</v>
      </c>
      <c r="D1176" s="3">
        <v>1354.3</v>
      </c>
      <c r="E1176" s="3">
        <v>1336.2</v>
      </c>
      <c r="F1176" s="3">
        <v>1311.65</v>
      </c>
      <c r="G1176" s="3">
        <v>1350.4</v>
      </c>
      <c r="H1176" s="3">
        <v>1350.2</v>
      </c>
      <c r="I1176" s="3">
        <v>1347.7</v>
      </c>
      <c r="J1176" s="3">
        <v>1373</v>
      </c>
      <c r="K1176" s="3">
        <v>1048.0999999999999</v>
      </c>
      <c r="L1176" s="2">
        <v>15202603</v>
      </c>
      <c r="M1176" s="2">
        <v>20488528370.700001</v>
      </c>
      <c r="N1176" s="2">
        <v>222333</v>
      </c>
      <c r="O1176" t="s">
        <v>20</v>
      </c>
      <c r="P1176" s="8">
        <f t="shared" si="54"/>
        <v>-39.349999999999909</v>
      </c>
      <c r="Q1176" t="s">
        <v>39</v>
      </c>
      <c r="R1176">
        <f t="shared" si="55"/>
        <v>4</v>
      </c>
      <c r="S1176" t="str">
        <f t="shared" si="56"/>
        <v>Apr</v>
      </c>
      <c r="T1176" s="9">
        <f>VLOOKUP(O1176, Annual_Summary!A:B, 2, 0)</f>
        <v>4.6157441670237213E-2</v>
      </c>
    </row>
    <row r="1177" spans="1:20" x14ac:dyDescent="0.3">
      <c r="A1177" s="1">
        <v>45758</v>
      </c>
      <c r="B1177" t="s">
        <v>15</v>
      </c>
      <c r="C1177" s="3">
        <v>1305.0999999999999</v>
      </c>
      <c r="D1177" s="3">
        <v>1325</v>
      </c>
      <c r="E1177" s="3">
        <v>1305.0999999999999</v>
      </c>
      <c r="F1177" s="3">
        <v>1300.8</v>
      </c>
      <c r="G1177" s="3">
        <v>1312.05</v>
      </c>
      <c r="H1177" s="3">
        <v>1311.65</v>
      </c>
      <c r="I1177" s="3">
        <v>1314.61</v>
      </c>
      <c r="J1177" s="3">
        <v>1373</v>
      </c>
      <c r="K1177" s="3">
        <v>1048.0999999999999</v>
      </c>
      <c r="L1177" s="2">
        <v>13064247</v>
      </c>
      <c r="M1177" s="2">
        <v>17174325317.9</v>
      </c>
      <c r="N1177" s="2">
        <v>224885</v>
      </c>
      <c r="O1177" t="s">
        <v>20</v>
      </c>
      <c r="P1177" s="8">
        <f t="shared" si="54"/>
        <v>-4.2999999999999545</v>
      </c>
      <c r="Q1177" t="s">
        <v>39</v>
      </c>
      <c r="R1177">
        <f t="shared" si="55"/>
        <v>4</v>
      </c>
      <c r="S1177" t="str">
        <f t="shared" si="56"/>
        <v>Apr</v>
      </c>
      <c r="T1177" s="9">
        <f>VLOOKUP(O1177, Annual_Summary!A:B, 2, 0)</f>
        <v>4.6157441670237213E-2</v>
      </c>
    </row>
    <row r="1178" spans="1:20" x14ac:dyDescent="0.3">
      <c r="A1178" s="1">
        <v>45756</v>
      </c>
      <c r="B1178" t="s">
        <v>15</v>
      </c>
      <c r="C1178" s="3">
        <v>1304.95</v>
      </c>
      <c r="D1178" s="3">
        <v>1305.0999999999999</v>
      </c>
      <c r="E1178" s="3">
        <v>1284.5</v>
      </c>
      <c r="F1178" s="3">
        <v>1299.9000000000001</v>
      </c>
      <c r="G1178" s="3">
        <v>1304</v>
      </c>
      <c r="H1178" s="3">
        <v>1300.8</v>
      </c>
      <c r="I1178" s="3">
        <v>1296.1199999999999</v>
      </c>
      <c r="J1178" s="3">
        <v>1373</v>
      </c>
      <c r="K1178" s="3">
        <v>1048.0999999999999</v>
      </c>
      <c r="L1178" s="2">
        <v>13005622</v>
      </c>
      <c r="M1178" s="2">
        <v>16856903289.700001</v>
      </c>
      <c r="N1178" s="2">
        <v>237174</v>
      </c>
      <c r="O1178" t="s">
        <v>20</v>
      </c>
      <c r="P1178" s="8">
        <f t="shared" si="54"/>
        <v>-5.0499999999999545</v>
      </c>
      <c r="Q1178" t="s">
        <v>39</v>
      </c>
      <c r="R1178">
        <f t="shared" si="55"/>
        <v>4</v>
      </c>
      <c r="S1178" t="str">
        <f t="shared" si="56"/>
        <v>Apr</v>
      </c>
      <c r="T1178" s="9">
        <f>VLOOKUP(O1178, Annual_Summary!A:B, 2, 0)</f>
        <v>4.6157441670237213E-2</v>
      </c>
    </row>
    <row r="1179" spans="1:20" x14ac:dyDescent="0.3">
      <c r="A1179" s="1">
        <v>45755</v>
      </c>
      <c r="B1179" t="s">
        <v>15</v>
      </c>
      <c r="C1179" s="3">
        <v>1299.8499999999999</v>
      </c>
      <c r="D1179" s="3">
        <v>1310.05</v>
      </c>
      <c r="E1179" s="3">
        <v>1287.3499999999999</v>
      </c>
      <c r="F1179" s="3">
        <v>1287.55</v>
      </c>
      <c r="G1179" s="3">
        <v>1300.05</v>
      </c>
      <c r="H1179" s="3">
        <v>1299.9000000000001</v>
      </c>
      <c r="I1179" s="3">
        <v>1298.3499999999999</v>
      </c>
      <c r="J1179" s="3">
        <v>1373</v>
      </c>
      <c r="K1179" s="3">
        <v>1048.0999999999999</v>
      </c>
      <c r="L1179" s="2">
        <v>13085762</v>
      </c>
      <c r="M1179" s="2">
        <v>16989934735.700001</v>
      </c>
      <c r="N1179" s="2">
        <v>171223</v>
      </c>
      <c r="O1179" t="s">
        <v>20</v>
      </c>
      <c r="P1179" s="8">
        <f t="shared" si="54"/>
        <v>-12.299999999999955</v>
      </c>
      <c r="Q1179" t="s">
        <v>39</v>
      </c>
      <c r="R1179">
        <f t="shared" si="55"/>
        <v>4</v>
      </c>
      <c r="S1179" t="str">
        <f t="shared" si="56"/>
        <v>Apr</v>
      </c>
      <c r="T1179" s="9">
        <f>VLOOKUP(O1179, Annual_Summary!A:B, 2, 0)</f>
        <v>4.6157441670237213E-2</v>
      </c>
    </row>
    <row r="1180" spans="1:20" x14ac:dyDescent="0.3">
      <c r="A1180" s="1">
        <v>45754</v>
      </c>
      <c r="B1180" t="s">
        <v>15</v>
      </c>
      <c r="C1180" s="3">
        <v>1295.25</v>
      </c>
      <c r="D1180" s="3">
        <v>1325</v>
      </c>
      <c r="E1180" s="3">
        <v>1265</v>
      </c>
      <c r="F1180" s="3">
        <v>1335.3</v>
      </c>
      <c r="G1180" s="3">
        <v>1294.0999999999999</v>
      </c>
      <c r="H1180" s="3">
        <v>1287.55</v>
      </c>
      <c r="I1180" s="3">
        <v>1290.47</v>
      </c>
      <c r="J1180" s="3">
        <v>1373</v>
      </c>
      <c r="K1180" s="3">
        <v>1048.0999999999999</v>
      </c>
      <c r="L1180" s="2">
        <v>19185012</v>
      </c>
      <c r="M1180" s="2">
        <v>24757611797.900002</v>
      </c>
      <c r="N1180" s="2">
        <v>515573</v>
      </c>
      <c r="O1180" t="s">
        <v>20</v>
      </c>
      <c r="P1180" s="8">
        <f t="shared" si="54"/>
        <v>40.049999999999955</v>
      </c>
      <c r="Q1180" t="s">
        <v>39</v>
      </c>
      <c r="R1180">
        <f t="shared" si="55"/>
        <v>4</v>
      </c>
      <c r="S1180" t="str">
        <f t="shared" si="56"/>
        <v>Apr</v>
      </c>
      <c r="T1180" s="9">
        <f>VLOOKUP(O1180, Annual_Summary!A:B, 2, 0)</f>
        <v>4.6157441670237213E-2</v>
      </c>
    </row>
    <row r="1181" spans="1:20" x14ac:dyDescent="0.3">
      <c r="A1181" s="1">
        <v>45751</v>
      </c>
      <c r="B1181" t="s">
        <v>15</v>
      </c>
      <c r="C1181" s="3">
        <v>1329.55</v>
      </c>
      <c r="D1181" s="3">
        <v>1338.55</v>
      </c>
      <c r="E1181" s="3">
        <v>1322.1</v>
      </c>
      <c r="F1181" s="3">
        <v>1329.55</v>
      </c>
      <c r="G1181" s="3">
        <v>1335</v>
      </c>
      <c r="H1181" s="3">
        <v>1335.3</v>
      </c>
      <c r="I1181" s="3">
        <v>1331.6</v>
      </c>
      <c r="J1181" s="3">
        <v>1373</v>
      </c>
      <c r="K1181" s="3">
        <v>1048.0999999999999</v>
      </c>
      <c r="L1181" s="2">
        <v>8648542</v>
      </c>
      <c r="M1181" s="2">
        <v>11516414124.299999</v>
      </c>
      <c r="N1181" s="2">
        <v>166068</v>
      </c>
      <c r="O1181" t="s">
        <v>20</v>
      </c>
      <c r="P1181" s="8">
        <f t="shared" si="54"/>
        <v>0</v>
      </c>
      <c r="Q1181" t="s">
        <v>39</v>
      </c>
      <c r="R1181">
        <f t="shared" si="55"/>
        <v>4</v>
      </c>
      <c r="S1181" t="str">
        <f t="shared" si="56"/>
        <v>Apr</v>
      </c>
      <c r="T1181" s="9">
        <f>VLOOKUP(O1181, Annual_Summary!A:B, 2, 0)</f>
        <v>4.6157441670237213E-2</v>
      </c>
    </row>
    <row r="1182" spans="1:20" x14ac:dyDescent="0.3">
      <c r="A1182" s="1">
        <v>45750</v>
      </c>
      <c r="B1182" t="s">
        <v>15</v>
      </c>
      <c r="C1182" s="3">
        <v>1321.95</v>
      </c>
      <c r="D1182" s="3">
        <v>1333</v>
      </c>
      <c r="E1182" s="3">
        <v>1321.25</v>
      </c>
      <c r="F1182" s="3">
        <v>1331.25</v>
      </c>
      <c r="G1182" s="3">
        <v>1328.95</v>
      </c>
      <c r="H1182" s="3">
        <v>1329.55</v>
      </c>
      <c r="I1182" s="3">
        <v>1328.6</v>
      </c>
      <c r="J1182" s="3">
        <v>1373</v>
      </c>
      <c r="K1182" s="3">
        <v>1048.0999999999999</v>
      </c>
      <c r="L1182" s="2">
        <v>4591008</v>
      </c>
      <c r="M1182" s="2">
        <v>6099629464.8000002</v>
      </c>
      <c r="N1182" s="2">
        <v>127085</v>
      </c>
      <c r="O1182" t="s">
        <v>20</v>
      </c>
      <c r="P1182" s="8">
        <f t="shared" si="54"/>
        <v>9.2999999999999545</v>
      </c>
      <c r="Q1182" t="s">
        <v>39</v>
      </c>
      <c r="R1182">
        <f t="shared" si="55"/>
        <v>4</v>
      </c>
      <c r="S1182" t="str">
        <f t="shared" si="56"/>
        <v>Apr</v>
      </c>
      <c r="T1182" s="9">
        <f>VLOOKUP(O1182, Annual_Summary!A:B, 2, 0)</f>
        <v>4.6157441670237213E-2</v>
      </c>
    </row>
    <row r="1183" spans="1:20" x14ac:dyDescent="0.3">
      <c r="A1183" s="1">
        <v>45749</v>
      </c>
      <c r="B1183" t="s">
        <v>15</v>
      </c>
      <c r="C1183" s="3">
        <v>1322.15</v>
      </c>
      <c r="D1183" s="3">
        <v>1337.95</v>
      </c>
      <c r="E1183" s="3">
        <v>1322.15</v>
      </c>
      <c r="F1183" s="3">
        <v>1318.45</v>
      </c>
      <c r="G1183" s="3">
        <v>1330.85</v>
      </c>
      <c r="H1183" s="3">
        <v>1331.25</v>
      </c>
      <c r="I1183" s="3">
        <v>1330.74</v>
      </c>
      <c r="J1183" s="3">
        <v>1373</v>
      </c>
      <c r="K1183" s="3">
        <v>1048.0999999999999</v>
      </c>
      <c r="L1183" s="2">
        <v>8042214</v>
      </c>
      <c r="M1183" s="2">
        <v>10702134959.6</v>
      </c>
      <c r="N1183" s="2">
        <v>127734</v>
      </c>
      <c r="O1183" t="s">
        <v>20</v>
      </c>
      <c r="P1183" s="8">
        <f t="shared" si="54"/>
        <v>-3.7000000000000455</v>
      </c>
      <c r="Q1183" t="s">
        <v>39</v>
      </c>
      <c r="R1183">
        <f t="shared" si="55"/>
        <v>4</v>
      </c>
      <c r="S1183" t="str">
        <f t="shared" si="56"/>
        <v>Apr</v>
      </c>
      <c r="T1183" s="9">
        <f>VLOOKUP(O1183, Annual_Summary!A:B, 2, 0)</f>
        <v>4.6157441670237213E-2</v>
      </c>
    </row>
    <row r="1184" spans="1:20" x14ac:dyDescent="0.3">
      <c r="A1184" s="1">
        <v>45748</v>
      </c>
      <c r="B1184" t="s">
        <v>15</v>
      </c>
      <c r="C1184" s="3">
        <v>1340</v>
      </c>
      <c r="D1184" s="3">
        <v>1352.35</v>
      </c>
      <c r="E1184" s="3">
        <v>1315.4</v>
      </c>
      <c r="F1184" s="3">
        <v>1348.35</v>
      </c>
      <c r="G1184" s="3">
        <v>1318.15</v>
      </c>
      <c r="H1184" s="3">
        <v>1318.45</v>
      </c>
      <c r="I1184" s="3">
        <v>1326.83</v>
      </c>
      <c r="J1184" s="3">
        <v>1373</v>
      </c>
      <c r="K1184" s="3">
        <v>1048.0999999999999</v>
      </c>
      <c r="L1184" s="2">
        <v>14288024</v>
      </c>
      <c r="M1184" s="2">
        <v>18957734985.950001</v>
      </c>
      <c r="N1184" s="2">
        <v>206118</v>
      </c>
      <c r="O1184" t="s">
        <v>20</v>
      </c>
      <c r="P1184" s="8">
        <f t="shared" si="54"/>
        <v>8.3499999999999091</v>
      </c>
      <c r="Q1184" t="s">
        <v>39</v>
      </c>
      <c r="R1184">
        <f t="shared" si="55"/>
        <v>4</v>
      </c>
      <c r="S1184" t="str">
        <f t="shared" si="56"/>
        <v>Apr</v>
      </c>
      <c r="T1184" s="9">
        <f>VLOOKUP(O1184, Annual_Summary!A:B, 2, 0)</f>
        <v>4.6157441670237213E-2</v>
      </c>
    </row>
    <row r="1185" spans="1:20" x14ac:dyDescent="0.3">
      <c r="A1185" s="1">
        <v>45744</v>
      </c>
      <c r="B1185" t="s">
        <v>15</v>
      </c>
      <c r="C1185" s="3">
        <v>1336</v>
      </c>
      <c r="D1185" s="3">
        <v>1357.95</v>
      </c>
      <c r="E1185" s="3">
        <v>1327.2</v>
      </c>
      <c r="F1185" s="3">
        <v>1336.65</v>
      </c>
      <c r="G1185" s="3">
        <v>1348</v>
      </c>
      <c r="H1185" s="3">
        <v>1348.35</v>
      </c>
      <c r="I1185" s="3">
        <v>1345.9</v>
      </c>
      <c r="J1185" s="3">
        <v>1373</v>
      </c>
      <c r="K1185" s="3">
        <v>1048.0999999999999</v>
      </c>
      <c r="L1185" s="2">
        <v>8266544</v>
      </c>
      <c r="M1185" s="2">
        <v>11125900933.9</v>
      </c>
      <c r="N1185" s="2">
        <v>142133</v>
      </c>
      <c r="O1185" t="s">
        <v>20</v>
      </c>
      <c r="P1185" s="8">
        <f t="shared" si="54"/>
        <v>0.65000000000009095</v>
      </c>
      <c r="Q1185" t="s">
        <v>39</v>
      </c>
      <c r="R1185">
        <f t="shared" si="55"/>
        <v>3</v>
      </c>
      <c r="S1185" t="str">
        <f t="shared" si="56"/>
        <v>Mar</v>
      </c>
      <c r="T1185" s="9">
        <f>VLOOKUP(O1185, Annual_Summary!A:B, 2, 0)</f>
        <v>4.6157441670237213E-2</v>
      </c>
    </row>
    <row r="1186" spans="1:20" x14ac:dyDescent="0.3">
      <c r="A1186" s="1">
        <v>45743</v>
      </c>
      <c r="B1186" t="s">
        <v>15</v>
      </c>
      <c r="C1186" s="3">
        <v>1333.15</v>
      </c>
      <c r="D1186" s="3">
        <v>1351.5</v>
      </c>
      <c r="E1186" s="3">
        <v>1333.15</v>
      </c>
      <c r="F1186" s="3">
        <v>1335.9</v>
      </c>
      <c r="G1186" s="3">
        <v>1339</v>
      </c>
      <c r="H1186" s="3">
        <v>1336.65</v>
      </c>
      <c r="I1186" s="3">
        <v>1340.7</v>
      </c>
      <c r="J1186" s="3">
        <v>1373</v>
      </c>
      <c r="K1186" s="3">
        <v>1048.0999999999999</v>
      </c>
      <c r="L1186" s="2">
        <v>15109614</v>
      </c>
      <c r="M1186" s="2">
        <v>20257403852.900002</v>
      </c>
      <c r="N1186" s="2">
        <v>187305</v>
      </c>
      <c r="O1186" t="s">
        <v>20</v>
      </c>
      <c r="P1186" s="8">
        <f t="shared" si="54"/>
        <v>2.75</v>
      </c>
      <c r="Q1186" t="s">
        <v>39</v>
      </c>
      <c r="R1186">
        <f t="shared" si="55"/>
        <v>3</v>
      </c>
      <c r="S1186" t="str">
        <f t="shared" si="56"/>
        <v>Mar</v>
      </c>
      <c r="T1186" s="9">
        <f>VLOOKUP(O1186, Annual_Summary!A:B, 2, 0)</f>
        <v>4.6157441670237213E-2</v>
      </c>
    </row>
    <row r="1187" spans="1:20" x14ac:dyDescent="0.3">
      <c r="A1187" s="1">
        <v>45742</v>
      </c>
      <c r="B1187" t="s">
        <v>15</v>
      </c>
      <c r="C1187" s="3">
        <v>1344.05</v>
      </c>
      <c r="D1187" s="3">
        <v>1358</v>
      </c>
      <c r="E1187" s="3">
        <v>1331.5</v>
      </c>
      <c r="F1187" s="3">
        <v>1343.7</v>
      </c>
      <c r="G1187" s="3">
        <v>1335.45</v>
      </c>
      <c r="H1187" s="3">
        <v>1335.9</v>
      </c>
      <c r="I1187" s="3">
        <v>1341.51</v>
      </c>
      <c r="J1187" s="3">
        <v>1373</v>
      </c>
      <c r="K1187" s="3">
        <v>1048.0999999999999</v>
      </c>
      <c r="L1187" s="2">
        <v>10859639</v>
      </c>
      <c r="M1187" s="2">
        <v>14568352861.700001</v>
      </c>
      <c r="N1187" s="2">
        <v>197579</v>
      </c>
      <c r="O1187" t="s">
        <v>20</v>
      </c>
      <c r="P1187" s="8">
        <f t="shared" si="54"/>
        <v>-0.34999999999990905</v>
      </c>
      <c r="Q1187" t="s">
        <v>39</v>
      </c>
      <c r="R1187">
        <f t="shared" si="55"/>
        <v>3</v>
      </c>
      <c r="S1187" t="str">
        <f t="shared" si="56"/>
        <v>Mar</v>
      </c>
      <c r="T1187" s="9">
        <f>VLOOKUP(O1187, Annual_Summary!A:B, 2, 0)</f>
        <v>4.6157441670237213E-2</v>
      </c>
    </row>
    <row r="1188" spans="1:20" x14ac:dyDescent="0.3">
      <c r="A1188" s="1">
        <v>45741</v>
      </c>
      <c r="B1188" t="s">
        <v>15</v>
      </c>
      <c r="C1188" s="3">
        <v>1359</v>
      </c>
      <c r="D1188" s="3">
        <v>1363.8</v>
      </c>
      <c r="E1188" s="3">
        <v>1330.05</v>
      </c>
      <c r="F1188" s="3">
        <v>1358.15</v>
      </c>
      <c r="G1188" s="3">
        <v>1341.95</v>
      </c>
      <c r="H1188" s="3">
        <v>1343.7</v>
      </c>
      <c r="I1188" s="3">
        <v>1345.81</v>
      </c>
      <c r="J1188" s="3">
        <v>1373</v>
      </c>
      <c r="K1188" s="3">
        <v>1048.0999999999999</v>
      </c>
      <c r="L1188" s="2">
        <v>16419207</v>
      </c>
      <c r="M1188" s="2">
        <v>22097082282.099998</v>
      </c>
      <c r="N1188" s="2">
        <v>326362</v>
      </c>
      <c r="O1188" t="s">
        <v>20</v>
      </c>
      <c r="P1188" s="8">
        <f t="shared" si="54"/>
        <v>-0.84999999999990905</v>
      </c>
      <c r="Q1188" t="s">
        <v>39</v>
      </c>
      <c r="R1188">
        <f t="shared" si="55"/>
        <v>3</v>
      </c>
      <c r="S1188" t="str">
        <f t="shared" si="56"/>
        <v>Mar</v>
      </c>
      <c r="T1188" s="9">
        <f>VLOOKUP(O1188, Annual_Summary!A:B, 2, 0)</f>
        <v>4.6157441670237213E-2</v>
      </c>
    </row>
    <row r="1189" spans="1:20" x14ac:dyDescent="0.3">
      <c r="A1189" s="1">
        <v>45740</v>
      </c>
      <c r="B1189" t="s">
        <v>15</v>
      </c>
      <c r="C1189" s="3">
        <v>1355.95</v>
      </c>
      <c r="D1189" s="3">
        <v>1373</v>
      </c>
      <c r="E1189" s="3">
        <v>1345.05</v>
      </c>
      <c r="F1189" s="3">
        <v>1343.1</v>
      </c>
      <c r="G1189" s="3">
        <v>1361.2</v>
      </c>
      <c r="H1189" s="3">
        <v>1358.15</v>
      </c>
      <c r="I1189" s="3">
        <v>1358.95</v>
      </c>
      <c r="J1189" s="3">
        <v>1373</v>
      </c>
      <c r="K1189" s="3">
        <v>1048.0999999999999</v>
      </c>
      <c r="L1189" s="2">
        <v>9352280</v>
      </c>
      <c r="M1189" s="2">
        <v>12709278600.9</v>
      </c>
      <c r="N1189" s="2">
        <v>203054</v>
      </c>
      <c r="O1189" t="s">
        <v>20</v>
      </c>
      <c r="P1189" s="8">
        <f t="shared" si="54"/>
        <v>-12.850000000000136</v>
      </c>
      <c r="Q1189" t="s">
        <v>39</v>
      </c>
      <c r="R1189">
        <f t="shared" si="55"/>
        <v>3</v>
      </c>
      <c r="S1189" t="str">
        <f t="shared" si="56"/>
        <v>Mar</v>
      </c>
      <c r="T1189" s="9">
        <f>VLOOKUP(O1189, Annual_Summary!A:B, 2, 0)</f>
        <v>4.6157441670237213E-2</v>
      </c>
    </row>
    <row r="1190" spans="1:20" x14ac:dyDescent="0.3">
      <c r="A1190" s="1">
        <v>45737</v>
      </c>
      <c r="B1190" t="s">
        <v>15</v>
      </c>
      <c r="C1190" s="3">
        <v>1316</v>
      </c>
      <c r="D1190" s="3">
        <v>1349</v>
      </c>
      <c r="E1190" s="3">
        <v>1311.6</v>
      </c>
      <c r="F1190" s="3">
        <v>1321.7</v>
      </c>
      <c r="G1190" s="3">
        <v>1337.95</v>
      </c>
      <c r="H1190" s="3">
        <v>1343.1</v>
      </c>
      <c r="I1190" s="3">
        <v>1341.59</v>
      </c>
      <c r="J1190" s="3">
        <v>1362.35</v>
      </c>
      <c r="K1190" s="3">
        <v>1048.0999999999999</v>
      </c>
      <c r="L1190" s="2">
        <v>60494318</v>
      </c>
      <c r="M1190" s="2">
        <v>81158565386.5</v>
      </c>
      <c r="N1190" s="2">
        <v>344744</v>
      </c>
      <c r="O1190" t="s">
        <v>20</v>
      </c>
      <c r="P1190" s="8">
        <f t="shared" si="54"/>
        <v>5.7000000000000455</v>
      </c>
      <c r="Q1190" t="s">
        <v>39</v>
      </c>
      <c r="R1190">
        <f t="shared" si="55"/>
        <v>3</v>
      </c>
      <c r="S1190" t="str">
        <f t="shared" si="56"/>
        <v>Mar</v>
      </c>
      <c r="T1190" s="9">
        <f>VLOOKUP(O1190, Annual_Summary!A:B, 2, 0)</f>
        <v>4.6157441670237213E-2</v>
      </c>
    </row>
    <row r="1191" spans="1:20" x14ac:dyDescent="0.3">
      <c r="A1191" s="1">
        <v>45736</v>
      </c>
      <c r="B1191" t="s">
        <v>15</v>
      </c>
      <c r="C1191" s="3">
        <v>1320</v>
      </c>
      <c r="D1191" s="3">
        <v>1324.25</v>
      </c>
      <c r="E1191" s="3">
        <v>1311.05</v>
      </c>
      <c r="F1191" s="3">
        <v>1313.1</v>
      </c>
      <c r="G1191" s="3">
        <v>1318.55</v>
      </c>
      <c r="H1191" s="3">
        <v>1321.7</v>
      </c>
      <c r="I1191" s="3">
        <v>1319.08</v>
      </c>
      <c r="J1191" s="3">
        <v>1362.35</v>
      </c>
      <c r="K1191" s="3">
        <v>1048.0999999999999</v>
      </c>
      <c r="L1191" s="2">
        <v>10886735</v>
      </c>
      <c r="M1191" s="2">
        <v>14360481637.450001</v>
      </c>
      <c r="N1191" s="2">
        <v>252535</v>
      </c>
      <c r="O1191" t="s">
        <v>20</v>
      </c>
      <c r="P1191" s="8">
        <f t="shared" si="54"/>
        <v>-6.9000000000000909</v>
      </c>
      <c r="Q1191" t="s">
        <v>39</v>
      </c>
      <c r="R1191">
        <f t="shared" si="55"/>
        <v>3</v>
      </c>
      <c r="S1191" t="str">
        <f t="shared" si="56"/>
        <v>Mar</v>
      </c>
      <c r="T1191" s="9">
        <f>VLOOKUP(O1191, Annual_Summary!A:B, 2, 0)</f>
        <v>4.6157441670237213E-2</v>
      </c>
    </row>
    <row r="1192" spans="1:20" x14ac:dyDescent="0.3">
      <c r="A1192" s="1">
        <v>45735</v>
      </c>
      <c r="B1192" t="s">
        <v>15</v>
      </c>
      <c r="C1192" s="3">
        <v>1305.5999999999999</v>
      </c>
      <c r="D1192" s="3">
        <v>1318.3</v>
      </c>
      <c r="E1192" s="3">
        <v>1302.1500000000001</v>
      </c>
      <c r="F1192" s="3">
        <v>1309.8499999999999</v>
      </c>
      <c r="G1192" s="3">
        <v>1316</v>
      </c>
      <c r="H1192" s="3">
        <v>1313.1</v>
      </c>
      <c r="I1192" s="3">
        <v>1311.61</v>
      </c>
      <c r="J1192" s="3">
        <v>1362.35</v>
      </c>
      <c r="K1192" s="3">
        <v>1048.0999999999999</v>
      </c>
      <c r="L1192" s="2">
        <v>11278014</v>
      </c>
      <c r="M1192" s="2">
        <v>14792332058.700001</v>
      </c>
      <c r="N1192" s="2">
        <v>244205</v>
      </c>
      <c r="O1192" t="s">
        <v>20</v>
      </c>
      <c r="P1192" s="8">
        <f t="shared" si="54"/>
        <v>4.25</v>
      </c>
      <c r="Q1192" t="s">
        <v>39</v>
      </c>
      <c r="R1192">
        <f t="shared" si="55"/>
        <v>3</v>
      </c>
      <c r="S1192" t="str">
        <f t="shared" si="56"/>
        <v>Mar</v>
      </c>
      <c r="T1192" s="9">
        <f>VLOOKUP(O1192, Annual_Summary!A:B, 2, 0)</f>
        <v>4.6157441670237213E-2</v>
      </c>
    </row>
    <row r="1193" spans="1:20" x14ac:dyDescent="0.3">
      <c r="A1193" s="1">
        <v>45734</v>
      </c>
      <c r="B1193" t="s">
        <v>15</v>
      </c>
      <c r="C1193" s="3">
        <v>1285.5</v>
      </c>
      <c r="D1193" s="3">
        <v>1313.85</v>
      </c>
      <c r="E1193" s="3">
        <v>1280.6500000000001</v>
      </c>
      <c r="F1193" s="3">
        <v>1269</v>
      </c>
      <c r="G1193" s="3">
        <v>1311.5</v>
      </c>
      <c r="H1193" s="3">
        <v>1309.8499999999999</v>
      </c>
      <c r="I1193" s="3">
        <v>1299.54</v>
      </c>
      <c r="J1193" s="3">
        <v>1362.35</v>
      </c>
      <c r="K1193" s="3">
        <v>1048.0999999999999</v>
      </c>
      <c r="L1193" s="2">
        <v>15645427</v>
      </c>
      <c r="M1193" s="2">
        <v>20331886817.150002</v>
      </c>
      <c r="N1193" s="2">
        <v>337230</v>
      </c>
      <c r="O1193" t="s">
        <v>20</v>
      </c>
      <c r="P1193" s="8">
        <f t="shared" si="54"/>
        <v>-16.5</v>
      </c>
      <c r="Q1193" t="s">
        <v>39</v>
      </c>
      <c r="R1193">
        <f t="shared" si="55"/>
        <v>3</v>
      </c>
      <c r="S1193" t="str">
        <f t="shared" si="56"/>
        <v>Mar</v>
      </c>
      <c r="T1193" s="9">
        <f>VLOOKUP(O1193, Annual_Summary!A:B, 2, 0)</f>
        <v>4.6157441670237213E-2</v>
      </c>
    </row>
    <row r="1194" spans="1:20" x14ac:dyDescent="0.3">
      <c r="A1194" s="1">
        <v>45733</v>
      </c>
      <c r="B1194" t="s">
        <v>15</v>
      </c>
      <c r="C1194" s="3">
        <v>1257.05</v>
      </c>
      <c r="D1194" s="3">
        <v>1273.95</v>
      </c>
      <c r="E1194" s="3">
        <v>1254.75</v>
      </c>
      <c r="F1194" s="3">
        <v>1250.05</v>
      </c>
      <c r="G1194" s="3">
        <v>1268.6500000000001</v>
      </c>
      <c r="H1194" s="3">
        <v>1269</v>
      </c>
      <c r="I1194" s="3">
        <v>1267.47</v>
      </c>
      <c r="J1194" s="3">
        <v>1362.35</v>
      </c>
      <c r="K1194" s="3">
        <v>1048.0999999999999</v>
      </c>
      <c r="L1194" s="2">
        <v>11164882</v>
      </c>
      <c r="M1194" s="2">
        <v>14151149490.549999</v>
      </c>
      <c r="N1194" s="2">
        <v>226414</v>
      </c>
      <c r="O1194" t="s">
        <v>20</v>
      </c>
      <c r="P1194" s="8">
        <f t="shared" si="54"/>
        <v>-7</v>
      </c>
      <c r="Q1194" t="s">
        <v>39</v>
      </c>
      <c r="R1194">
        <f t="shared" si="55"/>
        <v>3</v>
      </c>
      <c r="S1194" t="str">
        <f t="shared" si="56"/>
        <v>Mar</v>
      </c>
      <c r="T1194" s="9">
        <f>VLOOKUP(O1194, Annual_Summary!A:B, 2, 0)</f>
        <v>4.6157441670237213E-2</v>
      </c>
    </row>
    <row r="1195" spans="1:20" x14ac:dyDescent="0.3">
      <c r="A1195" s="1">
        <v>45729</v>
      </c>
      <c r="B1195" t="s">
        <v>15</v>
      </c>
      <c r="C1195" s="3">
        <v>1251.05</v>
      </c>
      <c r="D1195" s="3">
        <v>1255.5999999999999</v>
      </c>
      <c r="E1195" s="3">
        <v>1245.3</v>
      </c>
      <c r="F1195" s="3">
        <v>1243.95</v>
      </c>
      <c r="G1195" s="3">
        <v>1248.6500000000001</v>
      </c>
      <c r="H1195" s="3">
        <v>1250.05</v>
      </c>
      <c r="I1195" s="3">
        <v>1250.96</v>
      </c>
      <c r="J1195" s="3">
        <v>1362.35</v>
      </c>
      <c r="K1195" s="3">
        <v>1048.0999999999999</v>
      </c>
      <c r="L1195" s="2">
        <v>8132940</v>
      </c>
      <c r="M1195" s="2">
        <v>10173984588.65</v>
      </c>
      <c r="N1195" s="2">
        <v>190526</v>
      </c>
      <c r="O1195" t="s">
        <v>20</v>
      </c>
      <c r="P1195" s="8">
        <f t="shared" si="54"/>
        <v>-7.0999999999999091</v>
      </c>
      <c r="Q1195" t="s">
        <v>39</v>
      </c>
      <c r="R1195">
        <f t="shared" si="55"/>
        <v>3</v>
      </c>
      <c r="S1195" t="str">
        <f t="shared" si="56"/>
        <v>Mar</v>
      </c>
      <c r="T1195" s="9">
        <f>VLOOKUP(O1195, Annual_Summary!A:B, 2, 0)</f>
        <v>4.6157441670237213E-2</v>
      </c>
    </row>
    <row r="1196" spans="1:20" x14ac:dyDescent="0.3">
      <c r="A1196" s="1">
        <v>45728</v>
      </c>
      <c r="B1196" t="s">
        <v>15</v>
      </c>
      <c r="C1196" s="3">
        <v>1246.95</v>
      </c>
      <c r="D1196" s="3">
        <v>1251.95</v>
      </c>
      <c r="E1196" s="3">
        <v>1235.3</v>
      </c>
      <c r="F1196" s="3">
        <v>1245.4000000000001</v>
      </c>
      <c r="G1196" s="3">
        <v>1244.45</v>
      </c>
      <c r="H1196" s="3">
        <v>1243.95</v>
      </c>
      <c r="I1196" s="3">
        <v>1243.3699999999999</v>
      </c>
      <c r="J1196" s="3">
        <v>1362.35</v>
      </c>
      <c r="K1196" s="3">
        <v>1048.0999999999999</v>
      </c>
      <c r="L1196" s="2">
        <v>11548372</v>
      </c>
      <c r="M1196" s="2">
        <v>14358854881.85</v>
      </c>
      <c r="N1196" s="2">
        <v>197340</v>
      </c>
      <c r="O1196" t="s">
        <v>20</v>
      </c>
      <c r="P1196" s="8">
        <f t="shared" si="54"/>
        <v>-1.5499999999999545</v>
      </c>
      <c r="Q1196" t="s">
        <v>39</v>
      </c>
      <c r="R1196">
        <f t="shared" si="55"/>
        <v>3</v>
      </c>
      <c r="S1196" t="str">
        <f t="shared" si="56"/>
        <v>Mar</v>
      </c>
      <c r="T1196" s="9">
        <f>VLOOKUP(O1196, Annual_Summary!A:B, 2, 0)</f>
        <v>4.6157441670237213E-2</v>
      </c>
    </row>
    <row r="1197" spans="1:20" x14ac:dyDescent="0.3">
      <c r="A1197" s="1">
        <v>45727</v>
      </c>
      <c r="B1197" t="s">
        <v>15</v>
      </c>
      <c r="C1197" s="3">
        <v>1217.2</v>
      </c>
      <c r="D1197" s="3">
        <v>1248</v>
      </c>
      <c r="E1197" s="3">
        <v>1217.2</v>
      </c>
      <c r="F1197" s="3">
        <v>1214.8499999999999</v>
      </c>
      <c r="G1197" s="3">
        <v>1244.1500000000001</v>
      </c>
      <c r="H1197" s="3">
        <v>1245.4000000000001</v>
      </c>
      <c r="I1197" s="3">
        <v>1238.81</v>
      </c>
      <c r="J1197" s="3">
        <v>1362.35</v>
      </c>
      <c r="K1197" s="3">
        <v>1048.0999999999999</v>
      </c>
      <c r="L1197" s="2">
        <v>10927950</v>
      </c>
      <c r="M1197" s="2">
        <v>13537605281.450001</v>
      </c>
      <c r="N1197" s="2">
        <v>238907</v>
      </c>
      <c r="O1197" t="s">
        <v>20</v>
      </c>
      <c r="P1197" s="8">
        <f t="shared" si="54"/>
        <v>-2.3500000000001364</v>
      </c>
      <c r="Q1197" t="s">
        <v>39</v>
      </c>
      <c r="R1197">
        <f t="shared" si="55"/>
        <v>3</v>
      </c>
      <c r="S1197" t="str">
        <f t="shared" si="56"/>
        <v>Mar</v>
      </c>
      <c r="T1197" s="9">
        <f>VLOOKUP(O1197, Annual_Summary!A:B, 2, 0)</f>
        <v>4.6157441670237213E-2</v>
      </c>
    </row>
    <row r="1198" spans="1:20" x14ac:dyDescent="0.3">
      <c r="A1198" s="1">
        <v>45726</v>
      </c>
      <c r="B1198" t="s">
        <v>15</v>
      </c>
      <c r="C1198" s="3">
        <v>1208</v>
      </c>
      <c r="D1198" s="3">
        <v>1225.8</v>
      </c>
      <c r="E1198" s="3">
        <v>1208</v>
      </c>
      <c r="F1198" s="3">
        <v>1214.55</v>
      </c>
      <c r="G1198" s="3">
        <v>1212.9000000000001</v>
      </c>
      <c r="H1198" s="3">
        <v>1214.8499999999999</v>
      </c>
      <c r="I1198" s="3">
        <v>1218.5</v>
      </c>
      <c r="J1198" s="3">
        <v>1362.35</v>
      </c>
      <c r="K1198" s="3">
        <v>1048.0999999999999</v>
      </c>
      <c r="L1198" s="2">
        <v>7363437</v>
      </c>
      <c r="M1198" s="2">
        <v>8972340771.1499996</v>
      </c>
      <c r="N1198" s="2">
        <v>152261</v>
      </c>
      <c r="O1198" t="s">
        <v>20</v>
      </c>
      <c r="P1198" s="8">
        <f t="shared" si="54"/>
        <v>6.5499999999999545</v>
      </c>
      <c r="Q1198" t="s">
        <v>39</v>
      </c>
      <c r="R1198">
        <f t="shared" si="55"/>
        <v>3</v>
      </c>
      <c r="S1198" t="str">
        <f t="shared" si="56"/>
        <v>Mar</v>
      </c>
      <c r="T1198" s="9">
        <f>VLOOKUP(O1198, Annual_Summary!A:B, 2, 0)</f>
        <v>4.6157441670237213E-2</v>
      </c>
    </row>
    <row r="1199" spans="1:20" x14ac:dyDescent="0.3">
      <c r="A1199" s="1">
        <v>45723</v>
      </c>
      <c r="B1199" t="s">
        <v>15</v>
      </c>
      <c r="C1199" s="3">
        <v>1211.0999999999999</v>
      </c>
      <c r="D1199" s="3">
        <v>1217.8499999999999</v>
      </c>
      <c r="E1199" s="3">
        <v>1206.3</v>
      </c>
      <c r="F1199" s="3">
        <v>1218.05</v>
      </c>
      <c r="G1199" s="3">
        <v>1213.4000000000001</v>
      </c>
      <c r="H1199" s="3">
        <v>1214.55</v>
      </c>
      <c r="I1199" s="3">
        <v>1213.6300000000001</v>
      </c>
      <c r="J1199" s="3">
        <v>1362.35</v>
      </c>
      <c r="K1199" s="3">
        <v>1048.0999999999999</v>
      </c>
      <c r="L1199" s="2">
        <v>6620284</v>
      </c>
      <c r="M1199" s="2">
        <v>8034543520.3500004</v>
      </c>
      <c r="N1199" s="2">
        <v>118643</v>
      </c>
      <c r="O1199" t="s">
        <v>20</v>
      </c>
      <c r="P1199" s="8">
        <f t="shared" si="54"/>
        <v>6.9500000000000455</v>
      </c>
      <c r="Q1199" t="s">
        <v>39</v>
      </c>
      <c r="R1199">
        <f t="shared" si="55"/>
        <v>3</v>
      </c>
      <c r="S1199" t="str">
        <f t="shared" si="56"/>
        <v>Mar</v>
      </c>
      <c r="T1199" s="9">
        <f>VLOOKUP(O1199, Annual_Summary!A:B, 2, 0)</f>
        <v>4.6157441670237213E-2</v>
      </c>
    </row>
    <row r="1200" spans="1:20" x14ac:dyDescent="0.3">
      <c r="A1200" s="1">
        <v>45722</v>
      </c>
      <c r="B1200" t="s">
        <v>15</v>
      </c>
      <c r="C1200" s="3">
        <v>1227.95</v>
      </c>
      <c r="D1200" s="3">
        <v>1227.95</v>
      </c>
      <c r="E1200" s="3">
        <v>1209</v>
      </c>
      <c r="F1200" s="3">
        <v>1215.7</v>
      </c>
      <c r="G1200" s="3">
        <v>1219.8</v>
      </c>
      <c r="H1200" s="3">
        <v>1218.05</v>
      </c>
      <c r="I1200" s="3">
        <v>1217.04</v>
      </c>
      <c r="J1200" s="3">
        <v>1362.35</v>
      </c>
      <c r="K1200" s="3">
        <v>1048.0999999999999</v>
      </c>
      <c r="L1200" s="2">
        <v>11949475</v>
      </c>
      <c r="M1200" s="2">
        <v>14543033343.200001</v>
      </c>
      <c r="N1200" s="2">
        <v>250155</v>
      </c>
      <c r="O1200" t="s">
        <v>20</v>
      </c>
      <c r="P1200" s="8">
        <f t="shared" si="54"/>
        <v>-12.25</v>
      </c>
      <c r="Q1200" t="s">
        <v>39</v>
      </c>
      <c r="R1200">
        <f t="shared" si="55"/>
        <v>3</v>
      </c>
      <c r="S1200" t="str">
        <f t="shared" si="56"/>
        <v>Mar</v>
      </c>
      <c r="T1200" s="9">
        <f>VLOOKUP(O1200, Annual_Summary!A:B, 2, 0)</f>
        <v>4.6157441670237213E-2</v>
      </c>
    </row>
    <row r="1201" spans="1:20" x14ac:dyDescent="0.3">
      <c r="A1201" s="1">
        <v>45721</v>
      </c>
      <c r="B1201" t="s">
        <v>15</v>
      </c>
      <c r="C1201" s="3">
        <v>1217</v>
      </c>
      <c r="D1201" s="3">
        <v>1225.95</v>
      </c>
      <c r="E1201" s="3">
        <v>1211.3</v>
      </c>
      <c r="F1201" s="3">
        <v>1210.4000000000001</v>
      </c>
      <c r="G1201" s="3">
        <v>1215</v>
      </c>
      <c r="H1201" s="3">
        <v>1215.7</v>
      </c>
      <c r="I1201" s="3">
        <v>1216.73</v>
      </c>
      <c r="J1201" s="3">
        <v>1362.35</v>
      </c>
      <c r="K1201" s="3">
        <v>1048.0999999999999</v>
      </c>
      <c r="L1201" s="2">
        <v>9052846</v>
      </c>
      <c r="M1201" s="2">
        <v>11014865217.65</v>
      </c>
      <c r="N1201" s="2">
        <v>199811</v>
      </c>
      <c r="O1201" t="s">
        <v>20</v>
      </c>
      <c r="P1201" s="8">
        <f t="shared" si="54"/>
        <v>-6.5999999999999091</v>
      </c>
      <c r="Q1201" t="s">
        <v>39</v>
      </c>
      <c r="R1201">
        <f t="shared" si="55"/>
        <v>3</v>
      </c>
      <c r="S1201" t="str">
        <f t="shared" si="56"/>
        <v>Mar</v>
      </c>
      <c r="T1201" s="9">
        <f>VLOOKUP(O1201, Annual_Summary!A:B, 2, 0)</f>
        <v>4.6157441670237213E-2</v>
      </c>
    </row>
    <row r="1202" spans="1:20" x14ac:dyDescent="0.3">
      <c r="A1202" s="1">
        <v>45720</v>
      </c>
      <c r="B1202" t="s">
        <v>15</v>
      </c>
      <c r="C1202" s="3">
        <v>1207.1500000000001</v>
      </c>
      <c r="D1202" s="3">
        <v>1216.6500000000001</v>
      </c>
      <c r="E1202" s="3">
        <v>1206.25</v>
      </c>
      <c r="F1202" s="3">
        <v>1206.2</v>
      </c>
      <c r="G1202" s="3">
        <v>1212.8</v>
      </c>
      <c r="H1202" s="3">
        <v>1210.4000000000001</v>
      </c>
      <c r="I1202" s="3">
        <v>1210.78</v>
      </c>
      <c r="J1202" s="3">
        <v>1362.35</v>
      </c>
      <c r="K1202" s="3">
        <v>1048.0999999999999</v>
      </c>
      <c r="L1202" s="2">
        <v>9574490</v>
      </c>
      <c r="M1202" s="2">
        <v>11592601922.9</v>
      </c>
      <c r="N1202" s="2">
        <v>169550</v>
      </c>
      <c r="O1202" t="s">
        <v>20</v>
      </c>
      <c r="P1202" s="8">
        <f t="shared" si="54"/>
        <v>-0.95000000000004547</v>
      </c>
      <c r="Q1202" t="s">
        <v>39</v>
      </c>
      <c r="R1202">
        <f t="shared" si="55"/>
        <v>3</v>
      </c>
      <c r="S1202" t="str">
        <f t="shared" si="56"/>
        <v>Mar</v>
      </c>
      <c r="T1202" s="9">
        <f>VLOOKUP(O1202, Annual_Summary!A:B, 2, 0)</f>
        <v>4.6157441670237213E-2</v>
      </c>
    </row>
    <row r="1203" spans="1:20" x14ac:dyDescent="0.3">
      <c r="A1203" s="1">
        <v>45719</v>
      </c>
      <c r="B1203" t="s">
        <v>15</v>
      </c>
      <c r="C1203" s="3">
        <v>1210.5</v>
      </c>
      <c r="D1203" s="3">
        <v>1217</v>
      </c>
      <c r="E1203" s="3">
        <v>1204.1500000000001</v>
      </c>
      <c r="F1203" s="3">
        <v>1204.0999999999999</v>
      </c>
      <c r="G1203" s="3">
        <v>1208.7</v>
      </c>
      <c r="H1203" s="3">
        <v>1206.2</v>
      </c>
      <c r="I1203" s="3">
        <v>1209.49</v>
      </c>
      <c r="J1203" s="3">
        <v>1362.35</v>
      </c>
      <c r="K1203" s="3">
        <v>1048.0999999999999</v>
      </c>
      <c r="L1203" s="2">
        <v>8158881</v>
      </c>
      <c r="M1203" s="2">
        <v>9868073967.3500004</v>
      </c>
      <c r="N1203" s="2">
        <v>208311</v>
      </c>
      <c r="O1203" t="s">
        <v>20</v>
      </c>
      <c r="P1203" s="8">
        <f t="shared" si="54"/>
        <v>-6.4000000000000909</v>
      </c>
      <c r="Q1203" t="s">
        <v>39</v>
      </c>
      <c r="R1203">
        <f t="shared" si="55"/>
        <v>3</v>
      </c>
      <c r="S1203" t="str">
        <f t="shared" si="56"/>
        <v>Mar</v>
      </c>
      <c r="T1203" s="9">
        <f>VLOOKUP(O1203, Annual_Summary!A:B, 2, 0)</f>
        <v>4.6157441670237213E-2</v>
      </c>
    </row>
    <row r="1204" spans="1:20" x14ac:dyDescent="0.3">
      <c r="A1204" s="1">
        <v>45716</v>
      </c>
      <c r="B1204" t="s">
        <v>15</v>
      </c>
      <c r="C1204" s="3">
        <v>1216</v>
      </c>
      <c r="D1204" s="3">
        <v>1225</v>
      </c>
      <c r="E1204" s="3">
        <v>1200.0999999999999</v>
      </c>
      <c r="F1204" s="3">
        <v>1222.45</v>
      </c>
      <c r="G1204" s="3">
        <v>1201.0999999999999</v>
      </c>
      <c r="H1204" s="3">
        <v>1204.0999999999999</v>
      </c>
      <c r="I1204" s="3">
        <v>1208.9100000000001</v>
      </c>
      <c r="J1204" s="3">
        <v>1362.35</v>
      </c>
      <c r="K1204" s="3">
        <v>1038.5</v>
      </c>
      <c r="L1204" s="2">
        <v>20215075</v>
      </c>
      <c r="M1204" s="2">
        <v>24438200772.650002</v>
      </c>
      <c r="N1204" s="2">
        <v>268866</v>
      </c>
      <c r="O1204" t="s">
        <v>20</v>
      </c>
      <c r="P1204" s="8">
        <f t="shared" si="54"/>
        <v>6.4500000000000455</v>
      </c>
      <c r="Q1204" t="s">
        <v>39</v>
      </c>
      <c r="R1204">
        <f t="shared" si="55"/>
        <v>2</v>
      </c>
      <c r="S1204" t="str">
        <f t="shared" si="56"/>
        <v>Feb</v>
      </c>
      <c r="T1204" s="9">
        <f>VLOOKUP(O1204, Annual_Summary!A:B, 2, 0)</f>
        <v>4.6157441670237213E-2</v>
      </c>
    </row>
    <row r="1205" spans="1:20" x14ac:dyDescent="0.3">
      <c r="A1205" s="1">
        <v>45715</v>
      </c>
      <c r="B1205" t="s">
        <v>15</v>
      </c>
      <c r="C1205" s="3">
        <v>1225.1500000000001</v>
      </c>
      <c r="D1205" s="3">
        <v>1234.8499999999999</v>
      </c>
      <c r="E1205" s="3">
        <v>1218.45</v>
      </c>
      <c r="F1205" s="3">
        <v>1224.1500000000001</v>
      </c>
      <c r="G1205" s="3">
        <v>1220</v>
      </c>
      <c r="H1205" s="3">
        <v>1222.45</v>
      </c>
      <c r="I1205" s="3">
        <v>1226.56</v>
      </c>
      <c r="J1205" s="3">
        <v>1362.35</v>
      </c>
      <c r="K1205" s="3">
        <v>1038.5</v>
      </c>
      <c r="L1205" s="2">
        <v>12008162</v>
      </c>
      <c r="M1205" s="2">
        <v>14728753125</v>
      </c>
      <c r="N1205" s="2">
        <v>234248</v>
      </c>
      <c r="O1205" t="s">
        <v>20</v>
      </c>
      <c r="P1205" s="8">
        <f t="shared" si="54"/>
        <v>-1</v>
      </c>
      <c r="Q1205" t="s">
        <v>39</v>
      </c>
      <c r="R1205">
        <f t="shared" si="55"/>
        <v>2</v>
      </c>
      <c r="S1205" t="str">
        <f t="shared" si="56"/>
        <v>Feb</v>
      </c>
      <c r="T1205" s="9">
        <f>VLOOKUP(O1205, Annual_Summary!A:B, 2, 0)</f>
        <v>4.6157441670237213E-2</v>
      </c>
    </row>
    <row r="1206" spans="1:20" x14ac:dyDescent="0.3">
      <c r="A1206" s="1">
        <v>45713</v>
      </c>
      <c r="B1206" t="s">
        <v>15</v>
      </c>
      <c r="C1206" s="3">
        <v>1226.5999999999999</v>
      </c>
      <c r="D1206" s="3">
        <v>1231.6500000000001</v>
      </c>
      <c r="E1206" s="3">
        <v>1221</v>
      </c>
      <c r="F1206" s="3">
        <v>1218.3499999999999</v>
      </c>
      <c r="G1206" s="3">
        <v>1225.8</v>
      </c>
      <c r="H1206" s="3">
        <v>1224.1500000000001</v>
      </c>
      <c r="I1206" s="3">
        <v>1225</v>
      </c>
      <c r="J1206" s="3">
        <v>1362.35</v>
      </c>
      <c r="K1206" s="3">
        <v>1038.5</v>
      </c>
      <c r="L1206" s="2">
        <v>11059417</v>
      </c>
      <c r="M1206" s="2">
        <v>13547735420.799999</v>
      </c>
      <c r="N1206" s="2">
        <v>199168</v>
      </c>
      <c r="O1206" t="s">
        <v>20</v>
      </c>
      <c r="P1206" s="8">
        <f t="shared" si="54"/>
        <v>-8.25</v>
      </c>
      <c r="Q1206" t="s">
        <v>39</v>
      </c>
      <c r="R1206">
        <f t="shared" si="55"/>
        <v>2</v>
      </c>
      <c r="S1206" t="str">
        <f t="shared" si="56"/>
        <v>Feb</v>
      </c>
      <c r="T1206" s="9">
        <f>VLOOKUP(O1206, Annual_Summary!A:B, 2, 0)</f>
        <v>4.6157441670237213E-2</v>
      </c>
    </row>
    <row r="1207" spans="1:20" x14ac:dyDescent="0.3">
      <c r="A1207" s="1">
        <v>45712</v>
      </c>
      <c r="B1207" t="s">
        <v>15</v>
      </c>
      <c r="C1207" s="3">
        <v>1226.7</v>
      </c>
      <c r="D1207" s="3">
        <v>1231.9000000000001</v>
      </c>
      <c r="E1207" s="3">
        <v>1210.25</v>
      </c>
      <c r="F1207" s="3">
        <v>1232.95</v>
      </c>
      <c r="G1207" s="3">
        <v>1219.7</v>
      </c>
      <c r="H1207" s="3">
        <v>1218.3499999999999</v>
      </c>
      <c r="I1207" s="3">
        <v>1217.57</v>
      </c>
      <c r="J1207" s="3">
        <v>1362.35</v>
      </c>
      <c r="K1207" s="3">
        <v>1038.5</v>
      </c>
      <c r="L1207" s="2">
        <v>11522480</v>
      </c>
      <c r="M1207" s="2">
        <v>14029388111.950001</v>
      </c>
      <c r="N1207" s="2">
        <v>206398</v>
      </c>
      <c r="O1207" t="s">
        <v>20</v>
      </c>
      <c r="P1207" s="8">
        <f t="shared" si="54"/>
        <v>6.25</v>
      </c>
      <c r="Q1207" t="s">
        <v>39</v>
      </c>
      <c r="R1207">
        <f t="shared" si="55"/>
        <v>2</v>
      </c>
      <c r="S1207" t="str">
        <f t="shared" si="56"/>
        <v>Feb</v>
      </c>
      <c r="T1207" s="9">
        <f>VLOOKUP(O1207, Annual_Summary!A:B, 2, 0)</f>
        <v>4.6157441670237213E-2</v>
      </c>
    </row>
    <row r="1208" spans="1:20" x14ac:dyDescent="0.3">
      <c r="A1208" s="1">
        <v>45709</v>
      </c>
      <c r="B1208" t="s">
        <v>15</v>
      </c>
      <c r="C1208" s="3">
        <v>1241.0999999999999</v>
      </c>
      <c r="D1208" s="3">
        <v>1244.7</v>
      </c>
      <c r="E1208" s="3">
        <v>1224.55</v>
      </c>
      <c r="F1208" s="3">
        <v>1249.95</v>
      </c>
      <c r="G1208" s="3">
        <v>1232</v>
      </c>
      <c r="H1208" s="3">
        <v>1232.95</v>
      </c>
      <c r="I1208" s="3">
        <v>1233.19</v>
      </c>
      <c r="J1208" s="3">
        <v>1362.35</v>
      </c>
      <c r="K1208" s="3">
        <v>1023.35</v>
      </c>
      <c r="L1208" s="2">
        <v>7786428</v>
      </c>
      <c r="M1208" s="2">
        <v>9602112287.6499996</v>
      </c>
      <c r="N1208" s="2">
        <v>178759</v>
      </c>
      <c r="O1208" t="s">
        <v>20</v>
      </c>
      <c r="P1208" s="8">
        <f t="shared" si="54"/>
        <v>8.8500000000001364</v>
      </c>
      <c r="Q1208" t="s">
        <v>39</v>
      </c>
      <c r="R1208">
        <f t="shared" si="55"/>
        <v>2</v>
      </c>
      <c r="S1208" t="str">
        <f t="shared" si="56"/>
        <v>Feb</v>
      </c>
      <c r="T1208" s="9">
        <f>VLOOKUP(O1208, Annual_Summary!A:B, 2, 0)</f>
        <v>4.6157441670237213E-2</v>
      </c>
    </row>
    <row r="1209" spans="1:20" x14ac:dyDescent="0.3">
      <c r="A1209" s="1">
        <v>45708</v>
      </c>
      <c r="B1209" t="s">
        <v>15</v>
      </c>
      <c r="C1209" s="3">
        <v>1255.3499999999999</v>
      </c>
      <c r="D1209" s="3">
        <v>1264</v>
      </c>
      <c r="E1209" s="3">
        <v>1246.75</v>
      </c>
      <c r="F1209" s="3">
        <v>1261.6500000000001</v>
      </c>
      <c r="G1209" s="3">
        <v>1248.1500000000001</v>
      </c>
      <c r="H1209" s="3">
        <v>1249.95</v>
      </c>
      <c r="I1209" s="3">
        <v>1252.3</v>
      </c>
      <c r="J1209" s="3">
        <v>1362.35</v>
      </c>
      <c r="K1209" s="3">
        <v>1023.35</v>
      </c>
      <c r="L1209" s="2">
        <v>8398849</v>
      </c>
      <c r="M1209" s="2">
        <v>10517847931.9</v>
      </c>
      <c r="N1209" s="2">
        <v>204041</v>
      </c>
      <c r="O1209" t="s">
        <v>20</v>
      </c>
      <c r="P1209" s="8">
        <f t="shared" si="54"/>
        <v>6.3000000000001819</v>
      </c>
      <c r="Q1209" t="s">
        <v>39</v>
      </c>
      <c r="R1209">
        <f t="shared" si="55"/>
        <v>2</v>
      </c>
      <c r="S1209" t="str">
        <f t="shared" si="56"/>
        <v>Feb</v>
      </c>
      <c r="T1209" s="9">
        <f>VLOOKUP(O1209, Annual_Summary!A:B, 2, 0)</f>
        <v>4.6157441670237213E-2</v>
      </c>
    </row>
    <row r="1210" spans="1:20" x14ac:dyDescent="0.3">
      <c r="A1210" s="1">
        <v>45707</v>
      </c>
      <c r="B1210" t="s">
        <v>15</v>
      </c>
      <c r="C1210" s="3">
        <v>1234.8499999999999</v>
      </c>
      <c r="D1210" s="3">
        <v>1264.45</v>
      </c>
      <c r="E1210" s="3">
        <v>1230.25</v>
      </c>
      <c r="F1210" s="3">
        <v>1243.05</v>
      </c>
      <c r="G1210" s="3">
        <v>1261.5</v>
      </c>
      <c r="H1210" s="3">
        <v>1261.6500000000001</v>
      </c>
      <c r="I1210" s="3">
        <v>1253.9100000000001</v>
      </c>
      <c r="J1210" s="3">
        <v>1362.35</v>
      </c>
      <c r="K1210" s="3">
        <v>1023.35</v>
      </c>
      <c r="L1210" s="2">
        <v>10683412</v>
      </c>
      <c r="M1210" s="2">
        <v>13396072372.5</v>
      </c>
      <c r="N1210" s="2">
        <v>164771</v>
      </c>
      <c r="O1210" t="s">
        <v>20</v>
      </c>
      <c r="P1210" s="8">
        <f t="shared" si="54"/>
        <v>8.2000000000000455</v>
      </c>
      <c r="Q1210" t="s">
        <v>39</v>
      </c>
      <c r="R1210">
        <f t="shared" si="55"/>
        <v>2</v>
      </c>
      <c r="S1210" t="str">
        <f t="shared" si="56"/>
        <v>Feb</v>
      </c>
      <c r="T1210" s="9">
        <f>VLOOKUP(O1210, Annual_Summary!A:B, 2, 0)</f>
        <v>4.6157441670237213E-2</v>
      </c>
    </row>
    <row r="1211" spans="1:20" x14ac:dyDescent="0.3">
      <c r="A1211" s="1">
        <v>45706</v>
      </c>
      <c r="B1211" t="s">
        <v>15</v>
      </c>
      <c r="C1211" s="3">
        <v>1252.9000000000001</v>
      </c>
      <c r="D1211" s="3">
        <v>1257.5999999999999</v>
      </c>
      <c r="E1211" s="3">
        <v>1237.05</v>
      </c>
      <c r="F1211" s="3">
        <v>1251.1500000000001</v>
      </c>
      <c r="G1211" s="3">
        <v>1242.55</v>
      </c>
      <c r="H1211" s="3">
        <v>1243.05</v>
      </c>
      <c r="I1211" s="3">
        <v>1242.3699999999999</v>
      </c>
      <c r="J1211" s="3">
        <v>1362.35</v>
      </c>
      <c r="K1211" s="3">
        <v>1023.35</v>
      </c>
      <c r="L1211" s="2">
        <v>8135042</v>
      </c>
      <c r="M1211" s="2">
        <v>10106708536.6</v>
      </c>
      <c r="N1211" s="2">
        <v>257996</v>
      </c>
      <c r="O1211" t="s">
        <v>20</v>
      </c>
      <c r="P1211" s="8">
        <f t="shared" si="54"/>
        <v>-1.75</v>
      </c>
      <c r="Q1211" t="s">
        <v>39</v>
      </c>
      <c r="R1211">
        <f t="shared" si="55"/>
        <v>2</v>
      </c>
      <c r="S1211" t="str">
        <f t="shared" si="56"/>
        <v>Feb</v>
      </c>
      <c r="T1211" s="9">
        <f>VLOOKUP(O1211, Annual_Summary!A:B, 2, 0)</f>
        <v>4.6157441670237213E-2</v>
      </c>
    </row>
    <row r="1212" spans="1:20" x14ac:dyDescent="0.3">
      <c r="A1212" s="1">
        <v>45705</v>
      </c>
      <c r="B1212" t="s">
        <v>15</v>
      </c>
      <c r="C1212" s="3">
        <v>1251.1500000000001</v>
      </c>
      <c r="D1212" s="3">
        <v>1258.1500000000001</v>
      </c>
      <c r="E1212" s="3">
        <v>1233.25</v>
      </c>
      <c r="F1212" s="3">
        <v>1260.0999999999999</v>
      </c>
      <c r="G1212" s="3">
        <v>1251.6500000000001</v>
      </c>
      <c r="H1212" s="3">
        <v>1251.1500000000001</v>
      </c>
      <c r="I1212" s="3">
        <v>1244.8900000000001</v>
      </c>
      <c r="J1212" s="3">
        <v>1362.35</v>
      </c>
      <c r="K1212" s="3">
        <v>1023.35</v>
      </c>
      <c r="L1212" s="2">
        <v>8386151</v>
      </c>
      <c r="M1212" s="2">
        <v>10439844806.35</v>
      </c>
      <c r="N1212" s="2">
        <v>294062</v>
      </c>
      <c r="O1212" t="s">
        <v>20</v>
      </c>
      <c r="P1212" s="8">
        <f t="shared" si="54"/>
        <v>8.9499999999998181</v>
      </c>
      <c r="Q1212" t="s">
        <v>39</v>
      </c>
      <c r="R1212">
        <f t="shared" si="55"/>
        <v>2</v>
      </c>
      <c r="S1212" t="str">
        <f t="shared" si="56"/>
        <v>Feb</v>
      </c>
      <c r="T1212" s="9">
        <f>VLOOKUP(O1212, Annual_Summary!A:B, 2, 0)</f>
        <v>4.6157441670237213E-2</v>
      </c>
    </row>
    <row r="1213" spans="1:20" x14ac:dyDescent="0.3">
      <c r="A1213" s="1">
        <v>45702</v>
      </c>
      <c r="B1213" t="s">
        <v>15</v>
      </c>
      <c r="C1213" s="3">
        <v>1252.0999999999999</v>
      </c>
      <c r="D1213" s="3">
        <v>1263.5</v>
      </c>
      <c r="E1213" s="3">
        <v>1244.45</v>
      </c>
      <c r="F1213" s="3">
        <v>1248.9000000000001</v>
      </c>
      <c r="G1213" s="3">
        <v>1259</v>
      </c>
      <c r="H1213" s="3">
        <v>1260.0999999999999</v>
      </c>
      <c r="I1213" s="3">
        <v>1254.48</v>
      </c>
      <c r="J1213" s="3">
        <v>1362.35</v>
      </c>
      <c r="K1213" s="3">
        <v>985.25</v>
      </c>
      <c r="L1213" s="2">
        <v>10368438</v>
      </c>
      <c r="M1213" s="2">
        <v>13006959974.75</v>
      </c>
      <c r="N1213" s="2">
        <v>289728</v>
      </c>
      <c r="O1213" t="s">
        <v>20</v>
      </c>
      <c r="P1213" s="8">
        <f t="shared" si="54"/>
        <v>-3.1999999999998181</v>
      </c>
      <c r="Q1213" t="s">
        <v>39</v>
      </c>
      <c r="R1213">
        <f t="shared" si="55"/>
        <v>2</v>
      </c>
      <c r="S1213" t="str">
        <f t="shared" si="56"/>
        <v>Feb</v>
      </c>
      <c r="T1213" s="9">
        <f>VLOOKUP(O1213, Annual_Summary!A:B, 2, 0)</f>
        <v>4.6157441670237213E-2</v>
      </c>
    </row>
    <row r="1214" spans="1:20" x14ac:dyDescent="0.3">
      <c r="A1214" s="1">
        <v>45701</v>
      </c>
      <c r="B1214" t="s">
        <v>15</v>
      </c>
      <c r="C1214" s="3">
        <v>1252.55</v>
      </c>
      <c r="D1214" s="3">
        <v>1266</v>
      </c>
      <c r="E1214" s="3">
        <v>1245.9000000000001</v>
      </c>
      <c r="F1214" s="3">
        <v>1251.8</v>
      </c>
      <c r="G1214" s="3">
        <v>1248.5</v>
      </c>
      <c r="H1214" s="3">
        <v>1248.9000000000001</v>
      </c>
      <c r="I1214" s="3">
        <v>1254.6099999999999</v>
      </c>
      <c r="J1214" s="3">
        <v>1362.35</v>
      </c>
      <c r="K1214" s="3">
        <v>985.25</v>
      </c>
      <c r="L1214" s="2">
        <v>7263785</v>
      </c>
      <c r="M1214" s="2">
        <v>9113247793.3999996</v>
      </c>
      <c r="N1214" s="2">
        <v>261567</v>
      </c>
      <c r="O1214" t="s">
        <v>20</v>
      </c>
      <c r="P1214" s="8">
        <f t="shared" si="54"/>
        <v>-0.75</v>
      </c>
      <c r="Q1214" t="s">
        <v>39</v>
      </c>
      <c r="R1214">
        <f t="shared" si="55"/>
        <v>2</v>
      </c>
      <c r="S1214" t="str">
        <f t="shared" si="56"/>
        <v>Feb</v>
      </c>
      <c r="T1214" s="9">
        <f>VLOOKUP(O1214, Annual_Summary!A:B, 2, 0)</f>
        <v>4.6157441670237213E-2</v>
      </c>
    </row>
    <row r="1215" spans="1:20" x14ac:dyDescent="0.3">
      <c r="A1215" s="1">
        <v>45700</v>
      </c>
      <c r="B1215" t="s">
        <v>15</v>
      </c>
      <c r="C1215" s="3">
        <v>1257.2</v>
      </c>
      <c r="D1215" s="3">
        <v>1269.75</v>
      </c>
      <c r="E1215" s="3">
        <v>1244.6500000000001</v>
      </c>
      <c r="F1215" s="3">
        <v>1252.75</v>
      </c>
      <c r="G1215" s="3">
        <v>1252.8499999999999</v>
      </c>
      <c r="H1215" s="3">
        <v>1251.8</v>
      </c>
      <c r="I1215" s="3">
        <v>1252.33</v>
      </c>
      <c r="J1215" s="3">
        <v>1362.35</v>
      </c>
      <c r="K1215" s="3">
        <v>985.25</v>
      </c>
      <c r="L1215" s="2">
        <v>8809352</v>
      </c>
      <c r="M1215" s="2">
        <v>11032200057.65</v>
      </c>
      <c r="N1215" s="2">
        <v>320587</v>
      </c>
      <c r="O1215" t="s">
        <v>20</v>
      </c>
      <c r="P1215" s="8">
        <f t="shared" si="54"/>
        <v>-4.4500000000000455</v>
      </c>
      <c r="Q1215" t="s">
        <v>39</v>
      </c>
      <c r="R1215">
        <f t="shared" si="55"/>
        <v>2</v>
      </c>
      <c r="S1215" t="str">
        <f t="shared" si="56"/>
        <v>Feb</v>
      </c>
      <c r="T1215" s="9">
        <f>VLOOKUP(O1215, Annual_Summary!A:B, 2, 0)</f>
        <v>4.6157441670237213E-2</v>
      </c>
    </row>
    <row r="1216" spans="1:20" x14ac:dyDescent="0.3">
      <c r="A1216" s="1">
        <v>45699</v>
      </c>
      <c r="B1216" t="s">
        <v>15</v>
      </c>
      <c r="C1216" s="3">
        <v>1255.8499999999999</v>
      </c>
      <c r="D1216" s="3">
        <v>1261.8499999999999</v>
      </c>
      <c r="E1216" s="3">
        <v>1248.4000000000001</v>
      </c>
      <c r="F1216" s="3">
        <v>1262.5999999999999</v>
      </c>
      <c r="G1216" s="3">
        <v>1248.55</v>
      </c>
      <c r="H1216" s="3">
        <v>1252.75</v>
      </c>
      <c r="I1216" s="3">
        <v>1254.67</v>
      </c>
      <c r="J1216" s="3">
        <v>1362.35</v>
      </c>
      <c r="K1216" s="3">
        <v>985.25</v>
      </c>
      <c r="L1216" s="2">
        <v>6586627</v>
      </c>
      <c r="M1216" s="2">
        <v>8264043638.6999998</v>
      </c>
      <c r="N1216" s="2">
        <v>174408</v>
      </c>
      <c r="O1216" t="s">
        <v>20</v>
      </c>
      <c r="P1216" s="8">
        <f t="shared" si="54"/>
        <v>6.75</v>
      </c>
      <c r="Q1216" t="s">
        <v>39</v>
      </c>
      <c r="R1216">
        <f t="shared" si="55"/>
        <v>2</v>
      </c>
      <c r="S1216" t="str">
        <f t="shared" si="56"/>
        <v>Feb</v>
      </c>
      <c r="T1216" s="9">
        <f>VLOOKUP(O1216, Annual_Summary!A:B, 2, 0)</f>
        <v>4.6157441670237213E-2</v>
      </c>
    </row>
    <row r="1217" spans="1:20" x14ac:dyDescent="0.3">
      <c r="A1217" s="1">
        <v>45698</v>
      </c>
      <c r="B1217" t="s">
        <v>15</v>
      </c>
      <c r="C1217" s="3">
        <v>1257.2</v>
      </c>
      <c r="D1217" s="3">
        <v>1265</v>
      </c>
      <c r="E1217" s="3">
        <v>1249.3499999999999</v>
      </c>
      <c r="F1217" s="3">
        <v>1256.9000000000001</v>
      </c>
      <c r="G1217" s="3">
        <v>1259.5999999999999</v>
      </c>
      <c r="H1217" s="3">
        <v>1262.5999999999999</v>
      </c>
      <c r="I1217" s="3">
        <v>1257.56</v>
      </c>
      <c r="J1217" s="3">
        <v>1362.35</v>
      </c>
      <c r="K1217" s="3">
        <v>985.25</v>
      </c>
      <c r="L1217" s="2">
        <v>5740361</v>
      </c>
      <c r="M1217" s="2">
        <v>7218836541.1999998</v>
      </c>
      <c r="N1217" s="2">
        <v>180650</v>
      </c>
      <c r="O1217" t="s">
        <v>20</v>
      </c>
      <c r="P1217" s="8">
        <f t="shared" si="54"/>
        <v>-0.29999999999995453</v>
      </c>
      <c r="Q1217" t="s">
        <v>39</v>
      </c>
      <c r="R1217">
        <f t="shared" si="55"/>
        <v>2</v>
      </c>
      <c r="S1217" t="str">
        <f t="shared" si="56"/>
        <v>Feb</v>
      </c>
      <c r="T1217" s="9">
        <f>VLOOKUP(O1217, Annual_Summary!A:B, 2, 0)</f>
        <v>4.6157441670237213E-2</v>
      </c>
    </row>
    <row r="1218" spans="1:20" x14ac:dyDescent="0.3">
      <c r="A1218" s="1">
        <v>45695</v>
      </c>
      <c r="B1218" t="s">
        <v>15</v>
      </c>
      <c r="C1218" s="3">
        <v>1272</v>
      </c>
      <c r="D1218" s="3">
        <v>1275</v>
      </c>
      <c r="E1218" s="3">
        <v>1249.55</v>
      </c>
      <c r="F1218" s="3">
        <v>1272.4000000000001</v>
      </c>
      <c r="G1218" s="3">
        <v>1257</v>
      </c>
      <c r="H1218" s="3">
        <v>1256.9000000000001</v>
      </c>
      <c r="I1218" s="3">
        <v>1258.99</v>
      </c>
      <c r="J1218" s="3">
        <v>1362.35</v>
      </c>
      <c r="K1218" s="3">
        <v>985.25</v>
      </c>
      <c r="L1218" s="2">
        <v>7382039</v>
      </c>
      <c r="M1218" s="2">
        <v>9293877445.0499992</v>
      </c>
      <c r="N1218" s="2">
        <v>191355</v>
      </c>
      <c r="O1218" t="s">
        <v>20</v>
      </c>
      <c r="P1218" s="8">
        <f t="shared" si="54"/>
        <v>0.40000000000009095</v>
      </c>
      <c r="Q1218" t="s">
        <v>39</v>
      </c>
      <c r="R1218">
        <f t="shared" si="55"/>
        <v>2</v>
      </c>
      <c r="S1218" t="str">
        <f t="shared" si="56"/>
        <v>Feb</v>
      </c>
      <c r="T1218" s="9">
        <f>VLOOKUP(O1218, Annual_Summary!A:B, 2, 0)</f>
        <v>4.6157441670237213E-2</v>
      </c>
    </row>
    <row r="1219" spans="1:20" x14ac:dyDescent="0.3">
      <c r="A1219" s="1">
        <v>45694</v>
      </c>
      <c r="B1219" t="s">
        <v>15</v>
      </c>
      <c r="C1219" s="3">
        <v>1275</v>
      </c>
      <c r="D1219" s="3">
        <v>1279</v>
      </c>
      <c r="E1219" s="3">
        <v>1263.2</v>
      </c>
      <c r="F1219" s="3">
        <v>1267.7</v>
      </c>
      <c r="G1219" s="3">
        <v>1272</v>
      </c>
      <c r="H1219" s="3">
        <v>1272.4000000000001</v>
      </c>
      <c r="I1219" s="3">
        <v>1270.57</v>
      </c>
      <c r="J1219" s="3">
        <v>1362.35</v>
      </c>
      <c r="K1219" s="3">
        <v>985.25</v>
      </c>
      <c r="L1219" s="2">
        <v>8396554</v>
      </c>
      <c r="M1219" s="2">
        <v>10668440486.049999</v>
      </c>
      <c r="N1219" s="2">
        <v>226596</v>
      </c>
      <c r="O1219" t="s">
        <v>20</v>
      </c>
      <c r="P1219" s="8">
        <f t="shared" ref="P1219:P1282" si="57">F1219-C1219</f>
        <v>-7.2999999999999545</v>
      </c>
      <c r="Q1219" t="s">
        <v>39</v>
      </c>
      <c r="R1219">
        <f t="shared" ref="R1219:R1282" si="58">MONTH(A1219)</f>
        <v>2</v>
      </c>
      <c r="S1219" t="str">
        <f t="shared" ref="S1219:S1282" si="59">TEXT(A1219,"mmm")</f>
        <v>Feb</v>
      </c>
      <c r="T1219" s="9">
        <f>VLOOKUP(O1219, Annual_Summary!A:B, 2, 0)</f>
        <v>4.6157441670237213E-2</v>
      </c>
    </row>
    <row r="1220" spans="1:20" x14ac:dyDescent="0.3">
      <c r="A1220" s="1">
        <v>45693</v>
      </c>
      <c r="B1220" t="s">
        <v>15</v>
      </c>
      <c r="C1220" s="3">
        <v>1270.2</v>
      </c>
      <c r="D1220" s="3">
        <v>1277.75</v>
      </c>
      <c r="E1220" s="3">
        <v>1265.1500000000001</v>
      </c>
      <c r="F1220" s="3">
        <v>1268.2</v>
      </c>
      <c r="G1220" s="3">
        <v>1268.2</v>
      </c>
      <c r="H1220" s="3">
        <v>1267.7</v>
      </c>
      <c r="I1220" s="3">
        <v>1270.6500000000001</v>
      </c>
      <c r="J1220" s="3">
        <v>1362.35</v>
      </c>
      <c r="K1220" s="3">
        <v>985.25</v>
      </c>
      <c r="L1220" s="2">
        <v>6840709</v>
      </c>
      <c r="M1220" s="2">
        <v>8692168613.1000004</v>
      </c>
      <c r="N1220" s="2">
        <v>183398</v>
      </c>
      <c r="O1220" t="s">
        <v>20</v>
      </c>
      <c r="P1220" s="8">
        <f t="shared" si="57"/>
        <v>-2</v>
      </c>
      <c r="Q1220" t="s">
        <v>39</v>
      </c>
      <c r="R1220">
        <f t="shared" si="58"/>
        <v>2</v>
      </c>
      <c r="S1220" t="str">
        <f t="shared" si="59"/>
        <v>Feb</v>
      </c>
      <c r="T1220" s="9">
        <f>VLOOKUP(O1220, Annual_Summary!A:B, 2, 0)</f>
        <v>4.6157441670237213E-2</v>
      </c>
    </row>
    <row r="1221" spans="1:20" x14ac:dyDescent="0.3">
      <c r="A1221" s="1">
        <v>45692</v>
      </c>
      <c r="B1221" t="s">
        <v>15</v>
      </c>
      <c r="C1221" s="3">
        <v>1262.8</v>
      </c>
      <c r="D1221" s="3">
        <v>1280.5</v>
      </c>
      <c r="E1221" s="3">
        <v>1260</v>
      </c>
      <c r="F1221" s="3">
        <v>1253</v>
      </c>
      <c r="G1221" s="3">
        <v>1266.75</v>
      </c>
      <c r="H1221" s="3">
        <v>1268.2</v>
      </c>
      <c r="I1221" s="3">
        <v>1270.45</v>
      </c>
      <c r="J1221" s="3">
        <v>1362.35</v>
      </c>
      <c r="K1221" s="3">
        <v>985.25</v>
      </c>
      <c r="L1221" s="2">
        <v>14839077</v>
      </c>
      <c r="M1221" s="2">
        <v>18852369674.650002</v>
      </c>
      <c r="N1221" s="2">
        <v>259371</v>
      </c>
      <c r="O1221" t="s">
        <v>20</v>
      </c>
      <c r="P1221" s="8">
        <f t="shared" si="57"/>
        <v>-9.7999999999999545</v>
      </c>
      <c r="Q1221" t="s">
        <v>39</v>
      </c>
      <c r="R1221">
        <f t="shared" si="58"/>
        <v>2</v>
      </c>
      <c r="S1221" t="str">
        <f t="shared" si="59"/>
        <v>Feb</v>
      </c>
      <c r="T1221" s="9">
        <f>VLOOKUP(O1221, Annual_Summary!A:B, 2, 0)</f>
        <v>4.6157441670237213E-2</v>
      </c>
    </row>
    <row r="1222" spans="1:20" x14ac:dyDescent="0.3">
      <c r="A1222" s="1">
        <v>45691</v>
      </c>
      <c r="B1222" t="s">
        <v>15</v>
      </c>
      <c r="C1222" s="3">
        <v>1246.8499999999999</v>
      </c>
      <c r="D1222" s="3">
        <v>1260</v>
      </c>
      <c r="E1222" s="3">
        <v>1237.8</v>
      </c>
      <c r="F1222" s="3">
        <v>1255.55</v>
      </c>
      <c r="G1222" s="3">
        <v>1252.95</v>
      </c>
      <c r="H1222" s="3">
        <v>1253</v>
      </c>
      <c r="I1222" s="3">
        <v>1250.06</v>
      </c>
      <c r="J1222" s="3">
        <v>1362.35</v>
      </c>
      <c r="K1222" s="3">
        <v>985.25</v>
      </c>
      <c r="L1222" s="2">
        <v>6176831</v>
      </c>
      <c r="M1222" s="2">
        <v>7721438599.8500004</v>
      </c>
      <c r="N1222" s="2">
        <v>165087</v>
      </c>
      <c r="O1222" t="s">
        <v>20</v>
      </c>
      <c r="P1222" s="8">
        <f t="shared" si="57"/>
        <v>8.7000000000000455</v>
      </c>
      <c r="Q1222" t="s">
        <v>39</v>
      </c>
      <c r="R1222">
        <f t="shared" si="58"/>
        <v>2</v>
      </c>
      <c r="S1222" t="str">
        <f t="shared" si="59"/>
        <v>Feb</v>
      </c>
      <c r="T1222" s="9">
        <f>VLOOKUP(O1222, Annual_Summary!A:B, 2, 0)</f>
        <v>4.6157441670237213E-2</v>
      </c>
    </row>
    <row r="1223" spans="1:20" x14ac:dyDescent="0.3">
      <c r="A1223" s="1">
        <v>45689</v>
      </c>
      <c r="B1223" t="s">
        <v>15</v>
      </c>
      <c r="C1223" s="3">
        <v>1251.1500000000001</v>
      </c>
      <c r="D1223" s="3">
        <v>1261.3499999999999</v>
      </c>
      <c r="E1223" s="3">
        <v>1233.8</v>
      </c>
      <c r="F1223" s="3">
        <v>1252.8</v>
      </c>
      <c r="G1223" s="3">
        <v>1254.5</v>
      </c>
      <c r="H1223" s="3">
        <v>1255.55</v>
      </c>
      <c r="I1223" s="3">
        <v>1250.3399999999999</v>
      </c>
      <c r="J1223" s="3">
        <v>1362.35</v>
      </c>
      <c r="K1223" s="3">
        <v>985.25</v>
      </c>
      <c r="L1223" s="2">
        <v>3011914</v>
      </c>
      <c r="M1223" s="2">
        <v>3765927780.5500002</v>
      </c>
      <c r="N1223" s="2">
        <v>91971</v>
      </c>
      <c r="O1223" t="s">
        <v>20</v>
      </c>
      <c r="P1223" s="8">
        <f t="shared" si="57"/>
        <v>1.6499999999998636</v>
      </c>
      <c r="Q1223" t="s">
        <v>39</v>
      </c>
      <c r="R1223">
        <f t="shared" si="58"/>
        <v>2</v>
      </c>
      <c r="S1223" t="str">
        <f t="shared" si="59"/>
        <v>Feb</v>
      </c>
      <c r="T1223" s="9">
        <f>VLOOKUP(O1223, Annual_Summary!A:B, 2, 0)</f>
        <v>4.6157441670237213E-2</v>
      </c>
    </row>
    <row r="1224" spans="1:20" x14ac:dyDescent="0.3">
      <c r="A1224" s="1">
        <v>45688</v>
      </c>
      <c r="B1224" t="s">
        <v>15</v>
      </c>
      <c r="C1224" s="3">
        <v>1254.5</v>
      </c>
      <c r="D1224" s="3">
        <v>1256</v>
      </c>
      <c r="E1224" s="3">
        <v>1239.0999999999999</v>
      </c>
      <c r="F1224" s="3">
        <v>1255.5999999999999</v>
      </c>
      <c r="G1224" s="3">
        <v>1252.95</v>
      </c>
      <c r="H1224" s="3">
        <v>1252.8</v>
      </c>
      <c r="I1224" s="3">
        <v>1247.43</v>
      </c>
      <c r="J1224" s="3">
        <v>1362.35</v>
      </c>
      <c r="K1224" s="3">
        <v>985.25</v>
      </c>
      <c r="L1224" s="2">
        <v>10195417</v>
      </c>
      <c r="M1224" s="2">
        <v>12718079791.9</v>
      </c>
      <c r="N1224" s="2">
        <v>209906</v>
      </c>
      <c r="O1224" t="s">
        <v>20</v>
      </c>
      <c r="P1224" s="8">
        <f t="shared" si="57"/>
        <v>1.0999999999999091</v>
      </c>
      <c r="Q1224" t="s">
        <v>39</v>
      </c>
      <c r="R1224">
        <f t="shared" si="58"/>
        <v>1</v>
      </c>
      <c r="S1224" t="str">
        <f t="shared" si="59"/>
        <v>Jan</v>
      </c>
      <c r="T1224" s="9">
        <f>VLOOKUP(O1224, Annual_Summary!A:B, 2, 0)</f>
        <v>4.6157441670237213E-2</v>
      </c>
    </row>
    <row r="1225" spans="1:20" x14ac:dyDescent="0.3">
      <c r="A1225" s="1">
        <v>45687</v>
      </c>
      <c r="B1225" t="s">
        <v>15</v>
      </c>
      <c r="C1225" s="3">
        <v>1250</v>
      </c>
      <c r="D1225" s="3">
        <v>1259.8499999999999</v>
      </c>
      <c r="E1225" s="3">
        <v>1239.5</v>
      </c>
      <c r="F1225" s="3">
        <v>1251.6500000000001</v>
      </c>
      <c r="G1225" s="3">
        <v>1258.55</v>
      </c>
      <c r="H1225" s="3">
        <v>1255.5999999999999</v>
      </c>
      <c r="I1225" s="3">
        <v>1250.26</v>
      </c>
      <c r="J1225" s="3">
        <v>1362.35</v>
      </c>
      <c r="K1225" s="3">
        <v>985.25</v>
      </c>
      <c r="L1225" s="2">
        <v>11921041</v>
      </c>
      <c r="M1225" s="2">
        <v>14904352647.049999</v>
      </c>
      <c r="N1225" s="2">
        <v>331765</v>
      </c>
      <c r="O1225" t="s">
        <v>20</v>
      </c>
      <c r="P1225" s="8">
        <f t="shared" si="57"/>
        <v>1.6500000000000909</v>
      </c>
      <c r="Q1225" t="s">
        <v>39</v>
      </c>
      <c r="R1225">
        <f t="shared" si="58"/>
        <v>1</v>
      </c>
      <c r="S1225" t="str">
        <f t="shared" si="59"/>
        <v>Jan</v>
      </c>
      <c r="T1225" s="9">
        <f>VLOOKUP(O1225, Annual_Summary!A:B, 2, 0)</f>
        <v>4.6157441670237213E-2</v>
      </c>
    </row>
    <row r="1226" spans="1:20" x14ac:dyDescent="0.3">
      <c r="A1226" s="1">
        <v>45686</v>
      </c>
      <c r="B1226" t="s">
        <v>15</v>
      </c>
      <c r="C1226" s="3">
        <v>1252</v>
      </c>
      <c r="D1226" s="3">
        <v>1255.8</v>
      </c>
      <c r="E1226" s="3">
        <v>1243.05</v>
      </c>
      <c r="F1226" s="3">
        <v>1246.9000000000001</v>
      </c>
      <c r="G1226" s="3">
        <v>1251.4000000000001</v>
      </c>
      <c r="H1226" s="3">
        <v>1251.6500000000001</v>
      </c>
      <c r="I1226" s="3">
        <v>1249.6199999999999</v>
      </c>
      <c r="J1226" s="3">
        <v>1362.35</v>
      </c>
      <c r="K1226" s="3">
        <v>985.25</v>
      </c>
      <c r="L1226" s="2">
        <v>7666777</v>
      </c>
      <c r="M1226" s="2">
        <v>9580525136.6499996</v>
      </c>
      <c r="N1226" s="2">
        <v>219085</v>
      </c>
      <c r="O1226" t="s">
        <v>20</v>
      </c>
      <c r="P1226" s="8">
        <f t="shared" si="57"/>
        <v>-5.0999999999999091</v>
      </c>
      <c r="Q1226" t="s">
        <v>39</v>
      </c>
      <c r="R1226">
        <f t="shared" si="58"/>
        <v>1</v>
      </c>
      <c r="S1226" t="str">
        <f t="shared" si="59"/>
        <v>Jan</v>
      </c>
      <c r="T1226" s="9">
        <f>VLOOKUP(O1226, Annual_Summary!A:B, 2, 0)</f>
        <v>4.6157441670237213E-2</v>
      </c>
    </row>
    <row r="1227" spans="1:20" x14ac:dyDescent="0.3">
      <c r="A1227" s="1">
        <v>45685</v>
      </c>
      <c r="B1227" t="s">
        <v>15</v>
      </c>
      <c r="C1227" s="3">
        <v>1247.3499999999999</v>
      </c>
      <c r="D1227" s="3">
        <v>1264</v>
      </c>
      <c r="E1227" s="3">
        <v>1236</v>
      </c>
      <c r="F1227" s="3">
        <v>1227.95</v>
      </c>
      <c r="G1227" s="3">
        <v>1247.5</v>
      </c>
      <c r="H1227" s="3">
        <v>1246.9000000000001</v>
      </c>
      <c r="I1227" s="3">
        <v>1252.8699999999999</v>
      </c>
      <c r="J1227" s="3">
        <v>1362.35</v>
      </c>
      <c r="K1227" s="3">
        <v>985.25</v>
      </c>
      <c r="L1227" s="2">
        <v>18066499</v>
      </c>
      <c r="M1227" s="2">
        <v>22634905165.950001</v>
      </c>
      <c r="N1227" s="2">
        <v>356462</v>
      </c>
      <c r="O1227" t="s">
        <v>20</v>
      </c>
      <c r="P1227" s="8">
        <f t="shared" si="57"/>
        <v>-19.399999999999864</v>
      </c>
      <c r="Q1227" t="s">
        <v>39</v>
      </c>
      <c r="R1227">
        <f t="shared" si="58"/>
        <v>1</v>
      </c>
      <c r="S1227" t="str">
        <f t="shared" si="59"/>
        <v>Jan</v>
      </c>
      <c r="T1227" s="9">
        <f>VLOOKUP(O1227, Annual_Summary!A:B, 2, 0)</f>
        <v>4.6157441670237213E-2</v>
      </c>
    </row>
    <row r="1228" spans="1:20" x14ac:dyDescent="0.3">
      <c r="A1228" s="1">
        <v>45684</v>
      </c>
      <c r="B1228" t="s">
        <v>15</v>
      </c>
      <c r="C1228" s="3">
        <v>1195</v>
      </c>
      <c r="D1228" s="3">
        <v>1234.6500000000001</v>
      </c>
      <c r="E1228" s="3">
        <v>1193.0999999999999</v>
      </c>
      <c r="F1228" s="3">
        <v>1209.2</v>
      </c>
      <c r="G1228" s="3">
        <v>1225.25</v>
      </c>
      <c r="H1228" s="3">
        <v>1227.95</v>
      </c>
      <c r="I1228" s="3">
        <v>1224.23</v>
      </c>
      <c r="J1228" s="3">
        <v>1362.35</v>
      </c>
      <c r="K1228" s="3">
        <v>985.25</v>
      </c>
      <c r="L1228" s="2">
        <v>16164687</v>
      </c>
      <c r="M1228" s="2">
        <v>19789327544.650002</v>
      </c>
      <c r="N1228" s="2">
        <v>324795</v>
      </c>
      <c r="O1228" t="s">
        <v>20</v>
      </c>
      <c r="P1228" s="8">
        <f t="shared" si="57"/>
        <v>14.200000000000045</v>
      </c>
      <c r="Q1228" t="s">
        <v>39</v>
      </c>
      <c r="R1228">
        <f t="shared" si="58"/>
        <v>1</v>
      </c>
      <c r="S1228" t="str">
        <f t="shared" si="59"/>
        <v>Jan</v>
      </c>
      <c r="T1228" s="9">
        <f>VLOOKUP(O1228, Annual_Summary!A:B, 2, 0)</f>
        <v>4.6157441670237213E-2</v>
      </c>
    </row>
    <row r="1229" spans="1:20" x14ac:dyDescent="0.3">
      <c r="A1229" s="1">
        <v>45681</v>
      </c>
      <c r="B1229" t="s">
        <v>15</v>
      </c>
      <c r="C1229" s="3">
        <v>1203.0999999999999</v>
      </c>
      <c r="D1229" s="3">
        <v>1218</v>
      </c>
      <c r="E1229" s="3">
        <v>1202</v>
      </c>
      <c r="F1229" s="3">
        <v>1201.75</v>
      </c>
      <c r="G1229" s="3">
        <v>1213.7</v>
      </c>
      <c r="H1229" s="3">
        <v>1209.2</v>
      </c>
      <c r="I1229" s="3">
        <v>1209.19</v>
      </c>
      <c r="J1229" s="3">
        <v>1362.35</v>
      </c>
      <c r="K1229" s="3">
        <v>985.25</v>
      </c>
      <c r="L1229" s="2">
        <v>9216792</v>
      </c>
      <c r="M1229" s="2">
        <v>11144844611.200001</v>
      </c>
      <c r="N1229" s="2">
        <v>221872</v>
      </c>
      <c r="O1229" t="s">
        <v>20</v>
      </c>
      <c r="P1229" s="8">
        <f t="shared" si="57"/>
        <v>-1.3499999999999091</v>
      </c>
      <c r="Q1229" t="s">
        <v>39</v>
      </c>
      <c r="R1229">
        <f t="shared" si="58"/>
        <v>1</v>
      </c>
      <c r="S1229" t="str">
        <f t="shared" si="59"/>
        <v>Jan</v>
      </c>
      <c r="T1229" s="9">
        <f>VLOOKUP(O1229, Annual_Summary!A:B, 2, 0)</f>
        <v>4.6157441670237213E-2</v>
      </c>
    </row>
    <row r="1230" spans="1:20" x14ac:dyDescent="0.3">
      <c r="A1230" s="1">
        <v>45680</v>
      </c>
      <c r="B1230" t="s">
        <v>15</v>
      </c>
      <c r="C1230" s="3">
        <v>1197.25</v>
      </c>
      <c r="D1230" s="3">
        <v>1207.9000000000001</v>
      </c>
      <c r="E1230" s="3">
        <v>1186</v>
      </c>
      <c r="F1230" s="3">
        <v>1200.45</v>
      </c>
      <c r="G1230" s="3">
        <v>1202.4000000000001</v>
      </c>
      <c r="H1230" s="3">
        <v>1201.75</v>
      </c>
      <c r="I1230" s="3">
        <v>1201.27</v>
      </c>
      <c r="J1230" s="3">
        <v>1362.35</v>
      </c>
      <c r="K1230" s="3">
        <v>985.25</v>
      </c>
      <c r="L1230" s="2">
        <v>8770650</v>
      </c>
      <c r="M1230" s="2">
        <v>10535875098.799999</v>
      </c>
      <c r="N1230" s="2">
        <v>211991</v>
      </c>
      <c r="O1230" t="s">
        <v>20</v>
      </c>
      <c r="P1230" s="8">
        <f t="shared" si="57"/>
        <v>3.2000000000000455</v>
      </c>
      <c r="Q1230" t="s">
        <v>39</v>
      </c>
      <c r="R1230">
        <f t="shared" si="58"/>
        <v>1</v>
      </c>
      <c r="S1230" t="str">
        <f t="shared" si="59"/>
        <v>Jan</v>
      </c>
      <c r="T1230" s="9">
        <f>VLOOKUP(O1230, Annual_Summary!A:B, 2, 0)</f>
        <v>4.6157441670237213E-2</v>
      </c>
    </row>
    <row r="1231" spans="1:20" x14ac:dyDescent="0.3">
      <c r="A1231" s="1">
        <v>45679</v>
      </c>
      <c r="B1231" t="s">
        <v>15</v>
      </c>
      <c r="C1231" s="3">
        <v>1201</v>
      </c>
      <c r="D1231" s="3">
        <v>1207.5</v>
      </c>
      <c r="E1231" s="3">
        <v>1191.8</v>
      </c>
      <c r="F1231" s="3">
        <v>1196.1500000000001</v>
      </c>
      <c r="G1231" s="3">
        <v>1198.5999999999999</v>
      </c>
      <c r="H1231" s="3">
        <v>1200.45</v>
      </c>
      <c r="I1231" s="3">
        <v>1199.6500000000001</v>
      </c>
      <c r="J1231" s="3">
        <v>1362.35</v>
      </c>
      <c r="K1231" s="3">
        <v>985.25</v>
      </c>
      <c r="L1231" s="2">
        <v>10377123</v>
      </c>
      <c r="M1231" s="2">
        <v>12448945781.299999</v>
      </c>
      <c r="N1231" s="2">
        <v>269148</v>
      </c>
      <c r="O1231" t="s">
        <v>20</v>
      </c>
      <c r="P1231" s="8">
        <f t="shared" si="57"/>
        <v>-4.8499999999999091</v>
      </c>
      <c r="Q1231" t="s">
        <v>39</v>
      </c>
      <c r="R1231">
        <f t="shared" si="58"/>
        <v>1</v>
      </c>
      <c r="S1231" t="str">
        <f t="shared" si="59"/>
        <v>Jan</v>
      </c>
      <c r="T1231" s="9">
        <f>VLOOKUP(O1231, Annual_Summary!A:B, 2, 0)</f>
        <v>4.6157441670237213E-2</v>
      </c>
    </row>
    <row r="1232" spans="1:20" x14ac:dyDescent="0.3">
      <c r="A1232" s="1">
        <v>45678</v>
      </c>
      <c r="B1232" t="s">
        <v>15</v>
      </c>
      <c r="C1232" s="3">
        <v>1236.95</v>
      </c>
      <c r="D1232" s="3">
        <v>1238.95</v>
      </c>
      <c r="E1232" s="3">
        <v>1192.7</v>
      </c>
      <c r="F1232" s="3">
        <v>1232.95</v>
      </c>
      <c r="G1232" s="3">
        <v>1197.95</v>
      </c>
      <c r="H1232" s="3">
        <v>1196.1500000000001</v>
      </c>
      <c r="I1232" s="3">
        <v>1207.07</v>
      </c>
      <c r="J1232" s="3">
        <v>1362.35</v>
      </c>
      <c r="K1232" s="3">
        <v>985.25</v>
      </c>
      <c r="L1232" s="2">
        <v>20520898</v>
      </c>
      <c r="M1232" s="2">
        <v>24770261514.450001</v>
      </c>
      <c r="N1232" s="2">
        <v>297691</v>
      </c>
      <c r="O1232" t="s">
        <v>20</v>
      </c>
      <c r="P1232" s="8">
        <f t="shared" si="57"/>
        <v>-4</v>
      </c>
      <c r="Q1232" t="s">
        <v>39</v>
      </c>
      <c r="R1232">
        <f t="shared" si="58"/>
        <v>1</v>
      </c>
      <c r="S1232" t="str">
        <f t="shared" si="59"/>
        <v>Jan</v>
      </c>
      <c r="T1232" s="9">
        <f>VLOOKUP(O1232, Annual_Summary!A:B, 2, 0)</f>
        <v>4.6157441670237213E-2</v>
      </c>
    </row>
    <row r="1233" spans="1:20" x14ac:dyDescent="0.3">
      <c r="A1233" s="1">
        <v>45677</v>
      </c>
      <c r="B1233" t="s">
        <v>15</v>
      </c>
      <c r="C1233" s="3">
        <v>1223.9000000000001</v>
      </c>
      <c r="D1233" s="3">
        <v>1241.75</v>
      </c>
      <c r="E1233" s="3">
        <v>1215.25</v>
      </c>
      <c r="F1233" s="3">
        <v>1225.45</v>
      </c>
      <c r="G1233" s="3">
        <v>1232.55</v>
      </c>
      <c r="H1233" s="3">
        <v>1232.95</v>
      </c>
      <c r="I1233" s="3">
        <v>1229.43</v>
      </c>
      <c r="J1233" s="3">
        <v>1362.35</v>
      </c>
      <c r="K1233" s="3">
        <v>985.25</v>
      </c>
      <c r="L1233" s="2">
        <v>7676418</v>
      </c>
      <c r="M1233" s="2">
        <v>9437603015.1000004</v>
      </c>
      <c r="N1233" s="2">
        <v>240948</v>
      </c>
      <c r="O1233" t="s">
        <v>20</v>
      </c>
      <c r="P1233" s="8">
        <f t="shared" si="57"/>
        <v>1.5499999999999545</v>
      </c>
      <c r="Q1233" t="s">
        <v>39</v>
      </c>
      <c r="R1233">
        <f t="shared" si="58"/>
        <v>1</v>
      </c>
      <c r="S1233" t="str">
        <f t="shared" si="59"/>
        <v>Jan</v>
      </c>
      <c r="T1233" s="9">
        <f>VLOOKUP(O1233, Annual_Summary!A:B, 2, 0)</f>
        <v>4.6157441670237213E-2</v>
      </c>
    </row>
    <row r="1234" spans="1:20" x14ac:dyDescent="0.3">
      <c r="A1234" s="1">
        <v>45674</v>
      </c>
      <c r="B1234" t="s">
        <v>15</v>
      </c>
      <c r="C1234" s="3">
        <v>1243.3499999999999</v>
      </c>
      <c r="D1234" s="3">
        <v>1249</v>
      </c>
      <c r="E1234" s="3">
        <v>1218</v>
      </c>
      <c r="F1234" s="3">
        <v>1249.0999999999999</v>
      </c>
      <c r="G1234" s="3">
        <v>1225.1500000000001</v>
      </c>
      <c r="H1234" s="3">
        <v>1225.45</v>
      </c>
      <c r="I1234" s="3">
        <v>1226.5899999999999</v>
      </c>
      <c r="J1234" s="3">
        <v>1362.35</v>
      </c>
      <c r="K1234" s="3">
        <v>970.15</v>
      </c>
      <c r="L1234" s="2">
        <v>9790533</v>
      </c>
      <c r="M1234" s="2">
        <v>12008937114.35</v>
      </c>
      <c r="N1234" s="2">
        <v>157327</v>
      </c>
      <c r="O1234" t="s">
        <v>20</v>
      </c>
      <c r="P1234" s="8">
        <f t="shared" si="57"/>
        <v>5.75</v>
      </c>
      <c r="Q1234" t="s">
        <v>39</v>
      </c>
      <c r="R1234">
        <f t="shared" si="58"/>
        <v>1</v>
      </c>
      <c r="S1234" t="str">
        <f t="shared" si="59"/>
        <v>Jan</v>
      </c>
      <c r="T1234" s="9">
        <f>VLOOKUP(O1234, Annual_Summary!A:B, 2, 0)</f>
        <v>4.6157441670237213E-2</v>
      </c>
    </row>
    <row r="1235" spans="1:20" x14ac:dyDescent="0.3">
      <c r="A1235" s="1">
        <v>45673</v>
      </c>
      <c r="B1235" t="s">
        <v>15</v>
      </c>
      <c r="C1235" s="3">
        <v>1245.0999999999999</v>
      </c>
      <c r="D1235" s="3">
        <v>1255.5</v>
      </c>
      <c r="E1235" s="3">
        <v>1239.6500000000001</v>
      </c>
      <c r="F1235" s="3">
        <v>1238.25</v>
      </c>
      <c r="G1235" s="3">
        <v>1252.95</v>
      </c>
      <c r="H1235" s="3">
        <v>1249.0999999999999</v>
      </c>
      <c r="I1235" s="3">
        <v>1247.22</v>
      </c>
      <c r="J1235" s="3">
        <v>1362.35</v>
      </c>
      <c r="K1235" s="3">
        <v>970.15</v>
      </c>
      <c r="L1235" s="2">
        <v>11895924</v>
      </c>
      <c r="M1235" s="2">
        <v>14836843996.049999</v>
      </c>
      <c r="N1235" s="2">
        <v>181488</v>
      </c>
      <c r="O1235" t="s">
        <v>20</v>
      </c>
      <c r="P1235" s="8">
        <f t="shared" si="57"/>
        <v>-6.8499999999999091</v>
      </c>
      <c r="Q1235" t="s">
        <v>39</v>
      </c>
      <c r="R1235">
        <f t="shared" si="58"/>
        <v>1</v>
      </c>
      <c r="S1235" t="str">
        <f t="shared" si="59"/>
        <v>Jan</v>
      </c>
      <c r="T1235" s="9">
        <f>VLOOKUP(O1235, Annual_Summary!A:B, 2, 0)</f>
        <v>4.6157441670237213E-2</v>
      </c>
    </row>
    <row r="1236" spans="1:20" x14ac:dyDescent="0.3">
      <c r="A1236" s="1">
        <v>45672</v>
      </c>
      <c r="B1236" t="s">
        <v>15</v>
      </c>
      <c r="C1236" s="3">
        <v>1234</v>
      </c>
      <c r="D1236" s="3">
        <v>1244.4000000000001</v>
      </c>
      <c r="E1236" s="3">
        <v>1230</v>
      </c>
      <c r="F1236" s="3">
        <v>1240.3</v>
      </c>
      <c r="G1236" s="3">
        <v>1238.9000000000001</v>
      </c>
      <c r="H1236" s="3">
        <v>1238.25</v>
      </c>
      <c r="I1236" s="3">
        <v>1237.19</v>
      </c>
      <c r="J1236" s="3">
        <v>1362.35</v>
      </c>
      <c r="K1236" s="3">
        <v>970.15</v>
      </c>
      <c r="L1236" s="2">
        <v>5355382</v>
      </c>
      <c r="M1236" s="2">
        <v>6625607806.6000004</v>
      </c>
      <c r="N1236" s="2">
        <v>133555</v>
      </c>
      <c r="O1236" t="s">
        <v>20</v>
      </c>
      <c r="P1236" s="8">
        <f t="shared" si="57"/>
        <v>6.2999999999999545</v>
      </c>
      <c r="Q1236" t="s">
        <v>39</v>
      </c>
      <c r="R1236">
        <f t="shared" si="58"/>
        <v>1</v>
      </c>
      <c r="S1236" t="str">
        <f t="shared" si="59"/>
        <v>Jan</v>
      </c>
      <c r="T1236" s="9">
        <f>VLOOKUP(O1236, Annual_Summary!A:B, 2, 0)</f>
        <v>4.6157441670237213E-2</v>
      </c>
    </row>
    <row r="1237" spans="1:20" x14ac:dyDescent="0.3">
      <c r="A1237" s="1">
        <v>45671</v>
      </c>
      <c r="B1237" t="s">
        <v>15</v>
      </c>
      <c r="C1237" s="3">
        <v>1233.3499999999999</v>
      </c>
      <c r="D1237" s="3">
        <v>1244.8499999999999</v>
      </c>
      <c r="E1237" s="3">
        <v>1227.45</v>
      </c>
      <c r="F1237" s="3">
        <v>1229.75</v>
      </c>
      <c r="G1237" s="3">
        <v>1242.95</v>
      </c>
      <c r="H1237" s="3">
        <v>1240.3</v>
      </c>
      <c r="I1237" s="3">
        <v>1236.06</v>
      </c>
      <c r="J1237" s="3">
        <v>1362.35</v>
      </c>
      <c r="K1237" s="3">
        <v>970.15</v>
      </c>
      <c r="L1237" s="2">
        <v>10342698</v>
      </c>
      <c r="M1237" s="2">
        <v>12784218741</v>
      </c>
      <c r="N1237" s="2">
        <v>210917</v>
      </c>
      <c r="O1237" t="s">
        <v>20</v>
      </c>
      <c r="P1237" s="8">
        <f t="shared" si="57"/>
        <v>-3.5999999999999091</v>
      </c>
      <c r="Q1237" t="s">
        <v>39</v>
      </c>
      <c r="R1237">
        <f t="shared" si="58"/>
        <v>1</v>
      </c>
      <c r="S1237" t="str">
        <f t="shared" si="59"/>
        <v>Jan</v>
      </c>
      <c r="T1237" s="9">
        <f>VLOOKUP(O1237, Annual_Summary!A:B, 2, 0)</f>
        <v>4.6157441670237213E-2</v>
      </c>
    </row>
    <row r="1238" spans="1:20" x14ac:dyDescent="0.3">
      <c r="A1238" s="1">
        <v>45670</v>
      </c>
      <c r="B1238" t="s">
        <v>15</v>
      </c>
      <c r="C1238" s="3">
        <v>1234.9000000000001</v>
      </c>
      <c r="D1238" s="3">
        <v>1243.95</v>
      </c>
      <c r="E1238" s="3">
        <v>1224.9000000000001</v>
      </c>
      <c r="F1238" s="3">
        <v>1249.8499999999999</v>
      </c>
      <c r="G1238" s="3">
        <v>1230.9000000000001</v>
      </c>
      <c r="H1238" s="3">
        <v>1229.75</v>
      </c>
      <c r="I1238" s="3">
        <v>1232.97</v>
      </c>
      <c r="J1238" s="3">
        <v>1362.35</v>
      </c>
      <c r="K1238" s="3">
        <v>970.15</v>
      </c>
      <c r="L1238" s="2">
        <v>9669336</v>
      </c>
      <c r="M1238" s="2">
        <v>11922019625.6</v>
      </c>
      <c r="N1238" s="2">
        <v>204083</v>
      </c>
      <c r="O1238" t="s">
        <v>20</v>
      </c>
      <c r="P1238" s="8">
        <f t="shared" si="57"/>
        <v>14.949999999999818</v>
      </c>
      <c r="Q1238" t="s">
        <v>39</v>
      </c>
      <c r="R1238">
        <f t="shared" si="58"/>
        <v>1</v>
      </c>
      <c r="S1238" t="str">
        <f t="shared" si="59"/>
        <v>Jan</v>
      </c>
      <c r="T1238" s="9">
        <f>VLOOKUP(O1238, Annual_Summary!A:B, 2, 0)</f>
        <v>4.6157441670237213E-2</v>
      </c>
    </row>
    <row r="1239" spans="1:20" x14ac:dyDescent="0.3">
      <c r="A1239" s="1">
        <v>45667</v>
      </c>
      <c r="B1239" t="s">
        <v>15</v>
      </c>
      <c r="C1239" s="3">
        <v>1259</v>
      </c>
      <c r="D1239" s="3">
        <v>1264.95</v>
      </c>
      <c r="E1239" s="3">
        <v>1243.0999999999999</v>
      </c>
      <c r="F1239" s="3">
        <v>1262.4000000000001</v>
      </c>
      <c r="G1239" s="3">
        <v>1251.3499999999999</v>
      </c>
      <c r="H1239" s="3">
        <v>1249.8499999999999</v>
      </c>
      <c r="I1239" s="3">
        <v>1250.93</v>
      </c>
      <c r="J1239" s="3">
        <v>1362.35</v>
      </c>
      <c r="K1239" s="3">
        <v>970.15</v>
      </c>
      <c r="L1239" s="2">
        <v>7854524</v>
      </c>
      <c r="M1239" s="2">
        <v>9825430299.8999996</v>
      </c>
      <c r="N1239" s="2">
        <v>228905</v>
      </c>
      <c r="O1239" t="s">
        <v>20</v>
      </c>
      <c r="P1239" s="8">
        <f t="shared" si="57"/>
        <v>3.4000000000000909</v>
      </c>
      <c r="Q1239" t="s">
        <v>39</v>
      </c>
      <c r="R1239">
        <f t="shared" si="58"/>
        <v>1</v>
      </c>
      <c r="S1239" t="str">
        <f t="shared" si="59"/>
        <v>Jan</v>
      </c>
      <c r="T1239" s="9">
        <f>VLOOKUP(O1239, Annual_Summary!A:B, 2, 0)</f>
        <v>4.6157441670237213E-2</v>
      </c>
    </row>
    <row r="1240" spans="1:20" x14ac:dyDescent="0.3">
      <c r="A1240" s="1">
        <v>45666</v>
      </c>
      <c r="B1240" t="s">
        <v>15</v>
      </c>
      <c r="C1240" s="3">
        <v>1258</v>
      </c>
      <c r="D1240" s="3">
        <v>1264.75</v>
      </c>
      <c r="E1240" s="3">
        <v>1248.0999999999999</v>
      </c>
      <c r="F1240" s="3">
        <v>1263.75</v>
      </c>
      <c r="G1240" s="3">
        <v>1263.5</v>
      </c>
      <c r="H1240" s="3">
        <v>1262.4000000000001</v>
      </c>
      <c r="I1240" s="3">
        <v>1257.24</v>
      </c>
      <c r="J1240" s="3">
        <v>1362.35</v>
      </c>
      <c r="K1240" s="3">
        <v>970.15</v>
      </c>
      <c r="L1240" s="2">
        <v>8684920</v>
      </c>
      <c r="M1240" s="2">
        <v>10919031736.799999</v>
      </c>
      <c r="N1240" s="2">
        <v>161005</v>
      </c>
      <c r="O1240" t="s">
        <v>20</v>
      </c>
      <c r="P1240" s="8">
        <f t="shared" si="57"/>
        <v>5.75</v>
      </c>
      <c r="Q1240" t="s">
        <v>39</v>
      </c>
      <c r="R1240">
        <f t="shared" si="58"/>
        <v>1</v>
      </c>
      <c r="S1240" t="str">
        <f t="shared" si="59"/>
        <v>Jan</v>
      </c>
      <c r="T1240" s="9">
        <f>VLOOKUP(O1240, Annual_Summary!A:B, 2, 0)</f>
        <v>4.6157441670237213E-2</v>
      </c>
    </row>
    <row r="1241" spans="1:20" x14ac:dyDescent="0.3">
      <c r="A1241" s="1">
        <v>45665</v>
      </c>
      <c r="B1241" t="s">
        <v>15</v>
      </c>
      <c r="C1241" s="3">
        <v>1280.55</v>
      </c>
      <c r="D1241" s="3">
        <v>1285</v>
      </c>
      <c r="E1241" s="3">
        <v>1252.3499999999999</v>
      </c>
      <c r="F1241" s="3">
        <v>1279.25</v>
      </c>
      <c r="G1241" s="3">
        <v>1265</v>
      </c>
      <c r="H1241" s="3">
        <v>1263.75</v>
      </c>
      <c r="I1241" s="3">
        <v>1264.7</v>
      </c>
      <c r="J1241" s="3">
        <v>1362.35</v>
      </c>
      <c r="K1241" s="3">
        <v>970.15</v>
      </c>
      <c r="L1241" s="2">
        <v>7566309</v>
      </c>
      <c r="M1241" s="2">
        <v>9569113937.25</v>
      </c>
      <c r="N1241" s="2">
        <v>186833</v>
      </c>
      <c r="O1241" t="s">
        <v>20</v>
      </c>
      <c r="P1241" s="8">
        <f t="shared" si="57"/>
        <v>-1.2999999999999545</v>
      </c>
      <c r="Q1241" t="s">
        <v>39</v>
      </c>
      <c r="R1241">
        <f t="shared" si="58"/>
        <v>1</v>
      </c>
      <c r="S1241" t="str">
        <f t="shared" si="59"/>
        <v>Jan</v>
      </c>
      <c r="T1241" s="9">
        <f>VLOOKUP(O1241, Annual_Summary!A:B, 2, 0)</f>
        <v>4.6157441670237213E-2</v>
      </c>
    </row>
    <row r="1242" spans="1:20" x14ac:dyDescent="0.3">
      <c r="A1242" s="1">
        <v>45664</v>
      </c>
      <c r="B1242" t="s">
        <v>15</v>
      </c>
      <c r="C1242" s="3">
        <v>1266.5</v>
      </c>
      <c r="D1242" s="3">
        <v>1288.95</v>
      </c>
      <c r="E1242" s="3">
        <v>1266.5</v>
      </c>
      <c r="F1242" s="3">
        <v>1264.0999999999999</v>
      </c>
      <c r="G1242" s="3">
        <v>1280.5999999999999</v>
      </c>
      <c r="H1242" s="3">
        <v>1279.25</v>
      </c>
      <c r="I1242" s="3">
        <v>1280.3499999999999</v>
      </c>
      <c r="J1242" s="3">
        <v>1362.35</v>
      </c>
      <c r="K1242" s="3">
        <v>970.15</v>
      </c>
      <c r="L1242" s="2">
        <v>7539758</v>
      </c>
      <c r="M1242" s="2">
        <v>9653565084.1499996</v>
      </c>
      <c r="N1242" s="2">
        <v>153173</v>
      </c>
      <c r="O1242" t="s">
        <v>20</v>
      </c>
      <c r="P1242" s="8">
        <f t="shared" si="57"/>
        <v>-2.4000000000000909</v>
      </c>
      <c r="Q1242" t="s">
        <v>39</v>
      </c>
      <c r="R1242">
        <f t="shared" si="58"/>
        <v>1</v>
      </c>
      <c r="S1242" t="str">
        <f t="shared" si="59"/>
        <v>Jan</v>
      </c>
      <c r="T1242" s="9">
        <f>VLOOKUP(O1242, Annual_Summary!A:B, 2, 0)</f>
        <v>4.6157441670237213E-2</v>
      </c>
    </row>
    <row r="1243" spans="1:20" x14ac:dyDescent="0.3">
      <c r="A1243" s="1">
        <v>45663</v>
      </c>
      <c r="B1243" t="s">
        <v>15</v>
      </c>
      <c r="C1243" s="3">
        <v>1268.05</v>
      </c>
      <c r="D1243" s="3">
        <v>1277.75</v>
      </c>
      <c r="E1243" s="3">
        <v>1257</v>
      </c>
      <c r="F1243" s="3">
        <v>1265.05</v>
      </c>
      <c r="G1243" s="3">
        <v>1266</v>
      </c>
      <c r="H1243" s="3">
        <v>1264.0999999999999</v>
      </c>
      <c r="I1243" s="3">
        <v>1265.3399999999999</v>
      </c>
      <c r="J1243" s="3">
        <v>1362.35</v>
      </c>
      <c r="K1243" s="3">
        <v>970.15</v>
      </c>
      <c r="L1243" s="2">
        <v>7504047</v>
      </c>
      <c r="M1243" s="2">
        <v>9495149142.2000008</v>
      </c>
      <c r="N1243" s="2">
        <v>236168</v>
      </c>
      <c r="O1243" t="s">
        <v>20</v>
      </c>
      <c r="P1243" s="8">
        <f t="shared" si="57"/>
        <v>-3</v>
      </c>
      <c r="Q1243" t="s">
        <v>39</v>
      </c>
      <c r="R1243">
        <f t="shared" si="58"/>
        <v>1</v>
      </c>
      <c r="S1243" t="str">
        <f t="shared" si="59"/>
        <v>Jan</v>
      </c>
      <c r="T1243" s="9">
        <f>VLOOKUP(O1243, Annual_Summary!A:B, 2, 0)</f>
        <v>4.6157441670237213E-2</v>
      </c>
    </row>
    <row r="1244" spans="1:20" x14ac:dyDescent="0.3">
      <c r="A1244" s="1">
        <v>45660</v>
      </c>
      <c r="B1244" t="s">
        <v>15</v>
      </c>
      <c r="C1244" s="3">
        <v>1286.2</v>
      </c>
      <c r="D1244" s="3">
        <v>1288</v>
      </c>
      <c r="E1244" s="3">
        <v>1262.25</v>
      </c>
      <c r="F1244" s="3">
        <v>1290.5999999999999</v>
      </c>
      <c r="G1244" s="3">
        <v>1265.5999999999999</v>
      </c>
      <c r="H1244" s="3">
        <v>1265.05</v>
      </c>
      <c r="I1244" s="3">
        <v>1269.4000000000001</v>
      </c>
      <c r="J1244" s="3">
        <v>1362.35</v>
      </c>
      <c r="K1244" s="3">
        <v>970.15</v>
      </c>
      <c r="L1244" s="2">
        <v>11194997</v>
      </c>
      <c r="M1244" s="2">
        <v>14210918649.700001</v>
      </c>
      <c r="N1244" s="2">
        <v>219218</v>
      </c>
      <c r="O1244" t="s">
        <v>20</v>
      </c>
      <c r="P1244" s="8">
        <f t="shared" si="57"/>
        <v>4.3999999999998636</v>
      </c>
      <c r="Q1244" t="s">
        <v>39</v>
      </c>
      <c r="R1244">
        <f t="shared" si="58"/>
        <v>1</v>
      </c>
      <c r="S1244" t="str">
        <f t="shared" si="59"/>
        <v>Jan</v>
      </c>
      <c r="T1244" s="9">
        <f>VLOOKUP(O1244, Annual_Summary!A:B, 2, 0)</f>
        <v>4.6157441670237213E-2</v>
      </c>
    </row>
    <row r="1245" spans="1:20" x14ac:dyDescent="0.3">
      <c r="A1245" s="1">
        <v>45659</v>
      </c>
      <c r="B1245" t="s">
        <v>15</v>
      </c>
      <c r="C1245" s="3">
        <v>1285.0999999999999</v>
      </c>
      <c r="D1245" s="3">
        <v>1293.4000000000001</v>
      </c>
      <c r="E1245" s="3">
        <v>1278.4000000000001</v>
      </c>
      <c r="F1245" s="3">
        <v>1283.6500000000001</v>
      </c>
      <c r="G1245" s="3">
        <v>1291</v>
      </c>
      <c r="H1245" s="3">
        <v>1290.5999999999999</v>
      </c>
      <c r="I1245" s="3">
        <v>1288.3399999999999</v>
      </c>
      <c r="J1245" s="3">
        <v>1362.35</v>
      </c>
      <c r="K1245" s="3">
        <v>970.15</v>
      </c>
      <c r="L1245" s="2">
        <v>7433222</v>
      </c>
      <c r="M1245" s="2">
        <v>9576523020.8500004</v>
      </c>
      <c r="N1245" s="2">
        <v>289378</v>
      </c>
      <c r="O1245" t="s">
        <v>20</v>
      </c>
      <c r="P1245" s="8">
        <f t="shared" si="57"/>
        <v>-1.4499999999998181</v>
      </c>
      <c r="Q1245" t="s">
        <v>39</v>
      </c>
      <c r="R1245">
        <f t="shared" si="58"/>
        <v>1</v>
      </c>
      <c r="S1245" t="str">
        <f t="shared" si="59"/>
        <v>Jan</v>
      </c>
      <c r="T1245" s="9">
        <f>VLOOKUP(O1245, Annual_Summary!A:B, 2, 0)</f>
        <v>4.6157441670237213E-2</v>
      </c>
    </row>
    <row r="1246" spans="1:20" x14ac:dyDescent="0.3">
      <c r="A1246" s="1">
        <v>45658</v>
      </c>
      <c r="B1246" t="s">
        <v>15</v>
      </c>
      <c r="C1246" s="3">
        <v>1281.6500000000001</v>
      </c>
      <c r="D1246" s="3">
        <v>1293</v>
      </c>
      <c r="E1246" s="3">
        <v>1267.0999999999999</v>
      </c>
      <c r="F1246" s="3">
        <v>1281.6500000000001</v>
      </c>
      <c r="G1246" s="3">
        <v>1283.8499999999999</v>
      </c>
      <c r="H1246" s="3">
        <v>1283.6500000000001</v>
      </c>
      <c r="I1246" s="3">
        <v>1283.92</v>
      </c>
      <c r="J1246" s="3">
        <v>1362.35</v>
      </c>
      <c r="K1246" s="3">
        <v>970.15</v>
      </c>
      <c r="L1246" s="2">
        <v>4705399</v>
      </c>
      <c r="M1246" s="2">
        <v>6041347562.1499996</v>
      </c>
      <c r="N1246" s="2">
        <v>152286</v>
      </c>
      <c r="O1246" t="s">
        <v>20</v>
      </c>
      <c r="P1246" s="8">
        <f t="shared" si="57"/>
        <v>0</v>
      </c>
      <c r="Q1246" t="s">
        <v>39</v>
      </c>
      <c r="R1246">
        <f t="shared" si="58"/>
        <v>1</v>
      </c>
      <c r="S1246" t="str">
        <f t="shared" si="59"/>
        <v>Jan</v>
      </c>
      <c r="T1246" s="9">
        <f>VLOOKUP(O1246, Annual_Summary!A:B, 2, 0)</f>
        <v>4.6157441670237213E-2</v>
      </c>
    </row>
    <row r="1247" spans="1:20" x14ac:dyDescent="0.3">
      <c r="A1247" s="1">
        <v>46022</v>
      </c>
      <c r="B1247" s="4" t="s">
        <v>15</v>
      </c>
      <c r="C1247" s="4">
        <v>1621</v>
      </c>
      <c r="D1247" s="4">
        <v>1628.6</v>
      </c>
      <c r="E1247" s="4">
        <v>1609.2</v>
      </c>
      <c r="F1247" s="4">
        <v>1621.6</v>
      </c>
      <c r="G1247" s="4">
        <v>1617.9</v>
      </c>
      <c r="H1247" s="4">
        <v>1615.4</v>
      </c>
      <c r="I1247" s="4">
        <v>1616.58</v>
      </c>
      <c r="J1247" s="4">
        <v>1982.8</v>
      </c>
      <c r="K1247" s="4">
        <v>1307</v>
      </c>
      <c r="L1247" s="2">
        <v>6538656</v>
      </c>
      <c r="M1247" s="2">
        <v>10570270246.200001</v>
      </c>
      <c r="N1247" s="2">
        <v>102413</v>
      </c>
      <c r="O1247" t="s">
        <v>21</v>
      </c>
      <c r="P1247" s="8">
        <f t="shared" si="57"/>
        <v>0.59999999999990905</v>
      </c>
      <c r="Q1247" t="s">
        <v>38</v>
      </c>
      <c r="R1247">
        <f t="shared" si="58"/>
        <v>12</v>
      </c>
      <c r="S1247" t="str">
        <f t="shared" si="59"/>
        <v>Dec</v>
      </c>
      <c r="T1247" s="9">
        <f>VLOOKUP(O1247, Annual_Summary!A:B, 2, 0)</f>
        <v>-0.14188579017264272</v>
      </c>
    </row>
    <row r="1248" spans="1:20" x14ac:dyDescent="0.3">
      <c r="A1248" s="1">
        <v>46021</v>
      </c>
      <c r="B1248" s="4" t="s">
        <v>15</v>
      </c>
      <c r="C1248" s="4">
        <v>1647</v>
      </c>
      <c r="D1248" s="4">
        <v>1647.9</v>
      </c>
      <c r="E1248" s="4">
        <v>1616.8</v>
      </c>
      <c r="F1248" s="4">
        <v>1644.7</v>
      </c>
      <c r="G1248" s="4">
        <v>1623.5</v>
      </c>
      <c r="H1248" s="4">
        <v>1621.6</v>
      </c>
      <c r="I1248" s="4">
        <v>1625.72</v>
      </c>
      <c r="J1248" s="4">
        <v>1982.8</v>
      </c>
      <c r="K1248" s="4">
        <v>1307</v>
      </c>
      <c r="L1248" s="2">
        <v>9395937</v>
      </c>
      <c r="M1248" s="2">
        <v>15275131268.299999</v>
      </c>
      <c r="N1248" s="2">
        <v>150131</v>
      </c>
      <c r="O1248" t="s">
        <v>21</v>
      </c>
      <c r="P1248" s="8">
        <f t="shared" si="57"/>
        <v>-2.2999999999999545</v>
      </c>
      <c r="Q1248" t="s">
        <v>38</v>
      </c>
      <c r="R1248">
        <f t="shared" si="58"/>
        <v>12</v>
      </c>
      <c r="S1248" t="str">
        <f t="shared" si="59"/>
        <v>Dec</v>
      </c>
      <c r="T1248" s="9">
        <f>VLOOKUP(O1248, Annual_Summary!A:B, 2, 0)</f>
        <v>-0.14188579017264272</v>
      </c>
    </row>
    <row r="1249" spans="1:20" x14ac:dyDescent="0.3">
      <c r="A1249" s="1">
        <v>46020</v>
      </c>
      <c r="B1249" s="4" t="s">
        <v>15</v>
      </c>
      <c r="C1249" s="4">
        <v>1658</v>
      </c>
      <c r="D1249" s="4">
        <v>1673.1</v>
      </c>
      <c r="E1249" s="4">
        <v>1637.1</v>
      </c>
      <c r="F1249" s="4">
        <v>1656.1</v>
      </c>
      <c r="G1249" s="4">
        <v>1645</v>
      </c>
      <c r="H1249" s="4">
        <v>1644.7</v>
      </c>
      <c r="I1249" s="4">
        <v>1647.3</v>
      </c>
      <c r="J1249" s="4">
        <v>1982.8</v>
      </c>
      <c r="K1249" s="4">
        <v>1307</v>
      </c>
      <c r="L1249" s="2">
        <v>4062817</v>
      </c>
      <c r="M1249" s="2">
        <v>6692675971</v>
      </c>
      <c r="N1249" s="2">
        <v>103013</v>
      </c>
      <c r="O1249" t="s">
        <v>21</v>
      </c>
      <c r="P1249" s="8">
        <f t="shared" si="57"/>
        <v>-1.9000000000000909</v>
      </c>
      <c r="Q1249" t="s">
        <v>38</v>
      </c>
      <c r="R1249">
        <f t="shared" si="58"/>
        <v>12</v>
      </c>
      <c r="S1249" t="str">
        <f t="shared" si="59"/>
        <v>Dec</v>
      </c>
      <c r="T1249" s="9">
        <f>VLOOKUP(O1249, Annual_Summary!A:B, 2, 0)</f>
        <v>-0.14188579017264272</v>
      </c>
    </row>
    <row r="1250" spans="1:20" x14ac:dyDescent="0.3">
      <c r="A1250" s="1">
        <v>46017</v>
      </c>
      <c r="B1250" s="4" t="s">
        <v>15</v>
      </c>
      <c r="C1250" s="4">
        <v>1663.4</v>
      </c>
      <c r="D1250" s="4">
        <v>1668.8</v>
      </c>
      <c r="E1250" s="4">
        <v>1651.7</v>
      </c>
      <c r="F1250" s="4">
        <v>1663.4</v>
      </c>
      <c r="G1250" s="4">
        <v>1657</v>
      </c>
      <c r="H1250" s="4">
        <v>1656.1</v>
      </c>
      <c r="I1250" s="4">
        <v>1657.89</v>
      </c>
      <c r="J1250" s="4">
        <v>1982.8</v>
      </c>
      <c r="K1250" s="4">
        <v>1307</v>
      </c>
      <c r="L1250" s="2">
        <v>2006491</v>
      </c>
      <c r="M1250" s="2">
        <v>3326544399.9000001</v>
      </c>
      <c r="N1250" s="2">
        <v>97220</v>
      </c>
      <c r="O1250" t="s">
        <v>21</v>
      </c>
      <c r="P1250" s="8">
        <f t="shared" si="57"/>
        <v>0</v>
      </c>
      <c r="Q1250" t="s">
        <v>38</v>
      </c>
      <c r="R1250">
        <f t="shared" si="58"/>
        <v>12</v>
      </c>
      <c r="S1250" t="str">
        <f t="shared" si="59"/>
        <v>Dec</v>
      </c>
      <c r="T1250" s="9">
        <f>VLOOKUP(O1250, Annual_Summary!A:B, 2, 0)</f>
        <v>-0.14188579017264272</v>
      </c>
    </row>
    <row r="1251" spans="1:20" x14ac:dyDescent="0.3">
      <c r="A1251" s="1">
        <v>46015</v>
      </c>
      <c r="B1251" s="4" t="s">
        <v>15</v>
      </c>
      <c r="C1251" s="4">
        <v>1661</v>
      </c>
      <c r="D1251" s="4">
        <v>1667.6</v>
      </c>
      <c r="E1251" s="4">
        <v>1652.5</v>
      </c>
      <c r="F1251" s="4">
        <v>1668.3</v>
      </c>
      <c r="G1251" s="4">
        <v>1667</v>
      </c>
      <c r="H1251" s="4">
        <v>1663.4</v>
      </c>
      <c r="I1251" s="4">
        <v>1660.54</v>
      </c>
      <c r="J1251" s="4">
        <v>1982.8</v>
      </c>
      <c r="K1251" s="4">
        <v>1307</v>
      </c>
      <c r="L1251" s="2">
        <v>4271167</v>
      </c>
      <c r="M1251" s="2">
        <v>7092430849.3999996</v>
      </c>
      <c r="N1251" s="2">
        <v>142602</v>
      </c>
      <c r="O1251" t="s">
        <v>21</v>
      </c>
      <c r="P1251" s="8">
        <f t="shared" si="57"/>
        <v>7.2999999999999545</v>
      </c>
      <c r="Q1251" t="s">
        <v>38</v>
      </c>
      <c r="R1251">
        <f t="shared" si="58"/>
        <v>12</v>
      </c>
      <c r="S1251" t="str">
        <f t="shared" si="59"/>
        <v>Dec</v>
      </c>
      <c r="T1251" s="9">
        <f>VLOOKUP(O1251, Annual_Summary!A:B, 2, 0)</f>
        <v>-0.14188579017264272</v>
      </c>
    </row>
    <row r="1252" spans="1:20" x14ac:dyDescent="0.3">
      <c r="A1252" s="1">
        <v>46014</v>
      </c>
      <c r="B1252" s="4" t="s">
        <v>15</v>
      </c>
      <c r="C1252" s="4">
        <v>1679</v>
      </c>
      <c r="D1252" s="4">
        <v>1679</v>
      </c>
      <c r="E1252" s="4">
        <v>1656.4</v>
      </c>
      <c r="F1252" s="4">
        <v>1689.6</v>
      </c>
      <c r="G1252" s="4">
        <v>1664.6</v>
      </c>
      <c r="H1252" s="4">
        <v>1668.3</v>
      </c>
      <c r="I1252" s="4">
        <v>1666.35</v>
      </c>
      <c r="J1252" s="4">
        <v>1982.8</v>
      </c>
      <c r="K1252" s="4">
        <v>1307</v>
      </c>
      <c r="L1252" s="2">
        <v>6593060</v>
      </c>
      <c r="M1252" s="2">
        <v>10986362727.700001</v>
      </c>
      <c r="N1252" s="2">
        <v>228310</v>
      </c>
      <c r="O1252" t="s">
        <v>21</v>
      </c>
      <c r="P1252" s="8">
        <f t="shared" si="57"/>
        <v>10.599999999999909</v>
      </c>
      <c r="Q1252" t="s">
        <v>38</v>
      </c>
      <c r="R1252">
        <f t="shared" si="58"/>
        <v>12</v>
      </c>
      <c r="S1252" t="str">
        <f t="shared" si="59"/>
        <v>Dec</v>
      </c>
      <c r="T1252" s="9">
        <f>VLOOKUP(O1252, Annual_Summary!A:B, 2, 0)</f>
        <v>-0.14188579017264272</v>
      </c>
    </row>
    <row r="1253" spans="1:20" x14ac:dyDescent="0.3">
      <c r="A1253" s="1">
        <v>46013</v>
      </c>
      <c r="B1253" s="4" t="s">
        <v>15</v>
      </c>
      <c r="C1253" s="4">
        <v>1664</v>
      </c>
      <c r="D1253" s="4">
        <v>1693.2</v>
      </c>
      <c r="E1253" s="4">
        <v>1664</v>
      </c>
      <c r="F1253" s="4">
        <v>1638.7</v>
      </c>
      <c r="G1253" s="4">
        <v>1686</v>
      </c>
      <c r="H1253" s="4">
        <v>1689.6</v>
      </c>
      <c r="I1253" s="4">
        <v>1682.86</v>
      </c>
      <c r="J1253" s="4">
        <v>1982.8</v>
      </c>
      <c r="K1253" s="4">
        <v>1307</v>
      </c>
      <c r="L1253" s="2">
        <v>23098923</v>
      </c>
      <c r="M1253" s="2">
        <v>38872218965.5</v>
      </c>
      <c r="N1253" s="2">
        <v>412335</v>
      </c>
      <c r="O1253" t="s">
        <v>21</v>
      </c>
      <c r="P1253" s="8">
        <f t="shared" si="57"/>
        <v>-25.299999999999955</v>
      </c>
      <c r="Q1253" t="s">
        <v>38</v>
      </c>
      <c r="R1253">
        <f t="shared" si="58"/>
        <v>12</v>
      </c>
      <c r="S1253" t="str">
        <f t="shared" si="59"/>
        <v>Dec</v>
      </c>
      <c r="T1253" s="9">
        <f>VLOOKUP(O1253, Annual_Summary!A:B, 2, 0)</f>
        <v>-0.14188579017264272</v>
      </c>
    </row>
    <row r="1254" spans="1:20" x14ac:dyDescent="0.3">
      <c r="A1254" s="1">
        <v>46010</v>
      </c>
      <c r="B1254" s="4" t="s">
        <v>15</v>
      </c>
      <c r="C1254" s="4">
        <v>1650</v>
      </c>
      <c r="D1254" s="4">
        <v>1654.9</v>
      </c>
      <c r="E1254" s="4">
        <v>1629.8</v>
      </c>
      <c r="F1254" s="4">
        <v>1626.8</v>
      </c>
      <c r="G1254" s="4">
        <v>1638</v>
      </c>
      <c r="H1254" s="4">
        <v>1638.7</v>
      </c>
      <c r="I1254" s="4">
        <v>1640.02</v>
      </c>
      <c r="J1254" s="4">
        <v>1999.6</v>
      </c>
      <c r="K1254" s="4">
        <v>1307</v>
      </c>
      <c r="L1254" s="2">
        <v>13149023</v>
      </c>
      <c r="M1254" s="2">
        <v>21564629614.099998</v>
      </c>
      <c r="N1254" s="2">
        <v>201281</v>
      </c>
      <c r="O1254" t="s">
        <v>21</v>
      </c>
      <c r="P1254" s="8">
        <f t="shared" si="57"/>
        <v>-23.200000000000045</v>
      </c>
      <c r="Q1254" t="s">
        <v>38</v>
      </c>
      <c r="R1254">
        <f t="shared" si="58"/>
        <v>12</v>
      </c>
      <c r="S1254" t="str">
        <f t="shared" si="59"/>
        <v>Dec</v>
      </c>
      <c r="T1254" s="9">
        <f>VLOOKUP(O1254, Annual_Summary!A:B, 2, 0)</f>
        <v>-0.14188579017264272</v>
      </c>
    </row>
    <row r="1255" spans="1:20" x14ac:dyDescent="0.3">
      <c r="A1255" s="1">
        <v>46009</v>
      </c>
      <c r="B1255" s="4" t="s">
        <v>15</v>
      </c>
      <c r="C1255" s="4">
        <v>1610.5</v>
      </c>
      <c r="D1255" s="4">
        <v>1630</v>
      </c>
      <c r="E1255" s="4">
        <v>1606.7</v>
      </c>
      <c r="F1255" s="4">
        <v>1602</v>
      </c>
      <c r="G1255" s="4">
        <v>1627.1</v>
      </c>
      <c r="H1255" s="4">
        <v>1626.8</v>
      </c>
      <c r="I1255" s="4">
        <v>1623.68</v>
      </c>
      <c r="J1255" s="4">
        <v>1999.6</v>
      </c>
      <c r="K1255" s="4">
        <v>1307</v>
      </c>
      <c r="L1255" s="2">
        <v>6577293</v>
      </c>
      <c r="M1255" s="2">
        <v>10679409219.4</v>
      </c>
      <c r="N1255" s="2">
        <v>288341</v>
      </c>
      <c r="O1255" t="s">
        <v>21</v>
      </c>
      <c r="P1255" s="8">
        <f t="shared" si="57"/>
        <v>-8.5</v>
      </c>
      <c r="Q1255" t="s">
        <v>38</v>
      </c>
      <c r="R1255">
        <f t="shared" si="58"/>
        <v>12</v>
      </c>
      <c r="S1255" t="str">
        <f t="shared" si="59"/>
        <v>Dec</v>
      </c>
      <c r="T1255" s="9">
        <f>VLOOKUP(O1255, Annual_Summary!A:B, 2, 0)</f>
        <v>-0.14188579017264272</v>
      </c>
    </row>
    <row r="1256" spans="1:20" x14ac:dyDescent="0.3">
      <c r="A1256" s="1">
        <v>46008</v>
      </c>
      <c r="B1256" s="4" t="s">
        <v>15</v>
      </c>
      <c r="C1256" s="4">
        <v>1587.2</v>
      </c>
      <c r="D1256" s="4">
        <v>1606.9</v>
      </c>
      <c r="E1256" s="4">
        <v>1586</v>
      </c>
      <c r="F1256" s="4">
        <v>1592.9</v>
      </c>
      <c r="G1256" s="4">
        <v>1602</v>
      </c>
      <c r="H1256" s="4">
        <v>1602</v>
      </c>
      <c r="I1256" s="4">
        <v>1600.21</v>
      </c>
      <c r="J1256" s="4">
        <v>1999.6</v>
      </c>
      <c r="K1256" s="4">
        <v>1307</v>
      </c>
      <c r="L1256" s="2">
        <v>4817628</v>
      </c>
      <c r="M1256" s="2">
        <v>7709207454.8999996</v>
      </c>
      <c r="N1256" s="2">
        <v>155044</v>
      </c>
      <c r="O1256" t="s">
        <v>21</v>
      </c>
      <c r="P1256" s="8">
        <f t="shared" si="57"/>
        <v>5.7000000000000455</v>
      </c>
      <c r="Q1256" t="s">
        <v>38</v>
      </c>
      <c r="R1256">
        <f t="shared" si="58"/>
        <v>12</v>
      </c>
      <c r="S1256" t="str">
        <f t="shared" si="59"/>
        <v>Dec</v>
      </c>
      <c r="T1256" s="9">
        <f>VLOOKUP(O1256, Annual_Summary!A:B, 2, 0)</f>
        <v>-0.14188579017264272</v>
      </c>
    </row>
    <row r="1257" spans="1:20" x14ac:dyDescent="0.3">
      <c r="A1257" s="1">
        <v>46007</v>
      </c>
      <c r="B1257" s="4" t="s">
        <v>15</v>
      </c>
      <c r="C1257" s="4">
        <v>1600</v>
      </c>
      <c r="D1257" s="4">
        <v>1603</v>
      </c>
      <c r="E1257" s="4">
        <v>1585.6</v>
      </c>
      <c r="F1257" s="4">
        <v>1606.8</v>
      </c>
      <c r="G1257" s="4">
        <v>1592.6</v>
      </c>
      <c r="H1257" s="4">
        <v>1592.9</v>
      </c>
      <c r="I1257" s="4">
        <v>1591.77</v>
      </c>
      <c r="J1257" s="4">
        <v>1999.6</v>
      </c>
      <c r="K1257" s="4">
        <v>1307</v>
      </c>
      <c r="L1257" s="2">
        <v>5499258</v>
      </c>
      <c r="M1257" s="2">
        <v>8753533458.7000008</v>
      </c>
      <c r="N1257" s="2">
        <v>220591</v>
      </c>
      <c r="O1257" t="s">
        <v>21</v>
      </c>
      <c r="P1257" s="8">
        <f t="shared" si="57"/>
        <v>6.7999999999999545</v>
      </c>
      <c r="Q1257" t="s">
        <v>38</v>
      </c>
      <c r="R1257">
        <f t="shared" si="58"/>
        <v>12</v>
      </c>
      <c r="S1257" t="str">
        <f t="shared" si="59"/>
        <v>Dec</v>
      </c>
      <c r="T1257" s="9">
        <f>VLOOKUP(O1257, Annual_Summary!A:B, 2, 0)</f>
        <v>-0.14188579017264272</v>
      </c>
    </row>
    <row r="1258" spans="1:20" x14ac:dyDescent="0.3">
      <c r="A1258" s="1">
        <v>46006</v>
      </c>
      <c r="B1258" s="4" t="s">
        <v>15</v>
      </c>
      <c r="C1258" s="4">
        <v>1585</v>
      </c>
      <c r="D1258" s="4">
        <v>1610.8</v>
      </c>
      <c r="E1258" s="4">
        <v>1585</v>
      </c>
      <c r="F1258" s="4">
        <v>1598.2</v>
      </c>
      <c r="G1258" s="4">
        <v>1607</v>
      </c>
      <c r="H1258" s="4">
        <v>1606.8</v>
      </c>
      <c r="I1258" s="4">
        <v>1603.88</v>
      </c>
      <c r="J1258" s="4">
        <v>1999.6</v>
      </c>
      <c r="K1258" s="4">
        <v>1307</v>
      </c>
      <c r="L1258" s="2">
        <v>4190558</v>
      </c>
      <c r="M1258" s="2">
        <v>6721134417.8000002</v>
      </c>
      <c r="N1258" s="2">
        <v>163737</v>
      </c>
      <c r="O1258" t="s">
        <v>21</v>
      </c>
      <c r="P1258" s="8">
        <f t="shared" si="57"/>
        <v>13.200000000000045</v>
      </c>
      <c r="Q1258" t="s">
        <v>38</v>
      </c>
      <c r="R1258">
        <f t="shared" si="58"/>
        <v>12</v>
      </c>
      <c r="S1258" t="str">
        <f t="shared" si="59"/>
        <v>Dec</v>
      </c>
      <c r="T1258" s="9">
        <f>VLOOKUP(O1258, Annual_Summary!A:B, 2, 0)</f>
        <v>-0.14188579017264272</v>
      </c>
    </row>
    <row r="1259" spans="1:20" x14ac:dyDescent="0.3">
      <c r="A1259" s="1">
        <v>46003</v>
      </c>
      <c r="B1259" s="4" t="s">
        <v>15</v>
      </c>
      <c r="C1259" s="4">
        <v>1601.4</v>
      </c>
      <c r="D1259" s="4">
        <v>1601.8</v>
      </c>
      <c r="E1259" s="4">
        <v>1582.6</v>
      </c>
      <c r="F1259" s="4">
        <v>1598</v>
      </c>
      <c r="G1259" s="4">
        <v>1597.5</v>
      </c>
      <c r="H1259" s="4">
        <v>1598.2</v>
      </c>
      <c r="I1259" s="4">
        <v>1593.93</v>
      </c>
      <c r="J1259" s="4">
        <v>2006.45</v>
      </c>
      <c r="K1259" s="4">
        <v>1307</v>
      </c>
      <c r="L1259" s="2">
        <v>4633912</v>
      </c>
      <c r="M1259" s="2">
        <v>7386137017.5</v>
      </c>
      <c r="N1259" s="2">
        <v>144042</v>
      </c>
      <c r="O1259" t="s">
        <v>21</v>
      </c>
      <c r="P1259" s="8">
        <f t="shared" si="57"/>
        <v>-3.4000000000000909</v>
      </c>
      <c r="Q1259" t="s">
        <v>38</v>
      </c>
      <c r="R1259">
        <f t="shared" si="58"/>
        <v>12</v>
      </c>
      <c r="S1259" t="str">
        <f t="shared" si="59"/>
        <v>Dec</v>
      </c>
      <c r="T1259" s="9">
        <f>VLOOKUP(O1259, Annual_Summary!A:B, 2, 0)</f>
        <v>-0.14188579017264272</v>
      </c>
    </row>
    <row r="1260" spans="1:20" x14ac:dyDescent="0.3">
      <c r="A1260" s="1">
        <v>46002</v>
      </c>
      <c r="B1260" s="4" t="s">
        <v>15</v>
      </c>
      <c r="C1260" s="4">
        <v>1598</v>
      </c>
      <c r="D1260" s="4">
        <v>1607.4</v>
      </c>
      <c r="E1260" s="4">
        <v>1580.5</v>
      </c>
      <c r="F1260" s="4">
        <v>1584.8</v>
      </c>
      <c r="G1260" s="4">
        <v>1596.2</v>
      </c>
      <c r="H1260" s="4">
        <v>1598</v>
      </c>
      <c r="I1260" s="4">
        <v>1592.84</v>
      </c>
      <c r="J1260" s="4">
        <v>2006.45</v>
      </c>
      <c r="K1260" s="4">
        <v>1307</v>
      </c>
      <c r="L1260" s="2">
        <v>5159319</v>
      </c>
      <c r="M1260" s="2">
        <v>8217952937</v>
      </c>
      <c r="N1260" s="2">
        <v>154906</v>
      </c>
      <c r="O1260" t="s">
        <v>21</v>
      </c>
      <c r="P1260" s="8">
        <f t="shared" si="57"/>
        <v>-13.200000000000045</v>
      </c>
      <c r="Q1260" t="s">
        <v>38</v>
      </c>
      <c r="R1260">
        <f t="shared" si="58"/>
        <v>12</v>
      </c>
      <c r="S1260" t="str">
        <f t="shared" si="59"/>
        <v>Dec</v>
      </c>
      <c r="T1260" s="9">
        <f>VLOOKUP(O1260, Annual_Summary!A:B, 2, 0)</f>
        <v>-0.14188579017264272</v>
      </c>
    </row>
    <row r="1261" spans="1:20" x14ac:dyDescent="0.3">
      <c r="A1261" s="1">
        <v>46001</v>
      </c>
      <c r="B1261" s="4" t="s">
        <v>15</v>
      </c>
      <c r="C1261" s="4">
        <v>1608</v>
      </c>
      <c r="D1261" s="4">
        <v>1608</v>
      </c>
      <c r="E1261" s="4">
        <v>1582.8</v>
      </c>
      <c r="F1261" s="4">
        <v>1599</v>
      </c>
      <c r="G1261" s="4">
        <v>1584.8</v>
      </c>
      <c r="H1261" s="4">
        <v>1584.8</v>
      </c>
      <c r="I1261" s="4">
        <v>1590.84</v>
      </c>
      <c r="J1261" s="4">
        <v>2006.45</v>
      </c>
      <c r="K1261" s="4">
        <v>1307</v>
      </c>
      <c r="L1261" s="2">
        <v>5116140</v>
      </c>
      <c r="M1261" s="2">
        <v>8138964777</v>
      </c>
      <c r="N1261" s="2">
        <v>191185</v>
      </c>
      <c r="O1261" t="s">
        <v>21</v>
      </c>
      <c r="P1261" s="8">
        <f t="shared" si="57"/>
        <v>-9</v>
      </c>
      <c r="Q1261" t="s">
        <v>38</v>
      </c>
      <c r="R1261">
        <f t="shared" si="58"/>
        <v>12</v>
      </c>
      <c r="S1261" t="str">
        <f t="shared" si="59"/>
        <v>Dec</v>
      </c>
      <c r="T1261" s="9">
        <f>VLOOKUP(O1261, Annual_Summary!A:B, 2, 0)</f>
        <v>-0.14188579017264272</v>
      </c>
    </row>
    <row r="1262" spans="1:20" x14ac:dyDescent="0.3">
      <c r="A1262" s="1">
        <v>46000</v>
      </c>
      <c r="B1262" s="4" t="s">
        <v>15</v>
      </c>
      <c r="C1262" s="4">
        <v>1601.2</v>
      </c>
      <c r="D1262" s="4">
        <v>1606.9</v>
      </c>
      <c r="E1262" s="4">
        <v>1582.4</v>
      </c>
      <c r="F1262" s="4">
        <v>1610.8</v>
      </c>
      <c r="G1262" s="4">
        <v>1597</v>
      </c>
      <c r="H1262" s="4">
        <v>1599</v>
      </c>
      <c r="I1262" s="4">
        <v>1596.28</v>
      </c>
      <c r="J1262" s="4">
        <v>2006.45</v>
      </c>
      <c r="K1262" s="4">
        <v>1307</v>
      </c>
      <c r="L1262" s="2">
        <v>6957599</v>
      </c>
      <c r="M1262" s="2">
        <v>11106255546.9</v>
      </c>
      <c r="N1262" s="2">
        <v>156650</v>
      </c>
      <c r="O1262" t="s">
        <v>21</v>
      </c>
      <c r="P1262" s="8">
        <f t="shared" si="57"/>
        <v>9.5999999999999091</v>
      </c>
      <c r="Q1262" t="s">
        <v>38</v>
      </c>
      <c r="R1262">
        <f t="shared" si="58"/>
        <v>12</v>
      </c>
      <c r="S1262" t="str">
        <f t="shared" si="59"/>
        <v>Dec</v>
      </c>
      <c r="T1262" s="9">
        <f>VLOOKUP(O1262, Annual_Summary!A:B, 2, 0)</f>
        <v>-0.14188579017264272</v>
      </c>
    </row>
    <row r="1263" spans="1:20" x14ac:dyDescent="0.3">
      <c r="A1263" s="1">
        <v>45999</v>
      </c>
      <c r="B1263" s="4" t="s">
        <v>15</v>
      </c>
      <c r="C1263" s="4">
        <v>1617.1</v>
      </c>
      <c r="D1263" s="4">
        <v>1630</v>
      </c>
      <c r="E1263" s="4">
        <v>1600.2</v>
      </c>
      <c r="F1263" s="4">
        <v>1616.2</v>
      </c>
      <c r="G1263" s="4">
        <v>1608</v>
      </c>
      <c r="H1263" s="4">
        <v>1610.8</v>
      </c>
      <c r="I1263" s="4">
        <v>1616.8</v>
      </c>
      <c r="J1263" s="4">
        <v>2006.45</v>
      </c>
      <c r="K1263" s="4">
        <v>1307</v>
      </c>
      <c r="L1263" s="2">
        <v>7550413</v>
      </c>
      <c r="M1263" s="2">
        <v>12207531800.5</v>
      </c>
      <c r="N1263" s="2">
        <v>302234</v>
      </c>
      <c r="O1263" t="s">
        <v>21</v>
      </c>
      <c r="P1263" s="8">
        <f t="shared" si="57"/>
        <v>-0.89999999999986358</v>
      </c>
      <c r="Q1263" t="s">
        <v>38</v>
      </c>
      <c r="R1263">
        <f t="shared" si="58"/>
        <v>12</v>
      </c>
      <c r="S1263" t="str">
        <f t="shared" si="59"/>
        <v>Dec</v>
      </c>
      <c r="T1263" s="9">
        <f>VLOOKUP(O1263, Annual_Summary!A:B, 2, 0)</f>
        <v>-0.14188579017264272</v>
      </c>
    </row>
    <row r="1264" spans="1:20" x14ac:dyDescent="0.3">
      <c r="A1264" s="1">
        <v>45996</v>
      </c>
      <c r="B1264" s="4" t="s">
        <v>15</v>
      </c>
      <c r="C1264" s="4">
        <v>1610</v>
      </c>
      <c r="D1264" s="4">
        <v>1631.8</v>
      </c>
      <c r="E1264" s="4">
        <v>1600</v>
      </c>
      <c r="F1264" s="4">
        <v>1597.6</v>
      </c>
      <c r="G1264" s="4">
        <v>1613.9</v>
      </c>
      <c r="H1264" s="4">
        <v>1616.2</v>
      </c>
      <c r="I1264" s="4">
        <v>1617.78</v>
      </c>
      <c r="J1264" s="4">
        <v>2006.45</v>
      </c>
      <c r="K1264" s="4">
        <v>1307</v>
      </c>
      <c r="L1264" s="2">
        <v>10344725</v>
      </c>
      <c r="M1264" s="2">
        <v>16735528909.200001</v>
      </c>
      <c r="N1264" s="2">
        <v>327955</v>
      </c>
      <c r="O1264" t="s">
        <v>21</v>
      </c>
      <c r="P1264" s="8">
        <f t="shared" si="57"/>
        <v>-12.400000000000091</v>
      </c>
      <c r="Q1264" t="s">
        <v>38</v>
      </c>
      <c r="R1264">
        <f t="shared" si="58"/>
        <v>12</v>
      </c>
      <c r="S1264" t="str">
        <f t="shared" si="59"/>
        <v>Dec</v>
      </c>
      <c r="T1264" s="9">
        <f>VLOOKUP(O1264, Annual_Summary!A:B, 2, 0)</f>
        <v>-0.14188579017264272</v>
      </c>
    </row>
    <row r="1265" spans="1:20" x14ac:dyDescent="0.3">
      <c r="A1265" s="1">
        <v>45995</v>
      </c>
      <c r="B1265" s="4" t="s">
        <v>15</v>
      </c>
      <c r="C1265" s="4">
        <v>1568</v>
      </c>
      <c r="D1265" s="4">
        <v>1599</v>
      </c>
      <c r="E1265" s="4">
        <v>1568</v>
      </c>
      <c r="F1265" s="4">
        <v>1578.7</v>
      </c>
      <c r="G1265" s="4">
        <v>1593.2</v>
      </c>
      <c r="H1265" s="4">
        <v>1597.6</v>
      </c>
      <c r="I1265" s="4">
        <v>1591.52</v>
      </c>
      <c r="J1265" s="4">
        <v>2006.45</v>
      </c>
      <c r="K1265" s="4">
        <v>1307</v>
      </c>
      <c r="L1265" s="2">
        <v>12609619</v>
      </c>
      <c r="M1265" s="2">
        <v>20068424408.5</v>
      </c>
      <c r="N1265" s="2">
        <v>325755</v>
      </c>
      <c r="O1265" t="s">
        <v>21</v>
      </c>
      <c r="P1265" s="8">
        <f t="shared" si="57"/>
        <v>10.700000000000045</v>
      </c>
      <c r="Q1265" t="s">
        <v>38</v>
      </c>
      <c r="R1265">
        <f t="shared" si="58"/>
        <v>12</v>
      </c>
      <c r="S1265" t="str">
        <f t="shared" si="59"/>
        <v>Dec</v>
      </c>
      <c r="T1265" s="9">
        <f>VLOOKUP(O1265, Annual_Summary!A:B, 2, 0)</f>
        <v>-0.14188579017264272</v>
      </c>
    </row>
    <row r="1266" spans="1:20" x14ac:dyDescent="0.3">
      <c r="A1266" s="1">
        <v>45994</v>
      </c>
      <c r="B1266" s="4" t="s">
        <v>15</v>
      </c>
      <c r="C1266" s="4">
        <v>1555.1</v>
      </c>
      <c r="D1266" s="4">
        <v>1586</v>
      </c>
      <c r="E1266" s="4">
        <v>1554.1</v>
      </c>
      <c r="F1266" s="4">
        <v>1561</v>
      </c>
      <c r="G1266" s="4">
        <v>1575.6</v>
      </c>
      <c r="H1266" s="4">
        <v>1578.7</v>
      </c>
      <c r="I1266" s="4">
        <v>1574.15</v>
      </c>
      <c r="J1266" s="4">
        <v>2006.45</v>
      </c>
      <c r="K1266" s="4">
        <v>1307</v>
      </c>
      <c r="L1266" s="2">
        <v>12895312</v>
      </c>
      <c r="M1266" s="2">
        <v>20299183597.599998</v>
      </c>
      <c r="N1266" s="2">
        <v>339751</v>
      </c>
      <c r="O1266" t="s">
        <v>21</v>
      </c>
      <c r="P1266" s="8">
        <f t="shared" si="57"/>
        <v>5.9000000000000909</v>
      </c>
      <c r="Q1266" t="s">
        <v>38</v>
      </c>
      <c r="R1266">
        <f t="shared" si="58"/>
        <v>12</v>
      </c>
      <c r="S1266" t="str">
        <f t="shared" si="59"/>
        <v>Dec</v>
      </c>
      <c r="T1266" s="9">
        <f>VLOOKUP(O1266, Annual_Summary!A:B, 2, 0)</f>
        <v>-0.14188579017264272</v>
      </c>
    </row>
    <row r="1267" spans="1:20" x14ac:dyDescent="0.3">
      <c r="A1267" s="1">
        <v>45993</v>
      </c>
      <c r="B1267" s="4" t="s">
        <v>15</v>
      </c>
      <c r="C1267" s="4">
        <v>1567</v>
      </c>
      <c r="D1267" s="4">
        <v>1579.9</v>
      </c>
      <c r="E1267" s="4">
        <v>1556.1</v>
      </c>
      <c r="F1267" s="4">
        <v>1564</v>
      </c>
      <c r="G1267" s="4">
        <v>1563</v>
      </c>
      <c r="H1267" s="4">
        <v>1561</v>
      </c>
      <c r="I1267" s="4">
        <v>1564.22</v>
      </c>
      <c r="J1267" s="4">
        <v>2006.45</v>
      </c>
      <c r="K1267" s="4">
        <v>1307</v>
      </c>
      <c r="L1267" s="2">
        <v>6335969</v>
      </c>
      <c r="M1267" s="2">
        <v>9910827669.3999996</v>
      </c>
      <c r="N1267" s="2">
        <v>243238</v>
      </c>
      <c r="O1267" t="s">
        <v>21</v>
      </c>
      <c r="P1267" s="8">
        <f t="shared" si="57"/>
        <v>-3</v>
      </c>
      <c r="Q1267" t="s">
        <v>38</v>
      </c>
      <c r="R1267">
        <f t="shared" si="58"/>
        <v>12</v>
      </c>
      <c r="S1267" t="str">
        <f t="shared" si="59"/>
        <v>Dec</v>
      </c>
      <c r="T1267" s="9">
        <f>VLOOKUP(O1267, Annual_Summary!A:B, 2, 0)</f>
        <v>-0.14188579017264272</v>
      </c>
    </row>
    <row r="1268" spans="1:20" x14ac:dyDescent="0.3">
      <c r="A1268" s="1">
        <v>45992</v>
      </c>
      <c r="B1268" s="4" t="s">
        <v>15</v>
      </c>
      <c r="C1268" s="4">
        <v>1562.5</v>
      </c>
      <c r="D1268" s="4">
        <v>1574</v>
      </c>
      <c r="E1268" s="4">
        <v>1556</v>
      </c>
      <c r="F1268" s="4">
        <v>1560.1</v>
      </c>
      <c r="G1268" s="4">
        <v>1563.5</v>
      </c>
      <c r="H1268" s="4">
        <v>1564</v>
      </c>
      <c r="I1268" s="4">
        <v>1564.42</v>
      </c>
      <c r="J1268" s="4">
        <v>2006.45</v>
      </c>
      <c r="K1268" s="4">
        <v>1307</v>
      </c>
      <c r="L1268" s="2">
        <v>5341800</v>
      </c>
      <c r="M1268" s="2">
        <v>8356820751</v>
      </c>
      <c r="N1268" s="2">
        <v>189364</v>
      </c>
      <c r="O1268" t="s">
        <v>21</v>
      </c>
      <c r="P1268" s="8">
        <f t="shared" si="57"/>
        <v>-2.4000000000000909</v>
      </c>
      <c r="Q1268" t="s">
        <v>38</v>
      </c>
      <c r="R1268">
        <f t="shared" si="58"/>
        <v>12</v>
      </c>
      <c r="S1268" t="str">
        <f t="shared" si="59"/>
        <v>Dec</v>
      </c>
      <c r="T1268" s="9">
        <f>VLOOKUP(O1268, Annual_Summary!A:B, 2, 0)</f>
        <v>-0.14188579017264272</v>
      </c>
    </row>
    <row r="1269" spans="1:20" x14ac:dyDescent="0.3">
      <c r="A1269" s="1">
        <v>45989</v>
      </c>
      <c r="B1269" s="4" t="s">
        <v>15</v>
      </c>
      <c r="C1269" s="4">
        <v>1565</v>
      </c>
      <c r="D1269" s="4">
        <v>1568.4</v>
      </c>
      <c r="E1269" s="4">
        <v>1557</v>
      </c>
      <c r="F1269" s="4">
        <v>1566.4</v>
      </c>
      <c r="G1269" s="4">
        <v>1558.1</v>
      </c>
      <c r="H1269" s="4">
        <v>1560.1</v>
      </c>
      <c r="I1269" s="4">
        <v>1561.93</v>
      </c>
      <c r="J1269" s="4">
        <v>2006.45</v>
      </c>
      <c r="K1269" s="4">
        <v>1307</v>
      </c>
      <c r="L1269" s="2">
        <v>4453221</v>
      </c>
      <c r="M1269" s="2">
        <v>6955603409.6999998</v>
      </c>
      <c r="N1269" s="2">
        <v>115190</v>
      </c>
      <c r="O1269" t="s">
        <v>21</v>
      </c>
      <c r="P1269" s="8">
        <f t="shared" si="57"/>
        <v>1.4000000000000909</v>
      </c>
      <c r="Q1269" t="s">
        <v>38</v>
      </c>
      <c r="R1269">
        <f t="shared" si="58"/>
        <v>11</v>
      </c>
      <c r="S1269" t="str">
        <f t="shared" si="59"/>
        <v>Nov</v>
      </c>
      <c r="T1269" s="9">
        <f>VLOOKUP(O1269, Annual_Summary!A:B, 2, 0)</f>
        <v>-0.14188579017264272</v>
      </c>
    </row>
    <row r="1270" spans="1:20" x14ac:dyDescent="0.3">
      <c r="A1270" s="1">
        <v>45988</v>
      </c>
      <c r="B1270" s="4" t="s">
        <v>15</v>
      </c>
      <c r="C1270" s="4">
        <v>1564</v>
      </c>
      <c r="D1270" s="4">
        <v>1574.3</v>
      </c>
      <c r="E1270" s="4">
        <v>1552.2</v>
      </c>
      <c r="F1270" s="4">
        <v>1557.9</v>
      </c>
      <c r="G1270" s="4">
        <v>1565</v>
      </c>
      <c r="H1270" s="4">
        <v>1566.4</v>
      </c>
      <c r="I1270" s="4">
        <v>1563.46</v>
      </c>
      <c r="J1270" s="4">
        <v>2006.45</v>
      </c>
      <c r="K1270" s="4">
        <v>1307</v>
      </c>
      <c r="L1270" s="2">
        <v>7552252</v>
      </c>
      <c r="M1270" s="2">
        <v>11807663907.200001</v>
      </c>
      <c r="N1270" s="2">
        <v>168875</v>
      </c>
      <c r="O1270" t="s">
        <v>21</v>
      </c>
      <c r="P1270" s="8">
        <f t="shared" si="57"/>
        <v>-6.0999999999999091</v>
      </c>
      <c r="Q1270" t="s">
        <v>38</v>
      </c>
      <c r="R1270">
        <f t="shared" si="58"/>
        <v>11</v>
      </c>
      <c r="S1270" t="str">
        <f t="shared" si="59"/>
        <v>Nov</v>
      </c>
      <c r="T1270" s="9">
        <f>VLOOKUP(O1270, Annual_Summary!A:B, 2, 0)</f>
        <v>-0.14188579017264272</v>
      </c>
    </row>
    <row r="1271" spans="1:20" x14ac:dyDescent="0.3">
      <c r="A1271" s="1">
        <v>45987</v>
      </c>
      <c r="B1271" s="4" t="s">
        <v>15</v>
      </c>
      <c r="C1271" s="4">
        <v>1532.1</v>
      </c>
      <c r="D1271" s="4">
        <v>1560.3</v>
      </c>
      <c r="E1271" s="4">
        <v>1532.1</v>
      </c>
      <c r="F1271" s="4">
        <v>1530.6</v>
      </c>
      <c r="G1271" s="4">
        <v>1557.3</v>
      </c>
      <c r="H1271" s="4">
        <v>1557.9</v>
      </c>
      <c r="I1271" s="4">
        <v>1550.71</v>
      </c>
      <c r="J1271" s="4">
        <v>2006.45</v>
      </c>
      <c r="K1271" s="4">
        <v>1307</v>
      </c>
      <c r="L1271" s="2">
        <v>7575038</v>
      </c>
      <c r="M1271" s="2">
        <v>11746721789</v>
      </c>
      <c r="N1271" s="2">
        <v>122796</v>
      </c>
      <c r="O1271" t="s">
        <v>21</v>
      </c>
      <c r="P1271" s="8">
        <f t="shared" si="57"/>
        <v>-1.5</v>
      </c>
      <c r="Q1271" t="s">
        <v>38</v>
      </c>
      <c r="R1271">
        <f t="shared" si="58"/>
        <v>11</v>
      </c>
      <c r="S1271" t="str">
        <f t="shared" si="59"/>
        <v>Nov</v>
      </c>
      <c r="T1271" s="9">
        <f>VLOOKUP(O1271, Annual_Summary!A:B, 2, 0)</f>
        <v>-0.14188579017264272</v>
      </c>
    </row>
    <row r="1272" spans="1:20" x14ac:dyDescent="0.3">
      <c r="A1272" s="1">
        <v>45986</v>
      </c>
      <c r="B1272" s="4" t="s">
        <v>15</v>
      </c>
      <c r="C1272" s="4">
        <v>1549</v>
      </c>
      <c r="D1272" s="4">
        <v>1550.6</v>
      </c>
      <c r="E1272" s="4">
        <v>1525.9</v>
      </c>
      <c r="F1272" s="4">
        <v>1548</v>
      </c>
      <c r="G1272" s="4">
        <v>1530.2</v>
      </c>
      <c r="H1272" s="4">
        <v>1530.6</v>
      </c>
      <c r="I1272" s="4">
        <v>1532.04</v>
      </c>
      <c r="J1272" s="4">
        <v>2006.45</v>
      </c>
      <c r="K1272" s="4">
        <v>1307</v>
      </c>
      <c r="L1272" s="2">
        <v>8107952</v>
      </c>
      <c r="M1272" s="2">
        <v>12421720830.6</v>
      </c>
      <c r="N1272" s="2">
        <v>170664</v>
      </c>
      <c r="O1272" t="s">
        <v>21</v>
      </c>
      <c r="P1272" s="8">
        <f t="shared" si="57"/>
        <v>-1</v>
      </c>
      <c r="Q1272" t="s">
        <v>38</v>
      </c>
      <c r="R1272">
        <f t="shared" si="58"/>
        <v>11</v>
      </c>
      <c r="S1272" t="str">
        <f t="shared" si="59"/>
        <v>Nov</v>
      </c>
      <c r="T1272" s="9">
        <f>VLOOKUP(O1272, Annual_Summary!A:B, 2, 0)</f>
        <v>-0.14188579017264272</v>
      </c>
    </row>
    <row r="1273" spans="1:20" x14ac:dyDescent="0.3">
      <c r="A1273" s="1">
        <v>45985</v>
      </c>
      <c r="B1273" s="4" t="s">
        <v>15</v>
      </c>
      <c r="C1273" s="4">
        <v>1563.6</v>
      </c>
      <c r="D1273" s="4">
        <v>1585</v>
      </c>
      <c r="E1273" s="4">
        <v>1541</v>
      </c>
      <c r="F1273" s="4">
        <v>1545</v>
      </c>
      <c r="G1273" s="4">
        <v>1546.2</v>
      </c>
      <c r="H1273" s="4">
        <v>1548</v>
      </c>
      <c r="I1273" s="4">
        <v>1558.71</v>
      </c>
      <c r="J1273" s="4">
        <v>2006.45</v>
      </c>
      <c r="K1273" s="4">
        <v>1307</v>
      </c>
      <c r="L1273" s="2">
        <v>19270381</v>
      </c>
      <c r="M1273" s="2">
        <v>30036994341.400002</v>
      </c>
      <c r="N1273" s="2">
        <v>267249</v>
      </c>
      <c r="O1273" t="s">
        <v>21</v>
      </c>
      <c r="P1273" s="8">
        <f t="shared" si="57"/>
        <v>-18.599999999999909</v>
      </c>
      <c r="Q1273" t="s">
        <v>38</v>
      </c>
      <c r="R1273">
        <f t="shared" si="58"/>
        <v>11</v>
      </c>
      <c r="S1273" t="str">
        <f t="shared" si="59"/>
        <v>Nov</v>
      </c>
      <c r="T1273" s="9">
        <f>VLOOKUP(O1273, Annual_Summary!A:B, 2, 0)</f>
        <v>-0.14188579017264272</v>
      </c>
    </row>
    <row r="1274" spans="1:20" x14ac:dyDescent="0.3">
      <c r="A1274" s="1">
        <v>45982</v>
      </c>
      <c r="B1274" s="4" t="s">
        <v>15</v>
      </c>
      <c r="C1274" s="4">
        <v>1531</v>
      </c>
      <c r="D1274" s="4">
        <v>1551.5</v>
      </c>
      <c r="E1274" s="4">
        <v>1526.3</v>
      </c>
      <c r="F1274" s="4">
        <v>1536.5</v>
      </c>
      <c r="G1274" s="4">
        <v>1544.1</v>
      </c>
      <c r="H1274" s="4">
        <v>1545</v>
      </c>
      <c r="I1274" s="4">
        <v>1543.83</v>
      </c>
      <c r="J1274" s="4">
        <v>2006.45</v>
      </c>
      <c r="K1274" s="4">
        <v>1307</v>
      </c>
      <c r="L1274" s="2">
        <v>9186302</v>
      </c>
      <c r="M1274" s="2">
        <v>14182074317.799999</v>
      </c>
      <c r="N1274" s="2">
        <v>227357</v>
      </c>
      <c r="O1274" t="s">
        <v>21</v>
      </c>
      <c r="P1274" s="8">
        <f t="shared" si="57"/>
        <v>5.5</v>
      </c>
      <c r="Q1274" t="s">
        <v>38</v>
      </c>
      <c r="R1274">
        <f t="shared" si="58"/>
        <v>11</v>
      </c>
      <c r="S1274" t="str">
        <f t="shared" si="59"/>
        <v>Nov</v>
      </c>
      <c r="T1274" s="9">
        <f>VLOOKUP(O1274, Annual_Summary!A:B, 2, 0)</f>
        <v>-0.14188579017264272</v>
      </c>
    </row>
    <row r="1275" spans="1:20" x14ac:dyDescent="0.3">
      <c r="A1275" s="1">
        <v>45981</v>
      </c>
      <c r="B1275" s="4" t="s">
        <v>15</v>
      </c>
      <c r="C1275" s="4">
        <v>1555</v>
      </c>
      <c r="D1275" s="4">
        <v>1555</v>
      </c>
      <c r="E1275" s="4">
        <v>1534</v>
      </c>
      <c r="F1275" s="4">
        <v>1541.1</v>
      </c>
      <c r="G1275" s="4">
        <v>1536.3</v>
      </c>
      <c r="H1275" s="4">
        <v>1536.5</v>
      </c>
      <c r="I1275" s="4">
        <v>1539.6</v>
      </c>
      <c r="J1275" s="4">
        <v>2006.45</v>
      </c>
      <c r="K1275" s="4">
        <v>1307</v>
      </c>
      <c r="L1275" s="2">
        <v>7387584</v>
      </c>
      <c r="M1275" s="2">
        <v>11373929222.9</v>
      </c>
      <c r="N1275" s="2">
        <v>174272</v>
      </c>
      <c r="O1275" t="s">
        <v>21</v>
      </c>
      <c r="P1275" s="8">
        <f t="shared" si="57"/>
        <v>-13.900000000000091</v>
      </c>
      <c r="Q1275" t="s">
        <v>38</v>
      </c>
      <c r="R1275">
        <f t="shared" si="58"/>
        <v>11</v>
      </c>
      <c r="S1275" t="str">
        <f t="shared" si="59"/>
        <v>Nov</v>
      </c>
      <c r="T1275" s="9">
        <f>VLOOKUP(O1275, Annual_Summary!A:B, 2, 0)</f>
        <v>-0.14188579017264272</v>
      </c>
    </row>
    <row r="1276" spans="1:20" x14ac:dyDescent="0.3">
      <c r="A1276" s="1">
        <v>45980</v>
      </c>
      <c r="B1276" s="4" t="s">
        <v>15</v>
      </c>
      <c r="C1276" s="4">
        <v>1490.5</v>
      </c>
      <c r="D1276" s="4">
        <v>1543</v>
      </c>
      <c r="E1276" s="4">
        <v>1490.5</v>
      </c>
      <c r="F1276" s="4">
        <v>1486.4</v>
      </c>
      <c r="G1276" s="4">
        <v>1542</v>
      </c>
      <c r="H1276" s="4">
        <v>1541.1</v>
      </c>
      <c r="I1276" s="4">
        <v>1531.48</v>
      </c>
      <c r="J1276" s="4">
        <v>2006.45</v>
      </c>
      <c r="K1276" s="4">
        <v>1307</v>
      </c>
      <c r="L1276" s="2">
        <v>10981126</v>
      </c>
      <c r="M1276" s="2">
        <v>16817387454.200001</v>
      </c>
      <c r="N1276" s="2">
        <v>212749</v>
      </c>
      <c r="O1276" t="s">
        <v>21</v>
      </c>
      <c r="P1276" s="8">
        <f t="shared" si="57"/>
        <v>-4.0999999999999091</v>
      </c>
      <c r="Q1276" t="s">
        <v>38</v>
      </c>
      <c r="R1276">
        <f t="shared" si="58"/>
        <v>11</v>
      </c>
      <c r="S1276" t="str">
        <f t="shared" si="59"/>
        <v>Nov</v>
      </c>
      <c r="T1276" s="9">
        <f>VLOOKUP(O1276, Annual_Summary!A:B, 2, 0)</f>
        <v>-0.14188579017264272</v>
      </c>
    </row>
    <row r="1277" spans="1:20" x14ac:dyDescent="0.3">
      <c r="A1277" s="1">
        <v>45979</v>
      </c>
      <c r="B1277" s="4" t="s">
        <v>15</v>
      </c>
      <c r="C1277" s="4">
        <v>1506</v>
      </c>
      <c r="D1277" s="4">
        <v>1506</v>
      </c>
      <c r="E1277" s="4">
        <v>1483.2</v>
      </c>
      <c r="F1277" s="4">
        <v>1507.6</v>
      </c>
      <c r="G1277" s="4">
        <v>1486.8</v>
      </c>
      <c r="H1277" s="4">
        <v>1486.4</v>
      </c>
      <c r="I1277" s="4">
        <v>1489.33</v>
      </c>
      <c r="J1277" s="4">
        <v>2006.45</v>
      </c>
      <c r="K1277" s="4">
        <v>1307</v>
      </c>
      <c r="L1277" s="2">
        <v>7525119</v>
      </c>
      <c r="M1277" s="2">
        <v>11207398254.700001</v>
      </c>
      <c r="N1277" s="2">
        <v>164811</v>
      </c>
      <c r="O1277" t="s">
        <v>21</v>
      </c>
      <c r="P1277" s="8">
        <f t="shared" si="57"/>
        <v>1.5999999999999091</v>
      </c>
      <c r="Q1277" t="s">
        <v>38</v>
      </c>
      <c r="R1277">
        <f t="shared" si="58"/>
        <v>11</v>
      </c>
      <c r="S1277" t="str">
        <f t="shared" si="59"/>
        <v>Nov</v>
      </c>
      <c r="T1277" s="9">
        <f>VLOOKUP(O1277, Annual_Summary!A:B, 2, 0)</f>
        <v>-0.14188579017264272</v>
      </c>
    </row>
    <row r="1278" spans="1:20" x14ac:dyDescent="0.3">
      <c r="A1278" s="1">
        <v>45978</v>
      </c>
      <c r="B1278" s="4" t="s">
        <v>15</v>
      </c>
      <c r="C1278" s="4">
        <v>1496</v>
      </c>
      <c r="D1278" s="4">
        <v>1510.2</v>
      </c>
      <c r="E1278" s="4">
        <v>1492.5</v>
      </c>
      <c r="F1278" s="4">
        <v>1502.8</v>
      </c>
      <c r="G1278" s="4">
        <v>1507</v>
      </c>
      <c r="H1278" s="4">
        <v>1507.6</v>
      </c>
      <c r="I1278" s="4">
        <v>1502.37</v>
      </c>
      <c r="J1278" s="4">
        <v>2006.45</v>
      </c>
      <c r="K1278" s="4">
        <v>1307</v>
      </c>
      <c r="L1278" s="2">
        <v>7910354</v>
      </c>
      <c r="M1278" s="2">
        <v>11884261119.200001</v>
      </c>
      <c r="N1278" s="2">
        <v>271436</v>
      </c>
      <c r="O1278" t="s">
        <v>21</v>
      </c>
      <c r="P1278" s="8">
        <f t="shared" si="57"/>
        <v>6.7999999999999545</v>
      </c>
      <c r="Q1278" t="s">
        <v>38</v>
      </c>
      <c r="R1278">
        <f t="shared" si="58"/>
        <v>11</v>
      </c>
      <c r="S1278" t="str">
        <f t="shared" si="59"/>
        <v>Nov</v>
      </c>
      <c r="T1278" s="9">
        <f>VLOOKUP(O1278, Annual_Summary!A:B, 2, 0)</f>
        <v>-0.14188579017264272</v>
      </c>
    </row>
    <row r="1279" spans="1:20" x14ac:dyDescent="0.3">
      <c r="A1279" s="1">
        <v>45975</v>
      </c>
      <c r="B1279" s="4" t="s">
        <v>15</v>
      </c>
      <c r="C1279" s="4">
        <v>1520</v>
      </c>
      <c r="D1279" s="4">
        <v>1530</v>
      </c>
      <c r="E1279" s="4">
        <v>1488.8</v>
      </c>
      <c r="F1279" s="4">
        <v>1541.8</v>
      </c>
      <c r="G1279" s="4">
        <v>1505.8</v>
      </c>
      <c r="H1279" s="4">
        <v>1502.8</v>
      </c>
      <c r="I1279" s="4">
        <v>1502.86</v>
      </c>
      <c r="J1279" s="4">
        <v>2006.45</v>
      </c>
      <c r="K1279" s="4">
        <v>1307</v>
      </c>
      <c r="L1279" s="2">
        <v>9739549</v>
      </c>
      <c r="M1279" s="2">
        <v>14637169031.700001</v>
      </c>
      <c r="N1279" s="2">
        <v>236102</v>
      </c>
      <c r="O1279" t="s">
        <v>21</v>
      </c>
      <c r="P1279" s="8">
        <f t="shared" si="57"/>
        <v>21.799999999999955</v>
      </c>
      <c r="Q1279" t="s">
        <v>38</v>
      </c>
      <c r="R1279">
        <f t="shared" si="58"/>
        <v>11</v>
      </c>
      <c r="S1279" t="str">
        <f t="shared" si="59"/>
        <v>Nov</v>
      </c>
      <c r="T1279" s="9">
        <f>VLOOKUP(O1279, Annual_Summary!A:B, 2, 0)</f>
        <v>-0.14188579017264272</v>
      </c>
    </row>
    <row r="1280" spans="1:20" x14ac:dyDescent="0.3">
      <c r="A1280" s="1">
        <v>45974</v>
      </c>
      <c r="B1280" s="4" t="s">
        <v>15</v>
      </c>
      <c r="C1280" s="4">
        <v>1557.1</v>
      </c>
      <c r="D1280" s="4">
        <v>1557.5</v>
      </c>
      <c r="E1280" s="4">
        <v>1530.3</v>
      </c>
      <c r="F1280" s="4">
        <v>1551.7</v>
      </c>
      <c r="G1280" s="4">
        <v>1542</v>
      </c>
      <c r="H1280" s="4">
        <v>1541.8</v>
      </c>
      <c r="I1280" s="4">
        <v>1546.18</v>
      </c>
      <c r="J1280" s="4">
        <v>2006.45</v>
      </c>
      <c r="K1280" s="4">
        <v>1307</v>
      </c>
      <c r="L1280" s="2">
        <v>19655689</v>
      </c>
      <c r="M1280" s="2">
        <v>30391136875</v>
      </c>
      <c r="N1280" s="2">
        <v>384451</v>
      </c>
      <c r="O1280" t="s">
        <v>21</v>
      </c>
      <c r="P1280" s="8">
        <f t="shared" si="57"/>
        <v>-5.3999999999998636</v>
      </c>
      <c r="Q1280" t="s">
        <v>38</v>
      </c>
      <c r="R1280">
        <f t="shared" si="58"/>
        <v>11</v>
      </c>
      <c r="S1280" t="str">
        <f t="shared" si="59"/>
        <v>Nov</v>
      </c>
      <c r="T1280" s="9">
        <f>VLOOKUP(O1280, Annual_Summary!A:B, 2, 0)</f>
        <v>-0.14188579017264272</v>
      </c>
    </row>
    <row r="1281" spans="1:20" x14ac:dyDescent="0.3">
      <c r="A1281" s="1">
        <v>45973</v>
      </c>
      <c r="B1281" s="4" t="s">
        <v>15</v>
      </c>
      <c r="C1281" s="4">
        <v>1540</v>
      </c>
      <c r="D1281" s="4">
        <v>1559.2</v>
      </c>
      <c r="E1281" s="4">
        <v>1538.1</v>
      </c>
      <c r="F1281" s="4">
        <v>1530.3</v>
      </c>
      <c r="G1281" s="4">
        <v>1550.6</v>
      </c>
      <c r="H1281" s="4">
        <v>1551.7</v>
      </c>
      <c r="I1281" s="4">
        <v>1551.22</v>
      </c>
      <c r="J1281" s="4">
        <v>2006.45</v>
      </c>
      <c r="K1281" s="4">
        <v>1307</v>
      </c>
      <c r="L1281" s="2">
        <v>14635417</v>
      </c>
      <c r="M1281" s="2">
        <v>22702769740.900002</v>
      </c>
      <c r="N1281" s="2">
        <v>394127</v>
      </c>
      <c r="O1281" t="s">
        <v>21</v>
      </c>
      <c r="P1281" s="8">
        <f t="shared" si="57"/>
        <v>-9.7000000000000455</v>
      </c>
      <c r="Q1281" t="s">
        <v>38</v>
      </c>
      <c r="R1281">
        <f t="shared" si="58"/>
        <v>11</v>
      </c>
      <c r="S1281" t="str">
        <f t="shared" si="59"/>
        <v>Nov</v>
      </c>
      <c r="T1281" s="9">
        <f>VLOOKUP(O1281, Annual_Summary!A:B, 2, 0)</f>
        <v>-0.14188579017264272</v>
      </c>
    </row>
    <row r="1282" spans="1:20" x14ac:dyDescent="0.3">
      <c r="A1282" s="1">
        <v>45972</v>
      </c>
      <c r="B1282" s="4" t="s">
        <v>15</v>
      </c>
      <c r="C1282" s="4">
        <v>1525</v>
      </c>
      <c r="D1282" s="4">
        <v>1533.4</v>
      </c>
      <c r="E1282" s="4">
        <v>1511.1</v>
      </c>
      <c r="F1282" s="4">
        <v>1513.5</v>
      </c>
      <c r="G1282" s="4">
        <v>1531.1</v>
      </c>
      <c r="H1282" s="4">
        <v>1530.3</v>
      </c>
      <c r="I1282" s="4">
        <v>1523.87</v>
      </c>
      <c r="J1282" s="4">
        <v>2006.45</v>
      </c>
      <c r="K1282" s="4">
        <v>1307</v>
      </c>
      <c r="L1282" s="2">
        <v>13692989</v>
      </c>
      <c r="M1282" s="2">
        <v>20866299929.099998</v>
      </c>
      <c r="N1282" s="2">
        <v>255611</v>
      </c>
      <c r="O1282" t="s">
        <v>21</v>
      </c>
      <c r="P1282" s="8">
        <f t="shared" si="57"/>
        <v>-11.5</v>
      </c>
      <c r="Q1282" t="s">
        <v>38</v>
      </c>
      <c r="R1282">
        <f t="shared" si="58"/>
        <v>11</v>
      </c>
      <c r="S1282" t="str">
        <f t="shared" si="59"/>
        <v>Nov</v>
      </c>
      <c r="T1282" s="9">
        <f>VLOOKUP(O1282, Annual_Summary!A:B, 2, 0)</f>
        <v>-0.14188579017264272</v>
      </c>
    </row>
    <row r="1283" spans="1:20" x14ac:dyDescent="0.3">
      <c r="A1283" s="1">
        <v>45971</v>
      </c>
      <c r="B1283" s="4" t="s">
        <v>15</v>
      </c>
      <c r="C1283" s="4">
        <v>1490.1</v>
      </c>
      <c r="D1283" s="4">
        <v>1520</v>
      </c>
      <c r="E1283" s="4">
        <v>1490</v>
      </c>
      <c r="F1283" s="4">
        <v>1476.8</v>
      </c>
      <c r="G1283" s="4">
        <v>1515</v>
      </c>
      <c r="H1283" s="4">
        <v>1513.5</v>
      </c>
      <c r="I1283" s="4">
        <v>1510.83</v>
      </c>
      <c r="J1283" s="4">
        <v>2006.45</v>
      </c>
      <c r="K1283" s="4">
        <v>1307</v>
      </c>
      <c r="L1283" s="2">
        <v>9787975</v>
      </c>
      <c r="M1283" s="2">
        <v>14787962928.5</v>
      </c>
      <c r="N1283" s="2">
        <v>223666</v>
      </c>
      <c r="O1283" t="s">
        <v>21</v>
      </c>
      <c r="P1283" s="8">
        <f t="shared" ref="P1283:P1346" si="60">F1283-C1283</f>
        <v>-13.299999999999955</v>
      </c>
      <c r="Q1283" t="s">
        <v>38</v>
      </c>
      <c r="R1283">
        <f t="shared" ref="R1283:R1346" si="61">MONTH(A1283)</f>
        <v>11</v>
      </c>
      <c r="S1283" t="str">
        <f t="shared" ref="S1283:S1346" si="62">TEXT(A1283,"mmm")</f>
        <v>Nov</v>
      </c>
      <c r="T1283" s="9">
        <f>VLOOKUP(O1283, Annual_Summary!A:B, 2, 0)</f>
        <v>-0.14188579017264272</v>
      </c>
    </row>
    <row r="1284" spans="1:20" x14ac:dyDescent="0.3">
      <c r="A1284" s="1">
        <v>45968</v>
      </c>
      <c r="B1284" s="4" t="s">
        <v>15</v>
      </c>
      <c r="C1284" s="4">
        <v>1470</v>
      </c>
      <c r="D1284" s="4">
        <v>1480.9</v>
      </c>
      <c r="E1284" s="4">
        <v>1449.1</v>
      </c>
      <c r="F1284" s="4">
        <v>1466.7</v>
      </c>
      <c r="G1284" s="4">
        <v>1478</v>
      </c>
      <c r="H1284" s="4">
        <v>1476.8</v>
      </c>
      <c r="I1284" s="4">
        <v>1466.5</v>
      </c>
      <c r="J1284" s="4">
        <v>2006.45</v>
      </c>
      <c r="K1284" s="4">
        <v>1307</v>
      </c>
      <c r="L1284" s="2">
        <v>8765759</v>
      </c>
      <c r="M1284" s="2">
        <v>12855016020.6</v>
      </c>
      <c r="N1284" s="2">
        <v>254091</v>
      </c>
      <c r="O1284" t="s">
        <v>21</v>
      </c>
      <c r="P1284" s="8">
        <f t="shared" si="60"/>
        <v>-3.2999999999999545</v>
      </c>
      <c r="Q1284" t="s">
        <v>38</v>
      </c>
      <c r="R1284">
        <f t="shared" si="61"/>
        <v>11</v>
      </c>
      <c r="S1284" t="str">
        <f t="shared" si="62"/>
        <v>Nov</v>
      </c>
      <c r="T1284" s="9">
        <f>VLOOKUP(O1284, Annual_Summary!A:B, 2, 0)</f>
        <v>-0.14188579017264272</v>
      </c>
    </row>
    <row r="1285" spans="1:20" x14ac:dyDescent="0.3">
      <c r="A1285" s="1">
        <v>45967</v>
      </c>
      <c r="B1285" s="4" t="s">
        <v>15</v>
      </c>
      <c r="C1285" s="4">
        <v>1478.6</v>
      </c>
      <c r="D1285" s="4">
        <v>1483</v>
      </c>
      <c r="E1285" s="4">
        <v>1461.9</v>
      </c>
      <c r="F1285" s="4">
        <v>1467.9</v>
      </c>
      <c r="G1285" s="4">
        <v>1466.5</v>
      </c>
      <c r="H1285" s="4">
        <v>1466.7</v>
      </c>
      <c r="I1285" s="4">
        <v>1471.99</v>
      </c>
      <c r="J1285" s="4">
        <v>2006.45</v>
      </c>
      <c r="K1285" s="4">
        <v>1307</v>
      </c>
      <c r="L1285" s="2">
        <v>7944752</v>
      </c>
      <c r="M1285" s="2">
        <v>11694618273.5</v>
      </c>
      <c r="N1285" s="2">
        <v>288667</v>
      </c>
      <c r="O1285" t="s">
        <v>21</v>
      </c>
      <c r="P1285" s="8">
        <f t="shared" si="60"/>
        <v>-10.699999999999818</v>
      </c>
      <c r="Q1285" t="s">
        <v>38</v>
      </c>
      <c r="R1285">
        <f t="shared" si="61"/>
        <v>11</v>
      </c>
      <c r="S1285" t="str">
        <f t="shared" si="62"/>
        <v>Nov</v>
      </c>
      <c r="T1285" s="9">
        <f>VLOOKUP(O1285, Annual_Summary!A:B, 2, 0)</f>
        <v>-0.14188579017264272</v>
      </c>
    </row>
    <row r="1286" spans="1:20" x14ac:dyDescent="0.3">
      <c r="A1286" s="1">
        <v>45965</v>
      </c>
      <c r="B1286" s="4" t="s">
        <v>15</v>
      </c>
      <c r="C1286" s="4">
        <v>1479.7</v>
      </c>
      <c r="D1286" s="4">
        <v>1481.9</v>
      </c>
      <c r="E1286" s="4">
        <v>1462.9</v>
      </c>
      <c r="F1286" s="4">
        <v>1485.5</v>
      </c>
      <c r="G1286" s="4">
        <v>1468</v>
      </c>
      <c r="H1286" s="4">
        <v>1467.9</v>
      </c>
      <c r="I1286" s="4">
        <v>1470.61</v>
      </c>
      <c r="J1286" s="4">
        <v>2006.45</v>
      </c>
      <c r="K1286" s="4">
        <v>1307</v>
      </c>
      <c r="L1286" s="2">
        <v>8691330</v>
      </c>
      <c r="M1286" s="2">
        <v>12781568402.799999</v>
      </c>
      <c r="N1286" s="2">
        <v>250131</v>
      </c>
      <c r="O1286" t="s">
        <v>21</v>
      </c>
      <c r="P1286" s="8">
        <f t="shared" si="60"/>
        <v>5.7999999999999545</v>
      </c>
      <c r="Q1286" t="s">
        <v>38</v>
      </c>
      <c r="R1286">
        <f t="shared" si="61"/>
        <v>11</v>
      </c>
      <c r="S1286" t="str">
        <f t="shared" si="62"/>
        <v>Nov</v>
      </c>
      <c r="T1286" s="9">
        <f>VLOOKUP(O1286, Annual_Summary!A:B, 2, 0)</f>
        <v>-0.14188579017264272</v>
      </c>
    </row>
    <row r="1287" spans="1:20" x14ac:dyDescent="0.3">
      <c r="A1287" s="1">
        <v>45964</v>
      </c>
      <c r="B1287" s="4" t="s">
        <v>15</v>
      </c>
      <c r="C1287" s="4">
        <v>1482.3</v>
      </c>
      <c r="D1287" s="4">
        <v>1491.4</v>
      </c>
      <c r="E1287" s="4">
        <v>1474.2</v>
      </c>
      <c r="F1287" s="4">
        <v>1482.3</v>
      </c>
      <c r="G1287" s="4">
        <v>1486</v>
      </c>
      <c r="H1287" s="4">
        <v>1485.5</v>
      </c>
      <c r="I1287" s="4">
        <v>1482.11</v>
      </c>
      <c r="J1287" s="4">
        <v>2006.45</v>
      </c>
      <c r="K1287" s="4">
        <v>1307</v>
      </c>
      <c r="L1287" s="2">
        <v>5470600</v>
      </c>
      <c r="M1287" s="2">
        <v>8108037412.1000004</v>
      </c>
      <c r="N1287" s="2">
        <v>166500</v>
      </c>
      <c r="O1287" t="s">
        <v>21</v>
      </c>
      <c r="P1287" s="8">
        <f t="shared" si="60"/>
        <v>0</v>
      </c>
      <c r="Q1287" t="s">
        <v>38</v>
      </c>
      <c r="R1287">
        <f t="shared" si="61"/>
        <v>11</v>
      </c>
      <c r="S1287" t="str">
        <f t="shared" si="62"/>
        <v>Nov</v>
      </c>
      <c r="T1287" s="9">
        <f>VLOOKUP(O1287, Annual_Summary!A:B, 2, 0)</f>
        <v>-0.14188579017264272</v>
      </c>
    </row>
    <row r="1288" spans="1:20" x14ac:dyDescent="0.3">
      <c r="A1288" s="1">
        <v>45961</v>
      </c>
      <c r="B1288" s="4" t="s">
        <v>15</v>
      </c>
      <c r="C1288" s="4">
        <v>1490</v>
      </c>
      <c r="D1288" s="4">
        <v>1497.1</v>
      </c>
      <c r="E1288" s="4">
        <v>1480.7</v>
      </c>
      <c r="F1288" s="4">
        <v>1493.8</v>
      </c>
      <c r="G1288" s="4">
        <v>1481.9</v>
      </c>
      <c r="H1288" s="4">
        <v>1482.3</v>
      </c>
      <c r="I1288" s="4">
        <v>1485.71</v>
      </c>
      <c r="J1288" s="4">
        <v>2006.45</v>
      </c>
      <c r="K1288" s="4">
        <v>1307</v>
      </c>
      <c r="L1288" s="2">
        <v>4819814</v>
      </c>
      <c r="M1288" s="2">
        <v>7160828351.1999998</v>
      </c>
      <c r="N1288" s="2">
        <v>185234</v>
      </c>
      <c r="O1288" t="s">
        <v>21</v>
      </c>
      <c r="P1288" s="8">
        <f t="shared" si="60"/>
        <v>3.7999999999999545</v>
      </c>
      <c r="Q1288" t="s">
        <v>38</v>
      </c>
      <c r="R1288">
        <f t="shared" si="61"/>
        <v>10</v>
      </c>
      <c r="S1288" t="str">
        <f t="shared" si="62"/>
        <v>Oct</v>
      </c>
      <c r="T1288" s="9">
        <f>VLOOKUP(O1288, Annual_Summary!A:B, 2, 0)</f>
        <v>-0.14188579017264272</v>
      </c>
    </row>
    <row r="1289" spans="1:20" x14ac:dyDescent="0.3">
      <c r="A1289" s="1">
        <v>45960</v>
      </c>
      <c r="B1289" s="4" t="s">
        <v>15</v>
      </c>
      <c r="C1289" s="4">
        <v>1507</v>
      </c>
      <c r="D1289" s="4">
        <v>1508.2</v>
      </c>
      <c r="E1289" s="4">
        <v>1489.1</v>
      </c>
      <c r="F1289" s="4">
        <v>1510.4</v>
      </c>
      <c r="G1289" s="4">
        <v>1495</v>
      </c>
      <c r="H1289" s="4">
        <v>1493.8</v>
      </c>
      <c r="I1289" s="4">
        <v>1494.92</v>
      </c>
      <c r="J1289" s="4">
        <v>2006.45</v>
      </c>
      <c r="K1289" s="4">
        <v>1307</v>
      </c>
      <c r="L1289" s="2">
        <v>5608867</v>
      </c>
      <c r="M1289" s="2">
        <v>8384810481.6000004</v>
      </c>
      <c r="N1289" s="2">
        <v>158047</v>
      </c>
      <c r="O1289" t="s">
        <v>21</v>
      </c>
      <c r="P1289" s="8">
        <f t="shared" si="60"/>
        <v>3.4000000000000909</v>
      </c>
      <c r="Q1289" t="s">
        <v>38</v>
      </c>
      <c r="R1289">
        <f t="shared" si="61"/>
        <v>10</v>
      </c>
      <c r="S1289" t="str">
        <f t="shared" si="62"/>
        <v>Oct</v>
      </c>
      <c r="T1289" s="9">
        <f>VLOOKUP(O1289, Annual_Summary!A:B, 2, 0)</f>
        <v>-0.14188579017264272</v>
      </c>
    </row>
    <row r="1290" spans="1:20" x14ac:dyDescent="0.3">
      <c r="A1290" s="1">
        <v>45959</v>
      </c>
      <c r="B1290" s="4" t="s">
        <v>15</v>
      </c>
      <c r="C1290" s="4">
        <v>1500.2</v>
      </c>
      <c r="D1290" s="4">
        <v>1520.2</v>
      </c>
      <c r="E1290" s="4">
        <v>1496.9</v>
      </c>
      <c r="F1290" s="4">
        <v>1500.2</v>
      </c>
      <c r="G1290" s="4">
        <v>1511.5</v>
      </c>
      <c r="H1290" s="4">
        <v>1510.4</v>
      </c>
      <c r="I1290" s="4">
        <v>1510.57</v>
      </c>
      <c r="J1290" s="4">
        <v>2006.45</v>
      </c>
      <c r="K1290" s="4">
        <v>1307</v>
      </c>
      <c r="L1290" s="2">
        <v>4884976</v>
      </c>
      <c r="M1290" s="2">
        <v>7379112106.3999996</v>
      </c>
      <c r="N1290" s="2">
        <v>177757</v>
      </c>
      <c r="O1290" t="s">
        <v>21</v>
      </c>
      <c r="P1290" s="8">
        <f t="shared" si="60"/>
        <v>0</v>
      </c>
      <c r="Q1290" t="s">
        <v>38</v>
      </c>
      <c r="R1290">
        <f t="shared" si="61"/>
        <v>10</v>
      </c>
      <c r="S1290" t="str">
        <f t="shared" si="62"/>
        <v>Oct</v>
      </c>
      <c r="T1290" s="9">
        <f>VLOOKUP(O1290, Annual_Summary!A:B, 2, 0)</f>
        <v>-0.14188579017264272</v>
      </c>
    </row>
    <row r="1291" spans="1:20" x14ac:dyDescent="0.3">
      <c r="A1291" s="1">
        <v>45958</v>
      </c>
      <c r="B1291" s="4" t="s">
        <v>15</v>
      </c>
      <c r="C1291" s="4">
        <v>1499.7</v>
      </c>
      <c r="D1291" s="4">
        <v>1506.5</v>
      </c>
      <c r="E1291" s="4">
        <v>1490.5</v>
      </c>
      <c r="F1291" s="4">
        <v>1504.5</v>
      </c>
      <c r="G1291" s="4">
        <v>1502.2</v>
      </c>
      <c r="H1291" s="4">
        <v>1500.2</v>
      </c>
      <c r="I1291" s="4">
        <v>1497.66</v>
      </c>
      <c r="J1291" s="4">
        <v>2006.45</v>
      </c>
      <c r="K1291" s="4">
        <v>1307</v>
      </c>
      <c r="L1291" s="2">
        <v>8211019</v>
      </c>
      <c r="M1291" s="2">
        <v>12297345650.299999</v>
      </c>
      <c r="N1291" s="2">
        <v>185479</v>
      </c>
      <c r="O1291" t="s">
        <v>21</v>
      </c>
      <c r="P1291" s="8">
        <f t="shared" si="60"/>
        <v>4.7999999999999545</v>
      </c>
      <c r="Q1291" t="s">
        <v>38</v>
      </c>
      <c r="R1291">
        <f t="shared" si="61"/>
        <v>10</v>
      </c>
      <c r="S1291" t="str">
        <f t="shared" si="62"/>
        <v>Oct</v>
      </c>
      <c r="T1291" s="9">
        <f>VLOOKUP(O1291, Annual_Summary!A:B, 2, 0)</f>
        <v>-0.14188579017264272</v>
      </c>
    </row>
    <row r="1292" spans="1:20" x14ac:dyDescent="0.3">
      <c r="A1292" s="1">
        <v>45957</v>
      </c>
      <c r="B1292" s="4" t="s">
        <v>15</v>
      </c>
      <c r="C1292" s="4">
        <v>1510</v>
      </c>
      <c r="D1292" s="4">
        <v>1515.3</v>
      </c>
      <c r="E1292" s="4">
        <v>1498.1</v>
      </c>
      <c r="F1292" s="4">
        <v>1525.4</v>
      </c>
      <c r="G1292" s="4">
        <v>1504.9</v>
      </c>
      <c r="H1292" s="4">
        <v>1504.5</v>
      </c>
      <c r="I1292" s="4">
        <v>1506.5</v>
      </c>
      <c r="J1292" s="4">
        <v>2006.45</v>
      </c>
      <c r="K1292" s="4">
        <v>1307</v>
      </c>
      <c r="L1292" s="2">
        <v>7273211</v>
      </c>
      <c r="M1292" s="2">
        <v>10957113552.6</v>
      </c>
      <c r="N1292" s="2">
        <v>131339</v>
      </c>
      <c r="O1292" t="s">
        <v>21</v>
      </c>
      <c r="P1292" s="8">
        <f t="shared" si="60"/>
        <v>15.400000000000091</v>
      </c>
      <c r="Q1292" t="s">
        <v>38</v>
      </c>
      <c r="R1292">
        <f t="shared" si="61"/>
        <v>10</v>
      </c>
      <c r="S1292" t="str">
        <f t="shared" si="62"/>
        <v>Oct</v>
      </c>
      <c r="T1292" s="9">
        <f>VLOOKUP(O1292, Annual_Summary!A:B, 2, 0)</f>
        <v>-0.14188579017264272</v>
      </c>
    </row>
    <row r="1293" spans="1:20" x14ac:dyDescent="0.3">
      <c r="A1293" s="1">
        <v>45954</v>
      </c>
      <c r="B1293" s="4" t="s">
        <v>15</v>
      </c>
      <c r="C1293" s="4">
        <v>1539.5</v>
      </c>
      <c r="D1293" s="4">
        <v>1543</v>
      </c>
      <c r="E1293" s="4">
        <v>1518</v>
      </c>
      <c r="F1293" s="4">
        <v>1528.5</v>
      </c>
      <c r="G1293" s="4">
        <v>1523.9</v>
      </c>
      <c r="H1293" s="4">
        <v>1525.4</v>
      </c>
      <c r="I1293" s="4">
        <v>1525.75</v>
      </c>
      <c r="J1293" s="4">
        <v>2006.45</v>
      </c>
      <c r="K1293" s="4">
        <v>1307</v>
      </c>
      <c r="L1293" s="2">
        <v>8652257</v>
      </c>
      <c r="M1293" s="2">
        <v>13201169899.700001</v>
      </c>
      <c r="N1293" s="2">
        <v>217512</v>
      </c>
      <c r="O1293" t="s">
        <v>21</v>
      </c>
      <c r="P1293" s="8">
        <f t="shared" si="60"/>
        <v>-11</v>
      </c>
      <c r="Q1293" t="s">
        <v>38</v>
      </c>
      <c r="R1293">
        <f t="shared" si="61"/>
        <v>10</v>
      </c>
      <c r="S1293" t="str">
        <f t="shared" si="62"/>
        <v>Oct</v>
      </c>
      <c r="T1293" s="9">
        <f>VLOOKUP(O1293, Annual_Summary!A:B, 2, 0)</f>
        <v>-0.14188579017264272</v>
      </c>
    </row>
    <row r="1294" spans="1:20" x14ac:dyDescent="0.3">
      <c r="A1294" s="1">
        <v>45953</v>
      </c>
      <c r="B1294" s="4" t="s">
        <v>15</v>
      </c>
      <c r="C1294" s="4">
        <v>1510</v>
      </c>
      <c r="D1294" s="4">
        <v>1546</v>
      </c>
      <c r="E1294" s="4">
        <v>1506</v>
      </c>
      <c r="F1294" s="4">
        <v>1472.4</v>
      </c>
      <c r="G1294" s="4">
        <v>1525</v>
      </c>
      <c r="H1294" s="4">
        <v>1528.5</v>
      </c>
      <c r="I1294" s="4">
        <v>1530.64</v>
      </c>
      <c r="J1294" s="4">
        <v>2006.45</v>
      </c>
      <c r="K1294" s="4">
        <v>1307</v>
      </c>
      <c r="L1294" s="2">
        <v>20358624</v>
      </c>
      <c r="M1294" s="2">
        <v>31161687039.200001</v>
      </c>
      <c r="N1294" s="2">
        <v>458468</v>
      </c>
      <c r="O1294" t="s">
        <v>21</v>
      </c>
      <c r="P1294" s="8">
        <f t="shared" si="60"/>
        <v>-37.599999999999909</v>
      </c>
      <c r="Q1294" t="s">
        <v>38</v>
      </c>
      <c r="R1294">
        <f t="shared" si="61"/>
        <v>10</v>
      </c>
      <c r="S1294" t="str">
        <f t="shared" si="62"/>
        <v>Oct</v>
      </c>
      <c r="T1294" s="9">
        <f>VLOOKUP(O1294, Annual_Summary!A:B, 2, 0)</f>
        <v>-0.14188579017264272</v>
      </c>
    </row>
    <row r="1295" spans="1:20" x14ac:dyDescent="0.3">
      <c r="A1295" s="1">
        <v>45951</v>
      </c>
      <c r="B1295" s="4" t="s">
        <v>15</v>
      </c>
      <c r="C1295" s="4">
        <v>1478</v>
      </c>
      <c r="D1295" s="4">
        <v>1486</v>
      </c>
      <c r="E1295" s="4">
        <v>1470</v>
      </c>
      <c r="F1295" s="4">
        <v>1460.9</v>
      </c>
      <c r="G1295" s="4">
        <v>1471</v>
      </c>
      <c r="H1295" s="4">
        <v>1472.4</v>
      </c>
      <c r="I1295" s="4">
        <v>1476.04</v>
      </c>
      <c r="J1295" s="4">
        <v>2006.45</v>
      </c>
      <c r="K1295" s="4">
        <v>1307</v>
      </c>
      <c r="L1295" s="2">
        <v>1698704</v>
      </c>
      <c r="M1295" s="2">
        <v>2507352685.5999999</v>
      </c>
      <c r="N1295" s="2">
        <v>42723</v>
      </c>
      <c r="O1295" t="s">
        <v>21</v>
      </c>
      <c r="P1295" s="8">
        <f t="shared" si="60"/>
        <v>-17.099999999999909</v>
      </c>
      <c r="Q1295" t="s">
        <v>38</v>
      </c>
      <c r="R1295">
        <f t="shared" si="61"/>
        <v>10</v>
      </c>
      <c r="S1295" t="str">
        <f t="shared" si="62"/>
        <v>Oct</v>
      </c>
      <c r="T1295" s="9">
        <f>VLOOKUP(O1295, Annual_Summary!A:B, 2, 0)</f>
        <v>-0.14188579017264272</v>
      </c>
    </row>
    <row r="1296" spans="1:20" x14ac:dyDescent="0.3">
      <c r="A1296" s="1">
        <v>45950</v>
      </c>
      <c r="B1296" s="4" t="s">
        <v>15</v>
      </c>
      <c r="C1296" s="4">
        <v>1453.7</v>
      </c>
      <c r="D1296" s="4">
        <v>1467</v>
      </c>
      <c r="E1296" s="4">
        <v>1450</v>
      </c>
      <c r="F1296" s="4">
        <v>1441.1</v>
      </c>
      <c r="G1296" s="4">
        <v>1462.7</v>
      </c>
      <c r="H1296" s="4">
        <v>1460.9</v>
      </c>
      <c r="I1296" s="4">
        <v>1460.15</v>
      </c>
      <c r="J1296" s="4">
        <v>2006.45</v>
      </c>
      <c r="K1296" s="4">
        <v>1307</v>
      </c>
      <c r="L1296" s="2">
        <v>6994246</v>
      </c>
      <c r="M1296" s="2">
        <v>10212638243.4</v>
      </c>
      <c r="N1296" s="2">
        <v>218283</v>
      </c>
      <c r="O1296" t="s">
        <v>21</v>
      </c>
      <c r="P1296" s="8">
        <f t="shared" si="60"/>
        <v>-12.600000000000136</v>
      </c>
      <c r="Q1296" t="s">
        <v>38</v>
      </c>
      <c r="R1296">
        <f t="shared" si="61"/>
        <v>10</v>
      </c>
      <c r="S1296" t="str">
        <f t="shared" si="62"/>
        <v>Oct</v>
      </c>
      <c r="T1296" s="9">
        <f>VLOOKUP(O1296, Annual_Summary!A:B, 2, 0)</f>
        <v>-0.14188579017264272</v>
      </c>
    </row>
    <row r="1297" spans="1:20" x14ac:dyDescent="0.3">
      <c r="A1297" s="1">
        <v>45947</v>
      </c>
      <c r="B1297" s="4" t="s">
        <v>15</v>
      </c>
      <c r="C1297" s="4">
        <v>1454.9</v>
      </c>
      <c r="D1297" s="4">
        <v>1458.4</v>
      </c>
      <c r="E1297" s="4">
        <v>1434</v>
      </c>
      <c r="F1297" s="4">
        <v>1471.5</v>
      </c>
      <c r="G1297" s="4">
        <v>1440.9</v>
      </c>
      <c r="H1297" s="4">
        <v>1441.1</v>
      </c>
      <c r="I1297" s="4">
        <v>1444.15</v>
      </c>
      <c r="J1297" s="4">
        <v>2006.45</v>
      </c>
      <c r="K1297" s="4">
        <v>1307</v>
      </c>
      <c r="L1297" s="2">
        <v>16959378</v>
      </c>
      <c r="M1297" s="2">
        <v>24491895479.5</v>
      </c>
      <c r="N1297" s="2">
        <v>408253</v>
      </c>
      <c r="O1297" t="s">
        <v>21</v>
      </c>
      <c r="P1297" s="8">
        <f t="shared" si="60"/>
        <v>16.599999999999909</v>
      </c>
      <c r="Q1297" t="s">
        <v>38</v>
      </c>
      <c r="R1297">
        <f t="shared" si="61"/>
        <v>10</v>
      </c>
      <c r="S1297" t="str">
        <f t="shared" si="62"/>
        <v>Oct</v>
      </c>
      <c r="T1297" s="9">
        <f>VLOOKUP(O1297, Annual_Summary!A:B, 2, 0)</f>
        <v>-0.14188579017264272</v>
      </c>
    </row>
    <row r="1298" spans="1:20" x14ac:dyDescent="0.3">
      <c r="A1298" s="1">
        <v>45946</v>
      </c>
      <c r="B1298" s="4" t="s">
        <v>15</v>
      </c>
      <c r="C1298" s="4">
        <v>1473.9</v>
      </c>
      <c r="D1298" s="4">
        <v>1474.5</v>
      </c>
      <c r="E1298" s="4">
        <v>1460.5</v>
      </c>
      <c r="F1298" s="4">
        <v>1474.4</v>
      </c>
      <c r="G1298" s="4">
        <v>1470.9</v>
      </c>
      <c r="H1298" s="4">
        <v>1471.5</v>
      </c>
      <c r="I1298" s="4">
        <v>1468.35</v>
      </c>
      <c r="J1298" s="4">
        <v>2006.45</v>
      </c>
      <c r="K1298" s="4">
        <v>1307</v>
      </c>
      <c r="L1298" s="2">
        <v>8005748</v>
      </c>
      <c r="M1298" s="2">
        <v>11755232719.6</v>
      </c>
      <c r="N1298" s="2">
        <v>178279</v>
      </c>
      <c r="O1298" t="s">
        <v>21</v>
      </c>
      <c r="P1298" s="8">
        <f t="shared" si="60"/>
        <v>0.5</v>
      </c>
      <c r="Q1298" t="s">
        <v>38</v>
      </c>
      <c r="R1298">
        <f t="shared" si="61"/>
        <v>10</v>
      </c>
      <c r="S1298" t="str">
        <f t="shared" si="62"/>
        <v>Oct</v>
      </c>
      <c r="T1298" s="9">
        <f>VLOOKUP(O1298, Annual_Summary!A:B, 2, 0)</f>
        <v>-0.14188579017264272</v>
      </c>
    </row>
    <row r="1299" spans="1:20" x14ac:dyDescent="0.3">
      <c r="A1299" s="1">
        <v>45945</v>
      </c>
      <c r="B1299" s="4" t="s">
        <v>15</v>
      </c>
      <c r="C1299" s="4">
        <v>1483.9</v>
      </c>
      <c r="D1299" s="4">
        <v>1488.6</v>
      </c>
      <c r="E1299" s="4">
        <v>1467.5</v>
      </c>
      <c r="F1299" s="4">
        <v>1489.9</v>
      </c>
      <c r="G1299" s="4">
        <v>1474.4</v>
      </c>
      <c r="H1299" s="4">
        <v>1474.4</v>
      </c>
      <c r="I1299" s="4">
        <v>1475.22</v>
      </c>
      <c r="J1299" s="4">
        <v>2006.45</v>
      </c>
      <c r="K1299" s="4">
        <v>1307</v>
      </c>
      <c r="L1299" s="2">
        <v>6986098</v>
      </c>
      <c r="M1299" s="2">
        <v>10306028748.9</v>
      </c>
      <c r="N1299" s="2">
        <v>164747</v>
      </c>
      <c r="O1299" t="s">
        <v>21</v>
      </c>
      <c r="P1299" s="8">
        <f t="shared" si="60"/>
        <v>6</v>
      </c>
      <c r="Q1299" t="s">
        <v>38</v>
      </c>
      <c r="R1299">
        <f t="shared" si="61"/>
        <v>10</v>
      </c>
      <c r="S1299" t="str">
        <f t="shared" si="62"/>
        <v>Oct</v>
      </c>
      <c r="T1299" s="9">
        <f>VLOOKUP(O1299, Annual_Summary!A:B, 2, 0)</f>
        <v>-0.14188579017264272</v>
      </c>
    </row>
    <row r="1300" spans="1:20" x14ac:dyDescent="0.3">
      <c r="A1300" s="1">
        <v>45944</v>
      </c>
      <c r="B1300" s="4" t="s">
        <v>15</v>
      </c>
      <c r="C1300" s="4">
        <v>1499</v>
      </c>
      <c r="D1300" s="4">
        <v>1514.4</v>
      </c>
      <c r="E1300" s="4">
        <v>1486.5</v>
      </c>
      <c r="F1300" s="4">
        <v>1493.2</v>
      </c>
      <c r="G1300" s="4">
        <v>1488</v>
      </c>
      <c r="H1300" s="4">
        <v>1489.9</v>
      </c>
      <c r="I1300" s="4">
        <v>1494.67</v>
      </c>
      <c r="J1300" s="4">
        <v>2006.45</v>
      </c>
      <c r="K1300" s="4">
        <v>1307</v>
      </c>
      <c r="L1300" s="2">
        <v>5600789</v>
      </c>
      <c r="M1300" s="2">
        <v>8371348792.6000004</v>
      </c>
      <c r="N1300" s="2">
        <v>136364</v>
      </c>
      <c r="O1300" t="s">
        <v>21</v>
      </c>
      <c r="P1300" s="8">
        <f t="shared" si="60"/>
        <v>-5.7999999999999545</v>
      </c>
      <c r="Q1300" t="s">
        <v>38</v>
      </c>
      <c r="R1300">
        <f t="shared" si="61"/>
        <v>10</v>
      </c>
      <c r="S1300" t="str">
        <f t="shared" si="62"/>
        <v>Oct</v>
      </c>
      <c r="T1300" s="9">
        <f>VLOOKUP(O1300, Annual_Summary!A:B, 2, 0)</f>
        <v>-0.14188579017264272</v>
      </c>
    </row>
    <row r="1301" spans="1:20" x14ac:dyDescent="0.3">
      <c r="A1301" s="1">
        <v>45943</v>
      </c>
      <c r="B1301" s="4" t="s">
        <v>15</v>
      </c>
      <c r="C1301" s="4">
        <v>1497</v>
      </c>
      <c r="D1301" s="4">
        <v>1504.7</v>
      </c>
      <c r="E1301" s="4">
        <v>1483.4</v>
      </c>
      <c r="F1301" s="4">
        <v>1514.9</v>
      </c>
      <c r="G1301" s="4">
        <v>1492.4</v>
      </c>
      <c r="H1301" s="4">
        <v>1493.2</v>
      </c>
      <c r="I1301" s="4">
        <v>1492.35</v>
      </c>
      <c r="J1301" s="4">
        <v>2006.45</v>
      </c>
      <c r="K1301" s="4">
        <v>1307</v>
      </c>
      <c r="L1301" s="2">
        <v>5859355</v>
      </c>
      <c r="M1301" s="2">
        <v>8744211054.5</v>
      </c>
      <c r="N1301" s="2">
        <v>144645</v>
      </c>
      <c r="O1301" t="s">
        <v>21</v>
      </c>
      <c r="P1301" s="8">
        <f t="shared" si="60"/>
        <v>17.900000000000091</v>
      </c>
      <c r="Q1301" t="s">
        <v>38</v>
      </c>
      <c r="R1301">
        <f t="shared" si="61"/>
        <v>10</v>
      </c>
      <c r="S1301" t="str">
        <f t="shared" si="62"/>
        <v>Oct</v>
      </c>
      <c r="T1301" s="9">
        <f>VLOOKUP(O1301, Annual_Summary!A:B, 2, 0)</f>
        <v>-0.14188579017264272</v>
      </c>
    </row>
    <row r="1302" spans="1:20" x14ac:dyDescent="0.3">
      <c r="A1302" s="1">
        <v>45940</v>
      </c>
      <c r="B1302" s="4" t="s">
        <v>15</v>
      </c>
      <c r="C1302" s="4">
        <v>1510</v>
      </c>
      <c r="D1302" s="4">
        <v>1521.7</v>
      </c>
      <c r="E1302" s="4">
        <v>1498.8</v>
      </c>
      <c r="F1302" s="4">
        <v>1509.3</v>
      </c>
      <c r="G1302" s="4">
        <v>1511.9</v>
      </c>
      <c r="H1302" s="4">
        <v>1514.9</v>
      </c>
      <c r="I1302" s="4">
        <v>1513.91</v>
      </c>
      <c r="J1302" s="4">
        <v>2006.45</v>
      </c>
      <c r="K1302" s="4">
        <v>1307</v>
      </c>
      <c r="L1302" s="2">
        <v>3738353</v>
      </c>
      <c r="M1302" s="2">
        <v>5659544676.1999998</v>
      </c>
      <c r="N1302" s="2">
        <v>112569</v>
      </c>
      <c r="O1302" t="s">
        <v>21</v>
      </c>
      <c r="P1302" s="8">
        <f t="shared" si="60"/>
        <v>-0.70000000000004547</v>
      </c>
      <c r="Q1302" t="s">
        <v>38</v>
      </c>
      <c r="R1302">
        <f t="shared" si="61"/>
        <v>10</v>
      </c>
      <c r="S1302" t="str">
        <f t="shared" si="62"/>
        <v>Oct</v>
      </c>
      <c r="T1302" s="9">
        <f>VLOOKUP(O1302, Annual_Summary!A:B, 2, 0)</f>
        <v>-0.14188579017264272</v>
      </c>
    </row>
    <row r="1303" spans="1:20" x14ac:dyDescent="0.3">
      <c r="A1303" s="1">
        <v>45939</v>
      </c>
      <c r="B1303" s="4" t="s">
        <v>15</v>
      </c>
      <c r="C1303" s="4">
        <v>1502</v>
      </c>
      <c r="D1303" s="4">
        <v>1514</v>
      </c>
      <c r="E1303" s="4">
        <v>1487</v>
      </c>
      <c r="F1303" s="4">
        <v>1495</v>
      </c>
      <c r="G1303" s="4">
        <v>1509.7</v>
      </c>
      <c r="H1303" s="4">
        <v>1509.3</v>
      </c>
      <c r="I1303" s="4">
        <v>1504.17</v>
      </c>
      <c r="J1303" s="4">
        <v>2006.45</v>
      </c>
      <c r="K1303" s="4">
        <v>1307</v>
      </c>
      <c r="L1303" s="2">
        <v>7028753</v>
      </c>
      <c r="M1303" s="2">
        <v>10572416602.700001</v>
      </c>
      <c r="N1303" s="2">
        <v>177885</v>
      </c>
      <c r="O1303" t="s">
        <v>21</v>
      </c>
      <c r="P1303" s="8">
        <f t="shared" si="60"/>
        <v>-7</v>
      </c>
      <c r="Q1303" t="s">
        <v>38</v>
      </c>
      <c r="R1303">
        <f t="shared" si="61"/>
        <v>10</v>
      </c>
      <c r="S1303" t="str">
        <f t="shared" si="62"/>
        <v>Oct</v>
      </c>
      <c r="T1303" s="9">
        <f>VLOOKUP(O1303, Annual_Summary!A:B, 2, 0)</f>
        <v>-0.14188579017264272</v>
      </c>
    </row>
    <row r="1304" spans="1:20" x14ac:dyDescent="0.3">
      <c r="A1304" s="1">
        <v>45938</v>
      </c>
      <c r="B1304" s="4" t="s">
        <v>15</v>
      </c>
      <c r="C1304" s="4">
        <v>1457</v>
      </c>
      <c r="D1304" s="4">
        <v>1498</v>
      </c>
      <c r="E1304" s="4">
        <v>1455</v>
      </c>
      <c r="F1304" s="4">
        <v>1458.5</v>
      </c>
      <c r="G1304" s="4">
        <v>1492</v>
      </c>
      <c r="H1304" s="4">
        <v>1495</v>
      </c>
      <c r="I1304" s="4">
        <v>1489.22</v>
      </c>
      <c r="J1304" s="4">
        <v>2006.45</v>
      </c>
      <c r="K1304" s="4">
        <v>1307</v>
      </c>
      <c r="L1304" s="2">
        <v>4657192</v>
      </c>
      <c r="M1304" s="2">
        <v>6935605075.6000004</v>
      </c>
      <c r="N1304" s="2">
        <v>125936</v>
      </c>
      <c r="O1304" t="s">
        <v>21</v>
      </c>
      <c r="P1304" s="8">
        <f t="shared" si="60"/>
        <v>1.5</v>
      </c>
      <c r="Q1304" t="s">
        <v>38</v>
      </c>
      <c r="R1304">
        <f t="shared" si="61"/>
        <v>10</v>
      </c>
      <c r="S1304" t="str">
        <f t="shared" si="62"/>
        <v>Oct</v>
      </c>
      <c r="T1304" s="9">
        <f>VLOOKUP(O1304, Annual_Summary!A:B, 2, 0)</f>
        <v>-0.14188579017264272</v>
      </c>
    </row>
    <row r="1305" spans="1:20" x14ac:dyDescent="0.3">
      <c r="A1305" s="1">
        <v>45937</v>
      </c>
      <c r="B1305" s="4" t="s">
        <v>15</v>
      </c>
      <c r="C1305" s="4">
        <v>1477.7</v>
      </c>
      <c r="D1305" s="4">
        <v>1482.9</v>
      </c>
      <c r="E1305" s="4">
        <v>1454</v>
      </c>
      <c r="F1305" s="4">
        <v>1476</v>
      </c>
      <c r="G1305" s="4">
        <v>1458.1</v>
      </c>
      <c r="H1305" s="4">
        <v>1458.5</v>
      </c>
      <c r="I1305" s="4">
        <v>1463.53</v>
      </c>
      <c r="J1305" s="4">
        <v>2006.45</v>
      </c>
      <c r="K1305" s="4">
        <v>1307</v>
      </c>
      <c r="L1305" s="2">
        <v>5570320</v>
      </c>
      <c r="M1305" s="2">
        <v>8152322227.8999996</v>
      </c>
      <c r="N1305" s="2">
        <v>171449</v>
      </c>
      <c r="O1305" t="s">
        <v>21</v>
      </c>
      <c r="P1305" s="8">
        <f t="shared" si="60"/>
        <v>-1.7000000000000455</v>
      </c>
      <c r="Q1305" t="s">
        <v>38</v>
      </c>
      <c r="R1305">
        <f t="shared" si="61"/>
        <v>10</v>
      </c>
      <c r="S1305" t="str">
        <f t="shared" si="62"/>
        <v>Oct</v>
      </c>
      <c r="T1305" s="9">
        <f>VLOOKUP(O1305, Annual_Summary!A:B, 2, 0)</f>
        <v>-0.14188579017264272</v>
      </c>
    </row>
    <row r="1306" spans="1:20" x14ac:dyDescent="0.3">
      <c r="A1306" s="1">
        <v>45936</v>
      </c>
      <c r="B1306" s="4" t="s">
        <v>15</v>
      </c>
      <c r="C1306" s="4">
        <v>1446.6</v>
      </c>
      <c r="D1306" s="4">
        <v>1478.8</v>
      </c>
      <c r="E1306" s="4">
        <v>1442.3</v>
      </c>
      <c r="F1306" s="4">
        <v>1446.6</v>
      </c>
      <c r="G1306" s="4">
        <v>1474.9</v>
      </c>
      <c r="H1306" s="4">
        <v>1476</v>
      </c>
      <c r="I1306" s="4">
        <v>1465.66</v>
      </c>
      <c r="J1306" s="4">
        <v>2006.45</v>
      </c>
      <c r="K1306" s="4">
        <v>1307</v>
      </c>
      <c r="L1306" s="2">
        <v>4630590</v>
      </c>
      <c r="M1306" s="2">
        <v>6786847790.8999996</v>
      </c>
      <c r="N1306" s="2">
        <v>105537</v>
      </c>
      <c r="O1306" t="s">
        <v>21</v>
      </c>
      <c r="P1306" s="8">
        <f t="shared" si="60"/>
        <v>0</v>
      </c>
      <c r="Q1306" t="s">
        <v>38</v>
      </c>
      <c r="R1306">
        <f t="shared" si="61"/>
        <v>10</v>
      </c>
      <c r="S1306" t="str">
        <f t="shared" si="62"/>
        <v>Oct</v>
      </c>
      <c r="T1306" s="9">
        <f>VLOOKUP(O1306, Annual_Summary!A:B, 2, 0)</f>
        <v>-0.14188579017264272</v>
      </c>
    </row>
    <row r="1307" spans="1:20" x14ac:dyDescent="0.3">
      <c r="A1307" s="1">
        <v>45933</v>
      </c>
      <c r="B1307" s="4" t="s">
        <v>15</v>
      </c>
      <c r="C1307" s="4">
        <v>1439</v>
      </c>
      <c r="D1307" s="4">
        <v>1448.3</v>
      </c>
      <c r="E1307" s="4">
        <v>1433.2</v>
      </c>
      <c r="F1307" s="4">
        <v>1445.8</v>
      </c>
      <c r="G1307" s="4">
        <v>1445.5</v>
      </c>
      <c r="H1307" s="4">
        <v>1446.6</v>
      </c>
      <c r="I1307" s="4">
        <v>1442.27</v>
      </c>
      <c r="J1307" s="4">
        <v>2006.45</v>
      </c>
      <c r="K1307" s="4">
        <v>1307</v>
      </c>
      <c r="L1307" s="2">
        <v>6877533</v>
      </c>
      <c r="M1307" s="2">
        <v>9919277058.3999996</v>
      </c>
      <c r="N1307" s="2">
        <v>156026</v>
      </c>
      <c r="O1307" t="s">
        <v>21</v>
      </c>
      <c r="P1307" s="8">
        <f t="shared" si="60"/>
        <v>6.7999999999999545</v>
      </c>
      <c r="Q1307" t="s">
        <v>38</v>
      </c>
      <c r="R1307">
        <f t="shared" si="61"/>
        <v>10</v>
      </c>
      <c r="S1307" t="str">
        <f t="shared" si="62"/>
        <v>Oct</v>
      </c>
      <c r="T1307" s="9">
        <f>VLOOKUP(O1307, Annual_Summary!A:B, 2, 0)</f>
        <v>-0.14188579017264272</v>
      </c>
    </row>
    <row r="1308" spans="1:20" x14ac:dyDescent="0.3">
      <c r="A1308" s="1">
        <v>45931</v>
      </c>
      <c r="B1308" s="4" t="s">
        <v>15</v>
      </c>
      <c r="C1308" s="4">
        <v>1446</v>
      </c>
      <c r="D1308" s="4">
        <v>1449.5</v>
      </c>
      <c r="E1308" s="4">
        <v>1427.4</v>
      </c>
      <c r="F1308" s="4">
        <v>1441.8</v>
      </c>
      <c r="G1308" s="4">
        <v>1447.9</v>
      </c>
      <c r="H1308" s="4">
        <v>1445.8</v>
      </c>
      <c r="I1308" s="4">
        <v>1439.54</v>
      </c>
      <c r="J1308" s="4">
        <v>2006.45</v>
      </c>
      <c r="K1308" s="4">
        <v>1307</v>
      </c>
      <c r="L1308" s="2">
        <v>6250692</v>
      </c>
      <c r="M1308" s="2">
        <v>8998133310.6000004</v>
      </c>
      <c r="N1308" s="2">
        <v>194062</v>
      </c>
      <c r="O1308" t="s">
        <v>21</v>
      </c>
      <c r="P1308" s="8">
        <f t="shared" si="60"/>
        <v>-4.2000000000000455</v>
      </c>
      <c r="Q1308" t="s">
        <v>38</v>
      </c>
      <c r="R1308">
        <f t="shared" si="61"/>
        <v>10</v>
      </c>
      <c r="S1308" t="str">
        <f t="shared" si="62"/>
        <v>Oct</v>
      </c>
      <c r="T1308" s="9">
        <f>VLOOKUP(O1308, Annual_Summary!A:B, 2, 0)</f>
        <v>-0.14188579017264272</v>
      </c>
    </row>
    <row r="1309" spans="1:20" x14ac:dyDescent="0.3">
      <c r="A1309" s="1">
        <v>45930</v>
      </c>
      <c r="B1309" s="4" t="s">
        <v>15</v>
      </c>
      <c r="C1309" s="4">
        <v>1443</v>
      </c>
      <c r="D1309" s="4">
        <v>1452.2</v>
      </c>
      <c r="E1309" s="4">
        <v>1438.1</v>
      </c>
      <c r="F1309" s="4">
        <v>1441.8</v>
      </c>
      <c r="G1309" s="4">
        <v>1442.6</v>
      </c>
      <c r="H1309" s="4">
        <v>1441.8</v>
      </c>
      <c r="I1309" s="4">
        <v>1443.52</v>
      </c>
      <c r="J1309" s="4">
        <v>2006.45</v>
      </c>
      <c r="K1309" s="4">
        <v>1307</v>
      </c>
      <c r="L1309" s="2">
        <v>7556305</v>
      </c>
      <c r="M1309" s="2">
        <v>10907707364.4</v>
      </c>
      <c r="N1309" s="2">
        <v>247554</v>
      </c>
      <c r="O1309" t="s">
        <v>21</v>
      </c>
      <c r="P1309" s="8">
        <f t="shared" si="60"/>
        <v>-1.2000000000000455</v>
      </c>
      <c r="Q1309" t="s">
        <v>38</v>
      </c>
      <c r="R1309">
        <f t="shared" si="61"/>
        <v>9</v>
      </c>
      <c r="S1309" t="str">
        <f t="shared" si="62"/>
        <v>Sep</v>
      </c>
      <c r="T1309" s="9">
        <f>VLOOKUP(O1309, Annual_Summary!A:B, 2, 0)</f>
        <v>-0.14188579017264272</v>
      </c>
    </row>
    <row r="1310" spans="1:20" x14ac:dyDescent="0.3">
      <c r="A1310" s="1">
        <v>45929</v>
      </c>
      <c r="B1310" s="4" t="s">
        <v>15</v>
      </c>
      <c r="C1310" s="4">
        <v>1460</v>
      </c>
      <c r="D1310" s="4">
        <v>1465</v>
      </c>
      <c r="E1310" s="4">
        <v>1436.5</v>
      </c>
      <c r="F1310" s="4">
        <v>1448.9</v>
      </c>
      <c r="G1310" s="4">
        <v>1449.2</v>
      </c>
      <c r="H1310" s="4">
        <v>1441.8</v>
      </c>
      <c r="I1310" s="4">
        <v>1447.06</v>
      </c>
      <c r="J1310" s="4">
        <v>2006.45</v>
      </c>
      <c r="K1310" s="4">
        <v>1307</v>
      </c>
      <c r="L1310" s="2">
        <v>10513117</v>
      </c>
      <c r="M1310" s="2">
        <v>15213102142.1</v>
      </c>
      <c r="N1310" s="2">
        <v>181113</v>
      </c>
      <c r="O1310" t="s">
        <v>21</v>
      </c>
      <c r="P1310" s="8">
        <f t="shared" si="60"/>
        <v>-11.099999999999909</v>
      </c>
      <c r="Q1310" t="s">
        <v>38</v>
      </c>
      <c r="R1310">
        <f t="shared" si="61"/>
        <v>9</v>
      </c>
      <c r="S1310" t="str">
        <f t="shared" si="62"/>
        <v>Sep</v>
      </c>
      <c r="T1310" s="9">
        <f>VLOOKUP(O1310, Annual_Summary!A:B, 2, 0)</f>
        <v>-0.14188579017264272</v>
      </c>
    </row>
    <row r="1311" spans="1:20" x14ac:dyDescent="0.3">
      <c r="A1311" s="1">
        <v>45926</v>
      </c>
      <c r="B1311" s="4" t="s">
        <v>15</v>
      </c>
      <c r="C1311" s="4">
        <v>1475</v>
      </c>
      <c r="D1311" s="4">
        <v>1478.7</v>
      </c>
      <c r="E1311" s="4">
        <v>1441.2</v>
      </c>
      <c r="F1311" s="4">
        <v>1484.8</v>
      </c>
      <c r="G1311" s="4">
        <v>1452.2</v>
      </c>
      <c r="H1311" s="4">
        <v>1448.9</v>
      </c>
      <c r="I1311" s="4">
        <v>1457.7</v>
      </c>
      <c r="J1311" s="4">
        <v>2006.45</v>
      </c>
      <c r="K1311" s="4">
        <v>1307</v>
      </c>
      <c r="L1311" s="2">
        <v>8597058</v>
      </c>
      <c r="M1311" s="2">
        <v>12531971834.700001</v>
      </c>
      <c r="N1311" s="2">
        <v>445150</v>
      </c>
      <c r="O1311" t="s">
        <v>21</v>
      </c>
      <c r="P1311" s="8">
        <f t="shared" si="60"/>
        <v>9.7999999999999545</v>
      </c>
      <c r="Q1311" t="s">
        <v>38</v>
      </c>
      <c r="R1311">
        <f t="shared" si="61"/>
        <v>9</v>
      </c>
      <c r="S1311" t="str">
        <f t="shared" si="62"/>
        <v>Sep</v>
      </c>
      <c r="T1311" s="9">
        <f>VLOOKUP(O1311, Annual_Summary!A:B, 2, 0)</f>
        <v>-0.14188579017264272</v>
      </c>
    </row>
    <row r="1312" spans="1:20" x14ac:dyDescent="0.3">
      <c r="A1312" s="1">
        <v>45925</v>
      </c>
      <c r="B1312" s="4" t="s">
        <v>15</v>
      </c>
      <c r="C1312" s="4">
        <v>1489</v>
      </c>
      <c r="D1312" s="4">
        <v>1502.7</v>
      </c>
      <c r="E1312" s="4">
        <v>1476.5</v>
      </c>
      <c r="F1312" s="4">
        <v>1494.6</v>
      </c>
      <c r="G1312" s="4">
        <v>1491.2</v>
      </c>
      <c r="H1312" s="4">
        <v>1484.8</v>
      </c>
      <c r="I1312" s="4">
        <v>1487.92</v>
      </c>
      <c r="J1312" s="4">
        <v>2006.45</v>
      </c>
      <c r="K1312" s="4">
        <v>1307</v>
      </c>
      <c r="L1312" s="2">
        <v>9491867</v>
      </c>
      <c r="M1312" s="2">
        <v>14123154812.700001</v>
      </c>
      <c r="N1312" s="2">
        <v>185456</v>
      </c>
      <c r="O1312" t="s">
        <v>21</v>
      </c>
      <c r="P1312" s="8">
        <f t="shared" si="60"/>
        <v>5.5999999999999091</v>
      </c>
      <c r="Q1312" t="s">
        <v>38</v>
      </c>
      <c r="R1312">
        <f t="shared" si="61"/>
        <v>9</v>
      </c>
      <c r="S1312" t="str">
        <f t="shared" si="62"/>
        <v>Sep</v>
      </c>
      <c r="T1312" s="9">
        <f>VLOOKUP(O1312, Annual_Summary!A:B, 2, 0)</f>
        <v>-0.14188579017264272</v>
      </c>
    </row>
    <row r="1313" spans="1:20" x14ac:dyDescent="0.3">
      <c r="A1313" s="1">
        <v>45924</v>
      </c>
      <c r="B1313" s="4" t="s">
        <v>15</v>
      </c>
      <c r="C1313" s="4">
        <v>1487.2</v>
      </c>
      <c r="D1313" s="4">
        <v>1496.7</v>
      </c>
      <c r="E1313" s="4">
        <v>1482.7</v>
      </c>
      <c r="F1313" s="4">
        <v>1497.5</v>
      </c>
      <c r="G1313" s="4">
        <v>1494.9</v>
      </c>
      <c r="H1313" s="4">
        <v>1494.6</v>
      </c>
      <c r="I1313" s="4">
        <v>1490.99</v>
      </c>
      <c r="J1313" s="4">
        <v>2006.45</v>
      </c>
      <c r="K1313" s="4">
        <v>1307</v>
      </c>
      <c r="L1313" s="2">
        <v>4937004</v>
      </c>
      <c r="M1313" s="2">
        <v>7361023173.6999998</v>
      </c>
      <c r="N1313" s="2">
        <v>143787</v>
      </c>
      <c r="O1313" t="s">
        <v>21</v>
      </c>
      <c r="P1313" s="8">
        <f t="shared" si="60"/>
        <v>10.299999999999955</v>
      </c>
      <c r="Q1313" t="s">
        <v>38</v>
      </c>
      <c r="R1313">
        <f t="shared" si="61"/>
        <v>9</v>
      </c>
      <c r="S1313" t="str">
        <f t="shared" si="62"/>
        <v>Sep</v>
      </c>
      <c r="T1313" s="9">
        <f>VLOOKUP(O1313, Annual_Summary!A:B, 2, 0)</f>
        <v>-0.14188579017264272</v>
      </c>
    </row>
    <row r="1314" spans="1:20" x14ac:dyDescent="0.3">
      <c r="A1314" s="1">
        <v>45923</v>
      </c>
      <c r="B1314" s="4" t="s">
        <v>15</v>
      </c>
      <c r="C1314" s="4">
        <v>1493</v>
      </c>
      <c r="D1314" s="4">
        <v>1513</v>
      </c>
      <c r="E1314" s="4">
        <v>1493</v>
      </c>
      <c r="F1314" s="4">
        <v>1499.5</v>
      </c>
      <c r="G1314" s="4">
        <v>1500.6</v>
      </c>
      <c r="H1314" s="4">
        <v>1497.5</v>
      </c>
      <c r="I1314" s="4">
        <v>1500.6</v>
      </c>
      <c r="J1314" s="4">
        <v>2006.45</v>
      </c>
      <c r="K1314" s="4">
        <v>1307</v>
      </c>
      <c r="L1314" s="2">
        <v>9832164</v>
      </c>
      <c r="M1314" s="2">
        <v>14754126838.700001</v>
      </c>
      <c r="N1314" s="2">
        <v>164451</v>
      </c>
      <c r="O1314" t="s">
        <v>21</v>
      </c>
      <c r="P1314" s="8">
        <f t="shared" si="60"/>
        <v>6.5</v>
      </c>
      <c r="Q1314" t="s">
        <v>38</v>
      </c>
      <c r="R1314">
        <f t="shared" si="61"/>
        <v>9</v>
      </c>
      <c r="S1314" t="str">
        <f t="shared" si="62"/>
        <v>Sep</v>
      </c>
      <c r="T1314" s="9">
        <f>VLOOKUP(O1314, Annual_Summary!A:B, 2, 0)</f>
        <v>-0.14188579017264272</v>
      </c>
    </row>
    <row r="1315" spans="1:20" x14ac:dyDescent="0.3">
      <c r="A1315" s="1">
        <v>45922</v>
      </c>
      <c r="B1315" s="4" t="s">
        <v>15</v>
      </c>
      <c r="C1315" s="4">
        <v>1482.7</v>
      </c>
      <c r="D1315" s="4">
        <v>1514.7</v>
      </c>
      <c r="E1315" s="4">
        <v>1482</v>
      </c>
      <c r="F1315" s="4">
        <v>1540.2</v>
      </c>
      <c r="G1315" s="4">
        <v>1500.9</v>
      </c>
      <c r="H1315" s="4">
        <v>1499.5</v>
      </c>
      <c r="I1315" s="4">
        <v>1499.71</v>
      </c>
      <c r="J1315" s="4">
        <v>2006.45</v>
      </c>
      <c r="K1315" s="4">
        <v>1307</v>
      </c>
      <c r="L1315" s="2">
        <v>15655204</v>
      </c>
      <c r="M1315" s="2">
        <v>23478311082.400002</v>
      </c>
      <c r="N1315" s="2">
        <v>436891</v>
      </c>
      <c r="O1315" t="s">
        <v>21</v>
      </c>
      <c r="P1315" s="8">
        <f t="shared" si="60"/>
        <v>57.5</v>
      </c>
      <c r="Q1315" t="s">
        <v>38</v>
      </c>
      <c r="R1315">
        <f t="shared" si="61"/>
        <v>9</v>
      </c>
      <c r="S1315" t="str">
        <f t="shared" si="62"/>
        <v>Sep</v>
      </c>
      <c r="T1315" s="9">
        <f>VLOOKUP(O1315, Annual_Summary!A:B, 2, 0)</f>
        <v>-0.14188579017264272</v>
      </c>
    </row>
    <row r="1316" spans="1:20" x14ac:dyDescent="0.3">
      <c r="A1316" s="1">
        <v>45919</v>
      </c>
      <c r="B1316" s="4" t="s">
        <v>15</v>
      </c>
      <c r="C1316" s="4">
        <v>1544.6</v>
      </c>
      <c r="D1316" s="4">
        <v>1551.3</v>
      </c>
      <c r="E1316" s="4">
        <v>1520.1</v>
      </c>
      <c r="F1316" s="4">
        <v>1540.6</v>
      </c>
      <c r="G1316" s="4">
        <v>1543.9</v>
      </c>
      <c r="H1316" s="4">
        <v>1540.2</v>
      </c>
      <c r="I1316" s="4">
        <v>1536.05</v>
      </c>
      <c r="J1316" s="4">
        <v>2006.45</v>
      </c>
      <c r="K1316" s="4">
        <v>1307</v>
      </c>
      <c r="L1316" s="2">
        <v>12988129</v>
      </c>
      <c r="M1316" s="2">
        <v>19950422136.700001</v>
      </c>
      <c r="N1316" s="2">
        <v>152059</v>
      </c>
      <c r="O1316" t="s">
        <v>21</v>
      </c>
      <c r="P1316" s="8">
        <f t="shared" si="60"/>
        <v>-4</v>
      </c>
      <c r="Q1316" t="s">
        <v>38</v>
      </c>
      <c r="R1316">
        <f t="shared" si="61"/>
        <v>9</v>
      </c>
      <c r="S1316" t="str">
        <f t="shared" si="62"/>
        <v>Sep</v>
      </c>
      <c r="T1316" s="9">
        <f>VLOOKUP(O1316, Annual_Summary!A:B, 2, 0)</f>
        <v>-0.14188579017264272</v>
      </c>
    </row>
    <row r="1317" spans="1:20" x14ac:dyDescent="0.3">
      <c r="A1317" s="1">
        <v>45918</v>
      </c>
      <c r="B1317" s="4" t="s">
        <v>15</v>
      </c>
      <c r="C1317" s="4">
        <v>1550</v>
      </c>
      <c r="D1317" s="4">
        <v>1555</v>
      </c>
      <c r="E1317" s="4">
        <v>1538.5</v>
      </c>
      <c r="F1317" s="4">
        <v>1522.4</v>
      </c>
      <c r="G1317" s="4">
        <v>1541.1</v>
      </c>
      <c r="H1317" s="4">
        <v>1540.6</v>
      </c>
      <c r="I1317" s="4">
        <v>1545.13</v>
      </c>
      <c r="J1317" s="4">
        <v>2006.45</v>
      </c>
      <c r="K1317" s="4">
        <v>1307</v>
      </c>
      <c r="L1317" s="2">
        <v>9331945</v>
      </c>
      <c r="M1317" s="2">
        <v>14419061402.299999</v>
      </c>
      <c r="N1317" s="2">
        <v>341731</v>
      </c>
      <c r="O1317" t="s">
        <v>21</v>
      </c>
      <c r="P1317" s="8">
        <f t="shared" si="60"/>
        <v>-27.599999999999909</v>
      </c>
      <c r="Q1317" t="s">
        <v>38</v>
      </c>
      <c r="R1317">
        <f t="shared" si="61"/>
        <v>9</v>
      </c>
      <c r="S1317" t="str">
        <f t="shared" si="62"/>
        <v>Sep</v>
      </c>
      <c r="T1317" s="9">
        <f>VLOOKUP(O1317, Annual_Summary!A:B, 2, 0)</f>
        <v>-0.14188579017264272</v>
      </c>
    </row>
    <row r="1318" spans="1:20" x14ac:dyDescent="0.3">
      <c r="A1318" s="1">
        <v>45917</v>
      </c>
      <c r="B1318" s="4" t="s">
        <v>15</v>
      </c>
      <c r="C1318" s="4">
        <v>1516.9</v>
      </c>
      <c r="D1318" s="4">
        <v>1526.7</v>
      </c>
      <c r="E1318" s="4">
        <v>1514</v>
      </c>
      <c r="F1318" s="4">
        <v>1511.3</v>
      </c>
      <c r="G1318" s="4">
        <v>1521.5</v>
      </c>
      <c r="H1318" s="4">
        <v>1522.4</v>
      </c>
      <c r="I1318" s="4">
        <v>1521.42</v>
      </c>
      <c r="J1318" s="4">
        <v>2006.45</v>
      </c>
      <c r="K1318" s="4">
        <v>1307</v>
      </c>
      <c r="L1318" s="2">
        <v>4795698</v>
      </c>
      <c r="M1318" s="2">
        <v>7296293565.8999996</v>
      </c>
      <c r="N1318" s="2">
        <v>137197</v>
      </c>
      <c r="O1318" t="s">
        <v>21</v>
      </c>
      <c r="P1318" s="8">
        <f t="shared" si="60"/>
        <v>-5.6000000000001364</v>
      </c>
      <c r="Q1318" t="s">
        <v>38</v>
      </c>
      <c r="R1318">
        <f t="shared" si="61"/>
        <v>9</v>
      </c>
      <c r="S1318" t="str">
        <f t="shared" si="62"/>
        <v>Sep</v>
      </c>
      <c r="T1318" s="9">
        <f>VLOOKUP(O1318, Annual_Summary!A:B, 2, 0)</f>
        <v>-0.14188579017264272</v>
      </c>
    </row>
    <row r="1319" spans="1:20" x14ac:dyDescent="0.3">
      <c r="A1319" s="1">
        <v>45916</v>
      </c>
      <c r="B1319" s="4" t="s">
        <v>15</v>
      </c>
      <c r="C1319" s="4">
        <v>1508.4</v>
      </c>
      <c r="D1319" s="4">
        <v>1514</v>
      </c>
      <c r="E1319" s="4">
        <v>1503.5</v>
      </c>
      <c r="F1319" s="4">
        <v>1508.4</v>
      </c>
      <c r="G1319" s="4">
        <v>1513.5</v>
      </c>
      <c r="H1319" s="4">
        <v>1511.3</v>
      </c>
      <c r="I1319" s="4">
        <v>1507.82</v>
      </c>
      <c r="J1319" s="4">
        <v>2006.45</v>
      </c>
      <c r="K1319" s="4">
        <v>1307</v>
      </c>
      <c r="L1319" s="2">
        <v>8923112</v>
      </c>
      <c r="M1319" s="2">
        <v>13454416476.299999</v>
      </c>
      <c r="N1319" s="2">
        <v>202258</v>
      </c>
      <c r="O1319" t="s">
        <v>21</v>
      </c>
      <c r="P1319" s="8">
        <f t="shared" si="60"/>
        <v>0</v>
      </c>
      <c r="Q1319" t="s">
        <v>38</v>
      </c>
      <c r="R1319">
        <f t="shared" si="61"/>
        <v>9</v>
      </c>
      <c r="S1319" t="str">
        <f t="shared" si="62"/>
        <v>Sep</v>
      </c>
      <c r="T1319" s="9">
        <f>VLOOKUP(O1319, Annual_Summary!A:B, 2, 0)</f>
        <v>-0.14188579017264272</v>
      </c>
    </row>
    <row r="1320" spans="1:20" x14ac:dyDescent="0.3">
      <c r="A1320" s="1">
        <v>45915</v>
      </c>
      <c r="B1320" s="4" t="s">
        <v>15</v>
      </c>
      <c r="C1320" s="4">
        <v>1525.6</v>
      </c>
      <c r="D1320" s="4">
        <v>1527.5</v>
      </c>
      <c r="E1320" s="4">
        <v>1501.2</v>
      </c>
      <c r="F1320" s="4">
        <v>1525.6</v>
      </c>
      <c r="G1320" s="4">
        <v>1508.5</v>
      </c>
      <c r="H1320" s="4">
        <v>1508.4</v>
      </c>
      <c r="I1320" s="4">
        <v>1509.78</v>
      </c>
      <c r="J1320" s="4">
        <v>2006.45</v>
      </c>
      <c r="K1320" s="4">
        <v>1307</v>
      </c>
      <c r="L1320" s="2">
        <v>6167414</v>
      </c>
      <c r="M1320" s="2">
        <v>9311410949.7999992</v>
      </c>
      <c r="N1320" s="2">
        <v>173954</v>
      </c>
      <c r="O1320" t="s">
        <v>21</v>
      </c>
      <c r="P1320" s="8">
        <f t="shared" si="60"/>
        <v>0</v>
      </c>
      <c r="Q1320" t="s">
        <v>38</v>
      </c>
      <c r="R1320">
        <f t="shared" si="61"/>
        <v>9</v>
      </c>
      <c r="S1320" t="str">
        <f t="shared" si="62"/>
        <v>Sep</v>
      </c>
      <c r="T1320" s="9">
        <f>VLOOKUP(O1320, Annual_Summary!A:B, 2, 0)</f>
        <v>-0.14188579017264272</v>
      </c>
    </row>
    <row r="1321" spans="1:20" x14ac:dyDescent="0.3">
      <c r="A1321" s="1">
        <v>45912</v>
      </c>
      <c r="B1321" s="4" t="s">
        <v>15</v>
      </c>
      <c r="C1321" s="4">
        <v>1537</v>
      </c>
      <c r="D1321" s="4">
        <v>1542.9</v>
      </c>
      <c r="E1321" s="4">
        <v>1521.1</v>
      </c>
      <c r="F1321" s="4">
        <v>1509.7</v>
      </c>
      <c r="G1321" s="4">
        <v>1524.1</v>
      </c>
      <c r="H1321" s="4">
        <v>1525.6</v>
      </c>
      <c r="I1321" s="4">
        <v>1529.87</v>
      </c>
      <c r="J1321" s="4">
        <v>2006.45</v>
      </c>
      <c r="K1321" s="4">
        <v>1307</v>
      </c>
      <c r="L1321" s="2">
        <v>12856963</v>
      </c>
      <c r="M1321" s="2">
        <v>19669425031.099998</v>
      </c>
      <c r="N1321" s="2">
        <v>332492</v>
      </c>
      <c r="O1321" t="s">
        <v>21</v>
      </c>
      <c r="P1321" s="8">
        <f t="shared" si="60"/>
        <v>-27.299999999999955</v>
      </c>
      <c r="Q1321" t="s">
        <v>38</v>
      </c>
      <c r="R1321">
        <f t="shared" si="61"/>
        <v>9</v>
      </c>
      <c r="S1321" t="str">
        <f t="shared" si="62"/>
        <v>Sep</v>
      </c>
      <c r="T1321" s="9">
        <f>VLOOKUP(O1321, Annual_Summary!A:B, 2, 0)</f>
        <v>-0.14188579017264272</v>
      </c>
    </row>
    <row r="1322" spans="1:20" x14ac:dyDescent="0.3">
      <c r="A1322" s="1">
        <v>45911</v>
      </c>
      <c r="B1322" s="4" t="s">
        <v>15</v>
      </c>
      <c r="C1322" s="4">
        <v>1523.9</v>
      </c>
      <c r="D1322" s="4">
        <v>1527.5</v>
      </c>
      <c r="E1322" s="4">
        <v>1506.5</v>
      </c>
      <c r="F1322" s="4">
        <v>1532.6</v>
      </c>
      <c r="G1322" s="4">
        <v>1512.2</v>
      </c>
      <c r="H1322" s="4">
        <v>1509.7</v>
      </c>
      <c r="I1322" s="4">
        <v>1512.35</v>
      </c>
      <c r="J1322" s="4">
        <v>2006.45</v>
      </c>
      <c r="K1322" s="4">
        <v>1307</v>
      </c>
      <c r="L1322" s="2">
        <v>8003662</v>
      </c>
      <c r="M1322" s="2">
        <v>12104367139.299999</v>
      </c>
      <c r="N1322" s="2">
        <v>225605</v>
      </c>
      <c r="O1322" t="s">
        <v>21</v>
      </c>
      <c r="P1322" s="8">
        <f t="shared" si="60"/>
        <v>8.6999999999998181</v>
      </c>
      <c r="Q1322" t="s">
        <v>38</v>
      </c>
      <c r="R1322">
        <f t="shared" si="61"/>
        <v>9</v>
      </c>
      <c r="S1322" t="str">
        <f t="shared" si="62"/>
        <v>Sep</v>
      </c>
      <c r="T1322" s="9">
        <f>VLOOKUP(O1322, Annual_Summary!A:B, 2, 0)</f>
        <v>-0.14188579017264272</v>
      </c>
    </row>
    <row r="1323" spans="1:20" x14ac:dyDescent="0.3">
      <c r="A1323" s="1">
        <v>45910</v>
      </c>
      <c r="B1323" s="4" t="s">
        <v>15</v>
      </c>
      <c r="C1323" s="4">
        <v>1510.1</v>
      </c>
      <c r="D1323" s="4">
        <v>1534.9</v>
      </c>
      <c r="E1323" s="4">
        <v>1509.3</v>
      </c>
      <c r="F1323" s="4">
        <v>1504.3</v>
      </c>
      <c r="G1323" s="4">
        <v>1532</v>
      </c>
      <c r="H1323" s="4">
        <v>1532.6</v>
      </c>
      <c r="I1323" s="4">
        <v>1528.49</v>
      </c>
      <c r="J1323" s="4">
        <v>2006.45</v>
      </c>
      <c r="K1323" s="4">
        <v>1307</v>
      </c>
      <c r="L1323" s="2">
        <v>7281071</v>
      </c>
      <c r="M1323" s="2">
        <v>11129062219.700001</v>
      </c>
      <c r="N1323" s="2">
        <v>209861</v>
      </c>
      <c r="O1323" t="s">
        <v>21</v>
      </c>
      <c r="P1323" s="8">
        <f t="shared" si="60"/>
        <v>-5.7999999999999545</v>
      </c>
      <c r="Q1323" t="s">
        <v>38</v>
      </c>
      <c r="R1323">
        <f t="shared" si="61"/>
        <v>9</v>
      </c>
      <c r="S1323" t="str">
        <f t="shared" si="62"/>
        <v>Sep</v>
      </c>
      <c r="T1323" s="9">
        <f>VLOOKUP(O1323, Annual_Summary!A:B, 2, 0)</f>
        <v>-0.14188579017264272</v>
      </c>
    </row>
    <row r="1324" spans="1:20" x14ac:dyDescent="0.3">
      <c r="A1324" s="1">
        <v>45909</v>
      </c>
      <c r="B1324" s="4" t="s">
        <v>15</v>
      </c>
      <c r="C1324" s="4">
        <v>1481</v>
      </c>
      <c r="D1324" s="4">
        <v>1507.2</v>
      </c>
      <c r="E1324" s="4">
        <v>1472.5</v>
      </c>
      <c r="F1324" s="4">
        <v>1432.9</v>
      </c>
      <c r="G1324" s="4">
        <v>1502.4</v>
      </c>
      <c r="H1324" s="4">
        <v>1504.3</v>
      </c>
      <c r="I1324" s="4">
        <v>1495.04</v>
      </c>
      <c r="J1324" s="4">
        <v>2006.45</v>
      </c>
      <c r="K1324" s="4">
        <v>1307</v>
      </c>
      <c r="L1324" s="2">
        <v>13072640</v>
      </c>
      <c r="M1324" s="2">
        <v>19544174524.900002</v>
      </c>
      <c r="N1324" s="2">
        <v>302959</v>
      </c>
      <c r="O1324" t="s">
        <v>21</v>
      </c>
      <c r="P1324" s="8">
        <f t="shared" si="60"/>
        <v>-48.099999999999909</v>
      </c>
      <c r="Q1324" t="s">
        <v>38</v>
      </c>
      <c r="R1324">
        <f t="shared" si="61"/>
        <v>9</v>
      </c>
      <c r="S1324" t="str">
        <f t="shared" si="62"/>
        <v>Sep</v>
      </c>
      <c r="T1324" s="9">
        <f>VLOOKUP(O1324, Annual_Summary!A:B, 2, 0)</f>
        <v>-0.14188579017264272</v>
      </c>
    </row>
    <row r="1325" spans="1:20" x14ac:dyDescent="0.3">
      <c r="A1325" s="1">
        <v>45908</v>
      </c>
      <c r="B1325" s="4" t="s">
        <v>15</v>
      </c>
      <c r="C1325" s="4">
        <v>1451</v>
      </c>
      <c r="D1325" s="4">
        <v>1458</v>
      </c>
      <c r="E1325" s="4">
        <v>1428.3</v>
      </c>
      <c r="F1325" s="4">
        <v>1444.6</v>
      </c>
      <c r="G1325" s="4">
        <v>1436.1</v>
      </c>
      <c r="H1325" s="4">
        <v>1432.9</v>
      </c>
      <c r="I1325" s="4">
        <v>1436.94</v>
      </c>
      <c r="J1325" s="4">
        <v>2006.45</v>
      </c>
      <c r="K1325" s="4">
        <v>1307</v>
      </c>
      <c r="L1325" s="2">
        <v>3811567</v>
      </c>
      <c r="M1325" s="2">
        <v>5476995827.1999998</v>
      </c>
      <c r="N1325" s="2">
        <v>151828</v>
      </c>
      <c r="O1325" t="s">
        <v>21</v>
      </c>
      <c r="P1325" s="8">
        <f t="shared" si="60"/>
        <v>-6.4000000000000909</v>
      </c>
      <c r="Q1325" t="s">
        <v>38</v>
      </c>
      <c r="R1325">
        <f t="shared" si="61"/>
        <v>9</v>
      </c>
      <c r="S1325" t="str">
        <f t="shared" si="62"/>
        <v>Sep</v>
      </c>
      <c r="T1325" s="9">
        <f>VLOOKUP(O1325, Annual_Summary!A:B, 2, 0)</f>
        <v>-0.14188579017264272</v>
      </c>
    </row>
    <row r="1326" spans="1:20" x14ac:dyDescent="0.3">
      <c r="A1326" s="1">
        <v>45905</v>
      </c>
      <c r="B1326" s="4" t="s">
        <v>15</v>
      </c>
      <c r="C1326" s="4">
        <v>1470</v>
      </c>
      <c r="D1326" s="4">
        <v>1472.7</v>
      </c>
      <c r="E1326" s="4">
        <v>1433</v>
      </c>
      <c r="F1326" s="4">
        <v>1463</v>
      </c>
      <c r="G1326" s="4">
        <v>1446</v>
      </c>
      <c r="H1326" s="4">
        <v>1444.6</v>
      </c>
      <c r="I1326" s="4">
        <v>1445.24</v>
      </c>
      <c r="J1326" s="4">
        <v>2006.45</v>
      </c>
      <c r="K1326" s="4">
        <v>1307</v>
      </c>
      <c r="L1326" s="2">
        <v>5466487</v>
      </c>
      <c r="M1326" s="2">
        <v>7900395050.8000002</v>
      </c>
      <c r="N1326" s="2">
        <v>166130</v>
      </c>
      <c r="O1326" t="s">
        <v>21</v>
      </c>
      <c r="P1326" s="8">
        <f t="shared" si="60"/>
        <v>-7</v>
      </c>
      <c r="Q1326" t="s">
        <v>38</v>
      </c>
      <c r="R1326">
        <f t="shared" si="61"/>
        <v>9</v>
      </c>
      <c r="S1326" t="str">
        <f t="shared" si="62"/>
        <v>Sep</v>
      </c>
      <c r="T1326" s="9">
        <f>VLOOKUP(O1326, Annual_Summary!A:B, 2, 0)</f>
        <v>-0.14188579017264272</v>
      </c>
    </row>
    <row r="1327" spans="1:20" x14ac:dyDescent="0.3">
      <c r="A1327" s="1">
        <v>45904</v>
      </c>
      <c r="B1327" s="4" t="s">
        <v>15</v>
      </c>
      <c r="C1327" s="4">
        <v>1484</v>
      </c>
      <c r="D1327" s="4">
        <v>1484</v>
      </c>
      <c r="E1327" s="4">
        <v>1460.1</v>
      </c>
      <c r="F1327" s="4">
        <v>1479.1</v>
      </c>
      <c r="G1327" s="4">
        <v>1461.5</v>
      </c>
      <c r="H1327" s="4">
        <v>1463</v>
      </c>
      <c r="I1327" s="4">
        <v>1469.07</v>
      </c>
      <c r="J1327" s="4">
        <v>2006.45</v>
      </c>
      <c r="K1327" s="4">
        <v>1307</v>
      </c>
      <c r="L1327" s="2">
        <v>5787724</v>
      </c>
      <c r="M1327" s="2">
        <v>8502579414.8000002</v>
      </c>
      <c r="N1327" s="2">
        <v>187871</v>
      </c>
      <c r="O1327" t="s">
        <v>21</v>
      </c>
      <c r="P1327" s="8">
        <f t="shared" si="60"/>
        <v>-4.9000000000000909</v>
      </c>
      <c r="Q1327" t="s">
        <v>38</v>
      </c>
      <c r="R1327">
        <f t="shared" si="61"/>
        <v>9</v>
      </c>
      <c r="S1327" t="str">
        <f t="shared" si="62"/>
        <v>Sep</v>
      </c>
      <c r="T1327" s="9">
        <f>VLOOKUP(O1327, Annual_Summary!A:B, 2, 0)</f>
        <v>-0.14188579017264272</v>
      </c>
    </row>
    <row r="1328" spans="1:20" x14ac:dyDescent="0.3">
      <c r="A1328" s="1">
        <v>45903</v>
      </c>
      <c r="B1328" s="4" t="s">
        <v>15</v>
      </c>
      <c r="C1328" s="4">
        <v>1500</v>
      </c>
      <c r="D1328" s="4">
        <v>1501.9</v>
      </c>
      <c r="E1328" s="4">
        <v>1473</v>
      </c>
      <c r="F1328" s="4">
        <v>1498.7</v>
      </c>
      <c r="G1328" s="4">
        <v>1480</v>
      </c>
      <c r="H1328" s="4">
        <v>1479.1</v>
      </c>
      <c r="I1328" s="4">
        <v>1479.49</v>
      </c>
      <c r="J1328" s="4">
        <v>2006.45</v>
      </c>
      <c r="K1328" s="4">
        <v>1307</v>
      </c>
      <c r="L1328" s="2">
        <v>4623483</v>
      </c>
      <c r="M1328" s="2">
        <v>6840388121.3000002</v>
      </c>
      <c r="N1328" s="2">
        <v>194968</v>
      </c>
      <c r="O1328" t="s">
        <v>21</v>
      </c>
      <c r="P1328" s="8">
        <f t="shared" si="60"/>
        <v>-1.2999999999999545</v>
      </c>
      <c r="Q1328" t="s">
        <v>38</v>
      </c>
      <c r="R1328">
        <f t="shared" si="61"/>
        <v>9</v>
      </c>
      <c r="S1328" t="str">
        <f t="shared" si="62"/>
        <v>Sep</v>
      </c>
      <c r="T1328" s="9">
        <f>VLOOKUP(O1328, Annual_Summary!A:B, 2, 0)</f>
        <v>-0.14188579017264272</v>
      </c>
    </row>
    <row r="1329" spans="1:20" x14ac:dyDescent="0.3">
      <c r="A1329" s="1">
        <v>45902</v>
      </c>
      <c r="B1329" s="4" t="s">
        <v>15</v>
      </c>
      <c r="C1329" s="4">
        <v>1499.4</v>
      </c>
      <c r="D1329" s="4">
        <v>1512.8</v>
      </c>
      <c r="E1329" s="4">
        <v>1486.3</v>
      </c>
      <c r="F1329" s="4">
        <v>1499.4</v>
      </c>
      <c r="G1329" s="4">
        <v>1494</v>
      </c>
      <c r="H1329" s="4">
        <v>1498.7</v>
      </c>
      <c r="I1329" s="4">
        <v>1501.52</v>
      </c>
      <c r="J1329" s="4">
        <v>2006.45</v>
      </c>
      <c r="K1329" s="4">
        <v>1307</v>
      </c>
      <c r="L1329" s="2">
        <v>5218763</v>
      </c>
      <c r="M1329" s="2">
        <v>7836067856.8999996</v>
      </c>
      <c r="N1329" s="2">
        <v>230255</v>
      </c>
      <c r="O1329" t="s">
        <v>21</v>
      </c>
      <c r="P1329" s="8">
        <f t="shared" si="60"/>
        <v>0</v>
      </c>
      <c r="Q1329" t="s">
        <v>38</v>
      </c>
      <c r="R1329">
        <f t="shared" si="61"/>
        <v>9</v>
      </c>
      <c r="S1329" t="str">
        <f t="shared" si="62"/>
        <v>Sep</v>
      </c>
      <c r="T1329" s="9">
        <f>VLOOKUP(O1329, Annual_Summary!A:B, 2, 0)</f>
        <v>-0.14188579017264272</v>
      </c>
    </row>
    <row r="1330" spans="1:20" x14ac:dyDescent="0.3">
      <c r="A1330" s="1">
        <v>45901</v>
      </c>
      <c r="B1330" s="4" t="s">
        <v>15</v>
      </c>
      <c r="C1330" s="4">
        <v>1476.7</v>
      </c>
      <c r="D1330" s="4">
        <v>1503.4</v>
      </c>
      <c r="E1330" s="4">
        <v>1476.2</v>
      </c>
      <c r="F1330" s="4">
        <v>1469.6</v>
      </c>
      <c r="G1330" s="4">
        <v>1500.6</v>
      </c>
      <c r="H1330" s="4">
        <v>1499.4</v>
      </c>
      <c r="I1330" s="4">
        <v>1497.49</v>
      </c>
      <c r="J1330" s="4">
        <v>2006.45</v>
      </c>
      <c r="K1330" s="4">
        <v>1307</v>
      </c>
      <c r="L1330" s="2">
        <v>4546057</v>
      </c>
      <c r="M1330" s="2">
        <v>6807659263.5</v>
      </c>
      <c r="N1330" s="2">
        <v>251323</v>
      </c>
      <c r="O1330" t="s">
        <v>21</v>
      </c>
      <c r="P1330" s="8">
        <f t="shared" si="60"/>
        <v>-7.1000000000001364</v>
      </c>
      <c r="Q1330" t="s">
        <v>38</v>
      </c>
      <c r="R1330">
        <f t="shared" si="61"/>
        <v>9</v>
      </c>
      <c r="S1330" t="str">
        <f t="shared" si="62"/>
        <v>Sep</v>
      </c>
      <c r="T1330" s="9">
        <f>VLOOKUP(O1330, Annual_Summary!A:B, 2, 0)</f>
        <v>-0.14188579017264272</v>
      </c>
    </row>
    <row r="1331" spans="1:20" x14ac:dyDescent="0.3">
      <c r="A1331" s="1">
        <v>45898</v>
      </c>
      <c r="B1331" s="4" t="s">
        <v>15</v>
      </c>
      <c r="C1331" s="4">
        <v>1501.9</v>
      </c>
      <c r="D1331" s="4">
        <v>1501.9</v>
      </c>
      <c r="E1331" s="4">
        <v>1467.7</v>
      </c>
      <c r="F1331" s="4">
        <v>1500.1</v>
      </c>
      <c r="G1331" s="4">
        <v>1469</v>
      </c>
      <c r="H1331" s="4">
        <v>1469.6</v>
      </c>
      <c r="I1331" s="4">
        <v>1479.78</v>
      </c>
      <c r="J1331" s="4">
        <v>2006.45</v>
      </c>
      <c r="K1331" s="4">
        <v>1307</v>
      </c>
      <c r="L1331" s="2">
        <v>8169075</v>
      </c>
      <c r="M1331" s="2">
        <v>12088473402.6</v>
      </c>
      <c r="N1331" s="2">
        <v>180969</v>
      </c>
      <c r="O1331" t="s">
        <v>21</v>
      </c>
      <c r="P1331" s="8">
        <f t="shared" si="60"/>
        <v>-1.8000000000001819</v>
      </c>
      <c r="Q1331" t="s">
        <v>38</v>
      </c>
      <c r="R1331">
        <f t="shared" si="61"/>
        <v>8</v>
      </c>
      <c r="S1331" t="str">
        <f t="shared" si="62"/>
        <v>Aug</v>
      </c>
      <c r="T1331" s="9">
        <f>VLOOKUP(O1331, Annual_Summary!A:B, 2, 0)</f>
        <v>-0.14188579017264272</v>
      </c>
    </row>
    <row r="1332" spans="1:20" x14ac:dyDescent="0.3">
      <c r="A1332" s="1">
        <v>45897</v>
      </c>
      <c r="B1332" s="4" t="s">
        <v>15</v>
      </c>
      <c r="C1332" s="4">
        <v>1529.6</v>
      </c>
      <c r="D1332" s="4">
        <v>1529.6</v>
      </c>
      <c r="E1332" s="4">
        <v>1498</v>
      </c>
      <c r="F1332" s="4">
        <v>1529.6</v>
      </c>
      <c r="G1332" s="4">
        <v>1503</v>
      </c>
      <c r="H1332" s="4">
        <v>1500.1</v>
      </c>
      <c r="I1332" s="4">
        <v>1505.61</v>
      </c>
      <c r="J1332" s="4">
        <v>2006.45</v>
      </c>
      <c r="K1332" s="4">
        <v>1307</v>
      </c>
      <c r="L1332" s="2">
        <v>5443364</v>
      </c>
      <c r="M1332" s="2">
        <v>8195606188.1999998</v>
      </c>
      <c r="N1332" s="2">
        <v>191326</v>
      </c>
      <c r="O1332" t="s">
        <v>21</v>
      </c>
      <c r="P1332" s="8">
        <f t="shared" si="60"/>
        <v>0</v>
      </c>
      <c r="Q1332" t="s">
        <v>38</v>
      </c>
      <c r="R1332">
        <f t="shared" si="61"/>
        <v>8</v>
      </c>
      <c r="S1332" t="str">
        <f t="shared" si="62"/>
        <v>Aug</v>
      </c>
      <c r="T1332" s="9">
        <f>VLOOKUP(O1332, Annual_Summary!A:B, 2, 0)</f>
        <v>-0.14188579017264272</v>
      </c>
    </row>
    <row r="1333" spans="1:20" x14ac:dyDescent="0.3">
      <c r="A1333" s="1">
        <v>45895</v>
      </c>
      <c r="B1333" s="4" t="s">
        <v>15</v>
      </c>
      <c r="C1333" s="4">
        <v>1523</v>
      </c>
      <c r="D1333" s="4">
        <v>1538.4</v>
      </c>
      <c r="E1333" s="4">
        <v>1518.6</v>
      </c>
      <c r="F1333" s="4">
        <v>1532.1</v>
      </c>
      <c r="G1333" s="4">
        <v>1525.8</v>
      </c>
      <c r="H1333" s="4">
        <v>1529.6</v>
      </c>
      <c r="I1333" s="4">
        <v>1528.71</v>
      </c>
      <c r="J1333" s="4">
        <v>2006.45</v>
      </c>
      <c r="K1333" s="4">
        <v>1307</v>
      </c>
      <c r="L1333" s="2">
        <v>15994798</v>
      </c>
      <c r="M1333" s="2">
        <v>24451397801.599998</v>
      </c>
      <c r="N1333" s="2">
        <v>229265</v>
      </c>
      <c r="O1333" t="s">
        <v>21</v>
      </c>
      <c r="P1333" s="8">
        <f t="shared" si="60"/>
        <v>9.0999999999999091</v>
      </c>
      <c r="Q1333" t="s">
        <v>38</v>
      </c>
      <c r="R1333">
        <f t="shared" si="61"/>
        <v>8</v>
      </c>
      <c r="S1333" t="str">
        <f t="shared" si="62"/>
        <v>Aug</v>
      </c>
      <c r="T1333" s="9">
        <f>VLOOKUP(O1333, Annual_Summary!A:B, 2, 0)</f>
        <v>-0.14188579017264272</v>
      </c>
    </row>
    <row r="1334" spans="1:20" x14ac:dyDescent="0.3">
      <c r="A1334" s="1">
        <v>45894</v>
      </c>
      <c r="B1334" s="4" t="s">
        <v>15</v>
      </c>
      <c r="C1334" s="4">
        <v>1506.7</v>
      </c>
      <c r="D1334" s="4">
        <v>1539</v>
      </c>
      <c r="E1334" s="4">
        <v>1506.7</v>
      </c>
      <c r="F1334" s="4">
        <v>1487.5</v>
      </c>
      <c r="G1334" s="4">
        <v>1533.3</v>
      </c>
      <c r="H1334" s="4">
        <v>1532.1</v>
      </c>
      <c r="I1334" s="4">
        <v>1529.98</v>
      </c>
      <c r="J1334" s="4">
        <v>2006.45</v>
      </c>
      <c r="K1334" s="4">
        <v>1307</v>
      </c>
      <c r="L1334" s="2">
        <v>10694531</v>
      </c>
      <c r="M1334" s="2">
        <v>16362427034.299999</v>
      </c>
      <c r="N1334" s="2">
        <v>293354</v>
      </c>
      <c r="O1334" t="s">
        <v>21</v>
      </c>
      <c r="P1334" s="8">
        <f t="shared" si="60"/>
        <v>-19.200000000000045</v>
      </c>
      <c r="Q1334" t="s">
        <v>38</v>
      </c>
      <c r="R1334">
        <f t="shared" si="61"/>
        <v>8</v>
      </c>
      <c r="S1334" t="str">
        <f t="shared" si="62"/>
        <v>Aug</v>
      </c>
      <c r="T1334" s="9">
        <f>VLOOKUP(O1334, Annual_Summary!A:B, 2, 0)</f>
        <v>-0.14188579017264272</v>
      </c>
    </row>
    <row r="1335" spans="1:20" x14ac:dyDescent="0.3">
      <c r="A1335" s="1">
        <v>45891</v>
      </c>
      <c r="B1335" s="4" t="s">
        <v>15</v>
      </c>
      <c r="C1335" s="4">
        <v>1498.1</v>
      </c>
      <c r="D1335" s="4">
        <v>1504.3</v>
      </c>
      <c r="E1335" s="4">
        <v>1486.1</v>
      </c>
      <c r="F1335" s="4">
        <v>1496.4</v>
      </c>
      <c r="G1335" s="4">
        <v>1487.9</v>
      </c>
      <c r="H1335" s="4">
        <v>1487.5</v>
      </c>
      <c r="I1335" s="4">
        <v>1492.1</v>
      </c>
      <c r="J1335" s="4">
        <v>2006.45</v>
      </c>
      <c r="K1335" s="4">
        <v>1307</v>
      </c>
      <c r="L1335" s="2">
        <v>5543397</v>
      </c>
      <c r="M1335" s="2">
        <v>8271310707.6000004</v>
      </c>
      <c r="N1335" s="2">
        <v>181180</v>
      </c>
      <c r="O1335" t="s">
        <v>21</v>
      </c>
      <c r="P1335" s="8">
        <f t="shared" si="60"/>
        <v>-1.6999999999998181</v>
      </c>
      <c r="Q1335" t="s">
        <v>38</v>
      </c>
      <c r="R1335">
        <f t="shared" si="61"/>
        <v>8</v>
      </c>
      <c r="S1335" t="str">
        <f t="shared" si="62"/>
        <v>Aug</v>
      </c>
      <c r="T1335" s="9">
        <f>VLOOKUP(O1335, Annual_Summary!A:B, 2, 0)</f>
        <v>-0.14188579017264272</v>
      </c>
    </row>
    <row r="1336" spans="1:20" x14ac:dyDescent="0.3">
      <c r="A1336" s="1">
        <v>45890</v>
      </c>
      <c r="B1336" s="4" t="s">
        <v>15</v>
      </c>
      <c r="C1336" s="4">
        <v>1508</v>
      </c>
      <c r="D1336" s="4">
        <v>1508</v>
      </c>
      <c r="E1336" s="4">
        <v>1484.3</v>
      </c>
      <c r="F1336" s="4">
        <v>1496.2</v>
      </c>
      <c r="G1336" s="4">
        <v>1495.5</v>
      </c>
      <c r="H1336" s="4">
        <v>1496.4</v>
      </c>
      <c r="I1336" s="4">
        <v>1497.17</v>
      </c>
      <c r="J1336" s="4">
        <v>2006.45</v>
      </c>
      <c r="K1336" s="4">
        <v>1307</v>
      </c>
      <c r="L1336" s="2">
        <v>6565539</v>
      </c>
      <c r="M1336" s="2">
        <v>9829715323</v>
      </c>
      <c r="N1336" s="2">
        <v>208499</v>
      </c>
      <c r="O1336" t="s">
        <v>21</v>
      </c>
      <c r="P1336" s="8">
        <f t="shared" si="60"/>
        <v>-11.799999999999955</v>
      </c>
      <c r="Q1336" t="s">
        <v>38</v>
      </c>
      <c r="R1336">
        <f t="shared" si="61"/>
        <v>8</v>
      </c>
      <c r="S1336" t="str">
        <f t="shared" si="62"/>
        <v>Aug</v>
      </c>
      <c r="T1336" s="9">
        <f>VLOOKUP(O1336, Annual_Summary!A:B, 2, 0)</f>
        <v>-0.14188579017264272</v>
      </c>
    </row>
    <row r="1337" spans="1:20" x14ac:dyDescent="0.3">
      <c r="A1337" s="1">
        <v>45889</v>
      </c>
      <c r="B1337" s="4" t="s">
        <v>15</v>
      </c>
      <c r="C1337" s="4">
        <v>1440.7</v>
      </c>
      <c r="D1337" s="4">
        <v>1499</v>
      </c>
      <c r="E1337" s="4">
        <v>1440.7</v>
      </c>
      <c r="F1337" s="4">
        <v>1440</v>
      </c>
      <c r="G1337" s="4">
        <v>1495.1</v>
      </c>
      <c r="H1337" s="4">
        <v>1496.2</v>
      </c>
      <c r="I1337" s="4">
        <v>1482.74</v>
      </c>
      <c r="J1337" s="4">
        <v>2006.45</v>
      </c>
      <c r="K1337" s="4">
        <v>1307</v>
      </c>
      <c r="L1337" s="2">
        <v>10413061</v>
      </c>
      <c r="M1337" s="2">
        <v>15439823972.4</v>
      </c>
      <c r="N1337" s="2">
        <v>307308</v>
      </c>
      <c r="O1337" t="s">
        <v>21</v>
      </c>
      <c r="P1337" s="8">
        <f t="shared" si="60"/>
        <v>-0.70000000000004547</v>
      </c>
      <c r="Q1337" t="s">
        <v>38</v>
      </c>
      <c r="R1337">
        <f t="shared" si="61"/>
        <v>8</v>
      </c>
      <c r="S1337" t="str">
        <f t="shared" si="62"/>
        <v>Aug</v>
      </c>
      <c r="T1337" s="9">
        <f>VLOOKUP(O1337, Annual_Summary!A:B, 2, 0)</f>
        <v>-0.14188579017264272</v>
      </c>
    </row>
    <row r="1338" spans="1:20" x14ac:dyDescent="0.3">
      <c r="A1338" s="1">
        <v>45888</v>
      </c>
      <c r="B1338" s="4" t="s">
        <v>15</v>
      </c>
      <c r="C1338" s="4">
        <v>1432.7</v>
      </c>
      <c r="D1338" s="4">
        <v>1449.4</v>
      </c>
      <c r="E1338" s="4">
        <v>1432.7</v>
      </c>
      <c r="F1338" s="4">
        <v>1435.8</v>
      </c>
      <c r="G1338" s="4">
        <v>1442.5</v>
      </c>
      <c r="H1338" s="4">
        <v>1440</v>
      </c>
      <c r="I1338" s="4">
        <v>1442.34</v>
      </c>
      <c r="J1338" s="4">
        <v>2006.45</v>
      </c>
      <c r="K1338" s="4">
        <v>1307</v>
      </c>
      <c r="L1338" s="2">
        <v>3986094</v>
      </c>
      <c r="M1338" s="2">
        <v>5749306331.6000004</v>
      </c>
      <c r="N1338" s="2">
        <v>147879</v>
      </c>
      <c r="O1338" t="s">
        <v>21</v>
      </c>
      <c r="P1338" s="8">
        <f t="shared" si="60"/>
        <v>3.0999999999999091</v>
      </c>
      <c r="Q1338" t="s">
        <v>38</v>
      </c>
      <c r="R1338">
        <f t="shared" si="61"/>
        <v>8</v>
      </c>
      <c r="S1338" t="str">
        <f t="shared" si="62"/>
        <v>Aug</v>
      </c>
      <c r="T1338" s="9">
        <f>VLOOKUP(O1338, Annual_Summary!A:B, 2, 0)</f>
        <v>-0.14188579017264272</v>
      </c>
    </row>
    <row r="1339" spans="1:20" x14ac:dyDescent="0.3">
      <c r="A1339" s="1">
        <v>45887</v>
      </c>
      <c r="B1339" s="4" t="s">
        <v>15</v>
      </c>
      <c r="C1339" s="4">
        <v>1464.7</v>
      </c>
      <c r="D1339" s="4">
        <v>1464.7</v>
      </c>
      <c r="E1339" s="4">
        <v>1429.6</v>
      </c>
      <c r="F1339" s="4">
        <v>1447.7</v>
      </c>
      <c r="G1339" s="4">
        <v>1436</v>
      </c>
      <c r="H1339" s="4">
        <v>1435.8</v>
      </c>
      <c r="I1339" s="4">
        <v>1438.72</v>
      </c>
      <c r="J1339" s="4">
        <v>2006.45</v>
      </c>
      <c r="K1339" s="4">
        <v>1307</v>
      </c>
      <c r="L1339" s="2">
        <v>7254561</v>
      </c>
      <c r="M1339" s="2">
        <v>10437279703.700001</v>
      </c>
      <c r="N1339" s="2">
        <v>182842</v>
      </c>
      <c r="O1339" t="s">
        <v>21</v>
      </c>
      <c r="P1339" s="8">
        <f t="shared" si="60"/>
        <v>-17</v>
      </c>
      <c r="Q1339" t="s">
        <v>38</v>
      </c>
      <c r="R1339">
        <f t="shared" si="61"/>
        <v>8</v>
      </c>
      <c r="S1339" t="str">
        <f t="shared" si="62"/>
        <v>Aug</v>
      </c>
      <c r="T1339" s="9">
        <f>VLOOKUP(O1339, Annual_Summary!A:B, 2, 0)</f>
        <v>-0.14188579017264272</v>
      </c>
    </row>
    <row r="1340" spans="1:20" x14ac:dyDescent="0.3">
      <c r="A1340" s="1">
        <v>45883</v>
      </c>
      <c r="B1340" s="4" t="s">
        <v>15</v>
      </c>
      <c r="C1340" s="4">
        <v>1426.2</v>
      </c>
      <c r="D1340" s="4">
        <v>1470</v>
      </c>
      <c r="E1340" s="4">
        <v>1426.2</v>
      </c>
      <c r="F1340" s="4">
        <v>1426.6</v>
      </c>
      <c r="G1340" s="4">
        <v>1448</v>
      </c>
      <c r="H1340" s="4">
        <v>1447.7</v>
      </c>
      <c r="I1340" s="4">
        <v>1451.87</v>
      </c>
      <c r="J1340" s="4">
        <v>2006.45</v>
      </c>
      <c r="K1340" s="4">
        <v>1307</v>
      </c>
      <c r="L1340" s="2">
        <v>12902347</v>
      </c>
      <c r="M1340" s="2">
        <v>18732583333.599998</v>
      </c>
      <c r="N1340" s="2">
        <v>216803</v>
      </c>
      <c r="O1340" t="s">
        <v>21</v>
      </c>
      <c r="P1340" s="8">
        <f t="shared" si="60"/>
        <v>0.39999999999986358</v>
      </c>
      <c r="Q1340" t="s">
        <v>38</v>
      </c>
      <c r="R1340">
        <f t="shared" si="61"/>
        <v>8</v>
      </c>
      <c r="S1340" t="str">
        <f t="shared" si="62"/>
        <v>Aug</v>
      </c>
      <c r="T1340" s="9">
        <f>VLOOKUP(O1340, Annual_Summary!A:B, 2, 0)</f>
        <v>-0.14188579017264272</v>
      </c>
    </row>
    <row r="1341" spans="1:20" x14ac:dyDescent="0.3">
      <c r="A1341" s="1">
        <v>45882</v>
      </c>
      <c r="B1341" s="4" t="s">
        <v>15</v>
      </c>
      <c r="C1341" s="4">
        <v>1425</v>
      </c>
      <c r="D1341" s="4">
        <v>1434</v>
      </c>
      <c r="E1341" s="4">
        <v>1422.4</v>
      </c>
      <c r="F1341" s="4">
        <v>1424.1</v>
      </c>
      <c r="G1341" s="4">
        <v>1426.4</v>
      </c>
      <c r="H1341" s="4">
        <v>1426.6</v>
      </c>
      <c r="I1341" s="4">
        <v>1427.16</v>
      </c>
      <c r="J1341" s="4">
        <v>2006.45</v>
      </c>
      <c r="K1341" s="4">
        <v>1307</v>
      </c>
      <c r="L1341" s="2">
        <v>10318063</v>
      </c>
      <c r="M1341" s="2">
        <v>14725570609</v>
      </c>
      <c r="N1341" s="2">
        <v>282240</v>
      </c>
      <c r="O1341" t="s">
        <v>21</v>
      </c>
      <c r="P1341" s="8">
        <f t="shared" si="60"/>
        <v>-0.90000000000009095</v>
      </c>
      <c r="Q1341" t="s">
        <v>38</v>
      </c>
      <c r="R1341">
        <f t="shared" si="61"/>
        <v>8</v>
      </c>
      <c r="S1341" t="str">
        <f t="shared" si="62"/>
        <v>Aug</v>
      </c>
      <c r="T1341" s="9">
        <f>VLOOKUP(O1341, Annual_Summary!A:B, 2, 0)</f>
        <v>-0.14188579017264272</v>
      </c>
    </row>
    <row r="1342" spans="1:20" x14ac:dyDescent="0.3">
      <c r="A1342" s="1">
        <v>45881</v>
      </c>
      <c r="B1342" s="4" t="s">
        <v>15</v>
      </c>
      <c r="C1342" s="4">
        <v>1428.2</v>
      </c>
      <c r="D1342" s="4">
        <v>1441</v>
      </c>
      <c r="E1342" s="4">
        <v>1421</v>
      </c>
      <c r="F1342" s="4">
        <v>1428.2</v>
      </c>
      <c r="G1342" s="4">
        <v>1425.8</v>
      </c>
      <c r="H1342" s="4">
        <v>1424.1</v>
      </c>
      <c r="I1342" s="4">
        <v>1431.09</v>
      </c>
      <c r="J1342" s="4">
        <v>2006.45</v>
      </c>
      <c r="K1342" s="4">
        <v>1307</v>
      </c>
      <c r="L1342" s="2">
        <v>9899184</v>
      </c>
      <c r="M1342" s="2">
        <v>14166600704.200001</v>
      </c>
      <c r="N1342" s="2">
        <v>296874</v>
      </c>
      <c r="O1342" t="s">
        <v>21</v>
      </c>
      <c r="P1342" s="8">
        <f t="shared" si="60"/>
        <v>0</v>
      </c>
      <c r="Q1342" t="s">
        <v>38</v>
      </c>
      <c r="R1342">
        <f t="shared" si="61"/>
        <v>8</v>
      </c>
      <c r="S1342" t="str">
        <f t="shared" si="62"/>
        <v>Aug</v>
      </c>
      <c r="T1342" s="9">
        <f>VLOOKUP(O1342, Annual_Summary!A:B, 2, 0)</f>
        <v>-0.14188579017264272</v>
      </c>
    </row>
    <row r="1343" spans="1:20" x14ac:dyDescent="0.3">
      <c r="A1343" s="1">
        <v>45880</v>
      </c>
      <c r="B1343" s="4" t="s">
        <v>15</v>
      </c>
      <c r="C1343" s="4">
        <v>1419.9</v>
      </c>
      <c r="D1343" s="4">
        <v>1433.4</v>
      </c>
      <c r="E1343" s="4">
        <v>1414</v>
      </c>
      <c r="F1343" s="4">
        <v>1423.1</v>
      </c>
      <c r="G1343" s="4">
        <v>1426</v>
      </c>
      <c r="H1343" s="4">
        <v>1428.2</v>
      </c>
      <c r="I1343" s="4">
        <v>1425.61</v>
      </c>
      <c r="J1343" s="4">
        <v>2006.45</v>
      </c>
      <c r="K1343" s="4">
        <v>1307</v>
      </c>
      <c r="L1343" s="2">
        <v>6625368</v>
      </c>
      <c r="M1343" s="2">
        <v>9445185928.8999996</v>
      </c>
      <c r="N1343" s="2">
        <v>287957</v>
      </c>
      <c r="O1343" t="s">
        <v>21</v>
      </c>
      <c r="P1343" s="8">
        <f t="shared" si="60"/>
        <v>3.1999999999998181</v>
      </c>
      <c r="Q1343" t="s">
        <v>38</v>
      </c>
      <c r="R1343">
        <f t="shared" si="61"/>
        <v>8</v>
      </c>
      <c r="S1343" t="str">
        <f t="shared" si="62"/>
        <v>Aug</v>
      </c>
      <c r="T1343" s="9">
        <f>VLOOKUP(O1343, Annual_Summary!A:B, 2, 0)</f>
        <v>-0.14188579017264272</v>
      </c>
    </row>
    <row r="1344" spans="1:20" x14ac:dyDescent="0.3">
      <c r="A1344" s="1">
        <v>45877</v>
      </c>
      <c r="B1344" s="4" t="s">
        <v>15</v>
      </c>
      <c r="C1344" s="4">
        <v>1425</v>
      </c>
      <c r="D1344" s="4">
        <v>1433.2</v>
      </c>
      <c r="E1344" s="4">
        <v>1417.1</v>
      </c>
      <c r="F1344" s="4">
        <v>1436.9</v>
      </c>
      <c r="G1344" s="4">
        <v>1424</v>
      </c>
      <c r="H1344" s="4">
        <v>1423.1</v>
      </c>
      <c r="I1344" s="4">
        <v>1424.44</v>
      </c>
      <c r="J1344" s="4">
        <v>2006.45</v>
      </c>
      <c r="K1344" s="4">
        <v>1307</v>
      </c>
      <c r="L1344" s="2">
        <v>10048009</v>
      </c>
      <c r="M1344" s="2">
        <v>14312781899.700001</v>
      </c>
      <c r="N1344" s="2">
        <v>310037</v>
      </c>
      <c r="O1344" t="s">
        <v>21</v>
      </c>
      <c r="P1344" s="8">
        <f t="shared" si="60"/>
        <v>11.900000000000091</v>
      </c>
      <c r="Q1344" t="s">
        <v>38</v>
      </c>
      <c r="R1344">
        <f t="shared" si="61"/>
        <v>8</v>
      </c>
      <c r="S1344" t="str">
        <f t="shared" si="62"/>
        <v>Aug</v>
      </c>
      <c r="T1344" s="9">
        <f>VLOOKUP(O1344, Annual_Summary!A:B, 2, 0)</f>
        <v>-0.14188579017264272</v>
      </c>
    </row>
    <row r="1345" spans="1:20" x14ac:dyDescent="0.3">
      <c r="A1345" s="1">
        <v>45876</v>
      </c>
      <c r="B1345" s="4" t="s">
        <v>15</v>
      </c>
      <c r="C1345" s="4">
        <v>1430</v>
      </c>
      <c r="D1345" s="4">
        <v>1442</v>
      </c>
      <c r="E1345" s="4">
        <v>1414.2</v>
      </c>
      <c r="F1345" s="4">
        <v>1436.7</v>
      </c>
      <c r="G1345" s="4">
        <v>1441</v>
      </c>
      <c r="H1345" s="4">
        <v>1436.9</v>
      </c>
      <c r="I1345" s="4">
        <v>1428.81</v>
      </c>
      <c r="J1345" s="4">
        <v>2006.45</v>
      </c>
      <c r="K1345" s="4">
        <v>1307</v>
      </c>
      <c r="L1345" s="2">
        <v>9892020</v>
      </c>
      <c r="M1345" s="2">
        <v>14133771799.700001</v>
      </c>
      <c r="N1345" s="2">
        <v>274685</v>
      </c>
      <c r="O1345" t="s">
        <v>21</v>
      </c>
      <c r="P1345" s="8">
        <f t="shared" si="60"/>
        <v>6.7000000000000455</v>
      </c>
      <c r="Q1345" t="s">
        <v>38</v>
      </c>
      <c r="R1345">
        <f t="shared" si="61"/>
        <v>8</v>
      </c>
      <c r="S1345" t="str">
        <f t="shared" si="62"/>
        <v>Aug</v>
      </c>
      <c r="T1345" s="9">
        <f>VLOOKUP(O1345, Annual_Summary!A:B, 2, 0)</f>
        <v>-0.14188579017264272</v>
      </c>
    </row>
    <row r="1346" spans="1:20" x14ac:dyDescent="0.3">
      <c r="A1346" s="1">
        <v>45875</v>
      </c>
      <c r="B1346" s="4" t="s">
        <v>15</v>
      </c>
      <c r="C1346" s="4">
        <v>1452</v>
      </c>
      <c r="D1346" s="4">
        <v>1456.1</v>
      </c>
      <c r="E1346" s="4">
        <v>1430.3</v>
      </c>
      <c r="F1346" s="4">
        <v>1460.3</v>
      </c>
      <c r="G1346" s="4">
        <v>1433</v>
      </c>
      <c r="H1346" s="4">
        <v>1436.7</v>
      </c>
      <c r="I1346" s="4">
        <v>1440.41</v>
      </c>
      <c r="J1346" s="4">
        <v>2006.45</v>
      </c>
      <c r="K1346" s="4">
        <v>1307</v>
      </c>
      <c r="L1346" s="2">
        <v>10566934</v>
      </c>
      <c r="M1346" s="2">
        <v>15220682581.700001</v>
      </c>
      <c r="N1346" s="2">
        <v>324361</v>
      </c>
      <c r="O1346" t="s">
        <v>21</v>
      </c>
      <c r="P1346" s="8">
        <f t="shared" si="60"/>
        <v>8.2999999999999545</v>
      </c>
      <c r="Q1346" t="s">
        <v>38</v>
      </c>
      <c r="R1346">
        <f t="shared" si="61"/>
        <v>8</v>
      </c>
      <c r="S1346" t="str">
        <f t="shared" si="62"/>
        <v>Aug</v>
      </c>
      <c r="T1346" s="9">
        <f>VLOOKUP(O1346, Annual_Summary!A:B, 2, 0)</f>
        <v>-0.14188579017264272</v>
      </c>
    </row>
    <row r="1347" spans="1:20" x14ac:dyDescent="0.3">
      <c r="A1347" s="1">
        <v>45874</v>
      </c>
      <c r="B1347" s="4" t="s">
        <v>15</v>
      </c>
      <c r="C1347" s="4">
        <v>1478.7</v>
      </c>
      <c r="D1347" s="4">
        <v>1478.7</v>
      </c>
      <c r="E1347" s="4">
        <v>1455</v>
      </c>
      <c r="F1347" s="4">
        <v>1480.5</v>
      </c>
      <c r="G1347" s="4">
        <v>1460</v>
      </c>
      <c r="H1347" s="4">
        <v>1460.3</v>
      </c>
      <c r="I1347" s="4">
        <v>1461.05</v>
      </c>
      <c r="J1347" s="4">
        <v>2006.45</v>
      </c>
      <c r="K1347" s="4">
        <v>1307</v>
      </c>
      <c r="L1347" s="2">
        <v>10213323</v>
      </c>
      <c r="M1347" s="2">
        <v>14922202900.200001</v>
      </c>
      <c r="N1347" s="2">
        <v>259533</v>
      </c>
      <c r="O1347" t="s">
        <v>21</v>
      </c>
      <c r="P1347" s="8">
        <f t="shared" ref="P1347:P1410" si="63">F1347-C1347</f>
        <v>1.7999999999999545</v>
      </c>
      <c r="Q1347" t="s">
        <v>38</v>
      </c>
      <c r="R1347">
        <f t="shared" ref="R1347:R1410" si="64">MONTH(A1347)</f>
        <v>8</v>
      </c>
      <c r="S1347" t="str">
        <f t="shared" ref="S1347:S1410" si="65">TEXT(A1347,"mmm")</f>
        <v>Aug</v>
      </c>
      <c r="T1347" s="9">
        <f>VLOOKUP(O1347, Annual_Summary!A:B, 2, 0)</f>
        <v>-0.14188579017264272</v>
      </c>
    </row>
    <row r="1348" spans="1:20" x14ac:dyDescent="0.3">
      <c r="A1348" s="1">
        <v>45873</v>
      </c>
      <c r="B1348" s="4" t="s">
        <v>15</v>
      </c>
      <c r="C1348" s="4">
        <v>1461.5</v>
      </c>
      <c r="D1348" s="4">
        <v>1482.8</v>
      </c>
      <c r="E1348" s="4">
        <v>1451</v>
      </c>
      <c r="F1348" s="4">
        <v>1469.6</v>
      </c>
      <c r="G1348" s="4">
        <v>1480.7</v>
      </c>
      <c r="H1348" s="4">
        <v>1480.5</v>
      </c>
      <c r="I1348" s="4">
        <v>1469.55</v>
      </c>
      <c r="J1348" s="4">
        <v>2006.45</v>
      </c>
      <c r="K1348" s="4">
        <v>1307</v>
      </c>
      <c r="L1348" s="2">
        <v>8610216</v>
      </c>
      <c r="M1348" s="2">
        <v>12653181879.4</v>
      </c>
      <c r="N1348" s="2">
        <v>203292</v>
      </c>
      <c r="O1348" t="s">
        <v>21</v>
      </c>
      <c r="P1348" s="8">
        <f t="shared" si="63"/>
        <v>8.0999999999999091</v>
      </c>
      <c r="Q1348" t="s">
        <v>38</v>
      </c>
      <c r="R1348">
        <f t="shared" si="64"/>
        <v>8</v>
      </c>
      <c r="S1348" t="str">
        <f t="shared" si="65"/>
        <v>Aug</v>
      </c>
      <c r="T1348" s="9">
        <f>VLOOKUP(O1348, Annual_Summary!A:B, 2, 0)</f>
        <v>-0.14188579017264272</v>
      </c>
    </row>
    <row r="1349" spans="1:20" x14ac:dyDescent="0.3">
      <c r="A1349" s="1">
        <v>45870</v>
      </c>
      <c r="B1349" s="4" t="s">
        <v>15</v>
      </c>
      <c r="C1349" s="4">
        <v>1493.9</v>
      </c>
      <c r="D1349" s="4">
        <v>1498.7</v>
      </c>
      <c r="E1349" s="4">
        <v>1465.5</v>
      </c>
      <c r="F1349" s="4">
        <v>1509</v>
      </c>
      <c r="G1349" s="4">
        <v>1468.3</v>
      </c>
      <c r="H1349" s="4">
        <v>1469.6</v>
      </c>
      <c r="I1349" s="4">
        <v>1479.8</v>
      </c>
      <c r="J1349" s="4">
        <v>2006.45</v>
      </c>
      <c r="K1349" s="4">
        <v>1307</v>
      </c>
      <c r="L1349" s="2">
        <v>8702978</v>
      </c>
      <c r="M1349" s="2">
        <v>12878642442.299999</v>
      </c>
      <c r="N1349" s="2">
        <v>245779</v>
      </c>
      <c r="O1349" t="s">
        <v>21</v>
      </c>
      <c r="P1349" s="8">
        <f t="shared" si="63"/>
        <v>15.099999999999909</v>
      </c>
      <c r="Q1349" t="s">
        <v>38</v>
      </c>
      <c r="R1349">
        <f t="shared" si="64"/>
        <v>8</v>
      </c>
      <c r="S1349" t="str">
        <f t="shared" si="65"/>
        <v>Aug</v>
      </c>
      <c r="T1349" s="9">
        <f>VLOOKUP(O1349, Annual_Summary!A:B, 2, 0)</f>
        <v>-0.14188579017264272</v>
      </c>
    </row>
    <row r="1350" spans="1:20" x14ac:dyDescent="0.3">
      <c r="A1350" s="1">
        <v>45869</v>
      </c>
      <c r="B1350" s="4" t="s">
        <v>15</v>
      </c>
      <c r="C1350" s="4">
        <v>1509.7</v>
      </c>
      <c r="D1350" s="4">
        <v>1527.1</v>
      </c>
      <c r="E1350" s="4">
        <v>1497</v>
      </c>
      <c r="F1350" s="4">
        <v>1519</v>
      </c>
      <c r="G1350" s="4">
        <v>1508.9</v>
      </c>
      <c r="H1350" s="4">
        <v>1509</v>
      </c>
      <c r="I1350" s="4">
        <v>1510.45</v>
      </c>
      <c r="J1350" s="4">
        <v>2006.45</v>
      </c>
      <c r="K1350" s="4">
        <v>1307</v>
      </c>
      <c r="L1350" s="2">
        <v>6851407</v>
      </c>
      <c r="M1350" s="2">
        <v>10348681107.700001</v>
      </c>
      <c r="N1350" s="2">
        <v>244747</v>
      </c>
      <c r="O1350" t="s">
        <v>21</v>
      </c>
      <c r="P1350" s="8">
        <f t="shared" si="63"/>
        <v>9.2999999999999545</v>
      </c>
      <c r="Q1350" t="s">
        <v>38</v>
      </c>
      <c r="R1350">
        <f t="shared" si="64"/>
        <v>7</v>
      </c>
      <c r="S1350" t="str">
        <f t="shared" si="65"/>
        <v>Jul</v>
      </c>
      <c r="T1350" s="9">
        <f>VLOOKUP(O1350, Annual_Summary!A:B, 2, 0)</f>
        <v>-0.14188579017264272</v>
      </c>
    </row>
    <row r="1351" spans="1:20" x14ac:dyDescent="0.3">
      <c r="A1351" s="1">
        <v>45868</v>
      </c>
      <c r="B1351" s="4" t="s">
        <v>15</v>
      </c>
      <c r="C1351" s="4">
        <v>1519.9</v>
      </c>
      <c r="D1351" s="4">
        <v>1521.7</v>
      </c>
      <c r="E1351" s="4">
        <v>1506</v>
      </c>
      <c r="F1351" s="4">
        <v>1513.7</v>
      </c>
      <c r="G1351" s="4">
        <v>1518</v>
      </c>
      <c r="H1351" s="4">
        <v>1519</v>
      </c>
      <c r="I1351" s="4">
        <v>1515.04</v>
      </c>
      <c r="J1351" s="4">
        <v>2006.45</v>
      </c>
      <c r="K1351" s="4">
        <v>1307</v>
      </c>
      <c r="L1351" s="2">
        <v>5719051</v>
      </c>
      <c r="M1351" s="2">
        <v>8664575239.6000004</v>
      </c>
      <c r="N1351" s="2">
        <v>117771</v>
      </c>
      <c r="O1351" t="s">
        <v>21</v>
      </c>
      <c r="P1351" s="8">
        <f t="shared" si="63"/>
        <v>-6.2000000000000455</v>
      </c>
      <c r="Q1351" t="s">
        <v>38</v>
      </c>
      <c r="R1351">
        <f t="shared" si="64"/>
        <v>7</v>
      </c>
      <c r="S1351" t="str">
        <f t="shared" si="65"/>
        <v>Jul</v>
      </c>
      <c r="T1351" s="9">
        <f>VLOOKUP(O1351, Annual_Summary!A:B, 2, 0)</f>
        <v>-0.14188579017264272</v>
      </c>
    </row>
    <row r="1352" spans="1:20" x14ac:dyDescent="0.3">
      <c r="A1352" s="1">
        <v>45867</v>
      </c>
      <c r="B1352" s="4" t="s">
        <v>15</v>
      </c>
      <c r="C1352" s="4">
        <v>1512.9</v>
      </c>
      <c r="D1352" s="4">
        <v>1517.2</v>
      </c>
      <c r="E1352" s="4">
        <v>1496.1</v>
      </c>
      <c r="F1352" s="4">
        <v>1516</v>
      </c>
      <c r="G1352" s="4">
        <v>1513.5</v>
      </c>
      <c r="H1352" s="4">
        <v>1513.7</v>
      </c>
      <c r="I1352" s="4">
        <v>1509.14</v>
      </c>
      <c r="J1352" s="4">
        <v>2006.45</v>
      </c>
      <c r="K1352" s="4">
        <v>1307</v>
      </c>
      <c r="L1352" s="2">
        <v>7070448</v>
      </c>
      <c r="M1352" s="2">
        <v>10670296870.5</v>
      </c>
      <c r="N1352" s="2">
        <v>229718</v>
      </c>
      <c r="O1352" t="s">
        <v>21</v>
      </c>
      <c r="P1352" s="8">
        <f t="shared" si="63"/>
        <v>3.0999999999999091</v>
      </c>
      <c r="Q1352" t="s">
        <v>38</v>
      </c>
      <c r="R1352">
        <f t="shared" si="64"/>
        <v>7</v>
      </c>
      <c r="S1352" t="str">
        <f t="shared" si="65"/>
        <v>Jul</v>
      </c>
      <c r="T1352" s="9">
        <f>VLOOKUP(O1352, Annual_Summary!A:B, 2, 0)</f>
        <v>-0.14188579017264272</v>
      </c>
    </row>
    <row r="1353" spans="1:20" x14ac:dyDescent="0.3">
      <c r="A1353" s="1">
        <v>45866</v>
      </c>
      <c r="B1353" s="4" t="s">
        <v>15</v>
      </c>
      <c r="C1353" s="4">
        <v>1513.9</v>
      </c>
      <c r="D1353" s="4">
        <v>1519.3</v>
      </c>
      <c r="E1353" s="4">
        <v>1482.5</v>
      </c>
      <c r="F1353" s="4">
        <v>1515.7</v>
      </c>
      <c r="G1353" s="4">
        <v>1514.9</v>
      </c>
      <c r="H1353" s="4">
        <v>1516</v>
      </c>
      <c r="I1353" s="4">
        <v>1508.3</v>
      </c>
      <c r="J1353" s="4">
        <v>2006.45</v>
      </c>
      <c r="K1353" s="4">
        <v>1307</v>
      </c>
      <c r="L1353" s="2">
        <v>6439855</v>
      </c>
      <c r="M1353" s="2">
        <v>9713223437.6000004</v>
      </c>
      <c r="N1353" s="2">
        <v>209764</v>
      </c>
      <c r="O1353" t="s">
        <v>21</v>
      </c>
      <c r="P1353" s="8">
        <f t="shared" si="63"/>
        <v>1.7999999999999545</v>
      </c>
      <c r="Q1353" t="s">
        <v>38</v>
      </c>
      <c r="R1353">
        <f t="shared" si="64"/>
        <v>7</v>
      </c>
      <c r="S1353" t="str">
        <f t="shared" si="65"/>
        <v>Jul</v>
      </c>
      <c r="T1353" s="9">
        <f>VLOOKUP(O1353, Annual_Summary!A:B, 2, 0)</f>
        <v>-0.14188579017264272</v>
      </c>
    </row>
    <row r="1354" spans="1:20" x14ac:dyDescent="0.3">
      <c r="A1354" s="1">
        <v>45863</v>
      </c>
      <c r="B1354" s="4" t="s">
        <v>15</v>
      </c>
      <c r="C1354" s="4">
        <v>1543.4</v>
      </c>
      <c r="D1354" s="4">
        <v>1549.5</v>
      </c>
      <c r="E1354" s="4">
        <v>1511.3</v>
      </c>
      <c r="F1354" s="4">
        <v>1552.5</v>
      </c>
      <c r="G1354" s="4">
        <v>1518.5</v>
      </c>
      <c r="H1354" s="4">
        <v>1515.7</v>
      </c>
      <c r="I1354" s="4">
        <v>1523.67</v>
      </c>
      <c r="J1354" s="4">
        <v>2006.45</v>
      </c>
      <c r="K1354" s="4">
        <v>1307</v>
      </c>
      <c r="L1354" s="2">
        <v>10851259</v>
      </c>
      <c r="M1354" s="2">
        <v>16533725148.1</v>
      </c>
      <c r="N1354" s="2">
        <v>241673</v>
      </c>
      <c r="O1354" t="s">
        <v>21</v>
      </c>
      <c r="P1354" s="8">
        <f t="shared" si="63"/>
        <v>9.0999999999999091</v>
      </c>
      <c r="Q1354" t="s">
        <v>38</v>
      </c>
      <c r="R1354">
        <f t="shared" si="64"/>
        <v>7</v>
      </c>
      <c r="S1354" t="str">
        <f t="shared" si="65"/>
        <v>Jul</v>
      </c>
      <c r="T1354" s="9">
        <f>VLOOKUP(O1354, Annual_Summary!A:B, 2, 0)</f>
        <v>-0.14188579017264272</v>
      </c>
    </row>
    <row r="1355" spans="1:20" x14ac:dyDescent="0.3">
      <c r="A1355" s="1">
        <v>45862</v>
      </c>
      <c r="B1355" s="4" t="s">
        <v>15</v>
      </c>
      <c r="C1355" s="4">
        <v>1580</v>
      </c>
      <c r="D1355" s="4">
        <v>1582</v>
      </c>
      <c r="E1355" s="4">
        <v>1548.2</v>
      </c>
      <c r="F1355" s="4">
        <v>1574.5</v>
      </c>
      <c r="G1355" s="4">
        <v>1553</v>
      </c>
      <c r="H1355" s="4">
        <v>1552.5</v>
      </c>
      <c r="I1355" s="4">
        <v>1557.81</v>
      </c>
      <c r="J1355" s="4">
        <v>2006.45</v>
      </c>
      <c r="K1355" s="4">
        <v>1307</v>
      </c>
      <c r="L1355" s="2">
        <v>14169664</v>
      </c>
      <c r="M1355" s="2">
        <v>22073617144.5</v>
      </c>
      <c r="N1355" s="2">
        <v>270970</v>
      </c>
      <c r="O1355" t="s">
        <v>21</v>
      </c>
      <c r="P1355" s="8">
        <f t="shared" si="63"/>
        <v>-5.5</v>
      </c>
      <c r="Q1355" t="s">
        <v>38</v>
      </c>
      <c r="R1355">
        <f t="shared" si="64"/>
        <v>7</v>
      </c>
      <c r="S1355" t="str">
        <f t="shared" si="65"/>
        <v>Jul</v>
      </c>
      <c r="T1355" s="9">
        <f>VLOOKUP(O1355, Annual_Summary!A:B, 2, 0)</f>
        <v>-0.14188579017264272</v>
      </c>
    </row>
    <row r="1356" spans="1:20" x14ac:dyDescent="0.3">
      <c r="A1356" s="1">
        <v>45861</v>
      </c>
      <c r="B1356" s="4" t="s">
        <v>15</v>
      </c>
      <c r="C1356" s="4">
        <v>1576.3</v>
      </c>
      <c r="D1356" s="4">
        <v>1591.9</v>
      </c>
      <c r="E1356" s="4">
        <v>1550</v>
      </c>
      <c r="F1356" s="4">
        <v>1570.9</v>
      </c>
      <c r="G1356" s="4">
        <v>1558.9</v>
      </c>
      <c r="H1356" s="4">
        <v>1574.5</v>
      </c>
      <c r="I1356" s="4">
        <v>1580.42</v>
      </c>
      <c r="J1356" s="4">
        <v>2006.45</v>
      </c>
      <c r="K1356" s="4">
        <v>1307</v>
      </c>
      <c r="L1356" s="2">
        <v>8035026</v>
      </c>
      <c r="M1356" s="2">
        <v>12698718376.799999</v>
      </c>
      <c r="N1356" s="2">
        <v>173368</v>
      </c>
      <c r="O1356" t="s">
        <v>21</v>
      </c>
      <c r="P1356" s="8">
        <f t="shared" si="63"/>
        <v>-5.3999999999998636</v>
      </c>
      <c r="Q1356" t="s">
        <v>38</v>
      </c>
      <c r="R1356">
        <f t="shared" si="64"/>
        <v>7</v>
      </c>
      <c r="S1356" t="str">
        <f t="shared" si="65"/>
        <v>Jul</v>
      </c>
      <c r="T1356" s="9">
        <f>VLOOKUP(O1356, Annual_Summary!A:B, 2, 0)</f>
        <v>-0.14188579017264272</v>
      </c>
    </row>
    <row r="1357" spans="1:20" x14ac:dyDescent="0.3">
      <c r="A1357" s="1">
        <v>45860</v>
      </c>
      <c r="B1357" s="4" t="s">
        <v>15</v>
      </c>
      <c r="C1357" s="4">
        <v>1565</v>
      </c>
      <c r="D1357" s="4">
        <v>1585.8</v>
      </c>
      <c r="E1357" s="4">
        <v>1565</v>
      </c>
      <c r="F1357" s="4">
        <v>1584.3</v>
      </c>
      <c r="G1357" s="4">
        <v>1575</v>
      </c>
      <c r="H1357" s="4">
        <v>1570.9</v>
      </c>
      <c r="I1357" s="4">
        <v>1574.26</v>
      </c>
      <c r="J1357" s="4">
        <v>2006.45</v>
      </c>
      <c r="K1357" s="4">
        <v>1307</v>
      </c>
      <c r="L1357" s="2">
        <v>8473741</v>
      </c>
      <c r="M1357" s="2">
        <v>13339859186.700001</v>
      </c>
      <c r="N1357" s="2">
        <v>176472</v>
      </c>
      <c r="O1357" t="s">
        <v>21</v>
      </c>
      <c r="P1357" s="8">
        <f t="shared" si="63"/>
        <v>19.299999999999955</v>
      </c>
      <c r="Q1357" t="s">
        <v>38</v>
      </c>
      <c r="R1357">
        <f t="shared" si="64"/>
        <v>7</v>
      </c>
      <c r="S1357" t="str">
        <f t="shared" si="65"/>
        <v>Jul</v>
      </c>
      <c r="T1357" s="9">
        <f>VLOOKUP(O1357, Annual_Summary!A:B, 2, 0)</f>
        <v>-0.14188579017264272</v>
      </c>
    </row>
    <row r="1358" spans="1:20" x14ac:dyDescent="0.3">
      <c r="A1358" s="1">
        <v>45859</v>
      </c>
      <c r="B1358" s="4" t="s">
        <v>15</v>
      </c>
      <c r="C1358" s="4">
        <v>1580</v>
      </c>
      <c r="D1358" s="4">
        <v>1589</v>
      </c>
      <c r="E1358" s="4">
        <v>1566.8</v>
      </c>
      <c r="F1358" s="4">
        <v>1586.1</v>
      </c>
      <c r="G1358" s="4">
        <v>1585.6</v>
      </c>
      <c r="H1358" s="4">
        <v>1584.3</v>
      </c>
      <c r="I1358" s="4">
        <v>1579.48</v>
      </c>
      <c r="J1358" s="4">
        <v>2006.45</v>
      </c>
      <c r="K1358" s="4">
        <v>1307</v>
      </c>
      <c r="L1358" s="2">
        <v>3682661</v>
      </c>
      <c r="M1358" s="2">
        <v>5816701900.1000004</v>
      </c>
      <c r="N1358" s="2">
        <v>123969</v>
      </c>
      <c r="O1358" t="s">
        <v>21</v>
      </c>
      <c r="P1358" s="8">
        <f t="shared" si="63"/>
        <v>6.0999999999999091</v>
      </c>
      <c r="Q1358" t="s">
        <v>38</v>
      </c>
      <c r="R1358">
        <f t="shared" si="64"/>
        <v>7</v>
      </c>
      <c r="S1358" t="str">
        <f t="shared" si="65"/>
        <v>Jul</v>
      </c>
      <c r="T1358" s="9">
        <f>VLOOKUP(O1358, Annual_Summary!A:B, 2, 0)</f>
        <v>-0.14188579017264272</v>
      </c>
    </row>
    <row r="1359" spans="1:20" x14ac:dyDescent="0.3">
      <c r="A1359" s="1">
        <v>45856</v>
      </c>
      <c r="B1359" s="4" t="s">
        <v>15</v>
      </c>
      <c r="C1359" s="4">
        <v>1592.1</v>
      </c>
      <c r="D1359" s="4">
        <v>1599.3</v>
      </c>
      <c r="E1359" s="4">
        <v>1580</v>
      </c>
      <c r="F1359" s="4">
        <v>1583.5</v>
      </c>
      <c r="G1359" s="4">
        <v>1588.2</v>
      </c>
      <c r="H1359" s="4">
        <v>1586.1</v>
      </c>
      <c r="I1359" s="4">
        <v>1586.74</v>
      </c>
      <c r="J1359" s="4">
        <v>2006.45</v>
      </c>
      <c r="K1359" s="4">
        <v>1307</v>
      </c>
      <c r="L1359" s="2">
        <v>5161833</v>
      </c>
      <c r="M1359" s="2">
        <v>8190510577.6000004</v>
      </c>
      <c r="N1359" s="2">
        <v>113626</v>
      </c>
      <c r="O1359" t="s">
        <v>21</v>
      </c>
      <c r="P1359" s="8">
        <f t="shared" si="63"/>
        <v>-8.5999999999999091</v>
      </c>
      <c r="Q1359" t="s">
        <v>38</v>
      </c>
      <c r="R1359">
        <f t="shared" si="64"/>
        <v>7</v>
      </c>
      <c r="S1359" t="str">
        <f t="shared" si="65"/>
        <v>Jul</v>
      </c>
      <c r="T1359" s="9">
        <f>VLOOKUP(O1359, Annual_Summary!A:B, 2, 0)</f>
        <v>-0.14188579017264272</v>
      </c>
    </row>
    <row r="1360" spans="1:20" x14ac:dyDescent="0.3">
      <c r="A1360" s="1">
        <v>45855</v>
      </c>
      <c r="B1360" s="4" t="s">
        <v>15</v>
      </c>
      <c r="C1360" s="4">
        <v>1598</v>
      </c>
      <c r="D1360" s="4">
        <v>1610</v>
      </c>
      <c r="E1360" s="4">
        <v>1580.1</v>
      </c>
      <c r="F1360" s="4">
        <v>1607.9</v>
      </c>
      <c r="G1360" s="4">
        <v>1581</v>
      </c>
      <c r="H1360" s="4">
        <v>1583.5</v>
      </c>
      <c r="I1360" s="4">
        <v>1590.26</v>
      </c>
      <c r="J1360" s="4">
        <v>2006.45</v>
      </c>
      <c r="K1360" s="4">
        <v>1307</v>
      </c>
      <c r="L1360" s="2">
        <v>7374814</v>
      </c>
      <c r="M1360" s="2">
        <v>11727838015.5</v>
      </c>
      <c r="N1360" s="2">
        <v>171441</v>
      </c>
      <c r="O1360" t="s">
        <v>21</v>
      </c>
      <c r="P1360" s="8">
        <f t="shared" si="63"/>
        <v>9.9000000000000909</v>
      </c>
      <c r="Q1360" t="s">
        <v>38</v>
      </c>
      <c r="R1360">
        <f t="shared" si="64"/>
        <v>7</v>
      </c>
      <c r="S1360" t="str">
        <f t="shared" si="65"/>
        <v>Jul</v>
      </c>
      <c r="T1360" s="9">
        <f>VLOOKUP(O1360, Annual_Summary!A:B, 2, 0)</f>
        <v>-0.14188579017264272</v>
      </c>
    </row>
    <row r="1361" spans="1:20" x14ac:dyDescent="0.3">
      <c r="A1361" s="1">
        <v>45854</v>
      </c>
      <c r="B1361" s="4" t="s">
        <v>15</v>
      </c>
      <c r="C1361" s="4">
        <v>1579</v>
      </c>
      <c r="D1361" s="4">
        <v>1612</v>
      </c>
      <c r="E1361" s="4">
        <v>1578.5</v>
      </c>
      <c r="F1361" s="4">
        <v>1585.6</v>
      </c>
      <c r="G1361" s="4">
        <v>1609</v>
      </c>
      <c r="H1361" s="4">
        <v>1607.9</v>
      </c>
      <c r="I1361" s="4">
        <v>1601.98</v>
      </c>
      <c r="J1361" s="4">
        <v>2006.45</v>
      </c>
      <c r="K1361" s="4">
        <v>1307</v>
      </c>
      <c r="L1361" s="2">
        <v>6223491</v>
      </c>
      <c r="M1361" s="2">
        <v>9969927355.8999996</v>
      </c>
      <c r="N1361" s="2">
        <v>144773</v>
      </c>
      <c r="O1361" t="s">
        <v>21</v>
      </c>
      <c r="P1361" s="8">
        <f t="shared" si="63"/>
        <v>6.5999999999999091</v>
      </c>
      <c r="Q1361" t="s">
        <v>38</v>
      </c>
      <c r="R1361">
        <f t="shared" si="64"/>
        <v>7</v>
      </c>
      <c r="S1361" t="str">
        <f t="shared" si="65"/>
        <v>Jul</v>
      </c>
      <c r="T1361" s="9">
        <f>VLOOKUP(O1361, Annual_Summary!A:B, 2, 0)</f>
        <v>-0.14188579017264272</v>
      </c>
    </row>
    <row r="1362" spans="1:20" x14ac:dyDescent="0.3">
      <c r="A1362" s="1">
        <v>45853</v>
      </c>
      <c r="B1362" s="4" t="s">
        <v>15</v>
      </c>
      <c r="C1362" s="4">
        <v>1565.1</v>
      </c>
      <c r="D1362" s="4">
        <v>1603.6</v>
      </c>
      <c r="E1362" s="4">
        <v>1564</v>
      </c>
      <c r="F1362" s="4">
        <v>1570.3</v>
      </c>
      <c r="G1362" s="4">
        <v>1587.2</v>
      </c>
      <c r="H1362" s="4">
        <v>1585.6</v>
      </c>
      <c r="I1362" s="4">
        <v>1586.28</v>
      </c>
      <c r="J1362" s="4">
        <v>2006.45</v>
      </c>
      <c r="K1362" s="4">
        <v>1307</v>
      </c>
      <c r="L1362" s="2">
        <v>7614807</v>
      </c>
      <c r="M1362" s="2">
        <v>12079252385.6</v>
      </c>
      <c r="N1362" s="2">
        <v>208916</v>
      </c>
      <c r="O1362" t="s">
        <v>21</v>
      </c>
      <c r="P1362" s="8">
        <f t="shared" si="63"/>
        <v>5.2000000000000455</v>
      </c>
      <c r="Q1362" t="s">
        <v>38</v>
      </c>
      <c r="R1362">
        <f t="shared" si="64"/>
        <v>7</v>
      </c>
      <c r="S1362" t="str">
        <f t="shared" si="65"/>
        <v>Jul</v>
      </c>
      <c r="T1362" s="9">
        <f>VLOOKUP(O1362, Annual_Summary!A:B, 2, 0)</f>
        <v>-0.14188579017264272</v>
      </c>
    </row>
    <row r="1363" spans="1:20" x14ac:dyDescent="0.3">
      <c r="A1363" s="1">
        <v>45852</v>
      </c>
      <c r="B1363" s="4" t="s">
        <v>15</v>
      </c>
      <c r="C1363" s="4">
        <v>1591.8</v>
      </c>
      <c r="D1363" s="4">
        <v>1591.8</v>
      </c>
      <c r="E1363" s="4">
        <v>1559.8</v>
      </c>
      <c r="F1363" s="4">
        <v>1594.9</v>
      </c>
      <c r="G1363" s="4">
        <v>1570.5</v>
      </c>
      <c r="H1363" s="4">
        <v>1570.3</v>
      </c>
      <c r="I1363" s="4">
        <v>1569.39</v>
      </c>
      <c r="J1363" s="4">
        <v>2006.45</v>
      </c>
      <c r="K1363" s="4">
        <v>1307</v>
      </c>
      <c r="L1363" s="2">
        <v>9173426</v>
      </c>
      <c r="M1363" s="2">
        <v>14396657160.9</v>
      </c>
      <c r="N1363" s="2">
        <v>334884</v>
      </c>
      <c r="O1363" t="s">
        <v>21</v>
      </c>
      <c r="P1363" s="8">
        <f t="shared" si="63"/>
        <v>3.1000000000001364</v>
      </c>
      <c r="Q1363" t="s">
        <v>38</v>
      </c>
      <c r="R1363">
        <f t="shared" si="64"/>
        <v>7</v>
      </c>
      <c r="S1363" t="str">
        <f t="shared" si="65"/>
        <v>Jul</v>
      </c>
      <c r="T1363" s="9">
        <f>VLOOKUP(O1363, Annual_Summary!A:B, 2, 0)</f>
        <v>-0.14188579017264272</v>
      </c>
    </row>
    <row r="1364" spans="1:20" x14ac:dyDescent="0.3">
      <c r="A1364" s="1">
        <v>45849</v>
      </c>
      <c r="B1364" s="4" t="s">
        <v>15</v>
      </c>
      <c r="C1364" s="4">
        <v>1579.1</v>
      </c>
      <c r="D1364" s="4">
        <v>1607.1</v>
      </c>
      <c r="E1364" s="4">
        <v>1563</v>
      </c>
      <c r="F1364" s="4">
        <v>1615.8</v>
      </c>
      <c r="G1364" s="4">
        <v>1594.5</v>
      </c>
      <c r="H1364" s="4">
        <v>1594.9</v>
      </c>
      <c r="I1364" s="4">
        <v>1590.33</v>
      </c>
      <c r="J1364" s="4">
        <v>2006.45</v>
      </c>
      <c r="K1364" s="4">
        <v>1307</v>
      </c>
      <c r="L1364" s="2">
        <v>11391755</v>
      </c>
      <c r="M1364" s="2">
        <v>18116597961.400002</v>
      </c>
      <c r="N1364" s="2">
        <v>424033</v>
      </c>
      <c r="O1364" t="s">
        <v>21</v>
      </c>
      <c r="P1364" s="8">
        <f t="shared" si="63"/>
        <v>36.700000000000045</v>
      </c>
      <c r="Q1364" t="s">
        <v>38</v>
      </c>
      <c r="R1364">
        <f t="shared" si="64"/>
        <v>7</v>
      </c>
      <c r="S1364" t="str">
        <f t="shared" si="65"/>
        <v>Jul</v>
      </c>
      <c r="T1364" s="9">
        <f>VLOOKUP(O1364, Annual_Summary!A:B, 2, 0)</f>
        <v>-0.14188579017264272</v>
      </c>
    </row>
    <row r="1365" spans="1:20" x14ac:dyDescent="0.3">
      <c r="A1365" s="1">
        <v>45848</v>
      </c>
      <c r="B1365" s="4" t="s">
        <v>15</v>
      </c>
      <c r="C1365" s="4">
        <v>1638.9</v>
      </c>
      <c r="D1365" s="4">
        <v>1638.9</v>
      </c>
      <c r="E1365" s="4">
        <v>1607.1</v>
      </c>
      <c r="F1365" s="4">
        <v>1633.7</v>
      </c>
      <c r="G1365" s="4">
        <v>1618.8</v>
      </c>
      <c r="H1365" s="4">
        <v>1615.8</v>
      </c>
      <c r="I1365" s="4">
        <v>1617.52</v>
      </c>
      <c r="J1365" s="4">
        <v>2006.45</v>
      </c>
      <c r="K1365" s="4">
        <v>1307</v>
      </c>
      <c r="L1365" s="2">
        <v>5330179</v>
      </c>
      <c r="M1365" s="2">
        <v>8621669458.7999992</v>
      </c>
      <c r="N1365" s="2">
        <v>147697</v>
      </c>
      <c r="O1365" t="s">
        <v>21</v>
      </c>
      <c r="P1365" s="8">
        <f t="shared" si="63"/>
        <v>-5.2000000000000455</v>
      </c>
      <c r="Q1365" t="s">
        <v>38</v>
      </c>
      <c r="R1365">
        <f t="shared" si="64"/>
        <v>7</v>
      </c>
      <c r="S1365" t="str">
        <f t="shared" si="65"/>
        <v>Jul</v>
      </c>
      <c r="T1365" s="9">
        <f>VLOOKUP(O1365, Annual_Summary!A:B, 2, 0)</f>
        <v>-0.14188579017264272</v>
      </c>
    </row>
    <row r="1366" spans="1:20" x14ac:dyDescent="0.3">
      <c r="A1366" s="1">
        <v>45847</v>
      </c>
      <c r="B1366" s="4" t="s">
        <v>15</v>
      </c>
      <c r="C1366" s="4">
        <v>1637.8</v>
      </c>
      <c r="D1366" s="4">
        <v>1638</v>
      </c>
      <c r="E1366" s="4">
        <v>1623.6</v>
      </c>
      <c r="F1366" s="4">
        <v>1638.7</v>
      </c>
      <c r="G1366" s="4">
        <v>1632.7</v>
      </c>
      <c r="H1366" s="4">
        <v>1633.7</v>
      </c>
      <c r="I1366" s="4">
        <v>1630.89</v>
      </c>
      <c r="J1366" s="4">
        <v>2006.45</v>
      </c>
      <c r="K1366" s="4">
        <v>1307</v>
      </c>
      <c r="L1366" s="2">
        <v>4580828</v>
      </c>
      <c r="M1366" s="2">
        <v>7470823010.3000002</v>
      </c>
      <c r="N1366" s="2">
        <v>171713</v>
      </c>
      <c r="O1366" t="s">
        <v>21</v>
      </c>
      <c r="P1366" s="8">
        <f t="shared" si="63"/>
        <v>0.90000000000009095</v>
      </c>
      <c r="Q1366" t="s">
        <v>38</v>
      </c>
      <c r="R1366">
        <f t="shared" si="64"/>
        <v>7</v>
      </c>
      <c r="S1366" t="str">
        <f t="shared" si="65"/>
        <v>Jul</v>
      </c>
      <c r="T1366" s="9">
        <f>VLOOKUP(O1366, Annual_Summary!A:B, 2, 0)</f>
        <v>-0.14188579017264272</v>
      </c>
    </row>
    <row r="1367" spans="1:20" x14ac:dyDescent="0.3">
      <c r="A1367" s="1">
        <v>45846</v>
      </c>
      <c r="B1367" s="4" t="s">
        <v>15</v>
      </c>
      <c r="C1367" s="4">
        <v>1628</v>
      </c>
      <c r="D1367" s="4">
        <v>1646.2</v>
      </c>
      <c r="E1367" s="4">
        <v>1621.5</v>
      </c>
      <c r="F1367" s="4">
        <v>1627</v>
      </c>
      <c r="G1367" s="4">
        <v>1638.5</v>
      </c>
      <c r="H1367" s="4">
        <v>1638.7</v>
      </c>
      <c r="I1367" s="4">
        <v>1635.98</v>
      </c>
      <c r="J1367" s="4">
        <v>2006.45</v>
      </c>
      <c r="K1367" s="4">
        <v>1307</v>
      </c>
      <c r="L1367" s="2">
        <v>4590681</v>
      </c>
      <c r="M1367" s="2">
        <v>7510264528.1000004</v>
      </c>
      <c r="N1367" s="2">
        <v>131513</v>
      </c>
      <c r="O1367" t="s">
        <v>21</v>
      </c>
      <c r="P1367" s="8">
        <f t="shared" si="63"/>
        <v>-1</v>
      </c>
      <c r="Q1367" t="s">
        <v>38</v>
      </c>
      <c r="R1367">
        <f t="shared" si="64"/>
        <v>7</v>
      </c>
      <c r="S1367" t="str">
        <f t="shared" si="65"/>
        <v>Jul</v>
      </c>
      <c r="T1367" s="9">
        <f>VLOOKUP(O1367, Annual_Summary!A:B, 2, 0)</f>
        <v>-0.14188579017264272</v>
      </c>
    </row>
    <row r="1368" spans="1:20" x14ac:dyDescent="0.3">
      <c r="A1368" s="1">
        <v>45845</v>
      </c>
      <c r="B1368" s="4" t="s">
        <v>15</v>
      </c>
      <c r="C1368" s="4">
        <v>1640</v>
      </c>
      <c r="D1368" s="4">
        <v>1644</v>
      </c>
      <c r="E1368" s="4">
        <v>1623</v>
      </c>
      <c r="F1368" s="4">
        <v>1640.7</v>
      </c>
      <c r="G1368" s="4">
        <v>1626.9</v>
      </c>
      <c r="H1368" s="4">
        <v>1627</v>
      </c>
      <c r="I1368" s="4">
        <v>1630.54</v>
      </c>
      <c r="J1368" s="4">
        <v>2006.45</v>
      </c>
      <c r="K1368" s="4">
        <v>1307</v>
      </c>
      <c r="L1368" s="2">
        <v>3294523</v>
      </c>
      <c r="M1368" s="2">
        <v>5371840769.6999998</v>
      </c>
      <c r="N1368" s="2">
        <v>127270</v>
      </c>
      <c r="O1368" t="s">
        <v>21</v>
      </c>
      <c r="P1368" s="8">
        <f t="shared" si="63"/>
        <v>0.70000000000004547</v>
      </c>
      <c r="Q1368" t="s">
        <v>38</v>
      </c>
      <c r="R1368">
        <f t="shared" si="64"/>
        <v>7</v>
      </c>
      <c r="S1368" t="str">
        <f t="shared" si="65"/>
        <v>Jul</v>
      </c>
      <c r="T1368" s="9">
        <f>VLOOKUP(O1368, Annual_Summary!A:B, 2, 0)</f>
        <v>-0.14188579017264272</v>
      </c>
    </row>
    <row r="1369" spans="1:20" x14ac:dyDescent="0.3">
      <c r="A1369" s="1">
        <v>45842</v>
      </c>
      <c r="B1369" s="4" t="s">
        <v>15</v>
      </c>
      <c r="C1369" s="4">
        <v>1625</v>
      </c>
      <c r="D1369" s="4">
        <v>1643.4</v>
      </c>
      <c r="E1369" s="4">
        <v>1612.3</v>
      </c>
      <c r="F1369" s="4">
        <v>1618.7</v>
      </c>
      <c r="G1369" s="4">
        <v>1639.7</v>
      </c>
      <c r="H1369" s="4">
        <v>1640.7</v>
      </c>
      <c r="I1369" s="4">
        <v>1631.46</v>
      </c>
      <c r="J1369" s="4">
        <v>2006.45</v>
      </c>
      <c r="K1369" s="4">
        <v>1307</v>
      </c>
      <c r="L1369" s="2">
        <v>4411273</v>
      </c>
      <c r="M1369" s="2">
        <v>7196824362.1999998</v>
      </c>
      <c r="N1369" s="2">
        <v>113037</v>
      </c>
      <c r="O1369" t="s">
        <v>21</v>
      </c>
      <c r="P1369" s="8">
        <f t="shared" si="63"/>
        <v>-6.2999999999999545</v>
      </c>
      <c r="Q1369" t="s">
        <v>38</v>
      </c>
      <c r="R1369">
        <f t="shared" si="64"/>
        <v>7</v>
      </c>
      <c r="S1369" t="str">
        <f t="shared" si="65"/>
        <v>Jul</v>
      </c>
      <c r="T1369" s="9">
        <f>VLOOKUP(O1369, Annual_Summary!A:B, 2, 0)</f>
        <v>-0.14188579017264272</v>
      </c>
    </row>
    <row r="1370" spans="1:20" x14ac:dyDescent="0.3">
      <c r="A1370" s="1">
        <v>45841</v>
      </c>
      <c r="B1370" s="4" t="s">
        <v>15</v>
      </c>
      <c r="C1370" s="4">
        <v>1618.5</v>
      </c>
      <c r="D1370" s="4">
        <v>1632.4</v>
      </c>
      <c r="E1370" s="4">
        <v>1615</v>
      </c>
      <c r="F1370" s="4">
        <v>1610.5</v>
      </c>
      <c r="G1370" s="4">
        <v>1616.9</v>
      </c>
      <c r="H1370" s="4">
        <v>1618.7</v>
      </c>
      <c r="I1370" s="4">
        <v>1622.33</v>
      </c>
      <c r="J1370" s="4">
        <v>2006.45</v>
      </c>
      <c r="K1370" s="4">
        <v>1307</v>
      </c>
      <c r="L1370" s="2">
        <v>5259695</v>
      </c>
      <c r="M1370" s="2">
        <v>8532944662.1000004</v>
      </c>
      <c r="N1370" s="2">
        <v>157372</v>
      </c>
      <c r="O1370" t="s">
        <v>21</v>
      </c>
      <c r="P1370" s="8">
        <f t="shared" si="63"/>
        <v>-8</v>
      </c>
      <c r="Q1370" t="s">
        <v>38</v>
      </c>
      <c r="R1370">
        <f t="shared" si="64"/>
        <v>7</v>
      </c>
      <c r="S1370" t="str">
        <f t="shared" si="65"/>
        <v>Jul</v>
      </c>
      <c r="T1370" s="9">
        <f>VLOOKUP(O1370, Annual_Summary!A:B, 2, 0)</f>
        <v>-0.14188579017264272</v>
      </c>
    </row>
    <row r="1371" spans="1:20" x14ac:dyDescent="0.3">
      <c r="A1371" s="1">
        <v>45840</v>
      </c>
      <c r="B1371" s="4" t="s">
        <v>15</v>
      </c>
      <c r="C1371" s="4">
        <v>1618</v>
      </c>
      <c r="D1371" s="4">
        <v>1649</v>
      </c>
      <c r="E1371" s="4">
        <v>1603.4</v>
      </c>
      <c r="F1371" s="4">
        <v>1606.8</v>
      </c>
      <c r="G1371" s="4">
        <v>1609.6</v>
      </c>
      <c r="H1371" s="4">
        <v>1610.5</v>
      </c>
      <c r="I1371" s="4">
        <v>1622.6</v>
      </c>
      <c r="J1371" s="4">
        <v>2006.45</v>
      </c>
      <c r="K1371" s="4">
        <v>1307</v>
      </c>
      <c r="L1371" s="2">
        <v>8653641</v>
      </c>
      <c r="M1371" s="2">
        <v>14041432376.700001</v>
      </c>
      <c r="N1371" s="2">
        <v>174866</v>
      </c>
      <c r="O1371" t="s">
        <v>21</v>
      </c>
      <c r="P1371" s="8">
        <f t="shared" si="63"/>
        <v>-11.200000000000045</v>
      </c>
      <c r="Q1371" t="s">
        <v>38</v>
      </c>
      <c r="R1371">
        <f t="shared" si="64"/>
        <v>7</v>
      </c>
      <c r="S1371" t="str">
        <f t="shared" si="65"/>
        <v>Jul</v>
      </c>
      <c r="T1371" s="9">
        <f>VLOOKUP(O1371, Annual_Summary!A:B, 2, 0)</f>
        <v>-0.14188579017264272</v>
      </c>
    </row>
    <row r="1372" spans="1:20" x14ac:dyDescent="0.3">
      <c r="A1372" s="1">
        <v>45839</v>
      </c>
      <c r="B1372" s="4" t="s">
        <v>15</v>
      </c>
      <c r="C1372" s="4">
        <v>1609</v>
      </c>
      <c r="D1372" s="4">
        <v>1617.7</v>
      </c>
      <c r="E1372" s="4">
        <v>1600.5</v>
      </c>
      <c r="F1372" s="4">
        <v>1601.8</v>
      </c>
      <c r="G1372" s="4">
        <v>1603</v>
      </c>
      <c r="H1372" s="4">
        <v>1606.8</v>
      </c>
      <c r="I1372" s="4">
        <v>1607.18</v>
      </c>
      <c r="J1372" s="4">
        <v>2006.45</v>
      </c>
      <c r="K1372" s="4">
        <v>1307</v>
      </c>
      <c r="L1372" s="2">
        <v>4178937</v>
      </c>
      <c r="M1372" s="2">
        <v>6716311825.1000004</v>
      </c>
      <c r="N1372" s="2">
        <v>151406</v>
      </c>
      <c r="O1372" t="s">
        <v>21</v>
      </c>
      <c r="P1372" s="8">
        <f t="shared" si="63"/>
        <v>-7.2000000000000455</v>
      </c>
      <c r="Q1372" t="s">
        <v>38</v>
      </c>
      <c r="R1372">
        <f t="shared" si="64"/>
        <v>7</v>
      </c>
      <c r="S1372" t="str">
        <f t="shared" si="65"/>
        <v>Jul</v>
      </c>
      <c r="T1372" s="9">
        <f>VLOOKUP(O1372, Annual_Summary!A:B, 2, 0)</f>
        <v>-0.14188579017264272</v>
      </c>
    </row>
    <row r="1373" spans="1:20" x14ac:dyDescent="0.3">
      <c r="A1373" s="1">
        <v>45838</v>
      </c>
      <c r="B1373" s="4" t="s">
        <v>15</v>
      </c>
      <c r="C1373" s="4">
        <v>1615</v>
      </c>
      <c r="D1373" s="4">
        <v>1615</v>
      </c>
      <c r="E1373" s="4">
        <v>1594.1</v>
      </c>
      <c r="F1373" s="4">
        <v>1608</v>
      </c>
      <c r="G1373" s="4">
        <v>1603.4</v>
      </c>
      <c r="H1373" s="4">
        <v>1601.8</v>
      </c>
      <c r="I1373" s="4">
        <v>1603.36</v>
      </c>
      <c r="J1373" s="4">
        <v>2006.45</v>
      </c>
      <c r="K1373" s="4">
        <v>1307</v>
      </c>
      <c r="L1373" s="2">
        <v>6294505</v>
      </c>
      <c r="M1373" s="2">
        <v>10092387934</v>
      </c>
      <c r="N1373" s="2">
        <v>183538</v>
      </c>
      <c r="O1373" t="s">
        <v>21</v>
      </c>
      <c r="P1373" s="8">
        <f t="shared" si="63"/>
        <v>-7</v>
      </c>
      <c r="Q1373" t="s">
        <v>38</v>
      </c>
      <c r="R1373">
        <f t="shared" si="64"/>
        <v>6</v>
      </c>
      <c r="S1373" t="str">
        <f t="shared" si="65"/>
        <v>Jun</v>
      </c>
      <c r="T1373" s="9">
        <f>VLOOKUP(O1373, Annual_Summary!A:B, 2, 0)</f>
        <v>-0.14188579017264272</v>
      </c>
    </row>
    <row r="1374" spans="1:20" x14ac:dyDescent="0.3">
      <c r="A1374" s="1">
        <v>45835</v>
      </c>
      <c r="B1374" s="4" t="s">
        <v>15</v>
      </c>
      <c r="C1374" s="4">
        <v>1619</v>
      </c>
      <c r="D1374" s="4">
        <v>1629.6</v>
      </c>
      <c r="E1374" s="4">
        <v>1602.4</v>
      </c>
      <c r="F1374" s="4">
        <v>1616</v>
      </c>
      <c r="G1374" s="4">
        <v>1611</v>
      </c>
      <c r="H1374" s="4">
        <v>1608</v>
      </c>
      <c r="I1374" s="4">
        <v>1611.01</v>
      </c>
      <c r="J1374" s="4">
        <v>2006.45</v>
      </c>
      <c r="K1374" s="4">
        <v>1307</v>
      </c>
      <c r="L1374" s="2">
        <v>8912268</v>
      </c>
      <c r="M1374" s="2">
        <v>14357711409.200001</v>
      </c>
      <c r="N1374" s="2">
        <v>176021</v>
      </c>
      <c r="O1374" t="s">
        <v>21</v>
      </c>
      <c r="P1374" s="8">
        <f t="shared" si="63"/>
        <v>-3</v>
      </c>
      <c r="Q1374" t="s">
        <v>38</v>
      </c>
      <c r="R1374">
        <f t="shared" si="64"/>
        <v>6</v>
      </c>
      <c r="S1374" t="str">
        <f t="shared" si="65"/>
        <v>Jun</v>
      </c>
      <c r="T1374" s="9">
        <f>VLOOKUP(O1374, Annual_Summary!A:B, 2, 0)</f>
        <v>-0.14188579017264272</v>
      </c>
    </row>
    <row r="1375" spans="1:20" x14ac:dyDescent="0.3">
      <c r="A1375" s="1">
        <v>45834</v>
      </c>
      <c r="B1375" s="4" t="s">
        <v>15</v>
      </c>
      <c r="C1375" s="4">
        <v>1608.8</v>
      </c>
      <c r="D1375" s="4">
        <v>1624</v>
      </c>
      <c r="E1375" s="4">
        <v>1606.6</v>
      </c>
      <c r="F1375" s="4">
        <v>1614.9</v>
      </c>
      <c r="G1375" s="4">
        <v>1614.2</v>
      </c>
      <c r="H1375" s="4">
        <v>1616</v>
      </c>
      <c r="I1375" s="4">
        <v>1615.17</v>
      </c>
      <c r="J1375" s="4">
        <v>2006.45</v>
      </c>
      <c r="K1375" s="4">
        <v>1307</v>
      </c>
      <c r="L1375" s="2">
        <v>6519233</v>
      </c>
      <c r="M1375" s="2">
        <v>10529669764</v>
      </c>
      <c r="N1375" s="2">
        <v>143707</v>
      </c>
      <c r="O1375" t="s">
        <v>21</v>
      </c>
      <c r="P1375" s="8">
        <f t="shared" si="63"/>
        <v>6.1000000000001364</v>
      </c>
      <c r="Q1375" t="s">
        <v>38</v>
      </c>
      <c r="R1375">
        <f t="shared" si="64"/>
        <v>6</v>
      </c>
      <c r="S1375" t="str">
        <f t="shared" si="65"/>
        <v>Jun</v>
      </c>
      <c r="T1375" s="9">
        <f>VLOOKUP(O1375, Annual_Summary!A:B, 2, 0)</f>
        <v>-0.14188579017264272</v>
      </c>
    </row>
    <row r="1376" spans="1:20" x14ac:dyDescent="0.3">
      <c r="A1376" s="1">
        <v>45833</v>
      </c>
      <c r="B1376" s="4" t="s">
        <v>15</v>
      </c>
      <c r="C1376" s="4">
        <v>1590</v>
      </c>
      <c r="D1376" s="4">
        <v>1619.9</v>
      </c>
      <c r="E1376" s="4">
        <v>1585.1</v>
      </c>
      <c r="F1376" s="4">
        <v>1581.6</v>
      </c>
      <c r="G1376" s="4">
        <v>1612.5</v>
      </c>
      <c r="H1376" s="4">
        <v>1614.9</v>
      </c>
      <c r="I1376" s="4">
        <v>1608.74</v>
      </c>
      <c r="J1376" s="4">
        <v>2006.45</v>
      </c>
      <c r="K1376" s="4">
        <v>1307</v>
      </c>
      <c r="L1376" s="2">
        <v>7813533</v>
      </c>
      <c r="M1376" s="2">
        <v>12569966638.700001</v>
      </c>
      <c r="N1376" s="2">
        <v>187869</v>
      </c>
      <c r="O1376" t="s">
        <v>21</v>
      </c>
      <c r="P1376" s="8">
        <f t="shared" si="63"/>
        <v>-8.4000000000000909</v>
      </c>
      <c r="Q1376" t="s">
        <v>38</v>
      </c>
      <c r="R1376">
        <f t="shared" si="64"/>
        <v>6</v>
      </c>
      <c r="S1376" t="str">
        <f t="shared" si="65"/>
        <v>Jun</v>
      </c>
      <c r="T1376" s="9">
        <f>VLOOKUP(O1376, Annual_Summary!A:B, 2, 0)</f>
        <v>-0.14188579017264272</v>
      </c>
    </row>
    <row r="1377" spans="1:20" x14ac:dyDescent="0.3">
      <c r="A1377" s="1">
        <v>45832</v>
      </c>
      <c r="B1377" s="4" t="s">
        <v>15</v>
      </c>
      <c r="C1377" s="4">
        <v>1601</v>
      </c>
      <c r="D1377" s="4">
        <v>1609</v>
      </c>
      <c r="E1377" s="4">
        <v>1576.6</v>
      </c>
      <c r="F1377" s="4">
        <v>1584</v>
      </c>
      <c r="G1377" s="4">
        <v>1579.6</v>
      </c>
      <c r="H1377" s="4">
        <v>1581.6</v>
      </c>
      <c r="I1377" s="4">
        <v>1590.26</v>
      </c>
      <c r="J1377" s="4">
        <v>2006.45</v>
      </c>
      <c r="K1377" s="4">
        <v>1307</v>
      </c>
      <c r="L1377" s="2">
        <v>8083992</v>
      </c>
      <c r="M1377" s="2">
        <v>12855608766.6</v>
      </c>
      <c r="N1377" s="2">
        <v>157878</v>
      </c>
      <c r="O1377" t="s">
        <v>21</v>
      </c>
      <c r="P1377" s="8">
        <f t="shared" si="63"/>
        <v>-17</v>
      </c>
      <c r="Q1377" t="s">
        <v>38</v>
      </c>
      <c r="R1377">
        <f t="shared" si="64"/>
        <v>6</v>
      </c>
      <c r="S1377" t="str">
        <f t="shared" si="65"/>
        <v>Jun</v>
      </c>
      <c r="T1377" s="9">
        <f>VLOOKUP(O1377, Annual_Summary!A:B, 2, 0)</f>
        <v>-0.14188579017264272</v>
      </c>
    </row>
    <row r="1378" spans="1:20" x14ac:dyDescent="0.3">
      <c r="A1378" s="1">
        <v>45831</v>
      </c>
      <c r="B1378" s="4" t="s">
        <v>15</v>
      </c>
      <c r="C1378" s="4">
        <v>1601</v>
      </c>
      <c r="D1378" s="4">
        <v>1601</v>
      </c>
      <c r="E1378" s="4">
        <v>1575.4</v>
      </c>
      <c r="F1378" s="4">
        <v>1622.9</v>
      </c>
      <c r="G1378" s="4">
        <v>1584.7</v>
      </c>
      <c r="H1378" s="4">
        <v>1584</v>
      </c>
      <c r="I1378" s="4">
        <v>1585.78</v>
      </c>
      <c r="J1378" s="4">
        <v>2006.45</v>
      </c>
      <c r="K1378" s="4">
        <v>1307</v>
      </c>
      <c r="L1378" s="2">
        <v>7943676</v>
      </c>
      <c r="M1378" s="2">
        <v>12596945674.4</v>
      </c>
      <c r="N1378" s="2">
        <v>206475</v>
      </c>
      <c r="O1378" t="s">
        <v>21</v>
      </c>
      <c r="P1378" s="8">
        <f t="shared" si="63"/>
        <v>21.900000000000091</v>
      </c>
      <c r="Q1378" t="s">
        <v>38</v>
      </c>
      <c r="R1378">
        <f t="shared" si="64"/>
        <v>6</v>
      </c>
      <c r="S1378" t="str">
        <f t="shared" si="65"/>
        <v>Jun</v>
      </c>
      <c r="T1378" s="9">
        <f>VLOOKUP(O1378, Annual_Summary!A:B, 2, 0)</f>
        <v>-0.14188579017264272</v>
      </c>
    </row>
    <row r="1379" spans="1:20" x14ac:dyDescent="0.3">
      <c r="A1379" s="1">
        <v>45828</v>
      </c>
      <c r="B1379" s="4" t="s">
        <v>15</v>
      </c>
      <c r="C1379" s="4">
        <v>1619</v>
      </c>
      <c r="D1379" s="4">
        <v>1630.7</v>
      </c>
      <c r="E1379" s="4">
        <v>1608.9</v>
      </c>
      <c r="F1379" s="4">
        <v>1618.4</v>
      </c>
      <c r="G1379" s="4">
        <v>1618</v>
      </c>
      <c r="H1379" s="4">
        <v>1622.9</v>
      </c>
      <c r="I1379" s="4">
        <v>1621.3</v>
      </c>
      <c r="J1379" s="4">
        <v>2006.45</v>
      </c>
      <c r="K1379" s="4">
        <v>1307</v>
      </c>
      <c r="L1379" s="2">
        <v>9202821</v>
      </c>
      <c r="M1379" s="2">
        <v>14920507153.700001</v>
      </c>
      <c r="N1379" s="2">
        <v>135603</v>
      </c>
      <c r="O1379" t="s">
        <v>21</v>
      </c>
      <c r="P1379" s="8">
        <f t="shared" si="63"/>
        <v>-0.59999999999990905</v>
      </c>
      <c r="Q1379" t="s">
        <v>38</v>
      </c>
      <c r="R1379">
        <f t="shared" si="64"/>
        <v>6</v>
      </c>
      <c r="S1379" t="str">
        <f t="shared" si="65"/>
        <v>Jun</v>
      </c>
      <c r="T1379" s="9">
        <f>VLOOKUP(O1379, Annual_Summary!A:B, 2, 0)</f>
        <v>-0.14188579017264272</v>
      </c>
    </row>
    <row r="1380" spans="1:20" x14ac:dyDescent="0.3">
      <c r="A1380" s="1">
        <v>45827</v>
      </c>
      <c r="B1380" s="4" t="s">
        <v>15</v>
      </c>
      <c r="C1380" s="4">
        <v>1623.9</v>
      </c>
      <c r="D1380" s="4">
        <v>1630</v>
      </c>
      <c r="E1380" s="4">
        <v>1611.5</v>
      </c>
      <c r="F1380" s="4">
        <v>1632.9</v>
      </c>
      <c r="G1380" s="4">
        <v>1616.9</v>
      </c>
      <c r="H1380" s="4">
        <v>1618.4</v>
      </c>
      <c r="I1380" s="4">
        <v>1618.85</v>
      </c>
      <c r="J1380" s="4">
        <v>2006.45</v>
      </c>
      <c r="K1380" s="4">
        <v>1307</v>
      </c>
      <c r="L1380" s="2">
        <v>5147760</v>
      </c>
      <c r="M1380" s="2">
        <v>8333449709.6000004</v>
      </c>
      <c r="N1380" s="2">
        <v>162048</v>
      </c>
      <c r="O1380" t="s">
        <v>21</v>
      </c>
      <c r="P1380" s="8">
        <f t="shared" si="63"/>
        <v>9</v>
      </c>
      <c r="Q1380" t="s">
        <v>38</v>
      </c>
      <c r="R1380">
        <f t="shared" si="64"/>
        <v>6</v>
      </c>
      <c r="S1380" t="str">
        <f t="shared" si="65"/>
        <v>Jun</v>
      </c>
      <c r="T1380" s="9">
        <f>VLOOKUP(O1380, Annual_Summary!A:B, 2, 0)</f>
        <v>-0.14188579017264272</v>
      </c>
    </row>
    <row r="1381" spans="1:20" x14ac:dyDescent="0.3">
      <c r="A1381" s="1">
        <v>45826</v>
      </c>
      <c r="B1381" s="4" t="s">
        <v>15</v>
      </c>
      <c r="C1381" s="4">
        <v>1621</v>
      </c>
      <c r="D1381" s="4">
        <v>1644.7</v>
      </c>
      <c r="E1381" s="4">
        <v>1621</v>
      </c>
      <c r="F1381" s="4">
        <v>1639.9</v>
      </c>
      <c r="G1381" s="4">
        <v>1632</v>
      </c>
      <c r="H1381" s="4">
        <v>1632.9</v>
      </c>
      <c r="I1381" s="4">
        <v>1631.66</v>
      </c>
      <c r="J1381" s="4">
        <v>2006.45</v>
      </c>
      <c r="K1381" s="4">
        <v>1307</v>
      </c>
      <c r="L1381" s="2">
        <v>5629707</v>
      </c>
      <c r="M1381" s="2">
        <v>9185742882.6000004</v>
      </c>
      <c r="N1381" s="2">
        <v>140846</v>
      </c>
      <c r="O1381" t="s">
        <v>21</v>
      </c>
      <c r="P1381" s="8">
        <f t="shared" si="63"/>
        <v>18.900000000000091</v>
      </c>
      <c r="Q1381" t="s">
        <v>38</v>
      </c>
      <c r="R1381">
        <f t="shared" si="64"/>
        <v>6</v>
      </c>
      <c r="S1381" t="str">
        <f t="shared" si="65"/>
        <v>Jun</v>
      </c>
      <c r="T1381" s="9">
        <f>VLOOKUP(O1381, Annual_Summary!A:B, 2, 0)</f>
        <v>-0.14188579017264272</v>
      </c>
    </row>
    <row r="1382" spans="1:20" x14ac:dyDescent="0.3">
      <c r="A1382" s="1">
        <v>45825</v>
      </c>
      <c r="B1382" s="4" t="s">
        <v>15</v>
      </c>
      <c r="C1382" s="4">
        <v>1620.7</v>
      </c>
      <c r="D1382" s="4">
        <v>1647.4</v>
      </c>
      <c r="E1382" s="4">
        <v>1615.6</v>
      </c>
      <c r="F1382" s="4">
        <v>1623.8</v>
      </c>
      <c r="G1382" s="4">
        <v>1638</v>
      </c>
      <c r="H1382" s="4">
        <v>1639.9</v>
      </c>
      <c r="I1382" s="4">
        <v>1637.98</v>
      </c>
      <c r="J1382" s="4">
        <v>2006.45</v>
      </c>
      <c r="K1382" s="4">
        <v>1307</v>
      </c>
      <c r="L1382" s="2">
        <v>7622083</v>
      </c>
      <c r="M1382" s="2">
        <v>12484837334.9</v>
      </c>
      <c r="N1382" s="2">
        <v>212796</v>
      </c>
      <c r="O1382" t="s">
        <v>21</v>
      </c>
      <c r="P1382" s="8">
        <f t="shared" si="63"/>
        <v>3.0999999999999091</v>
      </c>
      <c r="Q1382" t="s">
        <v>38</v>
      </c>
      <c r="R1382">
        <f t="shared" si="64"/>
        <v>6</v>
      </c>
      <c r="S1382" t="str">
        <f t="shared" si="65"/>
        <v>Jun</v>
      </c>
      <c r="T1382" s="9">
        <f>VLOOKUP(O1382, Annual_Summary!A:B, 2, 0)</f>
        <v>-0.14188579017264272</v>
      </c>
    </row>
    <row r="1383" spans="1:20" x14ac:dyDescent="0.3">
      <c r="A1383" s="1">
        <v>45824</v>
      </c>
      <c r="B1383" s="4" t="s">
        <v>15</v>
      </c>
      <c r="C1383" s="4">
        <v>1600</v>
      </c>
      <c r="D1383" s="4">
        <v>1634.8</v>
      </c>
      <c r="E1383" s="4">
        <v>1597.1</v>
      </c>
      <c r="F1383" s="4">
        <v>1602</v>
      </c>
      <c r="G1383" s="4">
        <v>1622.1</v>
      </c>
      <c r="H1383" s="4">
        <v>1623.8</v>
      </c>
      <c r="I1383" s="4">
        <v>1621.63</v>
      </c>
      <c r="J1383" s="4">
        <v>2006.45</v>
      </c>
      <c r="K1383" s="4">
        <v>1307</v>
      </c>
      <c r="L1383" s="2">
        <v>5591842</v>
      </c>
      <c r="M1383" s="2">
        <v>9067922727.7000008</v>
      </c>
      <c r="N1383" s="2">
        <v>138140</v>
      </c>
      <c r="O1383" t="s">
        <v>21</v>
      </c>
      <c r="P1383" s="8">
        <f t="shared" si="63"/>
        <v>2</v>
      </c>
      <c r="Q1383" t="s">
        <v>38</v>
      </c>
      <c r="R1383">
        <f t="shared" si="64"/>
        <v>6</v>
      </c>
      <c r="S1383" t="str">
        <f t="shared" si="65"/>
        <v>Jun</v>
      </c>
      <c r="T1383" s="9">
        <f>VLOOKUP(O1383, Annual_Summary!A:B, 2, 0)</f>
        <v>-0.14188579017264272</v>
      </c>
    </row>
    <row r="1384" spans="1:20" x14ac:dyDescent="0.3">
      <c r="A1384" s="1">
        <v>45821</v>
      </c>
      <c r="B1384" s="4" t="s">
        <v>15</v>
      </c>
      <c r="C1384" s="4">
        <v>1576</v>
      </c>
      <c r="D1384" s="4">
        <v>1609</v>
      </c>
      <c r="E1384" s="4">
        <v>1570.2</v>
      </c>
      <c r="F1384" s="4">
        <v>1608.6</v>
      </c>
      <c r="G1384" s="4">
        <v>1605</v>
      </c>
      <c r="H1384" s="4">
        <v>1602</v>
      </c>
      <c r="I1384" s="4">
        <v>1598.18</v>
      </c>
      <c r="J1384" s="4">
        <v>2006.45</v>
      </c>
      <c r="K1384" s="4">
        <v>1307</v>
      </c>
      <c r="L1384" s="2">
        <v>6968315</v>
      </c>
      <c r="M1384" s="2">
        <v>11136653004.6</v>
      </c>
      <c r="N1384" s="2">
        <v>216576</v>
      </c>
      <c r="O1384" t="s">
        <v>21</v>
      </c>
      <c r="P1384" s="8">
        <f t="shared" si="63"/>
        <v>32.599999999999909</v>
      </c>
      <c r="Q1384" t="s">
        <v>38</v>
      </c>
      <c r="R1384">
        <f t="shared" si="64"/>
        <v>6</v>
      </c>
      <c r="S1384" t="str">
        <f t="shared" si="65"/>
        <v>Jun</v>
      </c>
      <c r="T1384" s="9">
        <f>VLOOKUP(O1384, Annual_Summary!A:B, 2, 0)</f>
        <v>-0.14188579017264272</v>
      </c>
    </row>
    <row r="1385" spans="1:20" x14ac:dyDescent="0.3">
      <c r="A1385" s="1">
        <v>45820</v>
      </c>
      <c r="B1385" s="4" t="s">
        <v>15</v>
      </c>
      <c r="C1385" s="4">
        <v>1617</v>
      </c>
      <c r="D1385" s="4">
        <v>1628</v>
      </c>
      <c r="E1385" s="4">
        <v>1598.1</v>
      </c>
      <c r="F1385" s="4">
        <v>1631.1</v>
      </c>
      <c r="G1385" s="4">
        <v>1605</v>
      </c>
      <c r="H1385" s="4">
        <v>1608.6</v>
      </c>
      <c r="I1385" s="4">
        <v>1612.28</v>
      </c>
      <c r="J1385" s="4">
        <v>2006.45</v>
      </c>
      <c r="K1385" s="4">
        <v>1307</v>
      </c>
      <c r="L1385" s="2">
        <v>10483574</v>
      </c>
      <c r="M1385" s="2">
        <v>16902414982</v>
      </c>
      <c r="N1385" s="2">
        <v>316383</v>
      </c>
      <c r="O1385" t="s">
        <v>21</v>
      </c>
      <c r="P1385" s="8">
        <f t="shared" si="63"/>
        <v>14.099999999999909</v>
      </c>
      <c r="Q1385" t="s">
        <v>38</v>
      </c>
      <c r="R1385">
        <f t="shared" si="64"/>
        <v>6</v>
      </c>
      <c r="S1385" t="str">
        <f t="shared" si="65"/>
        <v>Jun</v>
      </c>
      <c r="T1385" s="9">
        <f>VLOOKUP(O1385, Annual_Summary!A:B, 2, 0)</f>
        <v>-0.14188579017264272</v>
      </c>
    </row>
    <row r="1386" spans="1:20" x14ac:dyDescent="0.3">
      <c r="A1386" s="1">
        <v>45819</v>
      </c>
      <c r="B1386" s="4" t="s">
        <v>15</v>
      </c>
      <c r="C1386" s="4">
        <v>1590.1</v>
      </c>
      <c r="D1386" s="4">
        <v>1634.6</v>
      </c>
      <c r="E1386" s="4">
        <v>1590.1</v>
      </c>
      <c r="F1386" s="4">
        <v>1596</v>
      </c>
      <c r="G1386" s="4">
        <v>1628</v>
      </c>
      <c r="H1386" s="4">
        <v>1631.1</v>
      </c>
      <c r="I1386" s="4">
        <v>1617.71</v>
      </c>
      <c r="J1386" s="4">
        <v>2006.45</v>
      </c>
      <c r="K1386" s="4">
        <v>1307</v>
      </c>
      <c r="L1386" s="2">
        <v>10597410</v>
      </c>
      <c r="M1386" s="2">
        <v>17143554884.6</v>
      </c>
      <c r="N1386" s="2">
        <v>219452</v>
      </c>
      <c r="O1386" t="s">
        <v>21</v>
      </c>
      <c r="P1386" s="8">
        <f t="shared" si="63"/>
        <v>5.9000000000000909</v>
      </c>
      <c r="Q1386" t="s">
        <v>38</v>
      </c>
      <c r="R1386">
        <f t="shared" si="64"/>
        <v>6</v>
      </c>
      <c r="S1386" t="str">
        <f t="shared" si="65"/>
        <v>Jun</v>
      </c>
      <c r="T1386" s="9">
        <f>VLOOKUP(O1386, Annual_Summary!A:B, 2, 0)</f>
        <v>-0.14188579017264272</v>
      </c>
    </row>
    <row r="1387" spans="1:20" x14ac:dyDescent="0.3">
      <c r="A1387" s="1">
        <v>45818</v>
      </c>
      <c r="B1387" s="4" t="s">
        <v>15</v>
      </c>
      <c r="C1387" s="4">
        <v>1584</v>
      </c>
      <c r="D1387" s="4">
        <v>1607.5</v>
      </c>
      <c r="E1387" s="4">
        <v>1577.5</v>
      </c>
      <c r="F1387" s="4">
        <v>1572.9</v>
      </c>
      <c r="G1387" s="4">
        <v>1594</v>
      </c>
      <c r="H1387" s="4">
        <v>1596</v>
      </c>
      <c r="I1387" s="4">
        <v>1595.07</v>
      </c>
      <c r="J1387" s="4">
        <v>2006.45</v>
      </c>
      <c r="K1387" s="4">
        <v>1307</v>
      </c>
      <c r="L1387" s="2">
        <v>8591925</v>
      </c>
      <c r="M1387" s="2">
        <v>13704698707.799999</v>
      </c>
      <c r="N1387" s="2">
        <v>222769</v>
      </c>
      <c r="O1387" t="s">
        <v>21</v>
      </c>
      <c r="P1387" s="8">
        <f t="shared" si="63"/>
        <v>-11.099999999999909</v>
      </c>
      <c r="Q1387" t="s">
        <v>38</v>
      </c>
      <c r="R1387">
        <f t="shared" si="64"/>
        <v>6</v>
      </c>
      <c r="S1387" t="str">
        <f t="shared" si="65"/>
        <v>Jun</v>
      </c>
      <c r="T1387" s="9">
        <f>VLOOKUP(O1387, Annual_Summary!A:B, 2, 0)</f>
        <v>-0.14188579017264272</v>
      </c>
    </row>
    <row r="1388" spans="1:20" x14ac:dyDescent="0.3">
      <c r="A1388" s="1">
        <v>45817</v>
      </c>
      <c r="B1388" s="4" t="s">
        <v>15</v>
      </c>
      <c r="C1388" s="4">
        <v>1578</v>
      </c>
      <c r="D1388" s="4">
        <v>1588</v>
      </c>
      <c r="E1388" s="4">
        <v>1571</v>
      </c>
      <c r="F1388" s="4">
        <v>1563.8</v>
      </c>
      <c r="G1388" s="4">
        <v>1572</v>
      </c>
      <c r="H1388" s="4">
        <v>1572.9</v>
      </c>
      <c r="I1388" s="4">
        <v>1577.22</v>
      </c>
      <c r="J1388" s="4">
        <v>2006.45</v>
      </c>
      <c r="K1388" s="4">
        <v>1307</v>
      </c>
      <c r="L1388" s="2">
        <v>2903202</v>
      </c>
      <c r="M1388" s="2">
        <v>4578975981.3999996</v>
      </c>
      <c r="N1388" s="2">
        <v>113233</v>
      </c>
      <c r="O1388" t="s">
        <v>21</v>
      </c>
      <c r="P1388" s="8">
        <f t="shared" si="63"/>
        <v>-14.200000000000045</v>
      </c>
      <c r="Q1388" t="s">
        <v>38</v>
      </c>
      <c r="R1388">
        <f t="shared" si="64"/>
        <v>6</v>
      </c>
      <c r="S1388" t="str">
        <f t="shared" si="65"/>
        <v>Jun</v>
      </c>
      <c r="T1388" s="9">
        <f>VLOOKUP(O1388, Annual_Summary!A:B, 2, 0)</f>
        <v>-0.14188579017264272</v>
      </c>
    </row>
    <row r="1389" spans="1:20" x14ac:dyDescent="0.3">
      <c r="A1389" s="1">
        <v>45814</v>
      </c>
      <c r="B1389" s="4" t="s">
        <v>15</v>
      </c>
      <c r="C1389" s="4">
        <v>1554.7</v>
      </c>
      <c r="D1389" s="4">
        <v>1568.9</v>
      </c>
      <c r="E1389" s="4">
        <v>1543.1</v>
      </c>
      <c r="F1389" s="4">
        <v>1554.3</v>
      </c>
      <c r="G1389" s="4">
        <v>1568</v>
      </c>
      <c r="H1389" s="4">
        <v>1563.8</v>
      </c>
      <c r="I1389" s="4">
        <v>1557.14</v>
      </c>
      <c r="J1389" s="4">
        <v>2006.45</v>
      </c>
      <c r="K1389" s="4">
        <v>1307</v>
      </c>
      <c r="L1389" s="2">
        <v>3960020</v>
      </c>
      <c r="M1389" s="2">
        <v>6166293295</v>
      </c>
      <c r="N1389" s="2">
        <v>90826</v>
      </c>
      <c r="O1389" t="s">
        <v>21</v>
      </c>
      <c r="P1389" s="8">
        <f t="shared" si="63"/>
        <v>-0.40000000000009095</v>
      </c>
      <c r="Q1389" t="s">
        <v>38</v>
      </c>
      <c r="R1389">
        <f t="shared" si="64"/>
        <v>6</v>
      </c>
      <c r="S1389" t="str">
        <f t="shared" si="65"/>
        <v>Jun</v>
      </c>
      <c r="T1389" s="9">
        <f>VLOOKUP(O1389, Annual_Summary!A:B, 2, 0)</f>
        <v>-0.14188579017264272</v>
      </c>
    </row>
    <row r="1390" spans="1:20" x14ac:dyDescent="0.3">
      <c r="A1390" s="1">
        <v>45813</v>
      </c>
      <c r="B1390" s="4" t="s">
        <v>15</v>
      </c>
      <c r="C1390" s="4">
        <v>1547.9</v>
      </c>
      <c r="D1390" s="4">
        <v>1567.7</v>
      </c>
      <c r="E1390" s="4">
        <v>1541.6</v>
      </c>
      <c r="F1390" s="4">
        <v>1551.2</v>
      </c>
      <c r="G1390" s="4">
        <v>1554.5</v>
      </c>
      <c r="H1390" s="4">
        <v>1554.3</v>
      </c>
      <c r="I1390" s="4">
        <v>1554.78</v>
      </c>
      <c r="J1390" s="4">
        <v>2006.45</v>
      </c>
      <c r="K1390" s="4">
        <v>1307</v>
      </c>
      <c r="L1390" s="2">
        <v>6948539</v>
      </c>
      <c r="M1390" s="2">
        <v>10803474457.1</v>
      </c>
      <c r="N1390" s="2">
        <v>128309</v>
      </c>
      <c r="O1390" t="s">
        <v>21</v>
      </c>
      <c r="P1390" s="8">
        <f t="shared" si="63"/>
        <v>3.2999999999999545</v>
      </c>
      <c r="Q1390" t="s">
        <v>38</v>
      </c>
      <c r="R1390">
        <f t="shared" si="64"/>
        <v>6</v>
      </c>
      <c r="S1390" t="str">
        <f t="shared" si="65"/>
        <v>Jun</v>
      </c>
      <c r="T1390" s="9">
        <f>VLOOKUP(O1390, Annual_Summary!A:B, 2, 0)</f>
        <v>-0.14188579017264272</v>
      </c>
    </row>
    <row r="1391" spans="1:20" x14ac:dyDescent="0.3">
      <c r="A1391" s="1">
        <v>45812</v>
      </c>
      <c r="B1391" s="4" t="s">
        <v>15</v>
      </c>
      <c r="C1391" s="4">
        <v>1543</v>
      </c>
      <c r="D1391" s="4">
        <v>1557.3</v>
      </c>
      <c r="E1391" s="4">
        <v>1541.4</v>
      </c>
      <c r="F1391" s="4">
        <v>1543</v>
      </c>
      <c r="G1391" s="4">
        <v>1550</v>
      </c>
      <c r="H1391" s="4">
        <v>1551.2</v>
      </c>
      <c r="I1391" s="4">
        <v>1550.49</v>
      </c>
      <c r="J1391" s="4">
        <v>2006.45</v>
      </c>
      <c r="K1391" s="4">
        <v>1307</v>
      </c>
      <c r="L1391" s="2">
        <v>4548307</v>
      </c>
      <c r="M1391" s="2">
        <v>7052104860.6000004</v>
      </c>
      <c r="N1391" s="2">
        <v>118648</v>
      </c>
      <c r="O1391" t="s">
        <v>21</v>
      </c>
      <c r="P1391" s="8">
        <f t="shared" si="63"/>
        <v>0</v>
      </c>
      <c r="Q1391" t="s">
        <v>38</v>
      </c>
      <c r="R1391">
        <f t="shared" si="64"/>
        <v>6</v>
      </c>
      <c r="S1391" t="str">
        <f t="shared" si="65"/>
        <v>Jun</v>
      </c>
      <c r="T1391" s="9">
        <f>VLOOKUP(O1391, Annual_Summary!A:B, 2, 0)</f>
        <v>-0.14188579017264272</v>
      </c>
    </row>
    <row r="1392" spans="1:20" x14ac:dyDescent="0.3">
      <c r="A1392" s="1">
        <v>45811</v>
      </c>
      <c r="B1392" s="4" t="s">
        <v>15</v>
      </c>
      <c r="C1392" s="4">
        <v>1559</v>
      </c>
      <c r="D1392" s="4">
        <v>1567.3</v>
      </c>
      <c r="E1392" s="4">
        <v>1535.6</v>
      </c>
      <c r="F1392" s="4">
        <v>1553.8</v>
      </c>
      <c r="G1392" s="4">
        <v>1543</v>
      </c>
      <c r="H1392" s="4">
        <v>1543</v>
      </c>
      <c r="I1392" s="4">
        <v>1546.37</v>
      </c>
      <c r="J1392" s="4">
        <v>2006.45</v>
      </c>
      <c r="K1392" s="4">
        <v>1307</v>
      </c>
      <c r="L1392" s="2">
        <v>6853403</v>
      </c>
      <c r="M1392" s="2">
        <v>10597870232.1</v>
      </c>
      <c r="N1392" s="2">
        <v>195003</v>
      </c>
      <c r="O1392" t="s">
        <v>21</v>
      </c>
      <c r="P1392" s="8">
        <f t="shared" si="63"/>
        <v>-5.2000000000000455</v>
      </c>
      <c r="Q1392" t="s">
        <v>38</v>
      </c>
      <c r="R1392">
        <f t="shared" si="64"/>
        <v>6</v>
      </c>
      <c r="S1392" t="str">
        <f t="shared" si="65"/>
        <v>Jun</v>
      </c>
      <c r="T1392" s="9">
        <f>VLOOKUP(O1392, Annual_Summary!A:B, 2, 0)</f>
        <v>-0.14188579017264272</v>
      </c>
    </row>
    <row r="1393" spans="1:20" x14ac:dyDescent="0.3">
      <c r="A1393" s="1">
        <v>45810</v>
      </c>
      <c r="B1393" s="4" t="s">
        <v>15</v>
      </c>
      <c r="C1393" s="4">
        <v>1560</v>
      </c>
      <c r="D1393" s="4">
        <v>1560</v>
      </c>
      <c r="E1393" s="4">
        <v>1539</v>
      </c>
      <c r="F1393" s="4">
        <v>1562.7</v>
      </c>
      <c r="G1393" s="4">
        <v>1551</v>
      </c>
      <c r="H1393" s="4">
        <v>1553.8</v>
      </c>
      <c r="I1393" s="4">
        <v>1550.25</v>
      </c>
      <c r="J1393" s="4">
        <v>2006.45</v>
      </c>
      <c r="K1393" s="4">
        <v>1307</v>
      </c>
      <c r="L1393" s="2">
        <v>4374509</v>
      </c>
      <c r="M1393" s="2">
        <v>6781587274</v>
      </c>
      <c r="N1393" s="2">
        <v>131906</v>
      </c>
      <c r="O1393" t="s">
        <v>21</v>
      </c>
      <c r="P1393" s="8">
        <f t="shared" si="63"/>
        <v>2.7000000000000455</v>
      </c>
      <c r="Q1393" t="s">
        <v>38</v>
      </c>
      <c r="R1393">
        <f t="shared" si="64"/>
        <v>6</v>
      </c>
      <c r="S1393" t="str">
        <f t="shared" si="65"/>
        <v>Jun</v>
      </c>
      <c r="T1393" s="9">
        <f>VLOOKUP(O1393, Annual_Summary!A:B, 2, 0)</f>
        <v>-0.14188579017264272</v>
      </c>
    </row>
    <row r="1394" spans="1:20" x14ac:dyDescent="0.3">
      <c r="A1394" s="1">
        <v>45807</v>
      </c>
      <c r="B1394" s="4" t="s">
        <v>15</v>
      </c>
      <c r="C1394" s="4">
        <v>1571</v>
      </c>
      <c r="D1394" s="4">
        <v>1572</v>
      </c>
      <c r="E1394" s="4">
        <v>1555.1</v>
      </c>
      <c r="F1394" s="4">
        <v>1585.6</v>
      </c>
      <c r="G1394" s="4">
        <v>1561.9</v>
      </c>
      <c r="H1394" s="4">
        <v>1562.7</v>
      </c>
      <c r="I1394" s="4">
        <v>1563.06</v>
      </c>
      <c r="J1394" s="4">
        <v>2006.45</v>
      </c>
      <c r="K1394" s="4">
        <v>1307</v>
      </c>
      <c r="L1394" s="2">
        <v>13148092</v>
      </c>
      <c r="M1394" s="2">
        <v>20551263119</v>
      </c>
      <c r="N1394" s="2">
        <v>167400</v>
      </c>
      <c r="O1394" t="s">
        <v>21</v>
      </c>
      <c r="P1394" s="8">
        <f t="shared" si="63"/>
        <v>14.599999999999909</v>
      </c>
      <c r="Q1394" t="s">
        <v>38</v>
      </c>
      <c r="R1394">
        <f t="shared" si="64"/>
        <v>5</v>
      </c>
      <c r="S1394" t="str">
        <f t="shared" si="65"/>
        <v>May</v>
      </c>
      <c r="T1394" s="9">
        <f>VLOOKUP(O1394, Annual_Summary!A:B, 2, 0)</f>
        <v>-0.14188579017264272</v>
      </c>
    </row>
    <row r="1395" spans="1:20" x14ac:dyDescent="0.3">
      <c r="A1395" s="1">
        <v>45806</v>
      </c>
      <c r="B1395" s="4" t="s">
        <v>15</v>
      </c>
      <c r="C1395" s="4">
        <v>1589</v>
      </c>
      <c r="D1395" s="4">
        <v>1608.9</v>
      </c>
      <c r="E1395" s="4">
        <v>1576.6</v>
      </c>
      <c r="F1395" s="4">
        <v>1571.8</v>
      </c>
      <c r="G1395" s="4">
        <v>1586.5</v>
      </c>
      <c r="H1395" s="4">
        <v>1585.6</v>
      </c>
      <c r="I1395" s="4">
        <v>1588.46</v>
      </c>
      <c r="J1395" s="4">
        <v>2006.45</v>
      </c>
      <c r="K1395" s="4">
        <v>1307</v>
      </c>
      <c r="L1395" s="2">
        <v>8609500</v>
      </c>
      <c r="M1395" s="2">
        <v>13675817253.9</v>
      </c>
      <c r="N1395" s="2">
        <v>194291</v>
      </c>
      <c r="O1395" t="s">
        <v>21</v>
      </c>
      <c r="P1395" s="8">
        <f t="shared" si="63"/>
        <v>-17.200000000000045</v>
      </c>
      <c r="Q1395" t="s">
        <v>38</v>
      </c>
      <c r="R1395">
        <f t="shared" si="64"/>
        <v>5</v>
      </c>
      <c r="S1395" t="str">
        <f t="shared" si="65"/>
        <v>May</v>
      </c>
      <c r="T1395" s="9">
        <f>VLOOKUP(O1395, Annual_Summary!A:B, 2, 0)</f>
        <v>-0.14188579017264272</v>
      </c>
    </row>
    <row r="1396" spans="1:20" x14ac:dyDescent="0.3">
      <c r="A1396" s="1">
        <v>45805</v>
      </c>
      <c r="B1396" s="4" t="s">
        <v>15</v>
      </c>
      <c r="C1396" s="4">
        <v>1581</v>
      </c>
      <c r="D1396" s="4">
        <v>1587.7</v>
      </c>
      <c r="E1396" s="4">
        <v>1570</v>
      </c>
      <c r="F1396" s="4">
        <v>1570.1</v>
      </c>
      <c r="G1396" s="4">
        <v>1571.8</v>
      </c>
      <c r="H1396" s="4">
        <v>1571.8</v>
      </c>
      <c r="I1396" s="4">
        <v>1576.59</v>
      </c>
      <c r="J1396" s="4">
        <v>2006.45</v>
      </c>
      <c r="K1396" s="4">
        <v>1307</v>
      </c>
      <c r="L1396" s="2">
        <v>3623370</v>
      </c>
      <c r="M1396" s="2">
        <v>5712574459</v>
      </c>
      <c r="N1396" s="2">
        <v>136660</v>
      </c>
      <c r="O1396" t="s">
        <v>21</v>
      </c>
      <c r="P1396" s="8">
        <f t="shared" si="63"/>
        <v>-10.900000000000091</v>
      </c>
      <c r="Q1396" t="s">
        <v>38</v>
      </c>
      <c r="R1396">
        <f t="shared" si="64"/>
        <v>5</v>
      </c>
      <c r="S1396" t="str">
        <f t="shared" si="65"/>
        <v>May</v>
      </c>
      <c r="T1396" s="9">
        <f>VLOOKUP(O1396, Annual_Summary!A:B, 2, 0)</f>
        <v>-0.14188579017264272</v>
      </c>
    </row>
    <row r="1397" spans="1:20" x14ac:dyDescent="0.3">
      <c r="A1397" s="1">
        <v>45804</v>
      </c>
      <c r="B1397" s="4" t="s">
        <v>15</v>
      </c>
      <c r="C1397" s="4">
        <v>1579.9</v>
      </c>
      <c r="D1397" s="4">
        <v>1582.9</v>
      </c>
      <c r="E1397" s="4">
        <v>1556.4</v>
      </c>
      <c r="F1397" s="4">
        <v>1580.5</v>
      </c>
      <c r="G1397" s="4">
        <v>1570.9</v>
      </c>
      <c r="H1397" s="4">
        <v>1570.1</v>
      </c>
      <c r="I1397" s="4">
        <v>1567.8</v>
      </c>
      <c r="J1397" s="4">
        <v>2006.45</v>
      </c>
      <c r="K1397" s="4">
        <v>1307</v>
      </c>
      <c r="L1397" s="2">
        <v>7775714</v>
      </c>
      <c r="M1397" s="2">
        <v>12190751506.200001</v>
      </c>
      <c r="N1397" s="2">
        <v>206543</v>
      </c>
      <c r="O1397" t="s">
        <v>21</v>
      </c>
      <c r="P1397" s="8">
        <f t="shared" si="63"/>
        <v>0.59999999999990905</v>
      </c>
      <c r="Q1397" t="s">
        <v>38</v>
      </c>
      <c r="R1397">
        <f t="shared" si="64"/>
        <v>5</v>
      </c>
      <c r="S1397" t="str">
        <f t="shared" si="65"/>
        <v>May</v>
      </c>
      <c r="T1397" s="9">
        <f>VLOOKUP(O1397, Annual_Summary!A:B, 2, 0)</f>
        <v>-0.14188579017264272</v>
      </c>
    </row>
    <row r="1398" spans="1:20" x14ac:dyDescent="0.3">
      <c r="A1398" s="1">
        <v>45803</v>
      </c>
      <c r="B1398" s="4" t="s">
        <v>15</v>
      </c>
      <c r="C1398" s="4">
        <v>1566.6</v>
      </c>
      <c r="D1398" s="4">
        <v>1583.8</v>
      </c>
      <c r="E1398" s="4">
        <v>1562.7</v>
      </c>
      <c r="F1398" s="4">
        <v>1564.8</v>
      </c>
      <c r="G1398" s="4">
        <v>1582</v>
      </c>
      <c r="H1398" s="4">
        <v>1580.5</v>
      </c>
      <c r="I1398" s="4">
        <v>1577.54</v>
      </c>
      <c r="J1398" s="4">
        <v>2006.45</v>
      </c>
      <c r="K1398" s="4">
        <v>1307</v>
      </c>
      <c r="L1398" s="2">
        <v>3170102</v>
      </c>
      <c r="M1398" s="2">
        <v>5000973812.6999998</v>
      </c>
      <c r="N1398" s="2">
        <v>84853</v>
      </c>
      <c r="O1398" t="s">
        <v>21</v>
      </c>
      <c r="P1398" s="8">
        <f t="shared" si="63"/>
        <v>-1.7999999999999545</v>
      </c>
      <c r="Q1398" t="s">
        <v>38</v>
      </c>
      <c r="R1398">
        <f t="shared" si="64"/>
        <v>5</v>
      </c>
      <c r="S1398" t="str">
        <f t="shared" si="65"/>
        <v>May</v>
      </c>
      <c r="T1398" s="9">
        <f>VLOOKUP(O1398, Annual_Summary!A:B, 2, 0)</f>
        <v>-0.14188579017264272</v>
      </c>
    </row>
    <row r="1399" spans="1:20" x14ac:dyDescent="0.3">
      <c r="A1399" s="1">
        <v>45800</v>
      </c>
      <c r="B1399" s="4" t="s">
        <v>15</v>
      </c>
      <c r="C1399" s="4">
        <v>1550</v>
      </c>
      <c r="D1399" s="4">
        <v>1587.2</v>
      </c>
      <c r="E1399" s="4">
        <v>1550</v>
      </c>
      <c r="F1399" s="4">
        <v>1547.5</v>
      </c>
      <c r="G1399" s="4">
        <v>1566.1</v>
      </c>
      <c r="H1399" s="4">
        <v>1564.8</v>
      </c>
      <c r="I1399" s="4">
        <v>1573.82</v>
      </c>
      <c r="J1399" s="4">
        <v>2006.45</v>
      </c>
      <c r="K1399" s="4">
        <v>1307</v>
      </c>
      <c r="L1399" s="2">
        <v>5038421</v>
      </c>
      <c r="M1399" s="2">
        <v>7929581517.5</v>
      </c>
      <c r="N1399" s="2">
        <v>119392</v>
      </c>
      <c r="O1399" t="s">
        <v>21</v>
      </c>
      <c r="P1399" s="8">
        <f t="shared" si="63"/>
        <v>-2.5</v>
      </c>
      <c r="Q1399" t="s">
        <v>38</v>
      </c>
      <c r="R1399">
        <f t="shared" si="64"/>
        <v>5</v>
      </c>
      <c r="S1399" t="str">
        <f t="shared" si="65"/>
        <v>May</v>
      </c>
      <c r="T1399" s="9">
        <f>VLOOKUP(O1399, Annual_Summary!A:B, 2, 0)</f>
        <v>-0.14188579017264272</v>
      </c>
    </row>
    <row r="1400" spans="1:20" x14ac:dyDescent="0.3">
      <c r="A1400" s="1">
        <v>45799</v>
      </c>
      <c r="B1400" s="4" t="s">
        <v>15</v>
      </c>
      <c r="C1400" s="4">
        <v>1555.5</v>
      </c>
      <c r="D1400" s="4">
        <v>1560.8</v>
      </c>
      <c r="E1400" s="4">
        <v>1540</v>
      </c>
      <c r="F1400" s="4">
        <v>1568.5</v>
      </c>
      <c r="G1400" s="4">
        <v>1551</v>
      </c>
      <c r="H1400" s="4">
        <v>1547.5</v>
      </c>
      <c r="I1400" s="4">
        <v>1548.79</v>
      </c>
      <c r="J1400" s="4">
        <v>2006.45</v>
      </c>
      <c r="K1400" s="4">
        <v>1307</v>
      </c>
      <c r="L1400" s="2">
        <v>6158990</v>
      </c>
      <c r="M1400" s="2">
        <v>9538994454.7000008</v>
      </c>
      <c r="N1400" s="2">
        <v>162974</v>
      </c>
      <c r="O1400" t="s">
        <v>21</v>
      </c>
      <c r="P1400" s="8">
        <f t="shared" si="63"/>
        <v>13</v>
      </c>
      <c r="Q1400" t="s">
        <v>38</v>
      </c>
      <c r="R1400">
        <f t="shared" si="64"/>
        <v>5</v>
      </c>
      <c r="S1400" t="str">
        <f t="shared" si="65"/>
        <v>May</v>
      </c>
      <c r="T1400" s="9">
        <f>VLOOKUP(O1400, Annual_Summary!A:B, 2, 0)</f>
        <v>-0.14188579017264272</v>
      </c>
    </row>
    <row r="1401" spans="1:20" x14ac:dyDescent="0.3">
      <c r="A1401" s="1">
        <v>45798</v>
      </c>
      <c r="B1401" s="4" t="s">
        <v>15</v>
      </c>
      <c r="C1401" s="4">
        <v>1567.9</v>
      </c>
      <c r="D1401" s="4">
        <v>1571</v>
      </c>
      <c r="E1401" s="4">
        <v>1552.1</v>
      </c>
      <c r="F1401" s="4">
        <v>1560.6</v>
      </c>
      <c r="G1401" s="4">
        <v>1566.9</v>
      </c>
      <c r="H1401" s="4">
        <v>1568.5</v>
      </c>
      <c r="I1401" s="4">
        <v>1566.02</v>
      </c>
      <c r="J1401" s="4">
        <v>2006.45</v>
      </c>
      <c r="K1401" s="4">
        <v>1307</v>
      </c>
      <c r="L1401" s="2">
        <v>4157309</v>
      </c>
      <c r="M1401" s="2">
        <v>6510414089.8999996</v>
      </c>
      <c r="N1401" s="2">
        <v>112304</v>
      </c>
      <c r="O1401" t="s">
        <v>21</v>
      </c>
      <c r="P1401" s="8">
        <f t="shared" si="63"/>
        <v>-7.3000000000001819</v>
      </c>
      <c r="Q1401" t="s">
        <v>38</v>
      </c>
      <c r="R1401">
        <f t="shared" si="64"/>
        <v>5</v>
      </c>
      <c r="S1401" t="str">
        <f t="shared" si="65"/>
        <v>May</v>
      </c>
      <c r="T1401" s="9">
        <f>VLOOKUP(O1401, Annual_Summary!A:B, 2, 0)</f>
        <v>-0.14188579017264272</v>
      </c>
    </row>
    <row r="1402" spans="1:20" x14ac:dyDescent="0.3">
      <c r="A1402" s="1">
        <v>45797</v>
      </c>
      <c r="B1402" s="4" t="s">
        <v>15</v>
      </c>
      <c r="C1402" s="4">
        <v>1570</v>
      </c>
      <c r="D1402" s="4">
        <v>1583.5</v>
      </c>
      <c r="E1402" s="4">
        <v>1558</v>
      </c>
      <c r="F1402" s="4">
        <v>1559.8</v>
      </c>
      <c r="G1402" s="4">
        <v>1563.5</v>
      </c>
      <c r="H1402" s="4">
        <v>1560.6</v>
      </c>
      <c r="I1402" s="4">
        <v>1566.97</v>
      </c>
      <c r="J1402" s="4">
        <v>2006.45</v>
      </c>
      <c r="K1402" s="4">
        <v>1307</v>
      </c>
      <c r="L1402" s="2">
        <v>7143998</v>
      </c>
      <c r="M1402" s="2">
        <v>11194455092.9</v>
      </c>
      <c r="N1402" s="2">
        <v>160169</v>
      </c>
      <c r="O1402" t="s">
        <v>21</v>
      </c>
      <c r="P1402" s="8">
        <f t="shared" si="63"/>
        <v>-10.200000000000045</v>
      </c>
      <c r="Q1402" t="s">
        <v>38</v>
      </c>
      <c r="R1402">
        <f t="shared" si="64"/>
        <v>5</v>
      </c>
      <c r="S1402" t="str">
        <f t="shared" si="65"/>
        <v>May</v>
      </c>
      <c r="T1402" s="9">
        <f>VLOOKUP(O1402, Annual_Summary!A:B, 2, 0)</f>
        <v>-0.14188579017264272</v>
      </c>
    </row>
    <row r="1403" spans="1:20" x14ac:dyDescent="0.3">
      <c r="A1403" s="1">
        <v>45796</v>
      </c>
      <c r="B1403" s="4" t="s">
        <v>15</v>
      </c>
      <c r="C1403" s="4">
        <v>1576.5</v>
      </c>
      <c r="D1403" s="4">
        <v>1585</v>
      </c>
      <c r="E1403" s="4">
        <v>1555.7</v>
      </c>
      <c r="F1403" s="4">
        <v>1589.9</v>
      </c>
      <c r="G1403" s="4">
        <v>1557.9</v>
      </c>
      <c r="H1403" s="4">
        <v>1559.8</v>
      </c>
      <c r="I1403" s="4">
        <v>1565.44</v>
      </c>
      <c r="J1403" s="4">
        <v>2006.45</v>
      </c>
      <c r="K1403" s="4">
        <v>1307</v>
      </c>
      <c r="L1403" s="2">
        <v>8855798</v>
      </c>
      <c r="M1403" s="2">
        <v>13863231180.1</v>
      </c>
      <c r="N1403" s="2">
        <v>186064</v>
      </c>
      <c r="O1403" t="s">
        <v>21</v>
      </c>
      <c r="P1403" s="8">
        <f t="shared" si="63"/>
        <v>13.400000000000091</v>
      </c>
      <c r="Q1403" t="s">
        <v>38</v>
      </c>
      <c r="R1403">
        <f t="shared" si="64"/>
        <v>5</v>
      </c>
      <c r="S1403" t="str">
        <f t="shared" si="65"/>
        <v>May</v>
      </c>
      <c r="T1403" s="9">
        <f>VLOOKUP(O1403, Annual_Summary!A:B, 2, 0)</f>
        <v>-0.14188579017264272</v>
      </c>
    </row>
    <row r="1404" spans="1:20" x14ac:dyDescent="0.3">
      <c r="A1404" s="1">
        <v>45793</v>
      </c>
      <c r="B1404" s="4" t="s">
        <v>15</v>
      </c>
      <c r="C1404" s="4">
        <v>1612.6</v>
      </c>
      <c r="D1404" s="4">
        <v>1612.6</v>
      </c>
      <c r="E1404" s="4">
        <v>1581.5</v>
      </c>
      <c r="F1404" s="4">
        <v>1613</v>
      </c>
      <c r="G1404" s="4">
        <v>1589.4</v>
      </c>
      <c r="H1404" s="4">
        <v>1589.9</v>
      </c>
      <c r="I1404" s="4">
        <v>1591.32</v>
      </c>
      <c r="J1404" s="4">
        <v>2006.45</v>
      </c>
      <c r="K1404" s="4">
        <v>1307</v>
      </c>
      <c r="L1404" s="2">
        <v>4576751</v>
      </c>
      <c r="M1404" s="2">
        <v>7283067573.3999996</v>
      </c>
      <c r="N1404" s="2">
        <v>132211</v>
      </c>
      <c r="O1404" t="s">
        <v>21</v>
      </c>
      <c r="P1404" s="8">
        <f t="shared" si="63"/>
        <v>0.40000000000009095</v>
      </c>
      <c r="Q1404" t="s">
        <v>38</v>
      </c>
      <c r="R1404">
        <f t="shared" si="64"/>
        <v>5</v>
      </c>
      <c r="S1404" t="str">
        <f t="shared" si="65"/>
        <v>May</v>
      </c>
      <c r="T1404" s="9">
        <f>VLOOKUP(O1404, Annual_Summary!A:B, 2, 0)</f>
        <v>-0.14188579017264272</v>
      </c>
    </row>
    <row r="1405" spans="1:20" x14ac:dyDescent="0.3">
      <c r="A1405" s="1">
        <v>45792</v>
      </c>
      <c r="B1405" s="4" t="s">
        <v>15</v>
      </c>
      <c r="C1405" s="4">
        <v>1589.8</v>
      </c>
      <c r="D1405" s="4">
        <v>1618.6</v>
      </c>
      <c r="E1405" s="4">
        <v>1571</v>
      </c>
      <c r="F1405" s="4">
        <v>1592.4</v>
      </c>
      <c r="G1405" s="4">
        <v>1609.5</v>
      </c>
      <c r="H1405" s="4">
        <v>1613</v>
      </c>
      <c r="I1405" s="4">
        <v>1600.37</v>
      </c>
      <c r="J1405" s="4">
        <v>2006.45</v>
      </c>
      <c r="K1405" s="4">
        <v>1307</v>
      </c>
      <c r="L1405" s="2">
        <v>11151167</v>
      </c>
      <c r="M1405" s="2">
        <v>17846028418.299999</v>
      </c>
      <c r="N1405" s="2">
        <v>226053</v>
      </c>
      <c r="O1405" t="s">
        <v>21</v>
      </c>
      <c r="P1405" s="8">
        <f t="shared" si="63"/>
        <v>2.6000000000001364</v>
      </c>
      <c r="Q1405" t="s">
        <v>38</v>
      </c>
      <c r="R1405">
        <f t="shared" si="64"/>
        <v>5</v>
      </c>
      <c r="S1405" t="str">
        <f t="shared" si="65"/>
        <v>May</v>
      </c>
      <c r="T1405" s="9">
        <f>VLOOKUP(O1405, Annual_Summary!A:B, 2, 0)</f>
        <v>-0.14188579017264272</v>
      </c>
    </row>
    <row r="1406" spans="1:20" x14ac:dyDescent="0.3">
      <c r="A1406" s="1">
        <v>45791</v>
      </c>
      <c r="B1406" s="4" t="s">
        <v>15</v>
      </c>
      <c r="C1406" s="4">
        <v>1574</v>
      </c>
      <c r="D1406" s="4">
        <v>1595</v>
      </c>
      <c r="E1406" s="4">
        <v>1569.5</v>
      </c>
      <c r="F1406" s="4">
        <v>1568.6</v>
      </c>
      <c r="G1406" s="4">
        <v>1592.8</v>
      </c>
      <c r="H1406" s="4">
        <v>1592.4</v>
      </c>
      <c r="I1406" s="4">
        <v>1588.83</v>
      </c>
      <c r="J1406" s="4">
        <v>2006.45</v>
      </c>
      <c r="K1406" s="4">
        <v>1307</v>
      </c>
      <c r="L1406" s="2">
        <v>4870057</v>
      </c>
      <c r="M1406" s="2">
        <v>7737687686</v>
      </c>
      <c r="N1406" s="2">
        <v>144908</v>
      </c>
      <c r="O1406" t="s">
        <v>21</v>
      </c>
      <c r="P1406" s="8">
        <f t="shared" si="63"/>
        <v>-5.4000000000000909</v>
      </c>
      <c r="Q1406" t="s">
        <v>38</v>
      </c>
      <c r="R1406">
        <f t="shared" si="64"/>
        <v>5</v>
      </c>
      <c r="S1406" t="str">
        <f t="shared" si="65"/>
        <v>May</v>
      </c>
      <c r="T1406" s="9">
        <f>VLOOKUP(O1406, Annual_Summary!A:B, 2, 0)</f>
        <v>-0.14188579017264272</v>
      </c>
    </row>
    <row r="1407" spans="1:20" x14ac:dyDescent="0.3">
      <c r="A1407" s="1">
        <v>45790</v>
      </c>
      <c r="B1407" s="4" t="s">
        <v>15</v>
      </c>
      <c r="C1407" s="4">
        <v>1609</v>
      </c>
      <c r="D1407" s="4">
        <v>1612.2</v>
      </c>
      <c r="E1407" s="4">
        <v>1564.6</v>
      </c>
      <c r="F1407" s="4">
        <v>1626.9</v>
      </c>
      <c r="G1407" s="4">
        <v>1567.9</v>
      </c>
      <c r="H1407" s="4">
        <v>1568.6</v>
      </c>
      <c r="I1407" s="4">
        <v>1579.63</v>
      </c>
      <c r="J1407" s="4">
        <v>2006.45</v>
      </c>
      <c r="K1407" s="4">
        <v>1307</v>
      </c>
      <c r="L1407" s="2">
        <v>12846210</v>
      </c>
      <c r="M1407" s="2">
        <v>20292258361.299999</v>
      </c>
      <c r="N1407" s="2">
        <v>335293</v>
      </c>
      <c r="O1407" t="s">
        <v>21</v>
      </c>
      <c r="P1407" s="8">
        <f t="shared" si="63"/>
        <v>17.900000000000091</v>
      </c>
      <c r="Q1407" t="s">
        <v>38</v>
      </c>
      <c r="R1407">
        <f t="shared" si="64"/>
        <v>5</v>
      </c>
      <c r="S1407" t="str">
        <f t="shared" si="65"/>
        <v>May</v>
      </c>
      <c r="T1407" s="9">
        <f>VLOOKUP(O1407, Annual_Summary!A:B, 2, 0)</f>
        <v>-0.14188579017264272</v>
      </c>
    </row>
    <row r="1408" spans="1:20" x14ac:dyDescent="0.3">
      <c r="A1408" s="1">
        <v>45789</v>
      </c>
      <c r="B1408" s="4" t="s">
        <v>15</v>
      </c>
      <c r="C1408" s="4">
        <v>1537</v>
      </c>
      <c r="D1408" s="4">
        <v>1632</v>
      </c>
      <c r="E1408" s="4">
        <v>1532</v>
      </c>
      <c r="F1408" s="4">
        <v>1507.6</v>
      </c>
      <c r="G1408" s="4">
        <v>1623.5</v>
      </c>
      <c r="H1408" s="4">
        <v>1626.9</v>
      </c>
      <c r="I1408" s="4">
        <v>1593.89</v>
      </c>
      <c r="J1408" s="4">
        <v>2006.45</v>
      </c>
      <c r="K1408" s="4">
        <v>1307</v>
      </c>
      <c r="L1408" s="2">
        <v>11372857</v>
      </c>
      <c r="M1408" s="2">
        <v>18127126262.5</v>
      </c>
      <c r="N1408" s="2">
        <v>290108</v>
      </c>
      <c r="O1408" t="s">
        <v>21</v>
      </c>
      <c r="P1408" s="8">
        <f t="shared" si="63"/>
        <v>-29.400000000000091</v>
      </c>
      <c r="Q1408" t="s">
        <v>38</v>
      </c>
      <c r="R1408">
        <f t="shared" si="64"/>
        <v>5</v>
      </c>
      <c r="S1408" t="str">
        <f t="shared" si="65"/>
        <v>May</v>
      </c>
      <c r="T1408" s="9">
        <f>VLOOKUP(O1408, Annual_Summary!A:B, 2, 0)</f>
        <v>-0.14188579017264272</v>
      </c>
    </row>
    <row r="1409" spans="1:20" x14ac:dyDescent="0.3">
      <c r="A1409" s="1">
        <v>45786</v>
      </c>
      <c r="B1409" s="4" t="s">
        <v>15</v>
      </c>
      <c r="C1409" s="4">
        <v>1500.7</v>
      </c>
      <c r="D1409" s="4">
        <v>1511.4</v>
      </c>
      <c r="E1409" s="4">
        <v>1494.1</v>
      </c>
      <c r="F1409" s="4">
        <v>1511.4</v>
      </c>
      <c r="G1409" s="4">
        <v>1507.2</v>
      </c>
      <c r="H1409" s="4">
        <v>1507.6</v>
      </c>
      <c r="I1409" s="4">
        <v>1504.2</v>
      </c>
      <c r="J1409" s="4">
        <v>2006.45</v>
      </c>
      <c r="K1409" s="4">
        <v>1307</v>
      </c>
      <c r="L1409" s="2">
        <v>4478653</v>
      </c>
      <c r="M1409" s="2">
        <v>6736782019.1999998</v>
      </c>
      <c r="N1409" s="2">
        <v>144158</v>
      </c>
      <c r="O1409" t="s">
        <v>21</v>
      </c>
      <c r="P1409" s="8">
        <f t="shared" si="63"/>
        <v>10.700000000000045</v>
      </c>
      <c r="Q1409" t="s">
        <v>38</v>
      </c>
      <c r="R1409">
        <f t="shared" si="64"/>
        <v>5</v>
      </c>
      <c r="S1409" t="str">
        <f t="shared" si="65"/>
        <v>May</v>
      </c>
      <c r="T1409" s="9">
        <f>VLOOKUP(O1409, Annual_Summary!A:B, 2, 0)</f>
        <v>-0.14188579017264272</v>
      </c>
    </row>
    <row r="1410" spans="1:20" x14ac:dyDescent="0.3">
      <c r="A1410" s="1">
        <v>45785</v>
      </c>
      <c r="B1410" s="4" t="s">
        <v>15</v>
      </c>
      <c r="C1410" s="4">
        <v>1508</v>
      </c>
      <c r="D1410" s="4">
        <v>1516.5</v>
      </c>
      <c r="E1410" s="4">
        <v>1501.2</v>
      </c>
      <c r="F1410" s="4">
        <v>1508.3</v>
      </c>
      <c r="G1410" s="4">
        <v>1506</v>
      </c>
      <c r="H1410" s="4">
        <v>1511.4</v>
      </c>
      <c r="I1410" s="4">
        <v>1508.8</v>
      </c>
      <c r="J1410" s="4">
        <v>2006.45</v>
      </c>
      <c r="K1410" s="4">
        <v>1307</v>
      </c>
      <c r="L1410" s="2">
        <v>8424409</v>
      </c>
      <c r="M1410" s="2">
        <v>12710783626.5</v>
      </c>
      <c r="N1410" s="2">
        <v>217543</v>
      </c>
      <c r="O1410" t="s">
        <v>21</v>
      </c>
      <c r="P1410" s="8">
        <f t="shared" si="63"/>
        <v>0.29999999999995453</v>
      </c>
      <c r="Q1410" t="s">
        <v>38</v>
      </c>
      <c r="R1410">
        <f t="shared" si="64"/>
        <v>5</v>
      </c>
      <c r="S1410" t="str">
        <f t="shared" si="65"/>
        <v>May</v>
      </c>
      <c r="T1410" s="9">
        <f>VLOOKUP(O1410, Annual_Summary!A:B, 2, 0)</f>
        <v>-0.14188579017264272</v>
      </c>
    </row>
    <row r="1411" spans="1:20" x14ac:dyDescent="0.3">
      <c r="A1411" s="1">
        <v>45784</v>
      </c>
      <c r="B1411" s="4" t="s">
        <v>15</v>
      </c>
      <c r="C1411" s="4">
        <v>1500</v>
      </c>
      <c r="D1411" s="4">
        <v>1518.8</v>
      </c>
      <c r="E1411" s="4">
        <v>1496.6</v>
      </c>
      <c r="F1411" s="4">
        <v>1511.5</v>
      </c>
      <c r="G1411" s="4">
        <v>1508.8</v>
      </c>
      <c r="H1411" s="4">
        <v>1508.3</v>
      </c>
      <c r="I1411" s="4">
        <v>1509.03</v>
      </c>
      <c r="J1411" s="4">
        <v>2006.45</v>
      </c>
      <c r="K1411" s="4">
        <v>1307</v>
      </c>
      <c r="L1411" s="2">
        <v>5691799</v>
      </c>
      <c r="M1411" s="2">
        <v>8589104210.8999996</v>
      </c>
      <c r="N1411" s="2">
        <v>144103</v>
      </c>
      <c r="O1411" t="s">
        <v>21</v>
      </c>
      <c r="P1411" s="8">
        <f t="shared" ref="P1411:P1474" si="66">F1411-C1411</f>
        <v>11.5</v>
      </c>
      <c r="Q1411" t="s">
        <v>38</v>
      </c>
      <c r="R1411">
        <f t="shared" ref="R1411:R1474" si="67">MONTH(A1411)</f>
        <v>5</v>
      </c>
      <c r="S1411" t="str">
        <f t="shared" ref="S1411:S1474" si="68">TEXT(A1411,"mmm")</f>
        <v>May</v>
      </c>
      <c r="T1411" s="9">
        <f>VLOOKUP(O1411, Annual_Summary!A:B, 2, 0)</f>
        <v>-0.14188579017264272</v>
      </c>
    </row>
    <row r="1412" spans="1:20" x14ac:dyDescent="0.3">
      <c r="A1412" s="1">
        <v>45783</v>
      </c>
      <c r="B1412" s="4" t="s">
        <v>15</v>
      </c>
      <c r="C1412" s="4">
        <v>1506</v>
      </c>
      <c r="D1412" s="4">
        <v>1515.6</v>
      </c>
      <c r="E1412" s="4">
        <v>1499.1</v>
      </c>
      <c r="F1412" s="4">
        <v>1508.6</v>
      </c>
      <c r="G1412" s="4">
        <v>1511</v>
      </c>
      <c r="H1412" s="4">
        <v>1511.5</v>
      </c>
      <c r="I1412" s="4">
        <v>1509.58</v>
      </c>
      <c r="J1412" s="4">
        <v>2006.45</v>
      </c>
      <c r="K1412" s="4">
        <v>1307</v>
      </c>
      <c r="L1412" s="2">
        <v>4270530</v>
      </c>
      <c r="M1412" s="2">
        <v>6446698483.8999996</v>
      </c>
      <c r="N1412" s="2">
        <v>105354</v>
      </c>
      <c r="O1412" t="s">
        <v>21</v>
      </c>
      <c r="P1412" s="8">
        <f t="shared" si="66"/>
        <v>2.5999999999999091</v>
      </c>
      <c r="Q1412" t="s">
        <v>38</v>
      </c>
      <c r="R1412">
        <f t="shared" si="67"/>
        <v>5</v>
      </c>
      <c r="S1412" t="str">
        <f t="shared" si="68"/>
        <v>May</v>
      </c>
      <c r="T1412" s="9">
        <f>VLOOKUP(O1412, Annual_Summary!A:B, 2, 0)</f>
        <v>-0.14188579017264272</v>
      </c>
    </row>
    <row r="1413" spans="1:20" x14ac:dyDescent="0.3">
      <c r="A1413" s="1">
        <v>45782</v>
      </c>
      <c r="B1413" s="4" t="s">
        <v>15</v>
      </c>
      <c r="C1413" s="4">
        <v>1515</v>
      </c>
      <c r="D1413" s="4">
        <v>1523</v>
      </c>
      <c r="E1413" s="4">
        <v>1502.8</v>
      </c>
      <c r="F1413" s="4">
        <v>1506.8</v>
      </c>
      <c r="G1413" s="4">
        <v>1507</v>
      </c>
      <c r="H1413" s="4">
        <v>1508.6</v>
      </c>
      <c r="I1413" s="4">
        <v>1509.96</v>
      </c>
      <c r="J1413" s="4">
        <v>2006.45</v>
      </c>
      <c r="K1413" s="4">
        <v>1307</v>
      </c>
      <c r="L1413" s="2">
        <v>4282493</v>
      </c>
      <c r="M1413" s="2">
        <v>6466387044.6999998</v>
      </c>
      <c r="N1413" s="2">
        <v>130549</v>
      </c>
      <c r="O1413" t="s">
        <v>21</v>
      </c>
      <c r="P1413" s="8">
        <f t="shared" si="66"/>
        <v>-8.2000000000000455</v>
      </c>
      <c r="Q1413" t="s">
        <v>38</v>
      </c>
      <c r="R1413">
        <f t="shared" si="67"/>
        <v>5</v>
      </c>
      <c r="S1413" t="str">
        <f t="shared" si="68"/>
        <v>May</v>
      </c>
      <c r="T1413" s="9">
        <f>VLOOKUP(O1413, Annual_Summary!A:B, 2, 0)</f>
        <v>-0.14188579017264272</v>
      </c>
    </row>
    <row r="1414" spans="1:20" x14ac:dyDescent="0.3">
      <c r="A1414" s="1">
        <v>45779</v>
      </c>
      <c r="B1414" s="4" t="s">
        <v>15</v>
      </c>
      <c r="C1414" s="4">
        <v>1499.7</v>
      </c>
      <c r="D1414" s="4">
        <v>1523.2</v>
      </c>
      <c r="E1414" s="4">
        <v>1496.2</v>
      </c>
      <c r="F1414" s="4">
        <v>1500.1</v>
      </c>
      <c r="G1414" s="4">
        <v>1502</v>
      </c>
      <c r="H1414" s="4">
        <v>1506.8</v>
      </c>
      <c r="I1414" s="4">
        <v>1509.45</v>
      </c>
      <c r="J1414" s="4">
        <v>2006.45</v>
      </c>
      <c r="K1414" s="4">
        <v>1307</v>
      </c>
      <c r="L1414" s="2">
        <v>8733014</v>
      </c>
      <c r="M1414" s="2">
        <v>13182067260.5</v>
      </c>
      <c r="N1414" s="2">
        <v>235475</v>
      </c>
      <c r="O1414" t="s">
        <v>21</v>
      </c>
      <c r="P1414" s="8">
        <f t="shared" si="66"/>
        <v>0.39999999999986358</v>
      </c>
      <c r="Q1414" t="s">
        <v>38</v>
      </c>
      <c r="R1414">
        <f t="shared" si="67"/>
        <v>5</v>
      </c>
      <c r="S1414" t="str">
        <f t="shared" si="68"/>
        <v>May</v>
      </c>
      <c r="T1414" s="9">
        <f>VLOOKUP(O1414, Annual_Summary!A:B, 2, 0)</f>
        <v>-0.14188579017264272</v>
      </c>
    </row>
    <row r="1415" spans="1:20" x14ac:dyDescent="0.3">
      <c r="A1415" s="1">
        <v>45777</v>
      </c>
      <c r="B1415" s="4" t="s">
        <v>15</v>
      </c>
      <c r="C1415" s="4">
        <v>1496.8</v>
      </c>
      <c r="D1415" s="4">
        <v>1508.8</v>
      </c>
      <c r="E1415" s="4">
        <v>1482.6</v>
      </c>
      <c r="F1415" s="4">
        <v>1497.5</v>
      </c>
      <c r="G1415" s="4">
        <v>1491.5</v>
      </c>
      <c r="H1415" s="4">
        <v>1500.1</v>
      </c>
      <c r="I1415" s="4">
        <v>1499.93</v>
      </c>
      <c r="J1415" s="4">
        <v>2006.45</v>
      </c>
      <c r="K1415" s="4">
        <v>1307</v>
      </c>
      <c r="L1415" s="2">
        <v>7704183</v>
      </c>
      <c r="M1415" s="2">
        <v>11555716056.4</v>
      </c>
      <c r="N1415" s="2">
        <v>128359</v>
      </c>
      <c r="O1415" t="s">
        <v>21</v>
      </c>
      <c r="P1415" s="8">
        <f t="shared" si="66"/>
        <v>0.70000000000004547</v>
      </c>
      <c r="Q1415" t="s">
        <v>38</v>
      </c>
      <c r="R1415">
        <f t="shared" si="67"/>
        <v>4</v>
      </c>
      <c r="S1415" t="str">
        <f t="shared" si="68"/>
        <v>Apr</v>
      </c>
      <c r="T1415" s="9">
        <f>VLOOKUP(O1415, Annual_Summary!A:B, 2, 0)</f>
        <v>-0.14188579017264272</v>
      </c>
    </row>
    <row r="1416" spans="1:20" x14ac:dyDescent="0.3">
      <c r="A1416" s="1">
        <v>45776</v>
      </c>
      <c r="B1416" s="4" t="s">
        <v>15</v>
      </c>
      <c r="C1416" s="4">
        <v>1482</v>
      </c>
      <c r="D1416" s="4">
        <v>1509.8</v>
      </c>
      <c r="E1416" s="4">
        <v>1474.1</v>
      </c>
      <c r="F1416" s="4">
        <v>1482.1</v>
      </c>
      <c r="G1416" s="4">
        <v>1498</v>
      </c>
      <c r="H1416" s="4">
        <v>1497.5</v>
      </c>
      <c r="I1416" s="4">
        <v>1495.87</v>
      </c>
      <c r="J1416" s="4">
        <v>2006.45</v>
      </c>
      <c r="K1416" s="4">
        <v>1307</v>
      </c>
      <c r="L1416" s="2">
        <v>8056743</v>
      </c>
      <c r="M1416" s="2">
        <v>12051862382.6</v>
      </c>
      <c r="N1416" s="2">
        <v>207221</v>
      </c>
      <c r="O1416" t="s">
        <v>21</v>
      </c>
      <c r="P1416" s="8">
        <f t="shared" si="66"/>
        <v>9.9999999999909051E-2</v>
      </c>
      <c r="Q1416" t="s">
        <v>38</v>
      </c>
      <c r="R1416">
        <f t="shared" si="67"/>
        <v>4</v>
      </c>
      <c r="S1416" t="str">
        <f t="shared" si="68"/>
        <v>Apr</v>
      </c>
      <c r="T1416" s="9">
        <f>VLOOKUP(O1416, Annual_Summary!A:B, 2, 0)</f>
        <v>-0.14188579017264272</v>
      </c>
    </row>
    <row r="1417" spans="1:20" x14ac:dyDescent="0.3">
      <c r="A1417" s="1">
        <v>45775</v>
      </c>
      <c r="B1417" s="4" t="s">
        <v>15</v>
      </c>
      <c r="C1417" s="4">
        <v>1480.2</v>
      </c>
      <c r="D1417" s="4">
        <v>1489.6</v>
      </c>
      <c r="E1417" s="4">
        <v>1465.3</v>
      </c>
      <c r="F1417" s="4">
        <v>1480.2</v>
      </c>
      <c r="G1417" s="4">
        <v>1481</v>
      </c>
      <c r="H1417" s="4">
        <v>1482.1</v>
      </c>
      <c r="I1417" s="4">
        <v>1478.19</v>
      </c>
      <c r="J1417" s="4">
        <v>2006.45</v>
      </c>
      <c r="K1417" s="4">
        <v>1307</v>
      </c>
      <c r="L1417" s="2">
        <v>5886253</v>
      </c>
      <c r="M1417" s="2">
        <v>8701029482.7000008</v>
      </c>
      <c r="N1417" s="2">
        <v>146345</v>
      </c>
      <c r="O1417" t="s">
        <v>21</v>
      </c>
      <c r="P1417" s="8">
        <f t="shared" si="66"/>
        <v>0</v>
      </c>
      <c r="Q1417" t="s">
        <v>38</v>
      </c>
      <c r="R1417">
        <f t="shared" si="67"/>
        <v>4</v>
      </c>
      <c r="S1417" t="str">
        <f t="shared" si="68"/>
        <v>Apr</v>
      </c>
      <c r="T1417" s="9">
        <f>VLOOKUP(O1417, Annual_Summary!A:B, 2, 0)</f>
        <v>-0.14188579017264272</v>
      </c>
    </row>
    <row r="1418" spans="1:20" x14ac:dyDescent="0.3">
      <c r="A1418" s="1">
        <v>45772</v>
      </c>
      <c r="B1418" s="4" t="s">
        <v>15</v>
      </c>
      <c r="C1418" s="4">
        <v>1475.5</v>
      </c>
      <c r="D1418" s="4">
        <v>1501.7</v>
      </c>
      <c r="E1418" s="4">
        <v>1463.5</v>
      </c>
      <c r="F1418" s="4">
        <v>1471.4</v>
      </c>
      <c r="G1418" s="4">
        <v>1480</v>
      </c>
      <c r="H1418" s="4">
        <v>1480.2</v>
      </c>
      <c r="I1418" s="4">
        <v>1484.47</v>
      </c>
      <c r="J1418" s="4">
        <v>2006.45</v>
      </c>
      <c r="K1418" s="4">
        <v>1307</v>
      </c>
      <c r="L1418" s="2">
        <v>8329979</v>
      </c>
      <c r="M1418" s="2">
        <v>12365598001.799999</v>
      </c>
      <c r="N1418" s="2">
        <v>199876</v>
      </c>
      <c r="O1418" t="s">
        <v>21</v>
      </c>
      <c r="P1418" s="8">
        <f t="shared" si="66"/>
        <v>-4.0999999999999091</v>
      </c>
      <c r="Q1418" t="s">
        <v>38</v>
      </c>
      <c r="R1418">
        <f t="shared" si="67"/>
        <v>4</v>
      </c>
      <c r="S1418" t="str">
        <f t="shared" si="68"/>
        <v>Apr</v>
      </c>
      <c r="T1418" s="9">
        <f>VLOOKUP(O1418, Annual_Summary!A:B, 2, 0)</f>
        <v>-0.14188579017264272</v>
      </c>
    </row>
    <row r="1419" spans="1:20" x14ac:dyDescent="0.3">
      <c r="A1419" s="1">
        <v>45771</v>
      </c>
      <c r="B1419" s="4" t="s">
        <v>15</v>
      </c>
      <c r="C1419" s="4">
        <v>1469.9</v>
      </c>
      <c r="D1419" s="4">
        <v>1482.9</v>
      </c>
      <c r="E1419" s="4">
        <v>1461.5</v>
      </c>
      <c r="F1419" s="4">
        <v>1474.9</v>
      </c>
      <c r="G1419" s="4">
        <v>1473</v>
      </c>
      <c r="H1419" s="4">
        <v>1471.4</v>
      </c>
      <c r="I1419" s="4">
        <v>1471.62</v>
      </c>
      <c r="J1419" s="4">
        <v>2006.45</v>
      </c>
      <c r="K1419" s="4">
        <v>1307</v>
      </c>
      <c r="L1419" s="2">
        <v>7114292</v>
      </c>
      <c r="M1419" s="2">
        <v>10469560317.200001</v>
      </c>
      <c r="N1419" s="2">
        <v>175991</v>
      </c>
      <c r="O1419" t="s">
        <v>21</v>
      </c>
      <c r="P1419" s="8">
        <f t="shared" si="66"/>
        <v>5</v>
      </c>
      <c r="Q1419" t="s">
        <v>38</v>
      </c>
      <c r="R1419">
        <f t="shared" si="67"/>
        <v>4</v>
      </c>
      <c r="S1419" t="str">
        <f t="shared" si="68"/>
        <v>Apr</v>
      </c>
      <c r="T1419" s="9">
        <f>VLOOKUP(O1419, Annual_Summary!A:B, 2, 0)</f>
        <v>-0.14188579017264272</v>
      </c>
    </row>
    <row r="1420" spans="1:20" x14ac:dyDescent="0.3">
      <c r="A1420" s="1">
        <v>45770</v>
      </c>
      <c r="B1420" s="4" t="s">
        <v>15</v>
      </c>
      <c r="C1420" s="4">
        <v>1446</v>
      </c>
      <c r="D1420" s="4">
        <v>1487.8</v>
      </c>
      <c r="E1420" s="4">
        <v>1439.6</v>
      </c>
      <c r="F1420" s="4">
        <v>1422.8</v>
      </c>
      <c r="G1420" s="4">
        <v>1476.2</v>
      </c>
      <c r="H1420" s="4">
        <v>1474.9</v>
      </c>
      <c r="I1420" s="4">
        <v>1471.47</v>
      </c>
      <c r="J1420" s="4">
        <v>2006.45</v>
      </c>
      <c r="K1420" s="4">
        <v>1307</v>
      </c>
      <c r="L1420" s="2">
        <v>11136642</v>
      </c>
      <c r="M1420" s="2">
        <v>16387181464.5</v>
      </c>
      <c r="N1420" s="2">
        <v>249560</v>
      </c>
      <c r="O1420" t="s">
        <v>21</v>
      </c>
      <c r="P1420" s="8">
        <f t="shared" si="66"/>
        <v>-23.200000000000045</v>
      </c>
      <c r="Q1420" t="s">
        <v>38</v>
      </c>
      <c r="R1420">
        <f t="shared" si="67"/>
        <v>4</v>
      </c>
      <c r="S1420" t="str">
        <f t="shared" si="68"/>
        <v>Apr</v>
      </c>
      <c r="T1420" s="9">
        <f>VLOOKUP(O1420, Annual_Summary!A:B, 2, 0)</f>
        <v>-0.14188579017264272</v>
      </c>
    </row>
    <row r="1421" spans="1:20" x14ac:dyDescent="0.3">
      <c r="A1421" s="1">
        <v>45769</v>
      </c>
      <c r="B1421" s="4" t="s">
        <v>15</v>
      </c>
      <c r="C1421" s="4">
        <v>1440</v>
      </c>
      <c r="D1421" s="4">
        <v>1440</v>
      </c>
      <c r="E1421" s="4">
        <v>1419.3</v>
      </c>
      <c r="F1421" s="4">
        <v>1451</v>
      </c>
      <c r="G1421" s="4">
        <v>1423</v>
      </c>
      <c r="H1421" s="4">
        <v>1422.8</v>
      </c>
      <c r="I1421" s="4">
        <v>1425.14</v>
      </c>
      <c r="J1421" s="4">
        <v>2006.45</v>
      </c>
      <c r="K1421" s="4">
        <v>1307</v>
      </c>
      <c r="L1421" s="2">
        <v>9399738</v>
      </c>
      <c r="M1421" s="2">
        <v>13395956021.299999</v>
      </c>
      <c r="N1421" s="2">
        <v>245817</v>
      </c>
      <c r="O1421" t="s">
        <v>21</v>
      </c>
      <c r="P1421" s="8">
        <f t="shared" si="66"/>
        <v>11</v>
      </c>
      <c r="Q1421" t="s">
        <v>38</v>
      </c>
      <c r="R1421">
        <f t="shared" si="67"/>
        <v>4</v>
      </c>
      <c r="S1421" t="str">
        <f t="shared" si="68"/>
        <v>Apr</v>
      </c>
      <c r="T1421" s="9">
        <f>VLOOKUP(O1421, Annual_Summary!A:B, 2, 0)</f>
        <v>-0.14188579017264272</v>
      </c>
    </row>
    <row r="1422" spans="1:20" x14ac:dyDescent="0.3">
      <c r="A1422" s="1">
        <v>45768</v>
      </c>
      <c r="B1422" s="4" t="s">
        <v>15</v>
      </c>
      <c r="C1422" s="4">
        <v>1410</v>
      </c>
      <c r="D1422" s="4">
        <v>1471.8</v>
      </c>
      <c r="E1422" s="4">
        <v>1410</v>
      </c>
      <c r="F1422" s="4">
        <v>1419.5</v>
      </c>
      <c r="G1422" s="4">
        <v>1449</v>
      </c>
      <c r="H1422" s="4">
        <v>1451</v>
      </c>
      <c r="I1422" s="4">
        <v>1452.45</v>
      </c>
      <c r="J1422" s="4">
        <v>2006.45</v>
      </c>
      <c r="K1422" s="4">
        <v>1307</v>
      </c>
      <c r="L1422" s="2">
        <v>15648970</v>
      </c>
      <c r="M1422" s="2">
        <v>22729378761.099998</v>
      </c>
      <c r="N1422" s="2">
        <v>271048</v>
      </c>
      <c r="O1422" t="s">
        <v>21</v>
      </c>
      <c r="P1422" s="8">
        <f t="shared" si="66"/>
        <v>9.5</v>
      </c>
      <c r="Q1422" t="s">
        <v>38</v>
      </c>
      <c r="R1422">
        <f t="shared" si="67"/>
        <v>4</v>
      </c>
      <c r="S1422" t="str">
        <f t="shared" si="68"/>
        <v>Apr</v>
      </c>
      <c r="T1422" s="9">
        <f>VLOOKUP(O1422, Annual_Summary!A:B, 2, 0)</f>
        <v>-0.14188579017264272</v>
      </c>
    </row>
    <row r="1423" spans="1:20" x14ac:dyDescent="0.3">
      <c r="A1423" s="1">
        <v>45764</v>
      </c>
      <c r="B1423" s="4" t="s">
        <v>15</v>
      </c>
      <c r="C1423" s="4">
        <v>1398</v>
      </c>
      <c r="D1423" s="4">
        <v>1429.8</v>
      </c>
      <c r="E1423" s="4">
        <v>1378.3</v>
      </c>
      <c r="F1423" s="4">
        <v>1413.1</v>
      </c>
      <c r="G1423" s="4">
        <v>1427.7</v>
      </c>
      <c r="H1423" s="4">
        <v>1419.5</v>
      </c>
      <c r="I1423" s="4">
        <v>1400.17</v>
      </c>
      <c r="J1423" s="4">
        <v>2006.45</v>
      </c>
      <c r="K1423" s="4">
        <v>1307</v>
      </c>
      <c r="L1423" s="2">
        <v>14264227</v>
      </c>
      <c r="M1423" s="2">
        <v>19972355994</v>
      </c>
      <c r="N1423" s="2">
        <v>349779</v>
      </c>
      <c r="O1423" t="s">
        <v>21</v>
      </c>
      <c r="P1423" s="8">
        <f t="shared" si="66"/>
        <v>15.099999999999909</v>
      </c>
      <c r="Q1423" t="s">
        <v>38</v>
      </c>
      <c r="R1423">
        <f t="shared" si="67"/>
        <v>4</v>
      </c>
      <c r="S1423" t="str">
        <f t="shared" si="68"/>
        <v>Apr</v>
      </c>
      <c r="T1423" s="9">
        <f>VLOOKUP(O1423, Annual_Summary!A:B, 2, 0)</f>
        <v>-0.14188579017264272</v>
      </c>
    </row>
    <row r="1424" spans="1:20" x14ac:dyDescent="0.3">
      <c r="A1424" s="1">
        <v>45763</v>
      </c>
      <c r="B1424" s="4" t="s">
        <v>15</v>
      </c>
      <c r="C1424" s="4">
        <v>1425</v>
      </c>
      <c r="D1424" s="4">
        <v>1427.5</v>
      </c>
      <c r="E1424" s="4">
        <v>1396.8</v>
      </c>
      <c r="F1424" s="4">
        <v>1426</v>
      </c>
      <c r="G1424" s="4">
        <v>1412.2</v>
      </c>
      <c r="H1424" s="4">
        <v>1413.1</v>
      </c>
      <c r="I1424" s="4">
        <v>1409.87</v>
      </c>
      <c r="J1424" s="4">
        <v>2006.45</v>
      </c>
      <c r="K1424" s="4">
        <v>1307</v>
      </c>
      <c r="L1424" s="2">
        <v>12022740</v>
      </c>
      <c r="M1424" s="2">
        <v>16950524011.299999</v>
      </c>
      <c r="N1424" s="2">
        <v>331555</v>
      </c>
      <c r="O1424" t="s">
        <v>21</v>
      </c>
      <c r="P1424" s="8">
        <f t="shared" si="66"/>
        <v>1</v>
      </c>
      <c r="Q1424" t="s">
        <v>38</v>
      </c>
      <c r="R1424">
        <f t="shared" si="67"/>
        <v>4</v>
      </c>
      <c r="S1424" t="str">
        <f t="shared" si="68"/>
        <v>Apr</v>
      </c>
      <c r="T1424" s="9">
        <f>VLOOKUP(O1424, Annual_Summary!A:B, 2, 0)</f>
        <v>-0.14188579017264272</v>
      </c>
    </row>
    <row r="1425" spans="1:20" x14ac:dyDescent="0.3">
      <c r="A1425" s="1">
        <v>45762</v>
      </c>
      <c r="B1425" s="4" t="s">
        <v>15</v>
      </c>
      <c r="C1425" s="4">
        <v>1445.6</v>
      </c>
      <c r="D1425" s="4">
        <v>1447.7</v>
      </c>
      <c r="E1425" s="4">
        <v>1409</v>
      </c>
      <c r="F1425" s="4">
        <v>1409.45</v>
      </c>
      <c r="G1425" s="4">
        <v>1430.4</v>
      </c>
      <c r="H1425" s="4">
        <v>1426</v>
      </c>
      <c r="I1425" s="4">
        <v>1424.37</v>
      </c>
      <c r="J1425" s="4">
        <v>2006.45</v>
      </c>
      <c r="K1425" s="4">
        <v>1307</v>
      </c>
      <c r="L1425" s="2">
        <v>10178530</v>
      </c>
      <c r="M1425" s="2">
        <v>14497963348.799999</v>
      </c>
      <c r="N1425" s="2">
        <v>258203</v>
      </c>
      <c r="O1425" t="s">
        <v>21</v>
      </c>
      <c r="P1425" s="8">
        <f t="shared" si="66"/>
        <v>-36.149999999999864</v>
      </c>
      <c r="Q1425" t="s">
        <v>38</v>
      </c>
      <c r="R1425">
        <f t="shared" si="67"/>
        <v>4</v>
      </c>
      <c r="S1425" t="str">
        <f t="shared" si="68"/>
        <v>Apr</v>
      </c>
      <c r="T1425" s="9">
        <f>VLOOKUP(O1425, Annual_Summary!A:B, 2, 0)</f>
        <v>-0.14188579017264272</v>
      </c>
    </row>
    <row r="1426" spans="1:20" x14ac:dyDescent="0.3">
      <c r="A1426" s="1">
        <v>45758</v>
      </c>
      <c r="B1426" s="4" t="s">
        <v>15</v>
      </c>
      <c r="C1426" s="4">
        <v>1411.25</v>
      </c>
      <c r="D1426" s="4">
        <v>1438.8</v>
      </c>
      <c r="E1426" s="4">
        <v>1397.05</v>
      </c>
      <c r="F1426" s="4">
        <v>1403.7</v>
      </c>
      <c r="G1426" s="4">
        <v>1416.8</v>
      </c>
      <c r="H1426" s="4">
        <v>1409.45</v>
      </c>
      <c r="I1426" s="4">
        <v>1418.1</v>
      </c>
      <c r="J1426" s="4">
        <v>2006.45</v>
      </c>
      <c r="K1426" s="4">
        <v>1307</v>
      </c>
      <c r="L1426" s="2">
        <v>12567440</v>
      </c>
      <c r="M1426" s="2">
        <v>17821840695.450001</v>
      </c>
      <c r="N1426" s="2">
        <v>262867</v>
      </c>
      <c r="O1426" t="s">
        <v>21</v>
      </c>
      <c r="P1426" s="8">
        <f t="shared" si="66"/>
        <v>-7.5499999999999545</v>
      </c>
      <c r="Q1426" t="s">
        <v>38</v>
      </c>
      <c r="R1426">
        <f t="shared" si="67"/>
        <v>4</v>
      </c>
      <c r="S1426" t="str">
        <f t="shared" si="68"/>
        <v>Apr</v>
      </c>
      <c r="T1426" s="9">
        <f>VLOOKUP(O1426, Annual_Summary!A:B, 2, 0)</f>
        <v>-0.14188579017264272</v>
      </c>
    </row>
    <row r="1427" spans="1:20" x14ac:dyDescent="0.3">
      <c r="A1427" s="1">
        <v>45756</v>
      </c>
      <c r="B1427" s="4" t="s">
        <v>15</v>
      </c>
      <c r="C1427" s="4">
        <v>1405.05</v>
      </c>
      <c r="D1427" s="4">
        <v>1409.45</v>
      </c>
      <c r="E1427" s="4">
        <v>1381.9</v>
      </c>
      <c r="F1427" s="4">
        <v>1428.8</v>
      </c>
      <c r="G1427" s="4">
        <v>1402</v>
      </c>
      <c r="H1427" s="4">
        <v>1403.7</v>
      </c>
      <c r="I1427" s="4">
        <v>1396.23</v>
      </c>
      <c r="J1427" s="4">
        <v>2006.45</v>
      </c>
      <c r="K1427" s="4">
        <v>1307</v>
      </c>
      <c r="L1427" s="2">
        <v>8546854</v>
      </c>
      <c r="M1427" s="2">
        <v>11933354452.15</v>
      </c>
      <c r="N1427" s="2">
        <v>220436</v>
      </c>
      <c r="O1427" t="s">
        <v>21</v>
      </c>
      <c r="P1427" s="8">
        <f t="shared" si="66"/>
        <v>23.75</v>
      </c>
      <c r="Q1427" t="s">
        <v>38</v>
      </c>
      <c r="R1427">
        <f t="shared" si="67"/>
        <v>4</v>
      </c>
      <c r="S1427" t="str">
        <f t="shared" si="68"/>
        <v>Apr</v>
      </c>
      <c r="T1427" s="9">
        <f>VLOOKUP(O1427, Annual_Summary!A:B, 2, 0)</f>
        <v>-0.14188579017264272</v>
      </c>
    </row>
    <row r="1428" spans="1:20" x14ac:dyDescent="0.3">
      <c r="A1428" s="1">
        <v>45755</v>
      </c>
      <c r="B1428" s="4" t="s">
        <v>15</v>
      </c>
      <c r="C1428" s="4">
        <v>1431</v>
      </c>
      <c r="D1428" s="4">
        <v>1456.5</v>
      </c>
      <c r="E1428" s="4">
        <v>1415</v>
      </c>
      <c r="F1428" s="4">
        <v>1396.75</v>
      </c>
      <c r="G1428" s="4">
        <v>1428</v>
      </c>
      <c r="H1428" s="4">
        <v>1428.8</v>
      </c>
      <c r="I1428" s="4">
        <v>1435.73</v>
      </c>
      <c r="J1428" s="4">
        <v>2006.45</v>
      </c>
      <c r="K1428" s="4">
        <v>1307</v>
      </c>
      <c r="L1428" s="2">
        <v>12805001</v>
      </c>
      <c r="M1428" s="2">
        <v>18384491521</v>
      </c>
      <c r="N1428" s="2">
        <v>254762</v>
      </c>
      <c r="O1428" t="s">
        <v>21</v>
      </c>
      <c r="P1428" s="8">
        <f t="shared" si="66"/>
        <v>-34.25</v>
      </c>
      <c r="Q1428" t="s">
        <v>38</v>
      </c>
      <c r="R1428">
        <f t="shared" si="67"/>
        <v>4</v>
      </c>
      <c r="S1428" t="str">
        <f t="shared" si="68"/>
        <v>Apr</v>
      </c>
      <c r="T1428" s="9">
        <f>VLOOKUP(O1428, Annual_Summary!A:B, 2, 0)</f>
        <v>-0.14188579017264272</v>
      </c>
    </row>
    <row r="1429" spans="1:20" x14ac:dyDescent="0.3">
      <c r="A1429" s="1">
        <v>45754</v>
      </c>
      <c r="B1429" s="4" t="s">
        <v>15</v>
      </c>
      <c r="C1429" s="4">
        <v>1352</v>
      </c>
      <c r="D1429" s="4">
        <v>1405.9</v>
      </c>
      <c r="E1429" s="4">
        <v>1307</v>
      </c>
      <c r="F1429" s="4">
        <v>1451.65</v>
      </c>
      <c r="G1429" s="4">
        <v>1404.9</v>
      </c>
      <c r="H1429" s="4">
        <v>1396.75</v>
      </c>
      <c r="I1429" s="4">
        <v>1365.23</v>
      </c>
      <c r="J1429" s="4">
        <v>2006.45</v>
      </c>
      <c r="K1429" s="4">
        <v>1307</v>
      </c>
      <c r="L1429" s="2">
        <v>21715252</v>
      </c>
      <c r="M1429" s="2">
        <v>29646233824.900002</v>
      </c>
      <c r="N1429" s="2">
        <v>445720</v>
      </c>
      <c r="O1429" t="s">
        <v>21</v>
      </c>
      <c r="P1429" s="8">
        <f t="shared" si="66"/>
        <v>99.650000000000091</v>
      </c>
      <c r="Q1429" t="s">
        <v>38</v>
      </c>
      <c r="R1429">
        <f t="shared" si="67"/>
        <v>4</v>
      </c>
      <c r="S1429" t="str">
        <f t="shared" si="68"/>
        <v>Apr</v>
      </c>
      <c r="T1429" s="9">
        <f>VLOOKUP(O1429, Annual_Summary!A:B, 2, 0)</f>
        <v>-0.14188579017264272</v>
      </c>
    </row>
    <row r="1430" spans="1:20" x14ac:dyDescent="0.3">
      <c r="A1430" s="1">
        <v>45751</v>
      </c>
      <c r="B1430" s="4" t="s">
        <v>15</v>
      </c>
      <c r="C1430" s="4">
        <v>1460.5</v>
      </c>
      <c r="D1430" s="4">
        <v>1472</v>
      </c>
      <c r="E1430" s="4">
        <v>1448</v>
      </c>
      <c r="F1430" s="4">
        <v>1496.5</v>
      </c>
      <c r="G1430" s="4">
        <v>1456.1</v>
      </c>
      <c r="H1430" s="4">
        <v>1451.65</v>
      </c>
      <c r="I1430" s="4">
        <v>1458.65</v>
      </c>
      <c r="J1430" s="4">
        <v>2006.45</v>
      </c>
      <c r="K1430" s="4">
        <v>1358.35</v>
      </c>
      <c r="L1430" s="2">
        <v>9590254</v>
      </c>
      <c r="M1430" s="2">
        <v>13988855633.450001</v>
      </c>
      <c r="N1430" s="2">
        <v>245192</v>
      </c>
      <c r="O1430" t="s">
        <v>21</v>
      </c>
      <c r="P1430" s="8">
        <f t="shared" si="66"/>
        <v>36</v>
      </c>
      <c r="Q1430" t="s">
        <v>38</v>
      </c>
      <c r="R1430">
        <f t="shared" si="67"/>
        <v>4</v>
      </c>
      <c r="S1430" t="str">
        <f t="shared" si="68"/>
        <v>Apr</v>
      </c>
      <c r="T1430" s="9">
        <f>VLOOKUP(O1430, Annual_Summary!A:B, 2, 0)</f>
        <v>-0.14188579017264272</v>
      </c>
    </row>
    <row r="1431" spans="1:20" x14ac:dyDescent="0.3">
      <c r="A1431" s="1">
        <v>45750</v>
      </c>
      <c r="B1431" s="4" t="s">
        <v>15</v>
      </c>
      <c r="C1431" s="4">
        <v>1534.65</v>
      </c>
      <c r="D1431" s="4">
        <v>1534.65</v>
      </c>
      <c r="E1431" s="4">
        <v>1485.05</v>
      </c>
      <c r="F1431" s="4">
        <v>1550.15</v>
      </c>
      <c r="G1431" s="4">
        <v>1495.8</v>
      </c>
      <c r="H1431" s="4">
        <v>1496.5</v>
      </c>
      <c r="I1431" s="4">
        <v>1499.79</v>
      </c>
      <c r="J1431" s="4">
        <v>2006.45</v>
      </c>
      <c r="K1431" s="4">
        <v>1358.35</v>
      </c>
      <c r="L1431" s="2">
        <v>10459504</v>
      </c>
      <c r="M1431" s="2">
        <v>15687069999.200001</v>
      </c>
      <c r="N1431" s="2">
        <v>390507</v>
      </c>
      <c r="O1431" t="s">
        <v>21</v>
      </c>
      <c r="P1431" s="8">
        <f t="shared" si="66"/>
        <v>15.5</v>
      </c>
      <c r="Q1431" t="s">
        <v>38</v>
      </c>
      <c r="R1431">
        <f t="shared" si="67"/>
        <v>4</v>
      </c>
      <c r="S1431" t="str">
        <f t="shared" si="68"/>
        <v>Apr</v>
      </c>
      <c r="T1431" s="9">
        <f>VLOOKUP(O1431, Annual_Summary!A:B, 2, 0)</f>
        <v>-0.14188579017264272</v>
      </c>
    </row>
    <row r="1432" spans="1:20" x14ac:dyDescent="0.3">
      <c r="A1432" s="1">
        <v>45749</v>
      </c>
      <c r="B1432" s="4" t="s">
        <v>15</v>
      </c>
      <c r="C1432" s="4">
        <v>1535.2</v>
      </c>
      <c r="D1432" s="4">
        <v>1555.65</v>
      </c>
      <c r="E1432" s="4">
        <v>1535.2</v>
      </c>
      <c r="F1432" s="4">
        <v>1526.5</v>
      </c>
      <c r="G1432" s="4">
        <v>1550</v>
      </c>
      <c r="H1432" s="4">
        <v>1550.15</v>
      </c>
      <c r="I1432" s="4">
        <v>1547.09</v>
      </c>
      <c r="J1432" s="4">
        <v>2006.45</v>
      </c>
      <c r="K1432" s="4">
        <v>1358.35</v>
      </c>
      <c r="L1432" s="2">
        <v>6193478</v>
      </c>
      <c r="M1432" s="2">
        <v>9581859877.3500004</v>
      </c>
      <c r="N1432" s="2">
        <v>183381</v>
      </c>
      <c r="O1432" t="s">
        <v>21</v>
      </c>
      <c r="P1432" s="8">
        <f t="shared" si="66"/>
        <v>-8.7000000000000455</v>
      </c>
      <c r="Q1432" t="s">
        <v>38</v>
      </c>
      <c r="R1432">
        <f t="shared" si="67"/>
        <v>4</v>
      </c>
      <c r="S1432" t="str">
        <f t="shared" si="68"/>
        <v>Apr</v>
      </c>
      <c r="T1432" s="9">
        <f>VLOOKUP(O1432, Annual_Summary!A:B, 2, 0)</f>
        <v>-0.14188579017264272</v>
      </c>
    </row>
    <row r="1433" spans="1:20" x14ac:dyDescent="0.3">
      <c r="A1433" s="1">
        <v>45748</v>
      </c>
      <c r="B1433" s="4" t="s">
        <v>15</v>
      </c>
      <c r="C1433" s="4">
        <v>1539.25</v>
      </c>
      <c r="D1433" s="4">
        <v>1547.4</v>
      </c>
      <c r="E1433" s="4">
        <v>1517.85</v>
      </c>
      <c r="F1433" s="4">
        <v>1570.65</v>
      </c>
      <c r="G1433" s="4">
        <v>1530.2</v>
      </c>
      <c r="H1433" s="4">
        <v>1526.5</v>
      </c>
      <c r="I1433" s="4">
        <v>1529.41</v>
      </c>
      <c r="J1433" s="4">
        <v>2006.45</v>
      </c>
      <c r="K1433" s="4">
        <v>1358.35</v>
      </c>
      <c r="L1433" s="2">
        <v>12680733</v>
      </c>
      <c r="M1433" s="2">
        <v>19394047386.75</v>
      </c>
      <c r="N1433" s="2">
        <v>328764</v>
      </c>
      <c r="O1433" t="s">
        <v>21</v>
      </c>
      <c r="P1433" s="8">
        <f t="shared" si="66"/>
        <v>31.400000000000091</v>
      </c>
      <c r="Q1433" t="s">
        <v>38</v>
      </c>
      <c r="R1433">
        <f t="shared" si="67"/>
        <v>4</v>
      </c>
      <c r="S1433" t="str">
        <f t="shared" si="68"/>
        <v>Apr</v>
      </c>
      <c r="T1433" s="9">
        <f>VLOOKUP(O1433, Annual_Summary!A:B, 2, 0)</f>
        <v>-0.14188579017264272</v>
      </c>
    </row>
    <row r="1434" spans="1:20" x14ac:dyDescent="0.3">
      <c r="A1434" s="1">
        <v>45744</v>
      </c>
      <c r="B1434" s="4" t="s">
        <v>15</v>
      </c>
      <c r="C1434" s="4">
        <v>1590</v>
      </c>
      <c r="D1434" s="4">
        <v>1598.45</v>
      </c>
      <c r="E1434" s="4">
        <v>1560</v>
      </c>
      <c r="F1434" s="4">
        <v>1603.55</v>
      </c>
      <c r="G1434" s="4">
        <v>1569</v>
      </c>
      <c r="H1434" s="4">
        <v>1570.65</v>
      </c>
      <c r="I1434" s="4">
        <v>1576.42</v>
      </c>
      <c r="J1434" s="4">
        <v>2006.45</v>
      </c>
      <c r="K1434" s="4">
        <v>1358.35</v>
      </c>
      <c r="L1434" s="2">
        <v>6799047</v>
      </c>
      <c r="M1434" s="2">
        <v>10718160396.85</v>
      </c>
      <c r="N1434" s="2">
        <v>217515</v>
      </c>
      <c r="O1434" t="s">
        <v>21</v>
      </c>
      <c r="P1434" s="8">
        <f t="shared" si="66"/>
        <v>13.549999999999955</v>
      </c>
      <c r="Q1434" t="s">
        <v>38</v>
      </c>
      <c r="R1434">
        <f t="shared" si="67"/>
        <v>3</v>
      </c>
      <c r="S1434" t="str">
        <f t="shared" si="68"/>
        <v>Mar</v>
      </c>
      <c r="T1434" s="9">
        <f>VLOOKUP(O1434, Annual_Summary!A:B, 2, 0)</f>
        <v>-0.14188579017264272</v>
      </c>
    </row>
    <row r="1435" spans="1:20" x14ac:dyDescent="0.3">
      <c r="A1435" s="1">
        <v>45743</v>
      </c>
      <c r="B1435" s="4" t="s">
        <v>15</v>
      </c>
      <c r="C1435" s="4">
        <v>1595.55</v>
      </c>
      <c r="D1435" s="4">
        <v>1619.95</v>
      </c>
      <c r="E1435" s="4">
        <v>1586</v>
      </c>
      <c r="F1435" s="4">
        <v>1599.45</v>
      </c>
      <c r="G1435" s="4">
        <v>1605</v>
      </c>
      <c r="H1435" s="4">
        <v>1603.55</v>
      </c>
      <c r="I1435" s="4">
        <v>1601.41</v>
      </c>
      <c r="J1435" s="4">
        <v>2006.45</v>
      </c>
      <c r="K1435" s="4">
        <v>1358.35</v>
      </c>
      <c r="L1435" s="2">
        <v>9426573</v>
      </c>
      <c r="M1435" s="2">
        <v>15095808795.9</v>
      </c>
      <c r="N1435" s="2">
        <v>201020</v>
      </c>
      <c r="O1435" t="s">
        <v>21</v>
      </c>
      <c r="P1435" s="8">
        <f t="shared" si="66"/>
        <v>3.9000000000000909</v>
      </c>
      <c r="Q1435" t="s">
        <v>38</v>
      </c>
      <c r="R1435">
        <f t="shared" si="67"/>
        <v>3</v>
      </c>
      <c r="S1435" t="str">
        <f t="shared" si="68"/>
        <v>Mar</v>
      </c>
      <c r="T1435" s="9">
        <f>VLOOKUP(O1435, Annual_Summary!A:B, 2, 0)</f>
        <v>-0.14188579017264272</v>
      </c>
    </row>
    <row r="1436" spans="1:20" x14ac:dyDescent="0.3">
      <c r="A1436" s="1">
        <v>45742</v>
      </c>
      <c r="B1436" s="4" t="s">
        <v>15</v>
      </c>
      <c r="C1436" s="4">
        <v>1626</v>
      </c>
      <c r="D1436" s="4">
        <v>1637.75</v>
      </c>
      <c r="E1436" s="4">
        <v>1595</v>
      </c>
      <c r="F1436" s="4">
        <v>1628.45</v>
      </c>
      <c r="G1436" s="4">
        <v>1599</v>
      </c>
      <c r="H1436" s="4">
        <v>1599.45</v>
      </c>
      <c r="I1436" s="4">
        <v>1610.78</v>
      </c>
      <c r="J1436" s="4">
        <v>2006.45</v>
      </c>
      <c r="K1436" s="4">
        <v>1358.35</v>
      </c>
      <c r="L1436" s="2">
        <v>6651302</v>
      </c>
      <c r="M1436" s="2">
        <v>10713771940.1</v>
      </c>
      <c r="N1436" s="2">
        <v>222554</v>
      </c>
      <c r="O1436" t="s">
        <v>21</v>
      </c>
      <c r="P1436" s="8">
        <f t="shared" si="66"/>
        <v>2.4500000000000455</v>
      </c>
      <c r="Q1436" t="s">
        <v>38</v>
      </c>
      <c r="R1436">
        <f t="shared" si="67"/>
        <v>3</v>
      </c>
      <c r="S1436" t="str">
        <f t="shared" si="68"/>
        <v>Mar</v>
      </c>
      <c r="T1436" s="9">
        <f>VLOOKUP(O1436, Annual_Summary!A:B, 2, 0)</f>
        <v>-0.14188579017264272</v>
      </c>
    </row>
    <row r="1437" spans="1:20" x14ac:dyDescent="0.3">
      <c r="A1437" s="1">
        <v>45741</v>
      </c>
      <c r="B1437" s="4" t="s">
        <v>15</v>
      </c>
      <c r="C1437" s="4">
        <v>1605</v>
      </c>
      <c r="D1437" s="4">
        <v>1636.15</v>
      </c>
      <c r="E1437" s="4">
        <v>1605</v>
      </c>
      <c r="F1437" s="4">
        <v>1592.75</v>
      </c>
      <c r="G1437" s="4">
        <v>1619.25</v>
      </c>
      <c r="H1437" s="4">
        <v>1628.45</v>
      </c>
      <c r="I1437" s="4">
        <v>1626.09</v>
      </c>
      <c r="J1437" s="4">
        <v>2006.45</v>
      </c>
      <c r="K1437" s="4">
        <v>1358.35</v>
      </c>
      <c r="L1437" s="2">
        <v>9890140</v>
      </c>
      <c r="M1437" s="2">
        <v>16082264118.35</v>
      </c>
      <c r="N1437" s="2">
        <v>266112</v>
      </c>
      <c r="O1437" t="s">
        <v>21</v>
      </c>
      <c r="P1437" s="8">
        <f t="shared" si="66"/>
        <v>-12.25</v>
      </c>
      <c r="Q1437" t="s">
        <v>38</v>
      </c>
      <c r="R1437">
        <f t="shared" si="67"/>
        <v>3</v>
      </c>
      <c r="S1437" t="str">
        <f t="shared" si="68"/>
        <v>Mar</v>
      </c>
      <c r="T1437" s="9">
        <f>VLOOKUP(O1437, Annual_Summary!A:B, 2, 0)</f>
        <v>-0.14188579017264272</v>
      </c>
    </row>
    <row r="1438" spans="1:20" x14ac:dyDescent="0.3">
      <c r="A1438" s="1">
        <v>45740</v>
      </c>
      <c r="B1438" s="4" t="s">
        <v>15</v>
      </c>
      <c r="C1438" s="4">
        <v>1597.95</v>
      </c>
      <c r="D1438" s="4">
        <v>1607.1</v>
      </c>
      <c r="E1438" s="4">
        <v>1572.7</v>
      </c>
      <c r="F1438" s="4">
        <v>1592.55</v>
      </c>
      <c r="G1438" s="4">
        <v>1593.95</v>
      </c>
      <c r="H1438" s="4">
        <v>1592.75</v>
      </c>
      <c r="I1438" s="4">
        <v>1588.76</v>
      </c>
      <c r="J1438" s="4">
        <v>2006.45</v>
      </c>
      <c r="K1438" s="4">
        <v>1358.35</v>
      </c>
      <c r="L1438" s="2">
        <v>8857726</v>
      </c>
      <c r="M1438" s="2">
        <v>14072823625.15</v>
      </c>
      <c r="N1438" s="2">
        <v>250512</v>
      </c>
      <c r="O1438" t="s">
        <v>21</v>
      </c>
      <c r="P1438" s="8">
        <f t="shared" si="66"/>
        <v>-5.4000000000000909</v>
      </c>
      <c r="Q1438" t="s">
        <v>38</v>
      </c>
      <c r="R1438">
        <f t="shared" si="67"/>
        <v>3</v>
      </c>
      <c r="S1438" t="str">
        <f t="shared" si="68"/>
        <v>Mar</v>
      </c>
      <c r="T1438" s="9">
        <f>VLOOKUP(O1438, Annual_Summary!A:B, 2, 0)</f>
        <v>-0.14188579017264272</v>
      </c>
    </row>
    <row r="1439" spans="1:20" x14ac:dyDescent="0.3">
      <c r="A1439" s="1">
        <v>45737</v>
      </c>
      <c r="B1439" s="4" t="s">
        <v>15</v>
      </c>
      <c r="C1439" s="4">
        <v>1577.95</v>
      </c>
      <c r="D1439" s="4">
        <v>1603.9</v>
      </c>
      <c r="E1439" s="4">
        <v>1563.65</v>
      </c>
      <c r="F1439" s="4">
        <v>1615.55</v>
      </c>
      <c r="G1439" s="4">
        <v>1595.4</v>
      </c>
      <c r="H1439" s="4">
        <v>1592.55</v>
      </c>
      <c r="I1439" s="4">
        <v>1591.34</v>
      </c>
      <c r="J1439" s="4">
        <v>2006.45</v>
      </c>
      <c r="K1439" s="4">
        <v>1358.35</v>
      </c>
      <c r="L1439" s="2">
        <v>10074677</v>
      </c>
      <c r="M1439" s="2">
        <v>16032262527.35</v>
      </c>
      <c r="N1439" s="2">
        <v>241185</v>
      </c>
      <c r="O1439" t="s">
        <v>21</v>
      </c>
      <c r="P1439" s="8">
        <f t="shared" si="66"/>
        <v>37.599999999999909</v>
      </c>
      <c r="Q1439" t="s">
        <v>38</v>
      </c>
      <c r="R1439">
        <f t="shared" si="67"/>
        <v>3</v>
      </c>
      <c r="S1439" t="str">
        <f t="shared" si="68"/>
        <v>Mar</v>
      </c>
      <c r="T1439" s="9">
        <f>VLOOKUP(O1439, Annual_Summary!A:B, 2, 0)</f>
        <v>-0.14188579017264272</v>
      </c>
    </row>
    <row r="1440" spans="1:20" x14ac:dyDescent="0.3">
      <c r="A1440" s="1">
        <v>45736</v>
      </c>
      <c r="B1440" s="4" t="s">
        <v>15</v>
      </c>
      <c r="C1440" s="4">
        <v>1592</v>
      </c>
      <c r="D1440" s="4">
        <v>1631.9</v>
      </c>
      <c r="E1440" s="4">
        <v>1592</v>
      </c>
      <c r="F1440" s="4">
        <v>1586.55</v>
      </c>
      <c r="G1440" s="4">
        <v>1609.05</v>
      </c>
      <c r="H1440" s="4">
        <v>1615.55</v>
      </c>
      <c r="I1440" s="4">
        <v>1616.31</v>
      </c>
      <c r="J1440" s="4">
        <v>2006.45</v>
      </c>
      <c r="K1440" s="4">
        <v>1358.35</v>
      </c>
      <c r="L1440" s="2">
        <v>7186750</v>
      </c>
      <c r="M1440" s="2">
        <v>11616004800.299999</v>
      </c>
      <c r="N1440" s="2">
        <v>229276</v>
      </c>
      <c r="O1440" t="s">
        <v>21</v>
      </c>
      <c r="P1440" s="8">
        <f t="shared" si="66"/>
        <v>-5.4500000000000455</v>
      </c>
      <c r="Q1440" t="s">
        <v>38</v>
      </c>
      <c r="R1440">
        <f t="shared" si="67"/>
        <v>3</v>
      </c>
      <c r="S1440" t="str">
        <f t="shared" si="68"/>
        <v>Mar</v>
      </c>
      <c r="T1440" s="9">
        <f>VLOOKUP(O1440, Annual_Summary!A:B, 2, 0)</f>
        <v>-0.14188579017264272</v>
      </c>
    </row>
    <row r="1441" spans="1:20" x14ac:dyDescent="0.3">
      <c r="A1441" s="1">
        <v>45735</v>
      </c>
      <c r="B1441" s="4" t="s">
        <v>15</v>
      </c>
      <c r="C1441" s="4">
        <v>1603</v>
      </c>
      <c r="D1441" s="4">
        <v>1603</v>
      </c>
      <c r="E1441" s="4">
        <v>1572.8</v>
      </c>
      <c r="F1441" s="4">
        <v>1609.35</v>
      </c>
      <c r="G1441" s="4">
        <v>1589.1</v>
      </c>
      <c r="H1441" s="4">
        <v>1586.55</v>
      </c>
      <c r="I1441" s="4">
        <v>1583.14</v>
      </c>
      <c r="J1441" s="4">
        <v>2006.45</v>
      </c>
      <c r="K1441" s="4">
        <v>1358.35</v>
      </c>
      <c r="L1441" s="2">
        <v>7387068</v>
      </c>
      <c r="M1441" s="2">
        <v>11694751809.1</v>
      </c>
      <c r="N1441" s="2">
        <v>250311</v>
      </c>
      <c r="O1441" t="s">
        <v>21</v>
      </c>
      <c r="P1441" s="8">
        <f t="shared" si="66"/>
        <v>6.3499999999999091</v>
      </c>
      <c r="Q1441" t="s">
        <v>38</v>
      </c>
      <c r="R1441">
        <f t="shared" si="67"/>
        <v>3</v>
      </c>
      <c r="S1441" t="str">
        <f t="shared" si="68"/>
        <v>Mar</v>
      </c>
      <c r="T1441" s="9">
        <f>VLOOKUP(O1441, Annual_Summary!A:B, 2, 0)</f>
        <v>-0.14188579017264272</v>
      </c>
    </row>
    <row r="1442" spans="1:20" x14ac:dyDescent="0.3">
      <c r="A1442" s="1">
        <v>45734</v>
      </c>
      <c r="B1442" s="4" t="s">
        <v>15</v>
      </c>
      <c r="C1442" s="4">
        <v>1597.65</v>
      </c>
      <c r="D1442" s="4">
        <v>1612.9</v>
      </c>
      <c r="E1442" s="4">
        <v>1582.35</v>
      </c>
      <c r="F1442" s="4">
        <v>1590.05</v>
      </c>
      <c r="G1442" s="4">
        <v>1608.2</v>
      </c>
      <c r="H1442" s="4">
        <v>1609.35</v>
      </c>
      <c r="I1442" s="4">
        <v>1602.43</v>
      </c>
      <c r="J1442" s="4">
        <v>2006.45</v>
      </c>
      <c r="K1442" s="4">
        <v>1358.35</v>
      </c>
      <c r="L1442" s="2">
        <v>6298054</v>
      </c>
      <c r="M1442" s="2">
        <v>10092166910.700001</v>
      </c>
      <c r="N1442" s="2">
        <v>157097</v>
      </c>
      <c r="O1442" t="s">
        <v>21</v>
      </c>
      <c r="P1442" s="8">
        <f t="shared" si="66"/>
        <v>-7.6000000000001364</v>
      </c>
      <c r="Q1442" t="s">
        <v>38</v>
      </c>
      <c r="R1442">
        <f t="shared" si="67"/>
        <v>3</v>
      </c>
      <c r="S1442" t="str">
        <f t="shared" si="68"/>
        <v>Mar</v>
      </c>
      <c r="T1442" s="9">
        <f>VLOOKUP(O1442, Annual_Summary!A:B, 2, 0)</f>
        <v>-0.14188579017264272</v>
      </c>
    </row>
    <row r="1443" spans="1:20" x14ac:dyDescent="0.3">
      <c r="A1443" s="1">
        <v>45733</v>
      </c>
      <c r="B1443" s="4" t="s">
        <v>15</v>
      </c>
      <c r="C1443" s="4">
        <v>1545.15</v>
      </c>
      <c r="D1443" s="4">
        <v>1594</v>
      </c>
      <c r="E1443" s="4">
        <v>1545.15</v>
      </c>
      <c r="F1443" s="4">
        <v>1579.85</v>
      </c>
      <c r="G1443" s="4">
        <v>1590</v>
      </c>
      <c r="H1443" s="4">
        <v>1590.05</v>
      </c>
      <c r="I1443" s="4">
        <v>1581.7</v>
      </c>
      <c r="J1443" s="4">
        <v>2006.45</v>
      </c>
      <c r="K1443" s="4">
        <v>1358.35</v>
      </c>
      <c r="L1443" s="2">
        <v>7526032</v>
      </c>
      <c r="M1443" s="2">
        <v>11903959172.65</v>
      </c>
      <c r="N1443" s="2">
        <v>220262</v>
      </c>
      <c r="O1443" t="s">
        <v>21</v>
      </c>
      <c r="P1443" s="8">
        <f t="shared" si="66"/>
        <v>34.699999999999818</v>
      </c>
      <c r="Q1443" t="s">
        <v>38</v>
      </c>
      <c r="R1443">
        <f t="shared" si="67"/>
        <v>3</v>
      </c>
      <c r="S1443" t="str">
        <f t="shared" si="68"/>
        <v>Mar</v>
      </c>
      <c r="T1443" s="9">
        <f>VLOOKUP(O1443, Annual_Summary!A:B, 2, 0)</f>
        <v>-0.14188579017264272</v>
      </c>
    </row>
    <row r="1444" spans="1:20" x14ac:dyDescent="0.3">
      <c r="A1444" s="1">
        <v>45729</v>
      </c>
      <c r="B1444" s="4" t="s">
        <v>15</v>
      </c>
      <c r="C1444" s="4">
        <v>1599.25</v>
      </c>
      <c r="D1444" s="4">
        <v>1606.05</v>
      </c>
      <c r="E1444" s="4">
        <v>1570.3</v>
      </c>
      <c r="F1444" s="4">
        <v>1590.85</v>
      </c>
      <c r="G1444" s="4">
        <v>1579</v>
      </c>
      <c r="H1444" s="4">
        <v>1579.85</v>
      </c>
      <c r="I1444" s="4">
        <v>1582.31</v>
      </c>
      <c r="J1444" s="4">
        <v>2006.45</v>
      </c>
      <c r="K1444" s="4">
        <v>1358.35</v>
      </c>
      <c r="L1444" s="2">
        <v>7822888</v>
      </c>
      <c r="M1444" s="2">
        <v>12378247563.85</v>
      </c>
      <c r="N1444" s="2">
        <v>258464</v>
      </c>
      <c r="O1444" t="s">
        <v>21</v>
      </c>
      <c r="P1444" s="8">
        <f t="shared" si="66"/>
        <v>-8.4000000000000909</v>
      </c>
      <c r="Q1444" t="s">
        <v>38</v>
      </c>
      <c r="R1444">
        <f t="shared" si="67"/>
        <v>3</v>
      </c>
      <c r="S1444" t="str">
        <f t="shared" si="68"/>
        <v>Mar</v>
      </c>
      <c r="T1444" s="9">
        <f>VLOOKUP(O1444, Annual_Summary!A:B, 2, 0)</f>
        <v>-0.14188579017264272</v>
      </c>
    </row>
    <row r="1445" spans="1:20" x14ac:dyDescent="0.3">
      <c r="A1445" s="1">
        <v>45728</v>
      </c>
      <c r="B1445" s="4" t="s">
        <v>15</v>
      </c>
      <c r="C1445" s="4">
        <v>1636.9</v>
      </c>
      <c r="D1445" s="4">
        <v>1636.9</v>
      </c>
      <c r="E1445" s="4">
        <v>1563.8</v>
      </c>
      <c r="F1445" s="4">
        <v>1661.6</v>
      </c>
      <c r="G1445" s="4">
        <v>1590.05</v>
      </c>
      <c r="H1445" s="4">
        <v>1590.85</v>
      </c>
      <c r="I1445" s="4">
        <v>1586.51</v>
      </c>
      <c r="J1445" s="4">
        <v>2006.45</v>
      </c>
      <c r="K1445" s="4">
        <v>1358.35</v>
      </c>
      <c r="L1445" s="2">
        <v>14870008</v>
      </c>
      <c r="M1445" s="2">
        <v>23591364599.5</v>
      </c>
      <c r="N1445" s="2">
        <v>491121</v>
      </c>
      <c r="O1445" t="s">
        <v>21</v>
      </c>
      <c r="P1445" s="8">
        <f t="shared" si="66"/>
        <v>24.699999999999818</v>
      </c>
      <c r="Q1445" t="s">
        <v>38</v>
      </c>
      <c r="R1445">
        <f t="shared" si="67"/>
        <v>3</v>
      </c>
      <c r="S1445" t="str">
        <f t="shared" si="68"/>
        <v>Mar</v>
      </c>
      <c r="T1445" s="9">
        <f>VLOOKUP(O1445, Annual_Summary!A:B, 2, 0)</f>
        <v>-0.14188579017264272</v>
      </c>
    </row>
    <row r="1446" spans="1:20" x14ac:dyDescent="0.3">
      <c r="A1446" s="1">
        <v>45727</v>
      </c>
      <c r="B1446" s="4" t="s">
        <v>15</v>
      </c>
      <c r="C1446" s="4">
        <v>1680</v>
      </c>
      <c r="D1446" s="4">
        <v>1680</v>
      </c>
      <c r="E1446" s="4">
        <v>1637.05</v>
      </c>
      <c r="F1446" s="4">
        <v>1701.45</v>
      </c>
      <c r="G1446" s="4">
        <v>1667</v>
      </c>
      <c r="H1446" s="4">
        <v>1661.6</v>
      </c>
      <c r="I1446" s="4">
        <v>1655.07</v>
      </c>
      <c r="J1446" s="4">
        <v>2006.45</v>
      </c>
      <c r="K1446" s="4">
        <v>1358.35</v>
      </c>
      <c r="L1446" s="2">
        <v>12671234</v>
      </c>
      <c r="M1446" s="2">
        <v>20971794102.349998</v>
      </c>
      <c r="N1446" s="2">
        <v>259181</v>
      </c>
      <c r="O1446" t="s">
        <v>21</v>
      </c>
      <c r="P1446" s="8">
        <f t="shared" si="66"/>
        <v>21.450000000000045</v>
      </c>
      <c r="Q1446" t="s">
        <v>38</v>
      </c>
      <c r="R1446">
        <f t="shared" si="67"/>
        <v>3</v>
      </c>
      <c r="S1446" t="str">
        <f t="shared" si="68"/>
        <v>Mar</v>
      </c>
      <c r="T1446" s="9">
        <f>VLOOKUP(O1446, Annual_Summary!A:B, 2, 0)</f>
        <v>-0.14188579017264272</v>
      </c>
    </row>
    <row r="1447" spans="1:20" x14ac:dyDescent="0.3">
      <c r="A1447" s="1">
        <v>45726</v>
      </c>
      <c r="B1447" s="4" t="s">
        <v>15</v>
      </c>
      <c r="C1447" s="4">
        <v>1686</v>
      </c>
      <c r="D1447" s="4">
        <v>1719</v>
      </c>
      <c r="E1447" s="4">
        <v>1676.2</v>
      </c>
      <c r="F1447" s="4">
        <v>1686</v>
      </c>
      <c r="G1447" s="4">
        <v>1700.05</v>
      </c>
      <c r="H1447" s="4">
        <v>1701.45</v>
      </c>
      <c r="I1447" s="4">
        <v>1703.14</v>
      </c>
      <c r="J1447" s="4">
        <v>2006.45</v>
      </c>
      <c r="K1447" s="4">
        <v>1358.35</v>
      </c>
      <c r="L1447" s="2">
        <v>7558981</v>
      </c>
      <c r="M1447" s="2">
        <v>12874009178</v>
      </c>
      <c r="N1447" s="2">
        <v>184536</v>
      </c>
      <c r="O1447" t="s">
        <v>21</v>
      </c>
      <c r="P1447" s="8">
        <f t="shared" si="66"/>
        <v>0</v>
      </c>
      <c r="Q1447" t="s">
        <v>38</v>
      </c>
      <c r="R1447">
        <f t="shared" si="67"/>
        <v>3</v>
      </c>
      <c r="S1447" t="str">
        <f t="shared" si="68"/>
        <v>Mar</v>
      </c>
      <c r="T1447" s="9">
        <f>VLOOKUP(O1447, Annual_Summary!A:B, 2, 0)</f>
        <v>-0.14188579017264272</v>
      </c>
    </row>
    <row r="1448" spans="1:20" x14ac:dyDescent="0.3">
      <c r="A1448" s="1">
        <v>45723</v>
      </c>
      <c r="B1448" s="4" t="s">
        <v>15</v>
      </c>
      <c r="C1448" s="4">
        <v>1703.1</v>
      </c>
      <c r="D1448" s="4">
        <v>1705</v>
      </c>
      <c r="E1448" s="4">
        <v>1675.5</v>
      </c>
      <c r="F1448" s="4">
        <v>1715.85</v>
      </c>
      <c r="G1448" s="4">
        <v>1685</v>
      </c>
      <c r="H1448" s="4">
        <v>1686</v>
      </c>
      <c r="I1448" s="4">
        <v>1686.32</v>
      </c>
      <c r="J1448" s="4">
        <v>2006.45</v>
      </c>
      <c r="K1448" s="4">
        <v>1358.35</v>
      </c>
      <c r="L1448" s="2">
        <v>8019331</v>
      </c>
      <c r="M1448" s="2">
        <v>13523183544.049999</v>
      </c>
      <c r="N1448" s="2">
        <v>234031</v>
      </c>
      <c r="O1448" t="s">
        <v>21</v>
      </c>
      <c r="P1448" s="8">
        <f t="shared" si="66"/>
        <v>12.75</v>
      </c>
      <c r="Q1448" t="s">
        <v>38</v>
      </c>
      <c r="R1448">
        <f t="shared" si="67"/>
        <v>3</v>
      </c>
      <c r="S1448" t="str">
        <f t="shared" si="68"/>
        <v>Mar</v>
      </c>
      <c r="T1448" s="9">
        <f>VLOOKUP(O1448, Annual_Summary!A:B, 2, 0)</f>
        <v>-0.14188579017264272</v>
      </c>
    </row>
    <row r="1449" spans="1:20" x14ac:dyDescent="0.3">
      <c r="A1449" s="1">
        <v>45722</v>
      </c>
      <c r="B1449" s="4" t="s">
        <v>15</v>
      </c>
      <c r="C1449" s="4">
        <v>1715</v>
      </c>
      <c r="D1449" s="4">
        <v>1722.3</v>
      </c>
      <c r="E1449" s="4">
        <v>1691.1</v>
      </c>
      <c r="F1449" s="4">
        <v>1711.5</v>
      </c>
      <c r="G1449" s="4">
        <v>1712</v>
      </c>
      <c r="H1449" s="4">
        <v>1715.85</v>
      </c>
      <c r="I1449" s="4">
        <v>1709.66</v>
      </c>
      <c r="J1449" s="4">
        <v>2006.45</v>
      </c>
      <c r="K1449" s="4">
        <v>1358.35</v>
      </c>
      <c r="L1449" s="2">
        <v>10610547</v>
      </c>
      <c r="M1449" s="2">
        <v>18140399842.700001</v>
      </c>
      <c r="N1449" s="2">
        <v>236281</v>
      </c>
      <c r="O1449" t="s">
        <v>21</v>
      </c>
      <c r="P1449" s="8">
        <f t="shared" si="66"/>
        <v>-3.5</v>
      </c>
      <c r="Q1449" t="s">
        <v>38</v>
      </c>
      <c r="R1449">
        <f t="shared" si="67"/>
        <v>3</v>
      </c>
      <c r="S1449" t="str">
        <f t="shared" si="68"/>
        <v>Mar</v>
      </c>
      <c r="T1449" s="9">
        <f>VLOOKUP(O1449, Annual_Summary!A:B, 2, 0)</f>
        <v>-0.14188579017264272</v>
      </c>
    </row>
    <row r="1450" spans="1:20" x14ac:dyDescent="0.3">
      <c r="A1450" s="1">
        <v>45721</v>
      </c>
      <c r="B1450" s="4" t="s">
        <v>15</v>
      </c>
      <c r="C1450" s="4">
        <v>1692.45</v>
      </c>
      <c r="D1450" s="4">
        <v>1732.95</v>
      </c>
      <c r="E1450" s="4">
        <v>1692.45</v>
      </c>
      <c r="F1450" s="4">
        <v>1688.3</v>
      </c>
      <c r="G1450" s="4">
        <v>1707</v>
      </c>
      <c r="H1450" s="4">
        <v>1711.5</v>
      </c>
      <c r="I1450" s="4">
        <v>1714.51</v>
      </c>
      <c r="J1450" s="4">
        <v>2006.45</v>
      </c>
      <c r="K1450" s="4">
        <v>1358.35</v>
      </c>
      <c r="L1450" s="2">
        <v>8180782</v>
      </c>
      <c r="M1450" s="2">
        <v>14026024448.6</v>
      </c>
      <c r="N1450" s="2">
        <v>184308</v>
      </c>
      <c r="O1450" t="s">
        <v>21</v>
      </c>
      <c r="P1450" s="8">
        <f t="shared" si="66"/>
        <v>-4.1500000000000909</v>
      </c>
      <c r="Q1450" t="s">
        <v>38</v>
      </c>
      <c r="R1450">
        <f t="shared" si="67"/>
        <v>3</v>
      </c>
      <c r="S1450" t="str">
        <f t="shared" si="68"/>
        <v>Mar</v>
      </c>
      <c r="T1450" s="9">
        <f>VLOOKUP(O1450, Annual_Summary!A:B, 2, 0)</f>
        <v>-0.14188579017264272</v>
      </c>
    </row>
    <row r="1451" spans="1:20" x14ac:dyDescent="0.3">
      <c r="A1451" s="1">
        <v>45720</v>
      </c>
      <c r="B1451" s="4" t="s">
        <v>15</v>
      </c>
      <c r="C1451" s="4">
        <v>1695</v>
      </c>
      <c r="D1451" s="4">
        <v>1699</v>
      </c>
      <c r="E1451" s="4">
        <v>1670</v>
      </c>
      <c r="F1451" s="4">
        <v>1708.6</v>
      </c>
      <c r="G1451" s="4">
        <v>1684</v>
      </c>
      <c r="H1451" s="4">
        <v>1688.3</v>
      </c>
      <c r="I1451" s="4">
        <v>1686.14</v>
      </c>
      <c r="J1451" s="4">
        <v>2006.45</v>
      </c>
      <c r="K1451" s="4">
        <v>1358.35</v>
      </c>
      <c r="L1451" s="2">
        <v>6759673</v>
      </c>
      <c r="M1451" s="2">
        <v>11397744323.6</v>
      </c>
      <c r="N1451" s="2">
        <v>244487</v>
      </c>
      <c r="O1451" t="s">
        <v>21</v>
      </c>
      <c r="P1451" s="8">
        <f t="shared" si="66"/>
        <v>13.599999999999909</v>
      </c>
      <c r="Q1451" t="s">
        <v>38</v>
      </c>
      <c r="R1451">
        <f t="shared" si="67"/>
        <v>3</v>
      </c>
      <c r="S1451" t="str">
        <f t="shared" si="68"/>
        <v>Mar</v>
      </c>
      <c r="T1451" s="9">
        <f>VLOOKUP(O1451, Annual_Summary!A:B, 2, 0)</f>
        <v>-0.14188579017264272</v>
      </c>
    </row>
    <row r="1452" spans="1:20" x14ac:dyDescent="0.3">
      <c r="A1452" s="1">
        <v>45719</v>
      </c>
      <c r="B1452" s="4" t="s">
        <v>15</v>
      </c>
      <c r="C1452" s="4">
        <v>1692.3</v>
      </c>
      <c r="D1452" s="4">
        <v>1728.6</v>
      </c>
      <c r="E1452" s="4">
        <v>1692.3</v>
      </c>
      <c r="F1452" s="4">
        <v>1687.7</v>
      </c>
      <c r="G1452" s="4">
        <v>1711</v>
      </c>
      <c r="H1452" s="4">
        <v>1708.6</v>
      </c>
      <c r="I1452" s="4">
        <v>1711.06</v>
      </c>
      <c r="J1452" s="4">
        <v>2006.45</v>
      </c>
      <c r="K1452" s="4">
        <v>1358.35</v>
      </c>
      <c r="L1452" s="2">
        <v>7504969</v>
      </c>
      <c r="M1452" s="2">
        <v>12841455573.450001</v>
      </c>
      <c r="N1452" s="2">
        <v>286660</v>
      </c>
      <c r="O1452" t="s">
        <v>21</v>
      </c>
      <c r="P1452" s="8">
        <f t="shared" si="66"/>
        <v>-4.5999999999999091</v>
      </c>
      <c r="Q1452" t="s">
        <v>38</v>
      </c>
      <c r="R1452">
        <f t="shared" si="67"/>
        <v>3</v>
      </c>
      <c r="S1452" t="str">
        <f t="shared" si="68"/>
        <v>Mar</v>
      </c>
      <c r="T1452" s="9">
        <f>VLOOKUP(O1452, Annual_Summary!A:B, 2, 0)</f>
        <v>-0.14188579017264272</v>
      </c>
    </row>
    <row r="1453" spans="1:20" x14ac:dyDescent="0.3">
      <c r="A1453" s="1">
        <v>45716</v>
      </c>
      <c r="B1453" s="4" t="s">
        <v>15</v>
      </c>
      <c r="C1453" s="4">
        <v>1755.05</v>
      </c>
      <c r="D1453" s="4">
        <v>1755.1</v>
      </c>
      <c r="E1453" s="4">
        <v>1682.45</v>
      </c>
      <c r="F1453" s="4">
        <v>1764.3</v>
      </c>
      <c r="G1453" s="4">
        <v>1693</v>
      </c>
      <c r="H1453" s="4">
        <v>1687.7</v>
      </c>
      <c r="I1453" s="4">
        <v>1694.54</v>
      </c>
      <c r="J1453" s="4">
        <v>2006.45</v>
      </c>
      <c r="K1453" s="4">
        <v>1358.35</v>
      </c>
      <c r="L1453" s="2">
        <v>12182167</v>
      </c>
      <c r="M1453" s="2">
        <v>20643137452.849998</v>
      </c>
      <c r="N1453" s="2">
        <v>460200</v>
      </c>
      <c r="O1453" t="s">
        <v>21</v>
      </c>
      <c r="P1453" s="8">
        <f t="shared" si="66"/>
        <v>9.25</v>
      </c>
      <c r="Q1453" t="s">
        <v>38</v>
      </c>
      <c r="R1453">
        <f t="shared" si="67"/>
        <v>2</v>
      </c>
      <c r="S1453" t="str">
        <f t="shared" si="68"/>
        <v>Feb</v>
      </c>
      <c r="T1453" s="9">
        <f>VLOOKUP(O1453, Annual_Summary!A:B, 2, 0)</f>
        <v>-0.14188579017264272</v>
      </c>
    </row>
    <row r="1454" spans="1:20" x14ac:dyDescent="0.3">
      <c r="A1454" s="1">
        <v>45715</v>
      </c>
      <c r="B1454" s="4" t="s">
        <v>15</v>
      </c>
      <c r="C1454" s="4">
        <v>1755.2</v>
      </c>
      <c r="D1454" s="4">
        <v>1775.85</v>
      </c>
      <c r="E1454" s="4">
        <v>1751.1</v>
      </c>
      <c r="F1454" s="4">
        <v>1767.7</v>
      </c>
      <c r="G1454" s="4">
        <v>1763</v>
      </c>
      <c r="H1454" s="4">
        <v>1764.3</v>
      </c>
      <c r="I1454" s="4">
        <v>1763.43</v>
      </c>
      <c r="J1454" s="4">
        <v>2006.45</v>
      </c>
      <c r="K1454" s="4">
        <v>1358.35</v>
      </c>
      <c r="L1454" s="2">
        <v>5757079</v>
      </c>
      <c r="M1454" s="2">
        <v>10152184052.299999</v>
      </c>
      <c r="N1454" s="2">
        <v>168385</v>
      </c>
      <c r="O1454" t="s">
        <v>21</v>
      </c>
      <c r="P1454" s="8">
        <f t="shared" si="66"/>
        <v>12.5</v>
      </c>
      <c r="Q1454" t="s">
        <v>38</v>
      </c>
      <c r="R1454">
        <f t="shared" si="67"/>
        <v>2</v>
      </c>
      <c r="S1454" t="str">
        <f t="shared" si="68"/>
        <v>Feb</v>
      </c>
      <c r="T1454" s="9">
        <f>VLOOKUP(O1454, Annual_Summary!A:B, 2, 0)</f>
        <v>-0.14188579017264272</v>
      </c>
    </row>
    <row r="1455" spans="1:20" x14ac:dyDescent="0.3">
      <c r="A1455" s="1">
        <v>45713</v>
      </c>
      <c r="B1455" s="4" t="s">
        <v>15</v>
      </c>
      <c r="C1455" s="4">
        <v>1745.15</v>
      </c>
      <c r="D1455" s="4">
        <v>1778.45</v>
      </c>
      <c r="E1455" s="4">
        <v>1745.15</v>
      </c>
      <c r="F1455" s="4">
        <v>1764.1</v>
      </c>
      <c r="G1455" s="4">
        <v>1766.75</v>
      </c>
      <c r="H1455" s="4">
        <v>1767.7</v>
      </c>
      <c r="I1455" s="4">
        <v>1766.12</v>
      </c>
      <c r="J1455" s="4">
        <v>2006.45</v>
      </c>
      <c r="K1455" s="4">
        <v>1358.35</v>
      </c>
      <c r="L1455" s="2">
        <v>5092963</v>
      </c>
      <c r="M1455" s="2">
        <v>8994761660.1499996</v>
      </c>
      <c r="N1455" s="2">
        <v>192822</v>
      </c>
      <c r="O1455" t="s">
        <v>21</v>
      </c>
      <c r="P1455" s="8">
        <f t="shared" si="66"/>
        <v>18.949999999999818</v>
      </c>
      <c r="Q1455" t="s">
        <v>38</v>
      </c>
      <c r="R1455">
        <f t="shared" si="67"/>
        <v>2</v>
      </c>
      <c r="S1455" t="str">
        <f t="shared" si="68"/>
        <v>Feb</v>
      </c>
      <c r="T1455" s="9">
        <f>VLOOKUP(O1455, Annual_Summary!A:B, 2, 0)</f>
        <v>-0.14188579017264272</v>
      </c>
    </row>
    <row r="1456" spans="1:20" x14ac:dyDescent="0.3">
      <c r="A1456" s="1">
        <v>45712</v>
      </c>
      <c r="B1456" s="4" t="s">
        <v>15</v>
      </c>
      <c r="C1456" s="4">
        <v>1800.05</v>
      </c>
      <c r="D1456" s="4">
        <v>1808</v>
      </c>
      <c r="E1456" s="4">
        <v>1750.25</v>
      </c>
      <c r="F1456" s="4">
        <v>1815</v>
      </c>
      <c r="G1456" s="4">
        <v>1763</v>
      </c>
      <c r="H1456" s="4">
        <v>1764.1</v>
      </c>
      <c r="I1456" s="4">
        <v>1766.73</v>
      </c>
      <c r="J1456" s="4">
        <v>2006.45</v>
      </c>
      <c r="K1456" s="4">
        <v>1358.35</v>
      </c>
      <c r="L1456" s="2">
        <v>7594720</v>
      </c>
      <c r="M1456" s="2">
        <v>13417827673.25</v>
      </c>
      <c r="N1456" s="2">
        <v>362392</v>
      </c>
      <c r="O1456" t="s">
        <v>21</v>
      </c>
      <c r="P1456" s="8">
        <f t="shared" si="66"/>
        <v>14.950000000000045</v>
      </c>
      <c r="Q1456" t="s">
        <v>38</v>
      </c>
      <c r="R1456">
        <f t="shared" si="67"/>
        <v>2</v>
      </c>
      <c r="S1456" t="str">
        <f t="shared" si="68"/>
        <v>Feb</v>
      </c>
      <c r="T1456" s="9">
        <f>VLOOKUP(O1456, Annual_Summary!A:B, 2, 0)</f>
        <v>-0.14188579017264272</v>
      </c>
    </row>
    <row r="1457" spans="1:20" x14ac:dyDescent="0.3">
      <c r="A1457" s="1">
        <v>45709</v>
      </c>
      <c r="B1457" s="4" t="s">
        <v>15</v>
      </c>
      <c r="C1457" s="4">
        <v>1821.8</v>
      </c>
      <c r="D1457" s="4">
        <v>1829.85</v>
      </c>
      <c r="E1457" s="4">
        <v>1806.2</v>
      </c>
      <c r="F1457" s="4">
        <v>1825.15</v>
      </c>
      <c r="G1457" s="4">
        <v>1815</v>
      </c>
      <c r="H1457" s="4">
        <v>1815</v>
      </c>
      <c r="I1457" s="4">
        <v>1817.56</v>
      </c>
      <c r="J1457" s="4">
        <v>2006.45</v>
      </c>
      <c r="K1457" s="4">
        <v>1358.35</v>
      </c>
      <c r="L1457" s="2">
        <v>3379879</v>
      </c>
      <c r="M1457" s="2">
        <v>6143129066.3500004</v>
      </c>
      <c r="N1457" s="2">
        <v>101664</v>
      </c>
      <c r="O1457" t="s">
        <v>21</v>
      </c>
      <c r="P1457" s="8">
        <f t="shared" si="66"/>
        <v>3.3500000000001364</v>
      </c>
      <c r="Q1457" t="s">
        <v>38</v>
      </c>
      <c r="R1457">
        <f t="shared" si="67"/>
        <v>2</v>
      </c>
      <c r="S1457" t="str">
        <f t="shared" si="68"/>
        <v>Feb</v>
      </c>
      <c r="T1457" s="9">
        <f>VLOOKUP(O1457, Annual_Summary!A:B, 2, 0)</f>
        <v>-0.14188579017264272</v>
      </c>
    </row>
    <row r="1458" spans="1:20" x14ac:dyDescent="0.3">
      <c r="A1458" s="1">
        <v>45708</v>
      </c>
      <c r="B1458" s="4" t="s">
        <v>15</v>
      </c>
      <c r="C1458" s="4">
        <v>1805.55</v>
      </c>
      <c r="D1458" s="4">
        <v>1831</v>
      </c>
      <c r="E1458" s="4">
        <v>1805.55</v>
      </c>
      <c r="F1458" s="4">
        <v>1810.8</v>
      </c>
      <c r="G1458" s="4">
        <v>1826</v>
      </c>
      <c r="H1458" s="4">
        <v>1825.15</v>
      </c>
      <c r="I1458" s="4">
        <v>1822.29</v>
      </c>
      <c r="J1458" s="4">
        <v>2006.45</v>
      </c>
      <c r="K1458" s="4">
        <v>1358.35</v>
      </c>
      <c r="L1458" s="2">
        <v>2218020</v>
      </c>
      <c r="M1458" s="2">
        <v>4041874473.4000001</v>
      </c>
      <c r="N1458" s="2">
        <v>116360</v>
      </c>
      <c r="O1458" t="s">
        <v>21</v>
      </c>
      <c r="P1458" s="8">
        <f t="shared" si="66"/>
        <v>5.25</v>
      </c>
      <c r="Q1458" t="s">
        <v>38</v>
      </c>
      <c r="R1458">
        <f t="shared" si="67"/>
        <v>2</v>
      </c>
      <c r="S1458" t="str">
        <f t="shared" si="68"/>
        <v>Feb</v>
      </c>
      <c r="T1458" s="9">
        <f>VLOOKUP(O1458, Annual_Summary!A:B, 2, 0)</f>
        <v>-0.14188579017264272</v>
      </c>
    </row>
    <row r="1459" spans="1:20" x14ac:dyDescent="0.3">
      <c r="A1459" s="1">
        <v>45707</v>
      </c>
      <c r="B1459" s="4" t="s">
        <v>15</v>
      </c>
      <c r="C1459" s="4">
        <v>1847.4</v>
      </c>
      <c r="D1459" s="4">
        <v>1849.2</v>
      </c>
      <c r="E1459" s="4">
        <v>1805.9</v>
      </c>
      <c r="F1459" s="4">
        <v>1851.95</v>
      </c>
      <c r="G1459" s="4">
        <v>1810.85</v>
      </c>
      <c r="H1459" s="4">
        <v>1810.8</v>
      </c>
      <c r="I1459" s="4">
        <v>1820.83</v>
      </c>
      <c r="J1459" s="4">
        <v>2006.45</v>
      </c>
      <c r="K1459" s="4">
        <v>1358.35</v>
      </c>
      <c r="L1459" s="2">
        <v>4611411</v>
      </c>
      <c r="M1459" s="2">
        <v>8396592012.1999998</v>
      </c>
      <c r="N1459" s="2">
        <v>214412</v>
      </c>
      <c r="O1459" t="s">
        <v>21</v>
      </c>
      <c r="P1459" s="8">
        <f t="shared" si="66"/>
        <v>4.5499999999999545</v>
      </c>
      <c r="Q1459" t="s">
        <v>38</v>
      </c>
      <c r="R1459">
        <f t="shared" si="67"/>
        <v>2</v>
      </c>
      <c r="S1459" t="str">
        <f t="shared" si="68"/>
        <v>Feb</v>
      </c>
      <c r="T1459" s="9">
        <f>VLOOKUP(O1459, Annual_Summary!A:B, 2, 0)</f>
        <v>-0.14188579017264272</v>
      </c>
    </row>
    <row r="1460" spans="1:20" x14ac:dyDescent="0.3">
      <c r="A1460" s="1">
        <v>45706</v>
      </c>
      <c r="B1460" s="4" t="s">
        <v>15</v>
      </c>
      <c r="C1460" s="4">
        <v>1842.3</v>
      </c>
      <c r="D1460" s="4">
        <v>1861.65</v>
      </c>
      <c r="E1460" s="4">
        <v>1837.6</v>
      </c>
      <c r="F1460" s="4">
        <v>1842.3</v>
      </c>
      <c r="G1460" s="4">
        <v>1848</v>
      </c>
      <c r="H1460" s="4">
        <v>1851.95</v>
      </c>
      <c r="I1460" s="4">
        <v>1848.81</v>
      </c>
      <c r="J1460" s="4">
        <v>2006.45</v>
      </c>
      <c r="K1460" s="4">
        <v>1358.35</v>
      </c>
      <c r="L1460" s="2">
        <v>4365260</v>
      </c>
      <c r="M1460" s="2">
        <v>8070546827.0500002</v>
      </c>
      <c r="N1460" s="2">
        <v>100362</v>
      </c>
      <c r="O1460" t="s">
        <v>21</v>
      </c>
      <c r="P1460" s="8">
        <f t="shared" si="66"/>
        <v>0</v>
      </c>
      <c r="Q1460" t="s">
        <v>38</v>
      </c>
      <c r="R1460">
        <f t="shared" si="67"/>
        <v>2</v>
      </c>
      <c r="S1460" t="str">
        <f t="shared" si="68"/>
        <v>Feb</v>
      </c>
      <c r="T1460" s="9">
        <f>VLOOKUP(O1460, Annual_Summary!A:B, 2, 0)</f>
        <v>-0.14188579017264272</v>
      </c>
    </row>
    <row r="1461" spans="1:20" x14ac:dyDescent="0.3">
      <c r="A1461" s="1">
        <v>45705</v>
      </c>
      <c r="B1461" s="4" t="s">
        <v>15</v>
      </c>
      <c r="C1461" s="4">
        <v>1838.55</v>
      </c>
      <c r="D1461" s="4">
        <v>1852.75</v>
      </c>
      <c r="E1461" s="4">
        <v>1822.15</v>
      </c>
      <c r="F1461" s="4">
        <v>1856.4</v>
      </c>
      <c r="G1461" s="4">
        <v>1843.05</v>
      </c>
      <c r="H1461" s="4">
        <v>1842.3</v>
      </c>
      <c r="I1461" s="4">
        <v>1838.63</v>
      </c>
      <c r="J1461" s="4">
        <v>2006.45</v>
      </c>
      <c r="K1461" s="4">
        <v>1358.35</v>
      </c>
      <c r="L1461" s="2">
        <v>4428956</v>
      </c>
      <c r="M1461" s="2">
        <v>8143213452.3000002</v>
      </c>
      <c r="N1461" s="2">
        <v>149656</v>
      </c>
      <c r="O1461" t="s">
        <v>21</v>
      </c>
      <c r="P1461" s="8">
        <f t="shared" si="66"/>
        <v>17.850000000000136</v>
      </c>
      <c r="Q1461" t="s">
        <v>38</v>
      </c>
      <c r="R1461">
        <f t="shared" si="67"/>
        <v>2</v>
      </c>
      <c r="S1461" t="str">
        <f t="shared" si="68"/>
        <v>Feb</v>
      </c>
      <c r="T1461" s="9">
        <f>VLOOKUP(O1461, Annual_Summary!A:B, 2, 0)</f>
        <v>-0.14188579017264272</v>
      </c>
    </row>
    <row r="1462" spans="1:20" x14ac:dyDescent="0.3">
      <c r="A1462" s="1">
        <v>45702</v>
      </c>
      <c r="B1462" s="4" t="s">
        <v>15</v>
      </c>
      <c r="C1462" s="4">
        <v>1854</v>
      </c>
      <c r="D1462" s="4">
        <v>1859.3</v>
      </c>
      <c r="E1462" s="4">
        <v>1828.35</v>
      </c>
      <c r="F1462" s="4">
        <v>1843.25</v>
      </c>
      <c r="G1462" s="4">
        <v>1853</v>
      </c>
      <c r="H1462" s="4">
        <v>1856.4</v>
      </c>
      <c r="I1462" s="4">
        <v>1845.06</v>
      </c>
      <c r="J1462" s="4">
        <v>2006.45</v>
      </c>
      <c r="K1462" s="4">
        <v>1358.35</v>
      </c>
      <c r="L1462" s="2">
        <v>5292961</v>
      </c>
      <c r="M1462" s="2">
        <v>9765818737.5499992</v>
      </c>
      <c r="N1462" s="2">
        <v>179989</v>
      </c>
      <c r="O1462" t="s">
        <v>21</v>
      </c>
      <c r="P1462" s="8">
        <f t="shared" si="66"/>
        <v>-10.75</v>
      </c>
      <c r="Q1462" t="s">
        <v>38</v>
      </c>
      <c r="R1462">
        <f t="shared" si="67"/>
        <v>2</v>
      </c>
      <c r="S1462" t="str">
        <f t="shared" si="68"/>
        <v>Feb</v>
      </c>
      <c r="T1462" s="9">
        <f>VLOOKUP(O1462, Annual_Summary!A:B, 2, 0)</f>
        <v>-0.14188579017264272</v>
      </c>
    </row>
    <row r="1463" spans="1:20" x14ac:dyDescent="0.3">
      <c r="A1463" s="1">
        <v>45701</v>
      </c>
      <c r="B1463" s="4" t="s">
        <v>15</v>
      </c>
      <c r="C1463" s="4">
        <v>1868.5</v>
      </c>
      <c r="D1463" s="4">
        <v>1873.5</v>
      </c>
      <c r="E1463" s="4">
        <v>1835.65</v>
      </c>
      <c r="F1463" s="4">
        <v>1863.15</v>
      </c>
      <c r="G1463" s="4">
        <v>1840.65</v>
      </c>
      <c r="H1463" s="4">
        <v>1843.25</v>
      </c>
      <c r="I1463" s="4">
        <v>1851.21</v>
      </c>
      <c r="J1463" s="4">
        <v>2006.45</v>
      </c>
      <c r="K1463" s="4">
        <v>1358.35</v>
      </c>
      <c r="L1463" s="2">
        <v>5237744</v>
      </c>
      <c r="M1463" s="2">
        <v>9696150378.6499996</v>
      </c>
      <c r="N1463" s="2">
        <v>192119</v>
      </c>
      <c r="O1463" t="s">
        <v>21</v>
      </c>
      <c r="P1463" s="8">
        <f t="shared" si="66"/>
        <v>-5.3499999999999091</v>
      </c>
      <c r="Q1463" t="s">
        <v>38</v>
      </c>
      <c r="R1463">
        <f t="shared" si="67"/>
        <v>2</v>
      </c>
      <c r="S1463" t="str">
        <f t="shared" si="68"/>
        <v>Feb</v>
      </c>
      <c r="T1463" s="9">
        <f>VLOOKUP(O1463, Annual_Summary!A:B, 2, 0)</f>
        <v>-0.14188579017264272</v>
      </c>
    </row>
    <row r="1464" spans="1:20" x14ac:dyDescent="0.3">
      <c r="A1464" s="1">
        <v>45700</v>
      </c>
      <c r="B1464" s="4" t="s">
        <v>15</v>
      </c>
      <c r="C1464" s="4">
        <v>1885</v>
      </c>
      <c r="D1464" s="4">
        <v>1894.6</v>
      </c>
      <c r="E1464" s="4">
        <v>1847</v>
      </c>
      <c r="F1464" s="4">
        <v>1875.65</v>
      </c>
      <c r="G1464" s="4">
        <v>1864</v>
      </c>
      <c r="H1464" s="4">
        <v>1863.15</v>
      </c>
      <c r="I1464" s="4">
        <v>1866.72</v>
      </c>
      <c r="J1464" s="4">
        <v>2006.45</v>
      </c>
      <c r="K1464" s="4">
        <v>1358.35</v>
      </c>
      <c r="L1464" s="2">
        <v>5633947</v>
      </c>
      <c r="M1464" s="2">
        <v>10516984029.1</v>
      </c>
      <c r="N1464" s="2">
        <v>222006</v>
      </c>
      <c r="O1464" t="s">
        <v>21</v>
      </c>
      <c r="P1464" s="8">
        <f t="shared" si="66"/>
        <v>-9.3499999999999091</v>
      </c>
      <c r="Q1464" t="s">
        <v>38</v>
      </c>
      <c r="R1464">
        <f t="shared" si="67"/>
        <v>2</v>
      </c>
      <c r="S1464" t="str">
        <f t="shared" si="68"/>
        <v>Feb</v>
      </c>
      <c r="T1464" s="9">
        <f>VLOOKUP(O1464, Annual_Summary!A:B, 2, 0)</f>
        <v>-0.14188579017264272</v>
      </c>
    </row>
    <row r="1465" spans="1:20" x14ac:dyDescent="0.3">
      <c r="A1465" s="1">
        <v>45699</v>
      </c>
      <c r="B1465" s="4" t="s">
        <v>15</v>
      </c>
      <c r="C1465" s="4">
        <v>1883.1</v>
      </c>
      <c r="D1465" s="4">
        <v>1903</v>
      </c>
      <c r="E1465" s="4">
        <v>1870</v>
      </c>
      <c r="F1465" s="4">
        <v>1880.3</v>
      </c>
      <c r="G1465" s="4">
        <v>1879</v>
      </c>
      <c r="H1465" s="4">
        <v>1875.65</v>
      </c>
      <c r="I1465" s="4">
        <v>1883.68</v>
      </c>
      <c r="J1465" s="4">
        <v>2006.45</v>
      </c>
      <c r="K1465" s="4">
        <v>1358.35</v>
      </c>
      <c r="L1465" s="2">
        <v>4411601</v>
      </c>
      <c r="M1465" s="2">
        <v>8310066406.3000002</v>
      </c>
      <c r="N1465" s="2">
        <v>160934</v>
      </c>
      <c r="O1465" t="s">
        <v>21</v>
      </c>
      <c r="P1465" s="8">
        <f t="shared" si="66"/>
        <v>-2.7999999999999545</v>
      </c>
      <c r="Q1465" t="s">
        <v>38</v>
      </c>
      <c r="R1465">
        <f t="shared" si="67"/>
        <v>2</v>
      </c>
      <c r="S1465" t="str">
        <f t="shared" si="68"/>
        <v>Feb</v>
      </c>
      <c r="T1465" s="9">
        <f>VLOOKUP(O1465, Annual_Summary!A:B, 2, 0)</f>
        <v>-0.14188579017264272</v>
      </c>
    </row>
    <row r="1466" spans="1:20" x14ac:dyDescent="0.3">
      <c r="A1466" s="1">
        <v>45698</v>
      </c>
      <c r="B1466" s="4" t="s">
        <v>15</v>
      </c>
      <c r="C1466" s="4">
        <v>1905</v>
      </c>
      <c r="D1466" s="4">
        <v>1905</v>
      </c>
      <c r="E1466" s="4">
        <v>1878.6</v>
      </c>
      <c r="F1466" s="4">
        <v>1903.65</v>
      </c>
      <c r="G1466" s="4">
        <v>1880</v>
      </c>
      <c r="H1466" s="4">
        <v>1880.3</v>
      </c>
      <c r="I1466" s="4">
        <v>1885.89</v>
      </c>
      <c r="J1466" s="4">
        <v>2006.45</v>
      </c>
      <c r="K1466" s="4">
        <v>1358.35</v>
      </c>
      <c r="L1466" s="2">
        <v>3828734</v>
      </c>
      <c r="M1466" s="2">
        <v>7220570924.25</v>
      </c>
      <c r="N1466" s="2">
        <v>151607</v>
      </c>
      <c r="O1466" t="s">
        <v>21</v>
      </c>
      <c r="P1466" s="8">
        <f t="shared" si="66"/>
        <v>-1.3499999999999091</v>
      </c>
      <c r="Q1466" t="s">
        <v>38</v>
      </c>
      <c r="R1466">
        <f t="shared" si="67"/>
        <v>2</v>
      </c>
      <c r="S1466" t="str">
        <f t="shared" si="68"/>
        <v>Feb</v>
      </c>
      <c r="T1466" s="9">
        <f>VLOOKUP(O1466, Annual_Summary!A:B, 2, 0)</f>
        <v>-0.14188579017264272</v>
      </c>
    </row>
    <row r="1467" spans="1:20" x14ac:dyDescent="0.3">
      <c r="A1467" s="1">
        <v>45695</v>
      </c>
      <c r="B1467" s="4" t="s">
        <v>15</v>
      </c>
      <c r="C1467" s="4">
        <v>1919.3</v>
      </c>
      <c r="D1467" s="4">
        <v>1923.7</v>
      </c>
      <c r="E1467" s="4">
        <v>1889.45</v>
      </c>
      <c r="F1467" s="4">
        <v>1915.65</v>
      </c>
      <c r="G1467" s="4">
        <v>1901.1</v>
      </c>
      <c r="H1467" s="4">
        <v>1903.65</v>
      </c>
      <c r="I1467" s="4">
        <v>1902.44</v>
      </c>
      <c r="J1467" s="4">
        <v>2006.45</v>
      </c>
      <c r="K1467" s="4">
        <v>1358.35</v>
      </c>
      <c r="L1467" s="2">
        <v>4126260</v>
      </c>
      <c r="M1467" s="2">
        <v>7849962358.0500002</v>
      </c>
      <c r="N1467" s="2">
        <v>155494</v>
      </c>
      <c r="O1467" t="s">
        <v>21</v>
      </c>
      <c r="P1467" s="8">
        <f t="shared" si="66"/>
        <v>-3.6499999999998636</v>
      </c>
      <c r="Q1467" t="s">
        <v>38</v>
      </c>
      <c r="R1467">
        <f t="shared" si="67"/>
        <v>2</v>
      </c>
      <c r="S1467" t="str">
        <f t="shared" si="68"/>
        <v>Feb</v>
      </c>
      <c r="T1467" s="9">
        <f>VLOOKUP(O1467, Annual_Summary!A:B, 2, 0)</f>
        <v>-0.14188579017264272</v>
      </c>
    </row>
    <row r="1468" spans="1:20" x14ac:dyDescent="0.3">
      <c r="A1468" s="1">
        <v>45694</v>
      </c>
      <c r="B1468" s="4" t="s">
        <v>15</v>
      </c>
      <c r="C1468" s="4">
        <v>1917</v>
      </c>
      <c r="D1468" s="4">
        <v>1924</v>
      </c>
      <c r="E1468" s="4">
        <v>1900</v>
      </c>
      <c r="F1468" s="4">
        <v>1897.05</v>
      </c>
      <c r="G1468" s="4">
        <v>1913.75</v>
      </c>
      <c r="H1468" s="4">
        <v>1915.65</v>
      </c>
      <c r="I1468" s="4">
        <v>1910.66</v>
      </c>
      <c r="J1468" s="4">
        <v>2006.45</v>
      </c>
      <c r="K1468" s="4">
        <v>1358.35</v>
      </c>
      <c r="L1468" s="2">
        <v>4765255</v>
      </c>
      <c r="M1468" s="2">
        <v>9104791357.3999996</v>
      </c>
      <c r="N1468" s="2">
        <v>151924</v>
      </c>
      <c r="O1468" t="s">
        <v>21</v>
      </c>
      <c r="P1468" s="8">
        <f t="shared" si="66"/>
        <v>-19.950000000000045</v>
      </c>
      <c r="Q1468" t="s">
        <v>38</v>
      </c>
      <c r="R1468">
        <f t="shared" si="67"/>
        <v>2</v>
      </c>
      <c r="S1468" t="str">
        <f t="shared" si="68"/>
        <v>Feb</v>
      </c>
      <c r="T1468" s="9">
        <f>VLOOKUP(O1468, Annual_Summary!A:B, 2, 0)</f>
        <v>-0.14188579017264272</v>
      </c>
    </row>
    <row r="1469" spans="1:20" x14ac:dyDescent="0.3">
      <c r="A1469" s="1">
        <v>45693</v>
      </c>
      <c r="B1469" s="4" t="s">
        <v>15</v>
      </c>
      <c r="C1469" s="4">
        <v>1906</v>
      </c>
      <c r="D1469" s="4">
        <v>1919.7</v>
      </c>
      <c r="E1469" s="4">
        <v>1894.3</v>
      </c>
      <c r="F1469" s="4">
        <v>1898.8</v>
      </c>
      <c r="G1469" s="4">
        <v>1899.15</v>
      </c>
      <c r="H1469" s="4">
        <v>1897.05</v>
      </c>
      <c r="I1469" s="4">
        <v>1901.79</v>
      </c>
      <c r="J1469" s="4">
        <v>2006.45</v>
      </c>
      <c r="K1469" s="4">
        <v>1358.35</v>
      </c>
      <c r="L1469" s="2">
        <v>4996744</v>
      </c>
      <c r="M1469" s="2">
        <v>9502754311.3500004</v>
      </c>
      <c r="N1469" s="2">
        <v>170651</v>
      </c>
      <c r="O1469" t="s">
        <v>21</v>
      </c>
      <c r="P1469" s="8">
        <f t="shared" si="66"/>
        <v>-7.2000000000000455</v>
      </c>
      <c r="Q1469" t="s">
        <v>38</v>
      </c>
      <c r="R1469">
        <f t="shared" si="67"/>
        <v>2</v>
      </c>
      <c r="S1469" t="str">
        <f t="shared" si="68"/>
        <v>Feb</v>
      </c>
      <c r="T1469" s="9">
        <f>VLOOKUP(O1469, Annual_Summary!A:B, 2, 0)</f>
        <v>-0.14188579017264272</v>
      </c>
    </row>
    <row r="1470" spans="1:20" x14ac:dyDescent="0.3">
      <c r="A1470" s="1">
        <v>45692</v>
      </c>
      <c r="B1470" s="4" t="s">
        <v>15</v>
      </c>
      <c r="C1470" s="4">
        <v>1889</v>
      </c>
      <c r="D1470" s="4">
        <v>1911.2</v>
      </c>
      <c r="E1470" s="4">
        <v>1875</v>
      </c>
      <c r="F1470" s="4">
        <v>1863.3</v>
      </c>
      <c r="G1470" s="4">
        <v>1894.85</v>
      </c>
      <c r="H1470" s="4">
        <v>1898.8</v>
      </c>
      <c r="I1470" s="4">
        <v>1892.32</v>
      </c>
      <c r="J1470" s="4">
        <v>2006.45</v>
      </c>
      <c r="K1470" s="4">
        <v>1358.35</v>
      </c>
      <c r="L1470" s="2">
        <v>7334787</v>
      </c>
      <c r="M1470" s="2">
        <v>13879756408.549999</v>
      </c>
      <c r="N1470" s="2">
        <v>254137</v>
      </c>
      <c r="O1470" t="s">
        <v>21</v>
      </c>
      <c r="P1470" s="8">
        <f t="shared" si="66"/>
        <v>-25.700000000000045</v>
      </c>
      <c r="Q1470" t="s">
        <v>38</v>
      </c>
      <c r="R1470">
        <f t="shared" si="67"/>
        <v>2</v>
      </c>
      <c r="S1470" t="str">
        <f t="shared" si="68"/>
        <v>Feb</v>
      </c>
      <c r="T1470" s="9">
        <f>VLOOKUP(O1470, Annual_Summary!A:B, 2, 0)</f>
        <v>-0.14188579017264272</v>
      </c>
    </row>
    <row r="1471" spans="1:20" x14ac:dyDescent="0.3">
      <c r="A1471" s="1">
        <v>45691</v>
      </c>
      <c r="B1471" s="4" t="s">
        <v>15</v>
      </c>
      <c r="C1471" s="4">
        <v>1836</v>
      </c>
      <c r="D1471" s="4">
        <v>1876.55</v>
      </c>
      <c r="E1471" s="4">
        <v>1832.4</v>
      </c>
      <c r="F1471" s="4">
        <v>1851.35</v>
      </c>
      <c r="G1471" s="4">
        <v>1864.1</v>
      </c>
      <c r="H1471" s="4">
        <v>1863.3</v>
      </c>
      <c r="I1471" s="4">
        <v>1858.62</v>
      </c>
      <c r="J1471" s="4">
        <v>2006.45</v>
      </c>
      <c r="K1471" s="4">
        <v>1358.35</v>
      </c>
      <c r="L1471" s="2">
        <v>4823228</v>
      </c>
      <c r="M1471" s="2">
        <v>8964553565.3999996</v>
      </c>
      <c r="N1471" s="2">
        <v>177156</v>
      </c>
      <c r="O1471" t="s">
        <v>21</v>
      </c>
      <c r="P1471" s="8">
        <f t="shared" si="66"/>
        <v>15.349999999999909</v>
      </c>
      <c r="Q1471" t="s">
        <v>38</v>
      </c>
      <c r="R1471">
        <f t="shared" si="67"/>
        <v>2</v>
      </c>
      <c r="S1471" t="str">
        <f t="shared" si="68"/>
        <v>Feb</v>
      </c>
      <c r="T1471" s="9">
        <f>VLOOKUP(O1471, Annual_Summary!A:B, 2, 0)</f>
        <v>-0.14188579017264272</v>
      </c>
    </row>
    <row r="1472" spans="1:20" x14ac:dyDescent="0.3">
      <c r="A1472" s="1">
        <v>45689</v>
      </c>
      <c r="B1472" s="4" t="s">
        <v>15</v>
      </c>
      <c r="C1472" s="4">
        <v>1880.3</v>
      </c>
      <c r="D1472" s="4">
        <v>1890.6</v>
      </c>
      <c r="E1472" s="4">
        <v>1846</v>
      </c>
      <c r="F1472" s="4">
        <v>1879.8</v>
      </c>
      <c r="G1472" s="4">
        <v>1863</v>
      </c>
      <c r="H1472" s="4">
        <v>1851.35</v>
      </c>
      <c r="I1472" s="4">
        <v>1862.44</v>
      </c>
      <c r="J1472" s="4">
        <v>2006.45</v>
      </c>
      <c r="K1472" s="4">
        <v>1358.35</v>
      </c>
      <c r="L1472" s="2">
        <v>1701402</v>
      </c>
      <c r="M1472" s="2">
        <v>3168763954</v>
      </c>
      <c r="N1472" s="2">
        <v>70335</v>
      </c>
      <c r="O1472" t="s">
        <v>21</v>
      </c>
      <c r="P1472" s="8">
        <f t="shared" si="66"/>
        <v>-0.5</v>
      </c>
      <c r="Q1472" t="s">
        <v>38</v>
      </c>
      <c r="R1472">
        <f t="shared" si="67"/>
        <v>2</v>
      </c>
      <c r="S1472" t="str">
        <f t="shared" si="68"/>
        <v>Feb</v>
      </c>
      <c r="T1472" s="9">
        <f>VLOOKUP(O1472, Annual_Summary!A:B, 2, 0)</f>
        <v>-0.14188579017264272</v>
      </c>
    </row>
    <row r="1473" spans="1:20" x14ac:dyDescent="0.3">
      <c r="A1473" s="1">
        <v>45688</v>
      </c>
      <c r="B1473" s="4" t="s">
        <v>15</v>
      </c>
      <c r="C1473" s="4">
        <v>1871</v>
      </c>
      <c r="D1473" s="4">
        <v>1897.45</v>
      </c>
      <c r="E1473" s="4">
        <v>1871</v>
      </c>
      <c r="F1473" s="4">
        <v>1859.95</v>
      </c>
      <c r="G1473" s="4">
        <v>1882.95</v>
      </c>
      <c r="H1473" s="4">
        <v>1879.8</v>
      </c>
      <c r="I1473" s="4">
        <v>1881.49</v>
      </c>
      <c r="J1473" s="4">
        <v>2006.45</v>
      </c>
      <c r="K1473" s="4">
        <v>1358.35</v>
      </c>
      <c r="L1473" s="2">
        <v>5820470</v>
      </c>
      <c r="M1473" s="2">
        <v>10951149690.200001</v>
      </c>
      <c r="N1473" s="2">
        <v>181998</v>
      </c>
      <c r="O1473" t="s">
        <v>21</v>
      </c>
      <c r="P1473" s="8">
        <f t="shared" si="66"/>
        <v>-11.049999999999955</v>
      </c>
      <c r="Q1473" t="s">
        <v>38</v>
      </c>
      <c r="R1473">
        <f t="shared" si="67"/>
        <v>1</v>
      </c>
      <c r="S1473" t="str">
        <f t="shared" si="68"/>
        <v>Jan</v>
      </c>
      <c r="T1473" s="9">
        <f>VLOOKUP(O1473, Annual_Summary!A:B, 2, 0)</f>
        <v>-0.14188579017264272</v>
      </c>
    </row>
    <row r="1474" spans="1:20" x14ac:dyDescent="0.3">
      <c r="A1474" s="1">
        <v>45687</v>
      </c>
      <c r="B1474" s="4" t="s">
        <v>15</v>
      </c>
      <c r="C1474" s="4">
        <v>1873.15</v>
      </c>
      <c r="D1474" s="4">
        <v>1887.2</v>
      </c>
      <c r="E1474" s="4">
        <v>1844</v>
      </c>
      <c r="F1474" s="4">
        <v>1881.25</v>
      </c>
      <c r="G1474" s="4">
        <v>1868.4</v>
      </c>
      <c r="H1474" s="4">
        <v>1859.95</v>
      </c>
      <c r="I1474" s="4">
        <v>1859.61</v>
      </c>
      <c r="J1474" s="4">
        <v>2006.45</v>
      </c>
      <c r="K1474" s="4">
        <v>1358.35</v>
      </c>
      <c r="L1474" s="2">
        <v>7336056</v>
      </c>
      <c r="M1474" s="2">
        <v>13642183045.25</v>
      </c>
      <c r="N1474" s="2">
        <v>203038</v>
      </c>
      <c r="O1474" t="s">
        <v>21</v>
      </c>
      <c r="P1474" s="8">
        <f t="shared" si="66"/>
        <v>8.0999999999999091</v>
      </c>
      <c r="Q1474" t="s">
        <v>38</v>
      </c>
      <c r="R1474">
        <f t="shared" si="67"/>
        <v>1</v>
      </c>
      <c r="S1474" t="str">
        <f t="shared" si="68"/>
        <v>Jan</v>
      </c>
      <c r="T1474" s="9">
        <f>VLOOKUP(O1474, Annual_Summary!A:B, 2, 0)</f>
        <v>-0.14188579017264272</v>
      </c>
    </row>
    <row r="1475" spans="1:20" x14ac:dyDescent="0.3">
      <c r="A1475" s="1">
        <v>45686</v>
      </c>
      <c r="B1475" s="4" t="s">
        <v>15</v>
      </c>
      <c r="C1475" s="4">
        <v>1845</v>
      </c>
      <c r="D1475" s="4">
        <v>1888.65</v>
      </c>
      <c r="E1475" s="4">
        <v>1840.5</v>
      </c>
      <c r="F1475" s="4">
        <v>1829.75</v>
      </c>
      <c r="G1475" s="4">
        <v>1877.55</v>
      </c>
      <c r="H1475" s="4">
        <v>1881.25</v>
      </c>
      <c r="I1475" s="4">
        <v>1867.04</v>
      </c>
      <c r="J1475" s="4">
        <v>2006.45</v>
      </c>
      <c r="K1475" s="4">
        <v>1358.35</v>
      </c>
      <c r="L1475" s="2">
        <v>5145155</v>
      </c>
      <c r="M1475" s="2">
        <v>9606185635.0499992</v>
      </c>
      <c r="N1475" s="2">
        <v>208458</v>
      </c>
      <c r="O1475" t="s">
        <v>21</v>
      </c>
      <c r="P1475" s="8">
        <f t="shared" ref="P1475:P1538" si="69">F1475-C1475</f>
        <v>-15.25</v>
      </c>
      <c r="Q1475" t="s">
        <v>38</v>
      </c>
      <c r="R1475">
        <f t="shared" ref="R1475:R1538" si="70">MONTH(A1475)</f>
        <v>1</v>
      </c>
      <c r="S1475" t="str">
        <f t="shared" ref="S1475:S1538" si="71">TEXT(A1475,"mmm")</f>
        <v>Jan</v>
      </c>
      <c r="T1475" s="9">
        <f>VLOOKUP(O1475, Annual_Summary!A:B, 2, 0)</f>
        <v>-0.14188579017264272</v>
      </c>
    </row>
    <row r="1476" spans="1:20" x14ac:dyDescent="0.3">
      <c r="A1476" s="1">
        <v>45685</v>
      </c>
      <c r="B1476" s="4" t="s">
        <v>15</v>
      </c>
      <c r="C1476" s="4">
        <v>1830</v>
      </c>
      <c r="D1476" s="4">
        <v>1863.5</v>
      </c>
      <c r="E1476" s="4">
        <v>1824.9</v>
      </c>
      <c r="F1476" s="4">
        <v>1822</v>
      </c>
      <c r="G1476" s="4">
        <v>1831</v>
      </c>
      <c r="H1476" s="4">
        <v>1829.75</v>
      </c>
      <c r="I1476" s="4">
        <v>1842.44</v>
      </c>
      <c r="J1476" s="4">
        <v>2006.45</v>
      </c>
      <c r="K1476" s="4">
        <v>1358.35</v>
      </c>
      <c r="L1476" s="2">
        <v>6999495</v>
      </c>
      <c r="M1476" s="2">
        <v>12896153068.9</v>
      </c>
      <c r="N1476" s="2">
        <v>343851</v>
      </c>
      <c r="O1476" t="s">
        <v>21</v>
      </c>
      <c r="P1476" s="8">
        <f t="shared" si="69"/>
        <v>-8</v>
      </c>
      <c r="Q1476" t="s">
        <v>38</v>
      </c>
      <c r="R1476">
        <f t="shared" si="70"/>
        <v>1</v>
      </c>
      <c r="S1476" t="str">
        <f t="shared" si="71"/>
        <v>Jan</v>
      </c>
      <c r="T1476" s="9">
        <f>VLOOKUP(O1476, Annual_Summary!A:B, 2, 0)</f>
        <v>-0.14188579017264272</v>
      </c>
    </row>
    <row r="1477" spans="1:20" x14ac:dyDescent="0.3">
      <c r="A1477" s="1">
        <v>45684</v>
      </c>
      <c r="B1477" s="4" t="s">
        <v>15</v>
      </c>
      <c r="C1477" s="4">
        <v>1848.75</v>
      </c>
      <c r="D1477" s="4">
        <v>1863</v>
      </c>
      <c r="E1477" s="4">
        <v>1812</v>
      </c>
      <c r="F1477" s="4">
        <v>1875.45</v>
      </c>
      <c r="G1477" s="4">
        <v>1823</v>
      </c>
      <c r="H1477" s="4">
        <v>1822</v>
      </c>
      <c r="I1477" s="4">
        <v>1838.09</v>
      </c>
      <c r="J1477" s="4">
        <v>2006.45</v>
      </c>
      <c r="K1477" s="4">
        <v>1358.35</v>
      </c>
      <c r="L1477" s="2">
        <v>7652371</v>
      </c>
      <c r="M1477" s="2">
        <v>14065747508.9</v>
      </c>
      <c r="N1477" s="2">
        <v>242782</v>
      </c>
      <c r="O1477" t="s">
        <v>21</v>
      </c>
      <c r="P1477" s="8">
        <f t="shared" si="69"/>
        <v>26.700000000000045</v>
      </c>
      <c r="Q1477" t="s">
        <v>38</v>
      </c>
      <c r="R1477">
        <f t="shared" si="70"/>
        <v>1</v>
      </c>
      <c r="S1477" t="str">
        <f t="shared" si="71"/>
        <v>Jan</v>
      </c>
      <c r="T1477" s="9">
        <f>VLOOKUP(O1477, Annual_Summary!A:B, 2, 0)</f>
        <v>-0.14188579017264272</v>
      </c>
    </row>
    <row r="1478" spans="1:20" x14ac:dyDescent="0.3">
      <c r="A1478" s="1">
        <v>45681</v>
      </c>
      <c r="B1478" s="4" t="s">
        <v>15</v>
      </c>
      <c r="C1478" s="4">
        <v>1865.5</v>
      </c>
      <c r="D1478" s="4">
        <v>1894.9</v>
      </c>
      <c r="E1478" s="4">
        <v>1864.25</v>
      </c>
      <c r="F1478" s="4">
        <v>1865.45</v>
      </c>
      <c r="G1478" s="4">
        <v>1875</v>
      </c>
      <c r="H1478" s="4">
        <v>1875.45</v>
      </c>
      <c r="I1478" s="4">
        <v>1881.56</v>
      </c>
      <c r="J1478" s="4">
        <v>2006.45</v>
      </c>
      <c r="K1478" s="4">
        <v>1358.35</v>
      </c>
      <c r="L1478" s="2">
        <v>4887027</v>
      </c>
      <c r="M1478" s="2">
        <v>9195242026.1000004</v>
      </c>
      <c r="N1478" s="2">
        <v>294925</v>
      </c>
      <c r="O1478" t="s">
        <v>21</v>
      </c>
      <c r="P1478" s="8">
        <f t="shared" si="69"/>
        <v>-4.9999999999954525E-2</v>
      </c>
      <c r="Q1478" t="s">
        <v>38</v>
      </c>
      <c r="R1478">
        <f t="shared" si="70"/>
        <v>1</v>
      </c>
      <c r="S1478" t="str">
        <f t="shared" si="71"/>
        <v>Jan</v>
      </c>
      <c r="T1478" s="9">
        <f>VLOOKUP(O1478, Annual_Summary!A:B, 2, 0)</f>
        <v>-0.14188579017264272</v>
      </c>
    </row>
    <row r="1479" spans="1:20" x14ac:dyDescent="0.3">
      <c r="A1479" s="1">
        <v>45680</v>
      </c>
      <c r="B1479" s="4" t="s">
        <v>15</v>
      </c>
      <c r="C1479" s="4">
        <v>1858</v>
      </c>
      <c r="D1479" s="4">
        <v>1879.55</v>
      </c>
      <c r="E1479" s="4">
        <v>1852.7</v>
      </c>
      <c r="F1479" s="4">
        <v>1856.45</v>
      </c>
      <c r="G1479" s="4">
        <v>1864.8</v>
      </c>
      <c r="H1479" s="4">
        <v>1865.45</v>
      </c>
      <c r="I1479" s="4">
        <v>1868.88</v>
      </c>
      <c r="J1479" s="4">
        <v>2006.45</v>
      </c>
      <c r="K1479" s="4">
        <v>1358.35</v>
      </c>
      <c r="L1479" s="2">
        <v>5907471</v>
      </c>
      <c r="M1479" s="2">
        <v>11040365439.1</v>
      </c>
      <c r="N1479" s="2">
        <v>305255</v>
      </c>
      <c r="O1479" t="s">
        <v>21</v>
      </c>
      <c r="P1479" s="8">
        <f t="shared" si="69"/>
        <v>-1.5499999999999545</v>
      </c>
      <c r="Q1479" t="s">
        <v>38</v>
      </c>
      <c r="R1479">
        <f t="shared" si="70"/>
        <v>1</v>
      </c>
      <c r="S1479" t="str">
        <f t="shared" si="71"/>
        <v>Jan</v>
      </c>
      <c r="T1479" s="9">
        <f>VLOOKUP(O1479, Annual_Summary!A:B, 2, 0)</f>
        <v>-0.14188579017264272</v>
      </c>
    </row>
    <row r="1480" spans="1:20" x14ac:dyDescent="0.3">
      <c r="A1480" s="1">
        <v>45679</v>
      </c>
      <c r="B1480" s="4" t="s">
        <v>15</v>
      </c>
      <c r="C1480" s="4">
        <v>1807.4</v>
      </c>
      <c r="D1480" s="4">
        <v>1865.8</v>
      </c>
      <c r="E1480" s="4">
        <v>1805.15</v>
      </c>
      <c r="F1480" s="4">
        <v>1800.7</v>
      </c>
      <c r="G1480" s="4">
        <v>1855</v>
      </c>
      <c r="H1480" s="4">
        <v>1856.45</v>
      </c>
      <c r="I1480" s="4">
        <v>1846.53</v>
      </c>
      <c r="J1480" s="4">
        <v>2006.45</v>
      </c>
      <c r="K1480" s="4">
        <v>1358.35</v>
      </c>
      <c r="L1480" s="2">
        <v>8373913</v>
      </c>
      <c r="M1480" s="2">
        <v>15462699193.549999</v>
      </c>
      <c r="N1480" s="2">
        <v>493438</v>
      </c>
      <c r="O1480" t="s">
        <v>21</v>
      </c>
      <c r="P1480" s="8">
        <f t="shared" si="69"/>
        <v>-6.7000000000000455</v>
      </c>
      <c r="Q1480" t="s">
        <v>38</v>
      </c>
      <c r="R1480">
        <f t="shared" si="70"/>
        <v>1</v>
      </c>
      <c r="S1480" t="str">
        <f t="shared" si="71"/>
        <v>Jan</v>
      </c>
      <c r="T1480" s="9">
        <f>VLOOKUP(O1480, Annual_Summary!A:B, 2, 0)</f>
        <v>-0.14188579017264272</v>
      </c>
    </row>
    <row r="1481" spans="1:20" x14ac:dyDescent="0.3">
      <c r="A1481" s="1">
        <v>45678</v>
      </c>
      <c r="B1481" s="4" t="s">
        <v>15</v>
      </c>
      <c r="C1481" s="4">
        <v>1819.05</v>
      </c>
      <c r="D1481" s="4">
        <v>1831.65</v>
      </c>
      <c r="E1481" s="4">
        <v>1793.05</v>
      </c>
      <c r="F1481" s="4">
        <v>1813.3</v>
      </c>
      <c r="G1481" s="4">
        <v>1804</v>
      </c>
      <c r="H1481" s="4">
        <v>1800.7</v>
      </c>
      <c r="I1481" s="4">
        <v>1814.25</v>
      </c>
      <c r="J1481" s="4">
        <v>2006.45</v>
      </c>
      <c r="K1481" s="4">
        <v>1358.35</v>
      </c>
      <c r="L1481" s="2">
        <v>7169109</v>
      </c>
      <c r="M1481" s="2">
        <v>13006582697.549999</v>
      </c>
      <c r="N1481" s="2">
        <v>252390</v>
      </c>
      <c r="O1481" t="s">
        <v>21</v>
      </c>
      <c r="P1481" s="8">
        <f t="shared" si="69"/>
        <v>-5.75</v>
      </c>
      <c r="Q1481" t="s">
        <v>38</v>
      </c>
      <c r="R1481">
        <f t="shared" si="70"/>
        <v>1</v>
      </c>
      <c r="S1481" t="str">
        <f t="shared" si="71"/>
        <v>Jan</v>
      </c>
      <c r="T1481" s="9">
        <f>VLOOKUP(O1481, Annual_Summary!A:B, 2, 0)</f>
        <v>-0.14188579017264272</v>
      </c>
    </row>
    <row r="1482" spans="1:20" x14ac:dyDescent="0.3">
      <c r="A1482" s="1">
        <v>45677</v>
      </c>
      <c r="B1482" s="4" t="s">
        <v>15</v>
      </c>
      <c r="C1482" s="4">
        <v>1822.95</v>
      </c>
      <c r="D1482" s="4">
        <v>1827.95</v>
      </c>
      <c r="E1482" s="4">
        <v>1793.15</v>
      </c>
      <c r="F1482" s="4">
        <v>1815.45</v>
      </c>
      <c r="G1482" s="4">
        <v>1813</v>
      </c>
      <c r="H1482" s="4">
        <v>1813.3</v>
      </c>
      <c r="I1482" s="4">
        <v>1809.37</v>
      </c>
      <c r="J1482" s="4">
        <v>2006.45</v>
      </c>
      <c r="K1482" s="4">
        <v>1358.35</v>
      </c>
      <c r="L1482" s="2">
        <v>4333011</v>
      </c>
      <c r="M1482" s="2">
        <v>7840006233.8000002</v>
      </c>
      <c r="N1482" s="2">
        <v>192938</v>
      </c>
      <c r="O1482" t="s">
        <v>21</v>
      </c>
      <c r="P1482" s="8">
        <f t="shared" si="69"/>
        <v>-7.5</v>
      </c>
      <c r="Q1482" t="s">
        <v>38</v>
      </c>
      <c r="R1482">
        <f t="shared" si="70"/>
        <v>1</v>
      </c>
      <c r="S1482" t="str">
        <f t="shared" si="71"/>
        <v>Jan</v>
      </c>
      <c r="T1482" s="9">
        <f>VLOOKUP(O1482, Annual_Summary!A:B, 2, 0)</f>
        <v>-0.14188579017264272</v>
      </c>
    </row>
    <row r="1483" spans="1:20" x14ac:dyDescent="0.3">
      <c r="A1483" s="1">
        <v>45674</v>
      </c>
      <c r="B1483" s="4" t="s">
        <v>15</v>
      </c>
      <c r="C1483" s="4">
        <v>1851</v>
      </c>
      <c r="D1483" s="4">
        <v>1858</v>
      </c>
      <c r="E1483" s="4">
        <v>1812</v>
      </c>
      <c r="F1483" s="4">
        <v>1928.45</v>
      </c>
      <c r="G1483" s="4">
        <v>1817.5</v>
      </c>
      <c r="H1483" s="4">
        <v>1815.45</v>
      </c>
      <c r="I1483" s="4">
        <v>1824.17</v>
      </c>
      <c r="J1483" s="4">
        <v>2006.45</v>
      </c>
      <c r="K1483" s="4">
        <v>1358.35</v>
      </c>
      <c r="L1483" s="2">
        <v>16409953</v>
      </c>
      <c r="M1483" s="2">
        <v>29934601377.849998</v>
      </c>
      <c r="N1483" s="2">
        <v>503030</v>
      </c>
      <c r="O1483" t="s">
        <v>21</v>
      </c>
      <c r="P1483" s="8">
        <f t="shared" si="69"/>
        <v>77.450000000000045</v>
      </c>
      <c r="Q1483" t="s">
        <v>38</v>
      </c>
      <c r="R1483">
        <f t="shared" si="70"/>
        <v>1</v>
      </c>
      <c r="S1483" t="str">
        <f t="shared" si="71"/>
        <v>Jan</v>
      </c>
      <c r="T1483" s="9">
        <f>VLOOKUP(O1483, Annual_Summary!A:B, 2, 0)</f>
        <v>-0.14188579017264272</v>
      </c>
    </row>
    <row r="1484" spans="1:20" x14ac:dyDescent="0.3">
      <c r="A1484" s="1">
        <v>45673</v>
      </c>
      <c r="B1484" s="4" t="s">
        <v>15</v>
      </c>
      <c r="C1484" s="4">
        <v>1965.95</v>
      </c>
      <c r="D1484" s="4">
        <v>1966.95</v>
      </c>
      <c r="E1484" s="4">
        <v>1916.85</v>
      </c>
      <c r="F1484" s="4">
        <v>1949.65</v>
      </c>
      <c r="G1484" s="4">
        <v>1920.05</v>
      </c>
      <c r="H1484" s="4">
        <v>1928.45</v>
      </c>
      <c r="I1484" s="4">
        <v>1939.38</v>
      </c>
      <c r="J1484" s="4">
        <v>2006.45</v>
      </c>
      <c r="K1484" s="4">
        <v>1358.35</v>
      </c>
      <c r="L1484" s="2">
        <v>7533579</v>
      </c>
      <c r="M1484" s="2">
        <v>14610485616.25</v>
      </c>
      <c r="N1484" s="2">
        <v>233848</v>
      </c>
      <c r="O1484" t="s">
        <v>21</v>
      </c>
      <c r="P1484" s="8">
        <f t="shared" si="69"/>
        <v>-16.299999999999955</v>
      </c>
      <c r="Q1484" t="s">
        <v>38</v>
      </c>
      <c r="R1484">
        <f t="shared" si="70"/>
        <v>1</v>
      </c>
      <c r="S1484" t="str">
        <f t="shared" si="71"/>
        <v>Jan</v>
      </c>
      <c r="T1484" s="9">
        <f>VLOOKUP(O1484, Annual_Summary!A:B, 2, 0)</f>
        <v>-0.14188579017264272</v>
      </c>
    </row>
    <row r="1485" spans="1:20" x14ac:dyDescent="0.3">
      <c r="A1485" s="1">
        <v>45672</v>
      </c>
      <c r="B1485" s="4" t="s">
        <v>15</v>
      </c>
      <c r="C1485" s="4">
        <v>1947</v>
      </c>
      <c r="D1485" s="4">
        <v>1958.05</v>
      </c>
      <c r="E1485" s="4">
        <v>1937.1</v>
      </c>
      <c r="F1485" s="4">
        <v>1940.05</v>
      </c>
      <c r="G1485" s="4">
        <v>1951.65</v>
      </c>
      <c r="H1485" s="4">
        <v>1949.65</v>
      </c>
      <c r="I1485" s="4">
        <v>1949.16</v>
      </c>
      <c r="J1485" s="4">
        <v>2006.45</v>
      </c>
      <c r="K1485" s="4">
        <v>1358.35</v>
      </c>
      <c r="L1485" s="2">
        <v>2985439</v>
      </c>
      <c r="M1485" s="2">
        <v>5819096239.5</v>
      </c>
      <c r="N1485" s="2">
        <v>153629</v>
      </c>
      <c r="O1485" t="s">
        <v>21</v>
      </c>
      <c r="P1485" s="8">
        <f t="shared" si="69"/>
        <v>-6.9500000000000455</v>
      </c>
      <c r="Q1485" t="s">
        <v>38</v>
      </c>
      <c r="R1485">
        <f t="shared" si="70"/>
        <v>1</v>
      </c>
      <c r="S1485" t="str">
        <f t="shared" si="71"/>
        <v>Jan</v>
      </c>
      <c r="T1485" s="9">
        <f>VLOOKUP(O1485, Annual_Summary!A:B, 2, 0)</f>
        <v>-0.14188579017264272</v>
      </c>
    </row>
    <row r="1486" spans="1:20" x14ac:dyDescent="0.3">
      <c r="A1486" s="1">
        <v>45671</v>
      </c>
      <c r="B1486" s="4" t="s">
        <v>15</v>
      </c>
      <c r="C1486" s="4">
        <v>1968.85</v>
      </c>
      <c r="D1486" s="4">
        <v>1971.8</v>
      </c>
      <c r="E1486" s="4">
        <v>1931.1</v>
      </c>
      <c r="F1486" s="4">
        <v>1962.2</v>
      </c>
      <c r="G1486" s="4">
        <v>1938</v>
      </c>
      <c r="H1486" s="4">
        <v>1940.05</v>
      </c>
      <c r="I1486" s="4">
        <v>1943.92</v>
      </c>
      <c r="J1486" s="4">
        <v>2006.45</v>
      </c>
      <c r="K1486" s="4">
        <v>1358.35</v>
      </c>
      <c r="L1486" s="2">
        <v>5792162</v>
      </c>
      <c r="M1486" s="2">
        <v>11259472879</v>
      </c>
      <c r="N1486" s="2">
        <v>267855</v>
      </c>
      <c r="O1486" t="s">
        <v>21</v>
      </c>
      <c r="P1486" s="8">
        <f t="shared" si="69"/>
        <v>-6.6499999999998636</v>
      </c>
      <c r="Q1486" t="s">
        <v>38</v>
      </c>
      <c r="R1486">
        <f t="shared" si="70"/>
        <v>1</v>
      </c>
      <c r="S1486" t="str">
        <f t="shared" si="71"/>
        <v>Jan</v>
      </c>
      <c r="T1486" s="9">
        <f>VLOOKUP(O1486, Annual_Summary!A:B, 2, 0)</f>
        <v>-0.14188579017264272</v>
      </c>
    </row>
    <row r="1487" spans="1:20" x14ac:dyDescent="0.3">
      <c r="A1487" s="1">
        <v>45670</v>
      </c>
      <c r="B1487" s="4" t="s">
        <v>15</v>
      </c>
      <c r="C1487" s="4">
        <v>1956</v>
      </c>
      <c r="D1487" s="4">
        <v>1982.8</v>
      </c>
      <c r="E1487" s="4">
        <v>1949</v>
      </c>
      <c r="F1487" s="4">
        <v>1966.95</v>
      </c>
      <c r="G1487" s="4">
        <v>1963</v>
      </c>
      <c r="H1487" s="4">
        <v>1962.2</v>
      </c>
      <c r="I1487" s="4">
        <v>1965.87</v>
      </c>
      <c r="J1487" s="4">
        <v>2006.45</v>
      </c>
      <c r="K1487" s="4">
        <v>1358.35</v>
      </c>
      <c r="L1487" s="2">
        <v>5804152</v>
      </c>
      <c r="M1487" s="2">
        <v>11410182349.85</v>
      </c>
      <c r="N1487" s="2">
        <v>224017</v>
      </c>
      <c r="O1487" t="s">
        <v>21</v>
      </c>
      <c r="P1487" s="8">
        <f t="shared" si="69"/>
        <v>10.950000000000045</v>
      </c>
      <c r="Q1487" t="s">
        <v>38</v>
      </c>
      <c r="R1487">
        <f t="shared" si="70"/>
        <v>1</v>
      </c>
      <c r="S1487" t="str">
        <f t="shared" si="71"/>
        <v>Jan</v>
      </c>
      <c r="T1487" s="9">
        <f>VLOOKUP(O1487, Annual_Summary!A:B, 2, 0)</f>
        <v>-0.14188579017264272</v>
      </c>
    </row>
    <row r="1488" spans="1:20" x14ac:dyDescent="0.3">
      <c r="A1488" s="1">
        <v>45667</v>
      </c>
      <c r="B1488" s="4" t="s">
        <v>15</v>
      </c>
      <c r="C1488" s="4">
        <v>1937</v>
      </c>
      <c r="D1488" s="4">
        <v>1977.8</v>
      </c>
      <c r="E1488" s="4">
        <v>1932.25</v>
      </c>
      <c r="F1488" s="4">
        <v>1917.3</v>
      </c>
      <c r="G1488" s="4">
        <v>1965.8</v>
      </c>
      <c r="H1488" s="4">
        <v>1966.95</v>
      </c>
      <c r="I1488" s="4">
        <v>1961.18</v>
      </c>
      <c r="J1488" s="4">
        <v>2006.45</v>
      </c>
      <c r="K1488" s="4">
        <v>1358.35</v>
      </c>
      <c r="L1488" s="2">
        <v>8036913</v>
      </c>
      <c r="M1488" s="2">
        <v>15761835256.950001</v>
      </c>
      <c r="N1488" s="2">
        <v>351137</v>
      </c>
      <c r="O1488" t="s">
        <v>21</v>
      </c>
      <c r="P1488" s="8">
        <f t="shared" si="69"/>
        <v>-19.700000000000045</v>
      </c>
      <c r="Q1488" t="s">
        <v>38</v>
      </c>
      <c r="R1488">
        <f t="shared" si="70"/>
        <v>1</v>
      </c>
      <c r="S1488" t="str">
        <f t="shared" si="71"/>
        <v>Jan</v>
      </c>
      <c r="T1488" s="9">
        <f>VLOOKUP(O1488, Annual_Summary!A:B, 2, 0)</f>
        <v>-0.14188579017264272</v>
      </c>
    </row>
    <row r="1489" spans="1:20" x14ac:dyDescent="0.3">
      <c r="A1489" s="1">
        <v>45666</v>
      </c>
      <c r="B1489" s="4" t="s">
        <v>15</v>
      </c>
      <c r="C1489" s="4">
        <v>1934.05</v>
      </c>
      <c r="D1489" s="4">
        <v>1951.85</v>
      </c>
      <c r="E1489" s="4">
        <v>1910.55</v>
      </c>
      <c r="F1489" s="4">
        <v>1933.15</v>
      </c>
      <c r="G1489" s="4">
        <v>1920.1</v>
      </c>
      <c r="H1489" s="4">
        <v>1917.3</v>
      </c>
      <c r="I1489" s="4">
        <v>1928.12</v>
      </c>
      <c r="J1489" s="4">
        <v>2006.45</v>
      </c>
      <c r="K1489" s="4">
        <v>1358.35</v>
      </c>
      <c r="L1489" s="2">
        <v>6833503</v>
      </c>
      <c r="M1489" s="2">
        <v>13175834552.9</v>
      </c>
      <c r="N1489" s="2">
        <v>228829</v>
      </c>
      <c r="O1489" t="s">
        <v>21</v>
      </c>
      <c r="P1489" s="8">
        <f t="shared" si="69"/>
        <v>-0.89999999999986358</v>
      </c>
      <c r="Q1489" t="s">
        <v>38</v>
      </c>
      <c r="R1489">
        <f t="shared" si="70"/>
        <v>1</v>
      </c>
      <c r="S1489" t="str">
        <f t="shared" si="71"/>
        <v>Jan</v>
      </c>
      <c r="T1489" s="9">
        <f>VLOOKUP(O1489, Annual_Summary!A:B, 2, 0)</f>
        <v>-0.14188579017264272</v>
      </c>
    </row>
    <row r="1490" spans="1:20" x14ac:dyDescent="0.3">
      <c r="A1490" s="1">
        <v>45665</v>
      </c>
      <c r="B1490" s="4" t="s">
        <v>15</v>
      </c>
      <c r="C1490" s="4">
        <v>1930</v>
      </c>
      <c r="D1490" s="4">
        <v>1938.6</v>
      </c>
      <c r="E1490" s="4">
        <v>1888.75</v>
      </c>
      <c r="F1490" s="4">
        <v>1930.85</v>
      </c>
      <c r="G1490" s="4">
        <v>1932.75</v>
      </c>
      <c r="H1490" s="4">
        <v>1933.15</v>
      </c>
      <c r="I1490" s="4">
        <v>1916.14</v>
      </c>
      <c r="J1490" s="4">
        <v>2006.45</v>
      </c>
      <c r="K1490" s="4">
        <v>1358.35</v>
      </c>
      <c r="L1490" s="2">
        <v>5482050</v>
      </c>
      <c r="M1490" s="2">
        <v>10504391305.450001</v>
      </c>
      <c r="N1490" s="2">
        <v>210525</v>
      </c>
      <c r="O1490" t="s">
        <v>21</v>
      </c>
      <c r="P1490" s="8">
        <f t="shared" si="69"/>
        <v>0.84999999999990905</v>
      </c>
      <c r="Q1490" t="s">
        <v>38</v>
      </c>
      <c r="R1490">
        <f t="shared" si="70"/>
        <v>1</v>
      </c>
      <c r="S1490" t="str">
        <f t="shared" si="71"/>
        <v>Jan</v>
      </c>
      <c r="T1490" s="9">
        <f>VLOOKUP(O1490, Annual_Summary!A:B, 2, 0)</f>
        <v>-0.14188579017264272</v>
      </c>
    </row>
    <row r="1491" spans="1:20" x14ac:dyDescent="0.3">
      <c r="A1491" s="1">
        <v>45664</v>
      </c>
      <c r="B1491" s="4" t="s">
        <v>15</v>
      </c>
      <c r="C1491" s="4">
        <v>1945</v>
      </c>
      <c r="D1491" s="4">
        <v>1958.55</v>
      </c>
      <c r="E1491" s="4">
        <v>1923.65</v>
      </c>
      <c r="F1491" s="4">
        <v>1937.85</v>
      </c>
      <c r="G1491" s="4">
        <v>1929</v>
      </c>
      <c r="H1491" s="4">
        <v>1930.85</v>
      </c>
      <c r="I1491" s="4">
        <v>1936.28</v>
      </c>
      <c r="J1491" s="4">
        <v>2006.45</v>
      </c>
      <c r="K1491" s="4">
        <v>1358.35</v>
      </c>
      <c r="L1491" s="2">
        <v>4294832</v>
      </c>
      <c r="M1491" s="2">
        <v>8315996332.75</v>
      </c>
      <c r="N1491" s="2">
        <v>250125</v>
      </c>
      <c r="O1491" t="s">
        <v>21</v>
      </c>
      <c r="P1491" s="8">
        <f t="shared" si="69"/>
        <v>-7.1500000000000909</v>
      </c>
      <c r="Q1491" t="s">
        <v>38</v>
      </c>
      <c r="R1491">
        <f t="shared" si="70"/>
        <v>1</v>
      </c>
      <c r="S1491" t="str">
        <f t="shared" si="71"/>
        <v>Jan</v>
      </c>
      <c r="T1491" s="9">
        <f>VLOOKUP(O1491, Annual_Summary!A:B, 2, 0)</f>
        <v>-0.14188579017264272</v>
      </c>
    </row>
    <row r="1492" spans="1:20" x14ac:dyDescent="0.3">
      <c r="A1492" s="1">
        <v>45663</v>
      </c>
      <c r="B1492" s="4" t="s">
        <v>15</v>
      </c>
      <c r="C1492" s="4">
        <v>1952</v>
      </c>
      <c r="D1492" s="4">
        <v>1973</v>
      </c>
      <c r="E1492" s="4">
        <v>1928</v>
      </c>
      <c r="F1492" s="4">
        <v>1938.75</v>
      </c>
      <c r="G1492" s="4">
        <v>1939</v>
      </c>
      <c r="H1492" s="4">
        <v>1937.85</v>
      </c>
      <c r="I1492" s="4">
        <v>1943.77</v>
      </c>
      <c r="J1492" s="4">
        <v>2006.45</v>
      </c>
      <c r="K1492" s="4">
        <v>1358.35</v>
      </c>
      <c r="L1492" s="2">
        <v>7164403</v>
      </c>
      <c r="M1492" s="2">
        <v>13925986567.85</v>
      </c>
      <c r="N1492" s="2">
        <v>247931</v>
      </c>
      <c r="O1492" t="s">
        <v>21</v>
      </c>
      <c r="P1492" s="8">
        <f t="shared" si="69"/>
        <v>-13.25</v>
      </c>
      <c r="Q1492" t="s">
        <v>38</v>
      </c>
      <c r="R1492">
        <f t="shared" si="70"/>
        <v>1</v>
      </c>
      <c r="S1492" t="str">
        <f t="shared" si="71"/>
        <v>Jan</v>
      </c>
      <c r="T1492" s="9">
        <f>VLOOKUP(O1492, Annual_Summary!A:B, 2, 0)</f>
        <v>-0.14188579017264272</v>
      </c>
    </row>
    <row r="1493" spans="1:20" x14ac:dyDescent="0.3">
      <c r="A1493" s="1">
        <v>45660</v>
      </c>
      <c r="B1493" s="4" t="s">
        <v>15</v>
      </c>
      <c r="C1493" s="4">
        <v>1952.95</v>
      </c>
      <c r="D1493" s="4">
        <v>1952.95</v>
      </c>
      <c r="E1493" s="4">
        <v>1922</v>
      </c>
      <c r="F1493" s="4">
        <v>1957.85</v>
      </c>
      <c r="G1493" s="4">
        <v>1939.1</v>
      </c>
      <c r="H1493" s="4">
        <v>1938.75</v>
      </c>
      <c r="I1493" s="4">
        <v>1936.53</v>
      </c>
      <c r="J1493" s="4">
        <v>2006.45</v>
      </c>
      <c r="K1493" s="4">
        <v>1358.35</v>
      </c>
      <c r="L1493" s="2">
        <v>6218003</v>
      </c>
      <c r="M1493" s="2">
        <v>12041366929.799999</v>
      </c>
      <c r="N1493" s="2">
        <v>226724</v>
      </c>
      <c r="O1493" t="s">
        <v>21</v>
      </c>
      <c r="P1493" s="8">
        <f t="shared" si="69"/>
        <v>4.8999999999998636</v>
      </c>
      <c r="Q1493" t="s">
        <v>38</v>
      </c>
      <c r="R1493">
        <f t="shared" si="70"/>
        <v>1</v>
      </c>
      <c r="S1493" t="str">
        <f t="shared" si="71"/>
        <v>Jan</v>
      </c>
      <c r="T1493" s="9">
        <f>VLOOKUP(O1493, Annual_Summary!A:B, 2, 0)</f>
        <v>-0.14188579017264272</v>
      </c>
    </row>
    <row r="1494" spans="1:20" x14ac:dyDescent="0.3">
      <c r="A1494" s="1">
        <v>45659</v>
      </c>
      <c r="B1494" s="4" t="s">
        <v>15</v>
      </c>
      <c r="C1494" s="4">
        <v>1887</v>
      </c>
      <c r="D1494" s="4">
        <v>1962.65</v>
      </c>
      <c r="E1494" s="4">
        <v>1885.3</v>
      </c>
      <c r="F1494" s="4">
        <v>1882.5</v>
      </c>
      <c r="G1494" s="4">
        <v>1954.75</v>
      </c>
      <c r="H1494" s="4">
        <v>1957.85</v>
      </c>
      <c r="I1494" s="4">
        <v>1944.51</v>
      </c>
      <c r="J1494" s="4">
        <v>2006.45</v>
      </c>
      <c r="K1494" s="4">
        <v>1358.35</v>
      </c>
      <c r="L1494" s="2">
        <v>7083645</v>
      </c>
      <c r="M1494" s="2">
        <v>13774239233.15</v>
      </c>
      <c r="N1494" s="2">
        <v>239506</v>
      </c>
      <c r="O1494" t="s">
        <v>21</v>
      </c>
      <c r="P1494" s="8">
        <f t="shared" si="69"/>
        <v>-4.5</v>
      </c>
      <c r="Q1494" t="s">
        <v>38</v>
      </c>
      <c r="R1494">
        <f t="shared" si="70"/>
        <v>1</v>
      </c>
      <c r="S1494" t="str">
        <f t="shared" si="71"/>
        <v>Jan</v>
      </c>
      <c r="T1494" s="9">
        <f>VLOOKUP(O1494, Annual_Summary!A:B, 2, 0)</f>
        <v>-0.14188579017264272</v>
      </c>
    </row>
    <row r="1495" spans="1:20" x14ac:dyDescent="0.3">
      <c r="A1495" s="1">
        <v>45658</v>
      </c>
      <c r="B1495" s="4" t="s">
        <v>15</v>
      </c>
      <c r="C1495" s="4">
        <v>1874</v>
      </c>
      <c r="D1495" s="4">
        <v>1892.95</v>
      </c>
      <c r="E1495" s="4">
        <v>1874</v>
      </c>
      <c r="F1495" s="4">
        <v>1880</v>
      </c>
      <c r="G1495" s="4">
        <v>1885</v>
      </c>
      <c r="H1495" s="4">
        <v>1882.5</v>
      </c>
      <c r="I1495" s="4">
        <v>1884.95</v>
      </c>
      <c r="J1495" s="4">
        <v>2006.45</v>
      </c>
      <c r="K1495" s="4">
        <v>1358.35</v>
      </c>
      <c r="L1495" s="2">
        <v>1838368</v>
      </c>
      <c r="M1495" s="2">
        <v>3465223831.8499999</v>
      </c>
      <c r="N1495" s="2">
        <v>69020</v>
      </c>
      <c r="O1495" t="s">
        <v>21</v>
      </c>
      <c r="P1495" s="8">
        <f t="shared" si="69"/>
        <v>6</v>
      </c>
      <c r="Q1495" t="s">
        <v>38</v>
      </c>
      <c r="R1495">
        <f t="shared" si="70"/>
        <v>1</v>
      </c>
      <c r="S1495" t="str">
        <f t="shared" si="71"/>
        <v>Jan</v>
      </c>
      <c r="T1495" s="9">
        <f>VLOOKUP(O1495, Annual_Summary!A:B, 2, 0)</f>
        <v>-0.14188579017264272</v>
      </c>
    </row>
    <row r="1496" spans="1:20" x14ac:dyDescent="0.3">
      <c r="A1496" s="1">
        <v>46022</v>
      </c>
      <c r="B1496" t="s">
        <v>15</v>
      </c>
      <c r="C1496" s="3">
        <v>401.1</v>
      </c>
      <c r="D1496" s="3">
        <v>403.75</v>
      </c>
      <c r="E1496" s="3">
        <v>400.85</v>
      </c>
      <c r="F1496" s="3">
        <v>400.6</v>
      </c>
      <c r="G1496" s="3">
        <v>402.7</v>
      </c>
      <c r="H1496" s="3">
        <v>403</v>
      </c>
      <c r="I1496" s="3">
        <v>402.81</v>
      </c>
      <c r="J1496" s="3">
        <v>471.5</v>
      </c>
      <c r="K1496" s="3">
        <v>390.15</v>
      </c>
      <c r="L1496" s="2">
        <v>9945109</v>
      </c>
      <c r="M1496" s="2">
        <v>4005957774.4499998</v>
      </c>
      <c r="N1496" s="2">
        <v>93789</v>
      </c>
      <c r="O1496" t="s">
        <v>22</v>
      </c>
      <c r="P1496" s="8">
        <f t="shared" si="69"/>
        <v>-0.5</v>
      </c>
      <c r="Q1496" t="s">
        <v>40</v>
      </c>
      <c r="R1496">
        <f t="shared" si="70"/>
        <v>12</v>
      </c>
      <c r="S1496" t="str">
        <f t="shared" si="71"/>
        <v>Dec</v>
      </c>
      <c r="T1496" s="9">
        <f>VLOOKUP(O1496, Annual_Summary!A:B, 2, 0)</f>
        <v>-0.16726934600681886</v>
      </c>
    </row>
    <row r="1497" spans="1:20" x14ac:dyDescent="0.3">
      <c r="A1497" s="1">
        <v>46021</v>
      </c>
      <c r="B1497" t="s">
        <v>15</v>
      </c>
      <c r="C1497" s="3">
        <v>403</v>
      </c>
      <c r="D1497" s="3">
        <v>403.45</v>
      </c>
      <c r="E1497" s="3">
        <v>400.3</v>
      </c>
      <c r="F1497" s="3">
        <v>402.6</v>
      </c>
      <c r="G1497" s="3">
        <v>401.1</v>
      </c>
      <c r="H1497" s="3">
        <v>400.6</v>
      </c>
      <c r="I1497" s="3">
        <v>401.22</v>
      </c>
      <c r="J1497" s="3">
        <v>471.5</v>
      </c>
      <c r="K1497" s="3">
        <v>390.15</v>
      </c>
      <c r="L1497" s="2">
        <v>12340527</v>
      </c>
      <c r="M1497" s="2">
        <v>4951265566.8500004</v>
      </c>
      <c r="N1497" s="2">
        <v>134214</v>
      </c>
      <c r="O1497" t="s">
        <v>22</v>
      </c>
      <c r="P1497" s="8">
        <f t="shared" si="69"/>
        <v>-0.39999999999997726</v>
      </c>
      <c r="Q1497" t="s">
        <v>40</v>
      </c>
      <c r="R1497">
        <f t="shared" si="70"/>
        <v>12</v>
      </c>
      <c r="S1497" t="str">
        <f t="shared" si="71"/>
        <v>Dec</v>
      </c>
      <c r="T1497" s="9">
        <f>VLOOKUP(O1497, Annual_Summary!A:B, 2, 0)</f>
        <v>-0.16726934600681886</v>
      </c>
    </row>
    <row r="1498" spans="1:20" x14ac:dyDescent="0.3">
      <c r="A1498" s="1">
        <v>46020</v>
      </c>
      <c r="B1498" t="s">
        <v>15</v>
      </c>
      <c r="C1498" s="3">
        <v>404.1</v>
      </c>
      <c r="D1498" s="3">
        <v>404.8</v>
      </c>
      <c r="E1498" s="3">
        <v>401.45</v>
      </c>
      <c r="F1498" s="3">
        <v>404.15</v>
      </c>
      <c r="G1498" s="3">
        <v>402.95</v>
      </c>
      <c r="H1498" s="3">
        <v>402.6</v>
      </c>
      <c r="I1498" s="3">
        <v>402.55</v>
      </c>
      <c r="J1498" s="3">
        <v>471.5</v>
      </c>
      <c r="K1498" s="3">
        <v>390.15</v>
      </c>
      <c r="L1498" s="2">
        <v>6647710</v>
      </c>
      <c r="M1498" s="2">
        <v>2676007103.6999998</v>
      </c>
      <c r="N1498" s="2">
        <v>90644</v>
      </c>
      <c r="O1498" t="s">
        <v>22</v>
      </c>
      <c r="P1498" s="8">
        <f t="shared" si="69"/>
        <v>4.9999999999954525E-2</v>
      </c>
      <c r="Q1498" t="s">
        <v>40</v>
      </c>
      <c r="R1498">
        <f t="shared" si="70"/>
        <v>12</v>
      </c>
      <c r="S1498" t="str">
        <f t="shared" si="71"/>
        <v>Dec</v>
      </c>
      <c r="T1498" s="9">
        <f>VLOOKUP(O1498, Annual_Summary!A:B, 2, 0)</f>
        <v>-0.16726934600681886</v>
      </c>
    </row>
    <row r="1499" spans="1:20" x14ac:dyDescent="0.3">
      <c r="A1499" s="1">
        <v>46017</v>
      </c>
      <c r="B1499" t="s">
        <v>15</v>
      </c>
      <c r="C1499" s="3">
        <v>406.5</v>
      </c>
      <c r="D1499" s="3">
        <v>407.15</v>
      </c>
      <c r="E1499" s="3">
        <v>403.85</v>
      </c>
      <c r="F1499" s="3">
        <v>406.6</v>
      </c>
      <c r="G1499" s="3">
        <v>404.9</v>
      </c>
      <c r="H1499" s="3">
        <v>404.15</v>
      </c>
      <c r="I1499" s="3">
        <v>404.63</v>
      </c>
      <c r="J1499" s="3">
        <v>471.5</v>
      </c>
      <c r="K1499" s="3">
        <v>390.15</v>
      </c>
      <c r="L1499" s="2">
        <v>3152453</v>
      </c>
      <c r="M1499" s="2">
        <v>1275562322.5999999</v>
      </c>
      <c r="N1499" s="2">
        <v>76263</v>
      </c>
      <c r="O1499" t="s">
        <v>22</v>
      </c>
      <c r="P1499" s="8">
        <f t="shared" si="69"/>
        <v>0.10000000000002274</v>
      </c>
      <c r="Q1499" t="s">
        <v>40</v>
      </c>
      <c r="R1499">
        <f t="shared" si="70"/>
        <v>12</v>
      </c>
      <c r="S1499" t="str">
        <f t="shared" si="71"/>
        <v>Dec</v>
      </c>
      <c r="T1499" s="9">
        <f>VLOOKUP(O1499, Annual_Summary!A:B, 2, 0)</f>
        <v>-0.16726934600681886</v>
      </c>
    </row>
    <row r="1500" spans="1:20" x14ac:dyDescent="0.3">
      <c r="A1500" s="1">
        <v>46015</v>
      </c>
      <c r="B1500" t="s">
        <v>15</v>
      </c>
      <c r="C1500" s="3">
        <v>407.95</v>
      </c>
      <c r="D1500" s="3">
        <v>409.5</v>
      </c>
      <c r="E1500" s="3">
        <v>405.65</v>
      </c>
      <c r="F1500" s="3">
        <v>407.35</v>
      </c>
      <c r="G1500" s="3">
        <v>406.8</v>
      </c>
      <c r="H1500" s="3">
        <v>406.6</v>
      </c>
      <c r="I1500" s="3">
        <v>407.18</v>
      </c>
      <c r="J1500" s="3">
        <v>471.5</v>
      </c>
      <c r="K1500" s="3">
        <v>390.15</v>
      </c>
      <c r="L1500" s="2">
        <v>5777430</v>
      </c>
      <c r="M1500" s="2">
        <v>2352433725</v>
      </c>
      <c r="N1500" s="2">
        <v>73260</v>
      </c>
      <c r="O1500" t="s">
        <v>22</v>
      </c>
      <c r="P1500" s="8">
        <f t="shared" si="69"/>
        <v>-0.59999999999996589</v>
      </c>
      <c r="Q1500" t="s">
        <v>40</v>
      </c>
      <c r="R1500">
        <f t="shared" si="70"/>
        <v>12</v>
      </c>
      <c r="S1500" t="str">
        <f t="shared" si="71"/>
        <v>Dec</v>
      </c>
      <c r="T1500" s="9">
        <f>VLOOKUP(O1500, Annual_Summary!A:B, 2, 0)</f>
        <v>-0.16726934600681886</v>
      </c>
    </row>
    <row r="1501" spans="1:20" x14ac:dyDescent="0.3">
      <c r="A1501" s="1">
        <v>46014</v>
      </c>
      <c r="B1501" t="s">
        <v>15</v>
      </c>
      <c r="C1501" s="3">
        <v>402.5</v>
      </c>
      <c r="D1501" s="3">
        <v>408.9</v>
      </c>
      <c r="E1501" s="3">
        <v>401.8</v>
      </c>
      <c r="F1501" s="3">
        <v>402.7</v>
      </c>
      <c r="G1501" s="3">
        <v>408.85</v>
      </c>
      <c r="H1501" s="3">
        <v>407.35</v>
      </c>
      <c r="I1501" s="3">
        <v>405.66</v>
      </c>
      <c r="J1501" s="3">
        <v>471.5</v>
      </c>
      <c r="K1501" s="3">
        <v>390.15</v>
      </c>
      <c r="L1501" s="2">
        <v>10081997</v>
      </c>
      <c r="M1501" s="2">
        <v>4089815715.8499999</v>
      </c>
      <c r="N1501" s="2">
        <v>158483</v>
      </c>
      <c r="O1501" t="s">
        <v>22</v>
      </c>
      <c r="P1501" s="8">
        <f t="shared" si="69"/>
        <v>0.19999999999998863</v>
      </c>
      <c r="Q1501" t="s">
        <v>40</v>
      </c>
      <c r="R1501">
        <f t="shared" si="70"/>
        <v>12</v>
      </c>
      <c r="S1501" t="str">
        <f t="shared" si="71"/>
        <v>Dec</v>
      </c>
      <c r="T1501" s="9">
        <f>VLOOKUP(O1501, Annual_Summary!A:B, 2, 0)</f>
        <v>-0.16726934600681886</v>
      </c>
    </row>
    <row r="1502" spans="1:20" x14ac:dyDescent="0.3">
      <c r="A1502" s="1">
        <v>46013</v>
      </c>
      <c r="B1502" t="s">
        <v>15</v>
      </c>
      <c r="C1502" s="3">
        <v>401.6</v>
      </c>
      <c r="D1502" s="3">
        <v>403.65</v>
      </c>
      <c r="E1502" s="3">
        <v>401.2</v>
      </c>
      <c r="F1502" s="3">
        <v>401.05</v>
      </c>
      <c r="G1502" s="3">
        <v>402.85</v>
      </c>
      <c r="H1502" s="3">
        <v>402.7</v>
      </c>
      <c r="I1502" s="3">
        <v>402.79</v>
      </c>
      <c r="J1502" s="3">
        <v>471.5</v>
      </c>
      <c r="K1502" s="3">
        <v>390.15</v>
      </c>
      <c r="L1502" s="2">
        <v>6847871</v>
      </c>
      <c r="M1502" s="2">
        <v>2758263703.8000002</v>
      </c>
      <c r="N1502" s="2">
        <v>96410</v>
      </c>
      <c r="O1502" t="s">
        <v>22</v>
      </c>
      <c r="P1502" s="8">
        <f t="shared" si="69"/>
        <v>-0.55000000000001137</v>
      </c>
      <c r="Q1502" t="s">
        <v>40</v>
      </c>
      <c r="R1502">
        <f t="shared" si="70"/>
        <v>12</v>
      </c>
      <c r="S1502" t="str">
        <f t="shared" si="71"/>
        <v>Dec</v>
      </c>
      <c r="T1502" s="9">
        <f>VLOOKUP(O1502, Annual_Summary!A:B, 2, 0)</f>
        <v>-0.16726934600681886</v>
      </c>
    </row>
    <row r="1503" spans="1:20" x14ac:dyDescent="0.3">
      <c r="A1503" s="1">
        <v>46010</v>
      </c>
      <c r="B1503" t="s">
        <v>15</v>
      </c>
      <c r="C1503" s="3">
        <v>400.25</v>
      </c>
      <c r="D1503" s="3">
        <v>402.65</v>
      </c>
      <c r="E1503" s="3">
        <v>400.25</v>
      </c>
      <c r="F1503" s="3">
        <v>400.4</v>
      </c>
      <c r="G1503" s="3">
        <v>400.9</v>
      </c>
      <c r="H1503" s="3">
        <v>401.05</v>
      </c>
      <c r="I1503" s="3">
        <v>401.39</v>
      </c>
      <c r="J1503" s="3">
        <v>471.5</v>
      </c>
      <c r="K1503" s="3">
        <v>390.15</v>
      </c>
      <c r="L1503" s="2">
        <v>10654835</v>
      </c>
      <c r="M1503" s="2">
        <v>4276783887.1999998</v>
      </c>
      <c r="N1503" s="2">
        <v>138048</v>
      </c>
      <c r="O1503" t="s">
        <v>22</v>
      </c>
      <c r="P1503" s="8">
        <f t="shared" si="69"/>
        <v>0.14999999999997726</v>
      </c>
      <c r="Q1503" t="s">
        <v>40</v>
      </c>
      <c r="R1503">
        <f t="shared" si="70"/>
        <v>12</v>
      </c>
      <c r="S1503" t="str">
        <f t="shared" si="71"/>
        <v>Dec</v>
      </c>
      <c r="T1503" s="9">
        <f>VLOOKUP(O1503, Annual_Summary!A:B, 2, 0)</f>
        <v>-0.16726934600681886</v>
      </c>
    </row>
    <row r="1504" spans="1:20" x14ac:dyDescent="0.3">
      <c r="A1504" s="1">
        <v>46009</v>
      </c>
      <c r="B1504" t="s">
        <v>15</v>
      </c>
      <c r="C1504" s="3">
        <v>400</v>
      </c>
      <c r="D1504" s="3">
        <v>401.95</v>
      </c>
      <c r="E1504" s="3">
        <v>399.85</v>
      </c>
      <c r="F1504" s="3">
        <v>399.8</v>
      </c>
      <c r="G1504" s="3">
        <v>400.85</v>
      </c>
      <c r="H1504" s="3">
        <v>400.4</v>
      </c>
      <c r="I1504" s="3">
        <v>400.74</v>
      </c>
      <c r="J1504" s="3">
        <v>471.5</v>
      </c>
      <c r="K1504" s="3">
        <v>390.15</v>
      </c>
      <c r="L1504" s="2">
        <v>7227668</v>
      </c>
      <c r="M1504" s="2">
        <v>2896390248.8000002</v>
      </c>
      <c r="N1504" s="2">
        <v>106780</v>
      </c>
      <c r="O1504" t="s">
        <v>22</v>
      </c>
      <c r="P1504" s="8">
        <f t="shared" si="69"/>
        <v>-0.19999999999998863</v>
      </c>
      <c r="Q1504" t="s">
        <v>40</v>
      </c>
      <c r="R1504">
        <f t="shared" si="70"/>
        <v>12</v>
      </c>
      <c r="S1504" t="str">
        <f t="shared" si="71"/>
        <v>Dec</v>
      </c>
      <c r="T1504" s="9">
        <f>VLOOKUP(O1504, Annual_Summary!A:B, 2, 0)</f>
        <v>-0.16726934600681886</v>
      </c>
    </row>
    <row r="1505" spans="1:20" x14ac:dyDescent="0.3">
      <c r="A1505" s="1">
        <v>46008</v>
      </c>
      <c r="B1505" t="s">
        <v>15</v>
      </c>
      <c r="C1505" s="3">
        <v>401</v>
      </c>
      <c r="D1505" s="3">
        <v>403.1</v>
      </c>
      <c r="E1505" s="3">
        <v>399.1</v>
      </c>
      <c r="F1505" s="3">
        <v>401.7</v>
      </c>
      <c r="G1505" s="3">
        <v>400.25</v>
      </c>
      <c r="H1505" s="3">
        <v>399.8</v>
      </c>
      <c r="I1505" s="3">
        <v>400.53</v>
      </c>
      <c r="J1505" s="3">
        <v>471.5</v>
      </c>
      <c r="K1505" s="3">
        <v>390.15</v>
      </c>
      <c r="L1505" s="2">
        <v>8087490</v>
      </c>
      <c r="M1505" s="2">
        <v>3239301844.8000002</v>
      </c>
      <c r="N1505" s="2">
        <v>117330</v>
      </c>
      <c r="O1505" t="s">
        <v>22</v>
      </c>
      <c r="P1505" s="8">
        <f t="shared" si="69"/>
        <v>0.69999999999998863</v>
      </c>
      <c r="Q1505" t="s">
        <v>40</v>
      </c>
      <c r="R1505">
        <f t="shared" si="70"/>
        <v>12</v>
      </c>
      <c r="S1505" t="str">
        <f t="shared" si="71"/>
        <v>Dec</v>
      </c>
      <c r="T1505" s="9">
        <f>VLOOKUP(O1505, Annual_Summary!A:B, 2, 0)</f>
        <v>-0.16726934600681886</v>
      </c>
    </row>
    <row r="1506" spans="1:20" x14ac:dyDescent="0.3">
      <c r="A1506" s="1">
        <v>46007</v>
      </c>
      <c r="B1506" t="s">
        <v>15</v>
      </c>
      <c r="C1506" s="3">
        <v>401.4</v>
      </c>
      <c r="D1506" s="3">
        <v>405.75</v>
      </c>
      <c r="E1506" s="3">
        <v>401.05</v>
      </c>
      <c r="F1506" s="3">
        <v>402.3</v>
      </c>
      <c r="G1506" s="3">
        <v>402</v>
      </c>
      <c r="H1506" s="3">
        <v>401.7</v>
      </c>
      <c r="I1506" s="3">
        <v>403.11</v>
      </c>
      <c r="J1506" s="3">
        <v>471.5</v>
      </c>
      <c r="K1506" s="3">
        <v>390.15</v>
      </c>
      <c r="L1506" s="2">
        <v>12347384</v>
      </c>
      <c r="M1506" s="2">
        <v>4977388189.8000002</v>
      </c>
      <c r="N1506" s="2">
        <v>120140</v>
      </c>
      <c r="O1506" t="s">
        <v>22</v>
      </c>
      <c r="P1506" s="8">
        <f t="shared" si="69"/>
        <v>0.90000000000003411</v>
      </c>
      <c r="Q1506" t="s">
        <v>40</v>
      </c>
      <c r="R1506">
        <f t="shared" si="70"/>
        <v>12</v>
      </c>
      <c r="S1506" t="str">
        <f t="shared" si="71"/>
        <v>Dec</v>
      </c>
      <c r="T1506" s="9">
        <f>VLOOKUP(O1506, Annual_Summary!A:B, 2, 0)</f>
        <v>-0.16726934600681886</v>
      </c>
    </row>
    <row r="1507" spans="1:20" x14ac:dyDescent="0.3">
      <c r="A1507" s="1">
        <v>46006</v>
      </c>
      <c r="B1507" t="s">
        <v>15</v>
      </c>
      <c r="C1507" s="3">
        <v>400.1</v>
      </c>
      <c r="D1507" s="3">
        <v>403.35</v>
      </c>
      <c r="E1507" s="3">
        <v>399.5</v>
      </c>
      <c r="F1507" s="3">
        <v>400.1</v>
      </c>
      <c r="G1507" s="3">
        <v>402</v>
      </c>
      <c r="H1507" s="3">
        <v>402.3</v>
      </c>
      <c r="I1507" s="3">
        <v>401.8</v>
      </c>
      <c r="J1507" s="3">
        <v>471.5</v>
      </c>
      <c r="K1507" s="3">
        <v>390.15</v>
      </c>
      <c r="L1507" s="2">
        <v>7756564</v>
      </c>
      <c r="M1507" s="2">
        <v>3116564595.5500002</v>
      </c>
      <c r="N1507" s="2">
        <v>96420</v>
      </c>
      <c r="O1507" t="s">
        <v>22</v>
      </c>
      <c r="P1507" s="8">
        <f t="shared" si="69"/>
        <v>0</v>
      </c>
      <c r="Q1507" t="s">
        <v>40</v>
      </c>
      <c r="R1507">
        <f t="shared" si="70"/>
        <v>12</v>
      </c>
      <c r="S1507" t="str">
        <f t="shared" si="71"/>
        <v>Dec</v>
      </c>
      <c r="T1507" s="9">
        <f>VLOOKUP(O1507, Annual_Summary!A:B, 2, 0)</f>
        <v>-0.16726934600681886</v>
      </c>
    </row>
    <row r="1508" spans="1:20" x14ac:dyDescent="0.3">
      <c r="A1508" s="1">
        <v>46003</v>
      </c>
      <c r="B1508" t="s">
        <v>15</v>
      </c>
      <c r="C1508" s="3">
        <v>402.9</v>
      </c>
      <c r="D1508" s="3">
        <v>404</v>
      </c>
      <c r="E1508" s="3">
        <v>399.85</v>
      </c>
      <c r="F1508" s="3">
        <v>402.9</v>
      </c>
      <c r="G1508" s="3">
        <v>400.7</v>
      </c>
      <c r="H1508" s="3">
        <v>400.1</v>
      </c>
      <c r="I1508" s="3">
        <v>400.55</v>
      </c>
      <c r="J1508" s="3">
        <v>471.5</v>
      </c>
      <c r="K1508" s="3">
        <v>390.15</v>
      </c>
      <c r="L1508" s="2">
        <v>12407516</v>
      </c>
      <c r="M1508" s="2">
        <v>4969785471.8500004</v>
      </c>
      <c r="N1508" s="2">
        <v>115410</v>
      </c>
      <c r="O1508" t="s">
        <v>22</v>
      </c>
      <c r="P1508" s="8">
        <f t="shared" si="69"/>
        <v>0</v>
      </c>
      <c r="Q1508" t="s">
        <v>40</v>
      </c>
      <c r="R1508">
        <f t="shared" si="70"/>
        <v>12</v>
      </c>
      <c r="S1508" t="str">
        <f t="shared" si="71"/>
        <v>Dec</v>
      </c>
      <c r="T1508" s="9">
        <f>VLOOKUP(O1508, Annual_Summary!A:B, 2, 0)</f>
        <v>-0.16726934600681886</v>
      </c>
    </row>
    <row r="1509" spans="1:20" x14ac:dyDescent="0.3">
      <c r="A1509" s="1">
        <v>46002</v>
      </c>
      <c r="B1509" t="s">
        <v>15</v>
      </c>
      <c r="C1509" s="3">
        <v>403.15</v>
      </c>
      <c r="D1509" s="3">
        <v>404</v>
      </c>
      <c r="E1509" s="3">
        <v>401.1</v>
      </c>
      <c r="F1509" s="3">
        <v>403.15</v>
      </c>
      <c r="G1509" s="3">
        <v>403</v>
      </c>
      <c r="H1509" s="3">
        <v>402.9</v>
      </c>
      <c r="I1509" s="3">
        <v>402.4</v>
      </c>
      <c r="J1509" s="3">
        <v>471.5</v>
      </c>
      <c r="K1509" s="3">
        <v>390.15</v>
      </c>
      <c r="L1509" s="2">
        <v>6980147</v>
      </c>
      <c r="M1509" s="2">
        <v>2808821372.0500002</v>
      </c>
      <c r="N1509" s="2">
        <v>99653</v>
      </c>
      <c r="O1509" t="s">
        <v>22</v>
      </c>
      <c r="P1509" s="8">
        <f t="shared" si="69"/>
        <v>0</v>
      </c>
      <c r="Q1509" t="s">
        <v>40</v>
      </c>
      <c r="R1509">
        <f t="shared" si="70"/>
        <v>12</v>
      </c>
      <c r="S1509" t="str">
        <f t="shared" si="71"/>
        <v>Dec</v>
      </c>
      <c r="T1509" s="9">
        <f>VLOOKUP(O1509, Annual_Summary!A:B, 2, 0)</f>
        <v>-0.16726934600681886</v>
      </c>
    </row>
    <row r="1510" spans="1:20" x14ac:dyDescent="0.3">
      <c r="A1510" s="1">
        <v>46001</v>
      </c>
      <c r="B1510" t="s">
        <v>15</v>
      </c>
      <c r="C1510" s="3">
        <v>401.1</v>
      </c>
      <c r="D1510" s="3">
        <v>404.4</v>
      </c>
      <c r="E1510" s="3">
        <v>401</v>
      </c>
      <c r="F1510" s="3">
        <v>401.05</v>
      </c>
      <c r="G1510" s="3">
        <v>403.05</v>
      </c>
      <c r="H1510" s="3">
        <v>403.15</v>
      </c>
      <c r="I1510" s="3">
        <v>403.31</v>
      </c>
      <c r="J1510" s="3">
        <v>471.5</v>
      </c>
      <c r="K1510" s="3">
        <v>390.15</v>
      </c>
      <c r="L1510" s="2">
        <v>6969146</v>
      </c>
      <c r="M1510" s="2">
        <v>2810730997.4499998</v>
      </c>
      <c r="N1510" s="2">
        <v>106280</v>
      </c>
      <c r="O1510" t="s">
        <v>22</v>
      </c>
      <c r="P1510" s="8">
        <f t="shared" si="69"/>
        <v>-5.0000000000011369E-2</v>
      </c>
      <c r="Q1510" t="s">
        <v>40</v>
      </c>
      <c r="R1510">
        <f t="shared" si="70"/>
        <v>12</v>
      </c>
      <c r="S1510" t="str">
        <f t="shared" si="71"/>
        <v>Dec</v>
      </c>
      <c r="T1510" s="9">
        <f>VLOOKUP(O1510, Annual_Summary!A:B, 2, 0)</f>
        <v>-0.16726934600681886</v>
      </c>
    </row>
    <row r="1511" spans="1:20" x14ac:dyDescent="0.3">
      <c r="A1511" s="1">
        <v>46000</v>
      </c>
      <c r="B1511" t="s">
        <v>15</v>
      </c>
      <c r="C1511" s="3">
        <v>402</v>
      </c>
      <c r="D1511" s="3">
        <v>404.5</v>
      </c>
      <c r="E1511" s="3">
        <v>400</v>
      </c>
      <c r="F1511" s="3">
        <v>402.3</v>
      </c>
      <c r="G1511" s="3">
        <v>401.25</v>
      </c>
      <c r="H1511" s="3">
        <v>401.05</v>
      </c>
      <c r="I1511" s="3">
        <v>402.28</v>
      </c>
      <c r="J1511" s="3">
        <v>471.5</v>
      </c>
      <c r="K1511" s="3">
        <v>390.15</v>
      </c>
      <c r="L1511" s="2">
        <v>9426717</v>
      </c>
      <c r="M1511" s="2">
        <v>3792190139.0500002</v>
      </c>
      <c r="N1511" s="2">
        <v>119643</v>
      </c>
      <c r="O1511" t="s">
        <v>22</v>
      </c>
      <c r="P1511" s="8">
        <f t="shared" si="69"/>
        <v>0.30000000000001137</v>
      </c>
      <c r="Q1511" t="s">
        <v>40</v>
      </c>
      <c r="R1511">
        <f t="shared" si="70"/>
        <v>12</v>
      </c>
      <c r="S1511" t="str">
        <f t="shared" si="71"/>
        <v>Dec</v>
      </c>
      <c r="T1511" s="9">
        <f>VLOOKUP(O1511, Annual_Summary!A:B, 2, 0)</f>
        <v>-0.16726934600681886</v>
      </c>
    </row>
    <row r="1512" spans="1:20" x14ac:dyDescent="0.3">
      <c r="A1512" s="1">
        <v>45999</v>
      </c>
      <c r="B1512" t="s">
        <v>15</v>
      </c>
      <c r="C1512" s="3">
        <v>404.95</v>
      </c>
      <c r="D1512" s="3">
        <v>405.25</v>
      </c>
      <c r="E1512" s="3">
        <v>400.55</v>
      </c>
      <c r="F1512" s="3">
        <v>404.95</v>
      </c>
      <c r="G1512" s="3">
        <v>402</v>
      </c>
      <c r="H1512" s="3">
        <v>402.3</v>
      </c>
      <c r="I1512" s="3">
        <v>402.89</v>
      </c>
      <c r="J1512" s="3">
        <v>471.5</v>
      </c>
      <c r="K1512" s="3">
        <v>390.15</v>
      </c>
      <c r="L1512" s="2">
        <v>6056866</v>
      </c>
      <c r="M1512" s="2">
        <v>2440276710.1500001</v>
      </c>
      <c r="N1512" s="2">
        <v>101139</v>
      </c>
      <c r="O1512" t="s">
        <v>22</v>
      </c>
      <c r="P1512" s="8">
        <f t="shared" si="69"/>
        <v>0</v>
      </c>
      <c r="Q1512" t="s">
        <v>40</v>
      </c>
      <c r="R1512">
        <f t="shared" si="70"/>
        <v>12</v>
      </c>
      <c r="S1512" t="str">
        <f t="shared" si="71"/>
        <v>Dec</v>
      </c>
      <c r="T1512" s="9">
        <f>VLOOKUP(O1512, Annual_Summary!A:B, 2, 0)</f>
        <v>-0.16726934600681886</v>
      </c>
    </row>
    <row r="1513" spans="1:20" x14ac:dyDescent="0.3">
      <c r="A1513" s="1">
        <v>45996</v>
      </c>
      <c r="B1513" t="s">
        <v>15</v>
      </c>
      <c r="C1513" s="3">
        <v>403.05</v>
      </c>
      <c r="D1513" s="3">
        <v>405.35</v>
      </c>
      <c r="E1513" s="3">
        <v>402</v>
      </c>
      <c r="F1513" s="3">
        <v>403.05</v>
      </c>
      <c r="G1513" s="3">
        <v>404.6</v>
      </c>
      <c r="H1513" s="3">
        <v>404.95</v>
      </c>
      <c r="I1513" s="3">
        <v>404.12</v>
      </c>
      <c r="J1513" s="3">
        <v>471.5</v>
      </c>
      <c r="K1513" s="3">
        <v>390.15</v>
      </c>
      <c r="L1513" s="2">
        <v>4419747</v>
      </c>
      <c r="M1513" s="2">
        <v>1786097800.3499999</v>
      </c>
      <c r="N1513" s="2">
        <v>73360</v>
      </c>
      <c r="O1513" t="s">
        <v>22</v>
      </c>
      <c r="P1513" s="8">
        <f t="shared" si="69"/>
        <v>0</v>
      </c>
      <c r="Q1513" t="s">
        <v>40</v>
      </c>
      <c r="R1513">
        <f t="shared" si="70"/>
        <v>12</v>
      </c>
      <c r="S1513" t="str">
        <f t="shared" si="71"/>
        <v>Dec</v>
      </c>
      <c r="T1513" s="9">
        <f>VLOOKUP(O1513, Annual_Summary!A:B, 2, 0)</f>
        <v>-0.16726934600681886</v>
      </c>
    </row>
    <row r="1514" spans="1:20" x14ac:dyDescent="0.3">
      <c r="A1514" s="1">
        <v>45995</v>
      </c>
      <c r="B1514" t="s">
        <v>15</v>
      </c>
      <c r="C1514" s="3">
        <v>400.1</v>
      </c>
      <c r="D1514" s="3">
        <v>403.55</v>
      </c>
      <c r="E1514" s="3">
        <v>399.05</v>
      </c>
      <c r="F1514" s="3">
        <v>400.5</v>
      </c>
      <c r="G1514" s="3">
        <v>403.25</v>
      </c>
      <c r="H1514" s="3">
        <v>403.05</v>
      </c>
      <c r="I1514" s="3">
        <v>402.09</v>
      </c>
      <c r="J1514" s="3">
        <v>471.5</v>
      </c>
      <c r="K1514" s="3">
        <v>390.15</v>
      </c>
      <c r="L1514" s="2">
        <v>8057989</v>
      </c>
      <c r="M1514" s="2">
        <v>3240008562.1500001</v>
      </c>
      <c r="N1514" s="2">
        <v>100529</v>
      </c>
      <c r="O1514" t="s">
        <v>22</v>
      </c>
      <c r="P1514" s="8">
        <f t="shared" si="69"/>
        <v>0.39999999999997726</v>
      </c>
      <c r="Q1514" t="s">
        <v>40</v>
      </c>
      <c r="R1514">
        <f t="shared" si="70"/>
        <v>12</v>
      </c>
      <c r="S1514" t="str">
        <f t="shared" si="71"/>
        <v>Dec</v>
      </c>
      <c r="T1514" s="9">
        <f>VLOOKUP(O1514, Annual_Summary!A:B, 2, 0)</f>
        <v>-0.16726934600681886</v>
      </c>
    </row>
    <row r="1515" spans="1:20" x14ac:dyDescent="0.3">
      <c r="A1515" s="1">
        <v>45994</v>
      </c>
      <c r="B1515" t="s">
        <v>15</v>
      </c>
      <c r="C1515" s="3">
        <v>401.7</v>
      </c>
      <c r="D1515" s="3">
        <v>402.2</v>
      </c>
      <c r="E1515" s="3">
        <v>398.85</v>
      </c>
      <c r="F1515" s="3">
        <v>400.95</v>
      </c>
      <c r="G1515" s="3">
        <v>400.7</v>
      </c>
      <c r="H1515" s="3">
        <v>400.5</v>
      </c>
      <c r="I1515" s="3">
        <v>400.33</v>
      </c>
      <c r="J1515" s="3">
        <v>471.5</v>
      </c>
      <c r="K1515" s="3">
        <v>390.15</v>
      </c>
      <c r="L1515" s="2">
        <v>10772192</v>
      </c>
      <c r="M1515" s="2">
        <v>4312388380.25</v>
      </c>
      <c r="N1515" s="2">
        <v>145572</v>
      </c>
      <c r="O1515" t="s">
        <v>22</v>
      </c>
      <c r="P1515" s="8">
        <f t="shared" si="69"/>
        <v>-0.75</v>
      </c>
      <c r="Q1515" t="s">
        <v>40</v>
      </c>
      <c r="R1515">
        <f t="shared" si="70"/>
        <v>12</v>
      </c>
      <c r="S1515" t="str">
        <f t="shared" si="71"/>
        <v>Dec</v>
      </c>
      <c r="T1515" s="9">
        <f>VLOOKUP(O1515, Annual_Summary!A:B, 2, 0)</f>
        <v>-0.16726934600681886</v>
      </c>
    </row>
    <row r="1516" spans="1:20" x14ac:dyDescent="0.3">
      <c r="A1516" s="1">
        <v>45993</v>
      </c>
      <c r="B1516" t="s">
        <v>15</v>
      </c>
      <c r="C1516" s="3">
        <v>404.25</v>
      </c>
      <c r="D1516" s="3">
        <v>405.5</v>
      </c>
      <c r="E1516" s="3">
        <v>400.5</v>
      </c>
      <c r="F1516" s="3">
        <v>404.25</v>
      </c>
      <c r="G1516" s="3">
        <v>401.7</v>
      </c>
      <c r="H1516" s="3">
        <v>400.95</v>
      </c>
      <c r="I1516" s="3">
        <v>401.68</v>
      </c>
      <c r="J1516" s="3">
        <v>471.5</v>
      </c>
      <c r="K1516" s="3">
        <v>390.15</v>
      </c>
      <c r="L1516" s="2">
        <v>8093808</v>
      </c>
      <c r="M1516" s="2">
        <v>3251135210.4499998</v>
      </c>
      <c r="N1516" s="2">
        <v>112342</v>
      </c>
      <c r="O1516" t="s">
        <v>22</v>
      </c>
      <c r="P1516" s="8">
        <f t="shared" si="69"/>
        <v>0</v>
      </c>
      <c r="Q1516" t="s">
        <v>40</v>
      </c>
      <c r="R1516">
        <f t="shared" si="70"/>
        <v>12</v>
      </c>
      <c r="S1516" t="str">
        <f t="shared" si="71"/>
        <v>Dec</v>
      </c>
      <c r="T1516" s="9">
        <f>VLOOKUP(O1516, Annual_Summary!A:B, 2, 0)</f>
        <v>-0.16726934600681886</v>
      </c>
    </row>
    <row r="1517" spans="1:20" x14ac:dyDescent="0.3">
      <c r="A1517" s="1">
        <v>45992</v>
      </c>
      <c r="B1517" t="s">
        <v>15</v>
      </c>
      <c r="C1517" s="3">
        <v>402.8</v>
      </c>
      <c r="D1517" s="3">
        <v>405.5</v>
      </c>
      <c r="E1517" s="3">
        <v>398.2</v>
      </c>
      <c r="F1517" s="3">
        <v>404.25</v>
      </c>
      <c r="G1517" s="3">
        <v>404.05</v>
      </c>
      <c r="H1517" s="3">
        <v>404.25</v>
      </c>
      <c r="I1517" s="3">
        <v>402.48</v>
      </c>
      <c r="J1517" s="3">
        <v>471.5</v>
      </c>
      <c r="K1517" s="3">
        <v>390.15</v>
      </c>
      <c r="L1517" s="2">
        <v>13442658</v>
      </c>
      <c r="M1517" s="2">
        <v>5410424427.8999996</v>
      </c>
      <c r="N1517" s="2">
        <v>204438</v>
      </c>
      <c r="O1517" t="s">
        <v>22</v>
      </c>
      <c r="P1517" s="8">
        <f t="shared" si="69"/>
        <v>1.4499999999999886</v>
      </c>
      <c r="Q1517" t="s">
        <v>40</v>
      </c>
      <c r="R1517">
        <f t="shared" si="70"/>
        <v>12</v>
      </c>
      <c r="S1517" t="str">
        <f t="shared" si="71"/>
        <v>Dec</v>
      </c>
      <c r="T1517" s="9">
        <f>VLOOKUP(O1517, Annual_Summary!A:B, 2, 0)</f>
        <v>-0.16726934600681886</v>
      </c>
    </row>
    <row r="1518" spans="1:20" x14ac:dyDescent="0.3">
      <c r="A1518" s="1">
        <v>45989</v>
      </c>
      <c r="B1518" t="s">
        <v>15</v>
      </c>
      <c r="C1518" s="3">
        <v>404.3</v>
      </c>
      <c r="D1518" s="3">
        <v>405</v>
      </c>
      <c r="E1518" s="3">
        <v>402.5</v>
      </c>
      <c r="F1518" s="3">
        <v>404.3</v>
      </c>
      <c r="G1518" s="3">
        <v>404.3</v>
      </c>
      <c r="H1518" s="3">
        <v>404.25</v>
      </c>
      <c r="I1518" s="3">
        <v>403.67</v>
      </c>
      <c r="J1518" s="3">
        <v>471.5</v>
      </c>
      <c r="K1518" s="3">
        <v>390.15</v>
      </c>
      <c r="L1518" s="2">
        <v>6883500</v>
      </c>
      <c r="M1518" s="2">
        <v>2778654678.4000001</v>
      </c>
      <c r="N1518" s="2">
        <v>104754</v>
      </c>
      <c r="O1518" t="s">
        <v>22</v>
      </c>
      <c r="P1518" s="8">
        <f t="shared" si="69"/>
        <v>0</v>
      </c>
      <c r="Q1518" t="s">
        <v>40</v>
      </c>
      <c r="R1518">
        <f t="shared" si="70"/>
        <v>11</v>
      </c>
      <c r="S1518" t="str">
        <f t="shared" si="71"/>
        <v>Nov</v>
      </c>
      <c r="T1518" s="9">
        <f>VLOOKUP(O1518, Annual_Summary!A:B, 2, 0)</f>
        <v>-0.16726934600681886</v>
      </c>
    </row>
    <row r="1519" spans="1:20" x14ac:dyDescent="0.3">
      <c r="A1519" s="1">
        <v>45988</v>
      </c>
      <c r="B1519" t="s">
        <v>15</v>
      </c>
      <c r="C1519" s="3">
        <v>403.5</v>
      </c>
      <c r="D1519" s="3">
        <v>405.95</v>
      </c>
      <c r="E1519" s="3">
        <v>402.1</v>
      </c>
      <c r="F1519" s="3">
        <v>402.3</v>
      </c>
      <c r="G1519" s="3">
        <v>405</v>
      </c>
      <c r="H1519" s="3">
        <v>404.3</v>
      </c>
      <c r="I1519" s="3">
        <v>403.22</v>
      </c>
      <c r="J1519" s="3">
        <v>471.5</v>
      </c>
      <c r="K1519" s="3">
        <v>390.15</v>
      </c>
      <c r="L1519" s="2">
        <v>8679529</v>
      </c>
      <c r="M1519" s="2">
        <v>3499792465.4000001</v>
      </c>
      <c r="N1519" s="2">
        <v>105551</v>
      </c>
      <c r="O1519" t="s">
        <v>22</v>
      </c>
      <c r="P1519" s="8">
        <f t="shared" si="69"/>
        <v>-1.1999999999999886</v>
      </c>
      <c r="Q1519" t="s">
        <v>40</v>
      </c>
      <c r="R1519">
        <f t="shared" si="70"/>
        <v>11</v>
      </c>
      <c r="S1519" t="str">
        <f t="shared" si="71"/>
        <v>Nov</v>
      </c>
      <c r="T1519" s="9">
        <f>VLOOKUP(O1519, Annual_Summary!A:B, 2, 0)</f>
        <v>-0.16726934600681886</v>
      </c>
    </row>
    <row r="1520" spans="1:20" x14ac:dyDescent="0.3">
      <c r="A1520" s="1">
        <v>45987</v>
      </c>
      <c r="B1520" t="s">
        <v>15</v>
      </c>
      <c r="C1520" s="3">
        <v>401</v>
      </c>
      <c r="D1520" s="3">
        <v>403.95</v>
      </c>
      <c r="E1520" s="3">
        <v>400.95</v>
      </c>
      <c r="F1520" s="3">
        <v>400.8</v>
      </c>
      <c r="G1520" s="3">
        <v>402.55</v>
      </c>
      <c r="H1520" s="3">
        <v>402.3</v>
      </c>
      <c r="I1520" s="3">
        <v>402.6</v>
      </c>
      <c r="J1520" s="3">
        <v>471.5</v>
      </c>
      <c r="K1520" s="3">
        <v>390.15</v>
      </c>
      <c r="L1520" s="2">
        <v>11443953</v>
      </c>
      <c r="M1520" s="2">
        <v>4607286432.3999996</v>
      </c>
      <c r="N1520" s="2">
        <v>107847</v>
      </c>
      <c r="O1520" t="s">
        <v>22</v>
      </c>
      <c r="P1520" s="8">
        <f t="shared" si="69"/>
        <v>-0.19999999999998863</v>
      </c>
      <c r="Q1520" t="s">
        <v>40</v>
      </c>
      <c r="R1520">
        <f t="shared" si="70"/>
        <v>11</v>
      </c>
      <c r="S1520" t="str">
        <f t="shared" si="71"/>
        <v>Nov</v>
      </c>
      <c r="T1520" s="9">
        <f>VLOOKUP(O1520, Annual_Summary!A:B, 2, 0)</f>
        <v>-0.16726934600681886</v>
      </c>
    </row>
    <row r="1521" spans="1:20" x14ac:dyDescent="0.3">
      <c r="A1521" s="1">
        <v>45986</v>
      </c>
      <c r="B1521" t="s">
        <v>15</v>
      </c>
      <c r="C1521" s="3">
        <v>403.55</v>
      </c>
      <c r="D1521" s="3">
        <v>404.5</v>
      </c>
      <c r="E1521" s="3">
        <v>400.1</v>
      </c>
      <c r="F1521" s="3">
        <v>403.55</v>
      </c>
      <c r="G1521" s="3">
        <v>400.4</v>
      </c>
      <c r="H1521" s="3">
        <v>400.8</v>
      </c>
      <c r="I1521" s="3">
        <v>402.29</v>
      </c>
      <c r="J1521" s="3">
        <v>471.5</v>
      </c>
      <c r="K1521" s="3">
        <v>390.15</v>
      </c>
      <c r="L1521" s="2">
        <v>8199785</v>
      </c>
      <c r="M1521" s="2">
        <v>3298722901.6500001</v>
      </c>
      <c r="N1521" s="2">
        <v>114076</v>
      </c>
      <c r="O1521" t="s">
        <v>22</v>
      </c>
      <c r="P1521" s="8">
        <f t="shared" si="69"/>
        <v>0</v>
      </c>
      <c r="Q1521" t="s">
        <v>40</v>
      </c>
      <c r="R1521">
        <f t="shared" si="70"/>
        <v>11</v>
      </c>
      <c r="S1521" t="str">
        <f t="shared" si="71"/>
        <v>Nov</v>
      </c>
      <c r="T1521" s="9">
        <f>VLOOKUP(O1521, Annual_Summary!A:B, 2, 0)</f>
        <v>-0.16726934600681886</v>
      </c>
    </row>
    <row r="1522" spans="1:20" x14ac:dyDescent="0.3">
      <c r="A1522" s="1">
        <v>45985</v>
      </c>
      <c r="B1522" t="s">
        <v>15</v>
      </c>
      <c r="C1522" s="3">
        <v>408.4</v>
      </c>
      <c r="D1522" s="3">
        <v>408.8</v>
      </c>
      <c r="E1522" s="3">
        <v>402.85</v>
      </c>
      <c r="F1522" s="3">
        <v>407.85</v>
      </c>
      <c r="G1522" s="3">
        <v>404.2</v>
      </c>
      <c r="H1522" s="3">
        <v>403.55</v>
      </c>
      <c r="I1522" s="3">
        <v>404.39</v>
      </c>
      <c r="J1522" s="3">
        <v>471.5</v>
      </c>
      <c r="K1522" s="3">
        <v>390.15</v>
      </c>
      <c r="L1522" s="2">
        <v>11037491</v>
      </c>
      <c r="M1522" s="2">
        <v>4463445092.75</v>
      </c>
      <c r="N1522" s="2">
        <v>128280</v>
      </c>
      <c r="O1522" t="s">
        <v>22</v>
      </c>
      <c r="P1522" s="8">
        <f t="shared" si="69"/>
        <v>-0.54999999999995453</v>
      </c>
      <c r="Q1522" t="s">
        <v>40</v>
      </c>
      <c r="R1522">
        <f t="shared" si="70"/>
        <v>11</v>
      </c>
      <c r="S1522" t="str">
        <f t="shared" si="71"/>
        <v>Nov</v>
      </c>
      <c r="T1522" s="9">
        <f>VLOOKUP(O1522, Annual_Summary!A:B, 2, 0)</f>
        <v>-0.16726934600681886</v>
      </c>
    </row>
    <row r="1523" spans="1:20" x14ac:dyDescent="0.3">
      <c r="A1523" s="1">
        <v>45982</v>
      </c>
      <c r="B1523" t="s">
        <v>15</v>
      </c>
      <c r="C1523" s="3">
        <v>405</v>
      </c>
      <c r="D1523" s="3">
        <v>408.5</v>
      </c>
      <c r="E1523" s="3">
        <v>404.7</v>
      </c>
      <c r="F1523" s="3">
        <v>405.45</v>
      </c>
      <c r="G1523" s="3">
        <v>408</v>
      </c>
      <c r="H1523" s="3">
        <v>407.85</v>
      </c>
      <c r="I1523" s="3">
        <v>407.28</v>
      </c>
      <c r="J1523" s="3">
        <v>471.5</v>
      </c>
      <c r="K1523" s="3">
        <v>390.15</v>
      </c>
      <c r="L1523" s="2">
        <v>5808131</v>
      </c>
      <c r="M1523" s="2">
        <v>2365541111.25</v>
      </c>
      <c r="N1523" s="2">
        <v>92059</v>
      </c>
      <c r="O1523" t="s">
        <v>22</v>
      </c>
      <c r="P1523" s="8">
        <f t="shared" si="69"/>
        <v>0.44999999999998863</v>
      </c>
      <c r="Q1523" t="s">
        <v>40</v>
      </c>
      <c r="R1523">
        <f t="shared" si="70"/>
        <v>11</v>
      </c>
      <c r="S1523" t="str">
        <f t="shared" si="71"/>
        <v>Nov</v>
      </c>
      <c r="T1523" s="9">
        <f>VLOOKUP(O1523, Annual_Summary!A:B, 2, 0)</f>
        <v>-0.16726934600681886</v>
      </c>
    </row>
    <row r="1524" spans="1:20" x14ac:dyDescent="0.3">
      <c r="A1524" s="1">
        <v>45981</v>
      </c>
      <c r="B1524" t="s">
        <v>15</v>
      </c>
      <c r="C1524" s="3">
        <v>403.55</v>
      </c>
      <c r="D1524" s="3">
        <v>407</v>
      </c>
      <c r="E1524" s="3">
        <v>403.25</v>
      </c>
      <c r="F1524" s="3">
        <v>403.55</v>
      </c>
      <c r="G1524" s="3">
        <v>405.6</v>
      </c>
      <c r="H1524" s="3">
        <v>405.45</v>
      </c>
      <c r="I1524" s="3">
        <v>405.55</v>
      </c>
      <c r="J1524" s="3">
        <v>471.5</v>
      </c>
      <c r="K1524" s="3">
        <v>390.15</v>
      </c>
      <c r="L1524" s="2">
        <v>6693410</v>
      </c>
      <c r="M1524" s="2">
        <v>2714519990.3499999</v>
      </c>
      <c r="N1524" s="2">
        <v>108333</v>
      </c>
      <c r="O1524" t="s">
        <v>22</v>
      </c>
      <c r="P1524" s="8">
        <f t="shared" si="69"/>
        <v>0</v>
      </c>
      <c r="Q1524" t="s">
        <v>40</v>
      </c>
      <c r="R1524">
        <f t="shared" si="70"/>
        <v>11</v>
      </c>
      <c r="S1524" t="str">
        <f t="shared" si="71"/>
        <v>Nov</v>
      </c>
      <c r="T1524" s="9">
        <f>VLOOKUP(O1524, Annual_Summary!A:B, 2, 0)</f>
        <v>-0.16726934600681886</v>
      </c>
    </row>
    <row r="1525" spans="1:20" x14ac:dyDescent="0.3">
      <c r="A1525" s="1">
        <v>45980</v>
      </c>
      <c r="B1525" t="s">
        <v>15</v>
      </c>
      <c r="C1525" s="3">
        <v>404.85</v>
      </c>
      <c r="D1525" s="3">
        <v>405.55</v>
      </c>
      <c r="E1525" s="3">
        <v>402.8</v>
      </c>
      <c r="F1525" s="3">
        <v>405.85</v>
      </c>
      <c r="G1525" s="3">
        <v>403.7</v>
      </c>
      <c r="H1525" s="3">
        <v>403.55</v>
      </c>
      <c r="I1525" s="3">
        <v>403.68</v>
      </c>
      <c r="J1525" s="3">
        <v>471.5</v>
      </c>
      <c r="K1525" s="3">
        <v>390.15</v>
      </c>
      <c r="L1525" s="2">
        <v>7882450</v>
      </c>
      <c r="M1525" s="2">
        <v>3181992048.0999999</v>
      </c>
      <c r="N1525" s="2">
        <v>134281</v>
      </c>
      <c r="O1525" t="s">
        <v>22</v>
      </c>
      <c r="P1525" s="8">
        <f t="shared" si="69"/>
        <v>1</v>
      </c>
      <c r="Q1525" t="s">
        <v>40</v>
      </c>
      <c r="R1525">
        <f t="shared" si="70"/>
        <v>11</v>
      </c>
      <c r="S1525" t="str">
        <f t="shared" si="71"/>
        <v>Nov</v>
      </c>
      <c r="T1525" s="9">
        <f>VLOOKUP(O1525, Annual_Summary!A:B, 2, 0)</f>
        <v>-0.16726934600681886</v>
      </c>
    </row>
    <row r="1526" spans="1:20" x14ac:dyDescent="0.3">
      <c r="A1526" s="1">
        <v>45979</v>
      </c>
      <c r="B1526" t="s">
        <v>15</v>
      </c>
      <c r="C1526" s="3">
        <v>408.25</v>
      </c>
      <c r="D1526" s="3">
        <v>409.8</v>
      </c>
      <c r="E1526" s="3">
        <v>404.55</v>
      </c>
      <c r="F1526" s="3">
        <v>407.1</v>
      </c>
      <c r="G1526" s="3">
        <v>405.7</v>
      </c>
      <c r="H1526" s="3">
        <v>405.85</v>
      </c>
      <c r="I1526" s="3">
        <v>405.64</v>
      </c>
      <c r="J1526" s="3">
        <v>471.5</v>
      </c>
      <c r="K1526" s="3">
        <v>390.15</v>
      </c>
      <c r="L1526" s="2">
        <v>7661681</v>
      </c>
      <c r="M1526" s="2">
        <v>3107854790.6500001</v>
      </c>
      <c r="N1526" s="2">
        <v>92029</v>
      </c>
      <c r="O1526" t="s">
        <v>22</v>
      </c>
      <c r="P1526" s="8">
        <f t="shared" si="69"/>
        <v>-1.1499999999999773</v>
      </c>
      <c r="Q1526" t="s">
        <v>40</v>
      </c>
      <c r="R1526">
        <f t="shared" si="70"/>
        <v>11</v>
      </c>
      <c r="S1526" t="str">
        <f t="shared" si="71"/>
        <v>Nov</v>
      </c>
      <c r="T1526" s="9">
        <f>VLOOKUP(O1526, Annual_Summary!A:B, 2, 0)</f>
        <v>-0.16726934600681886</v>
      </c>
    </row>
    <row r="1527" spans="1:20" x14ac:dyDescent="0.3">
      <c r="A1527" s="1">
        <v>45978</v>
      </c>
      <c r="B1527" t="s">
        <v>15</v>
      </c>
      <c r="C1527" s="3">
        <v>409.75</v>
      </c>
      <c r="D1527" s="3">
        <v>412</v>
      </c>
      <c r="E1527" s="3">
        <v>406</v>
      </c>
      <c r="F1527" s="3">
        <v>408.15</v>
      </c>
      <c r="G1527" s="3">
        <v>407.5</v>
      </c>
      <c r="H1527" s="3">
        <v>407.1</v>
      </c>
      <c r="I1527" s="3">
        <v>407.38</v>
      </c>
      <c r="J1527" s="3">
        <v>471.5</v>
      </c>
      <c r="K1527" s="3">
        <v>390.15</v>
      </c>
      <c r="L1527" s="2">
        <v>7855399</v>
      </c>
      <c r="M1527" s="2">
        <v>3200140693.4000001</v>
      </c>
      <c r="N1527" s="2">
        <v>114679</v>
      </c>
      <c r="O1527" t="s">
        <v>22</v>
      </c>
      <c r="P1527" s="8">
        <f t="shared" si="69"/>
        <v>-1.6000000000000227</v>
      </c>
      <c r="Q1527" t="s">
        <v>40</v>
      </c>
      <c r="R1527">
        <f t="shared" si="70"/>
        <v>11</v>
      </c>
      <c r="S1527" t="str">
        <f t="shared" si="71"/>
        <v>Nov</v>
      </c>
      <c r="T1527" s="9">
        <f>VLOOKUP(O1527, Annual_Summary!A:B, 2, 0)</f>
        <v>-0.16726934600681886</v>
      </c>
    </row>
    <row r="1528" spans="1:20" x14ac:dyDescent="0.3">
      <c r="A1528" s="1">
        <v>45975</v>
      </c>
      <c r="B1528" t="s">
        <v>15</v>
      </c>
      <c r="C1528" s="3">
        <v>404.7</v>
      </c>
      <c r="D1528" s="3">
        <v>408.75</v>
      </c>
      <c r="E1528" s="3">
        <v>400.1</v>
      </c>
      <c r="F1528" s="3">
        <v>405.7</v>
      </c>
      <c r="G1528" s="3">
        <v>408.25</v>
      </c>
      <c r="H1528" s="3">
        <v>408.15</v>
      </c>
      <c r="I1528" s="3">
        <v>401.39</v>
      </c>
      <c r="J1528" s="3">
        <v>471.5</v>
      </c>
      <c r="K1528" s="3">
        <v>390.15</v>
      </c>
      <c r="L1528" s="2">
        <v>64020258</v>
      </c>
      <c r="M1528" s="2">
        <v>25697182566.799999</v>
      </c>
      <c r="N1528" s="2">
        <v>151924</v>
      </c>
      <c r="O1528" t="s">
        <v>22</v>
      </c>
      <c r="P1528" s="8">
        <f t="shared" si="69"/>
        <v>1</v>
      </c>
      <c r="Q1528" t="s">
        <v>40</v>
      </c>
      <c r="R1528">
        <f t="shared" si="70"/>
        <v>11</v>
      </c>
      <c r="S1528" t="str">
        <f t="shared" si="71"/>
        <v>Nov</v>
      </c>
      <c r="T1528" s="9">
        <f>VLOOKUP(O1528, Annual_Summary!A:B, 2, 0)</f>
        <v>-0.16726934600681886</v>
      </c>
    </row>
    <row r="1529" spans="1:20" x14ac:dyDescent="0.3">
      <c r="A1529" s="1">
        <v>45974</v>
      </c>
      <c r="B1529" t="s">
        <v>15</v>
      </c>
      <c r="C1529" s="3">
        <v>407</v>
      </c>
      <c r="D1529" s="3">
        <v>407.5</v>
      </c>
      <c r="E1529" s="3">
        <v>404.5</v>
      </c>
      <c r="F1529" s="3">
        <v>407</v>
      </c>
      <c r="G1529" s="3">
        <v>406.5</v>
      </c>
      <c r="H1529" s="3">
        <v>405.7</v>
      </c>
      <c r="I1529" s="3">
        <v>406.31</v>
      </c>
      <c r="J1529" s="3">
        <v>471.5</v>
      </c>
      <c r="K1529" s="3">
        <v>390.15</v>
      </c>
      <c r="L1529" s="2">
        <v>6617185</v>
      </c>
      <c r="M1529" s="2">
        <v>2688612018.5</v>
      </c>
      <c r="N1529" s="2">
        <v>90395</v>
      </c>
      <c r="O1529" t="s">
        <v>22</v>
      </c>
      <c r="P1529" s="8">
        <f t="shared" si="69"/>
        <v>0</v>
      </c>
      <c r="Q1529" t="s">
        <v>40</v>
      </c>
      <c r="R1529">
        <f t="shared" si="70"/>
        <v>11</v>
      </c>
      <c r="S1529" t="str">
        <f t="shared" si="71"/>
        <v>Nov</v>
      </c>
      <c r="T1529" s="9">
        <f>VLOOKUP(O1529, Annual_Summary!A:B, 2, 0)</f>
        <v>-0.16726934600681886</v>
      </c>
    </row>
    <row r="1530" spans="1:20" x14ac:dyDescent="0.3">
      <c r="A1530" s="1">
        <v>45973</v>
      </c>
      <c r="B1530" t="s">
        <v>15</v>
      </c>
      <c r="C1530" s="3">
        <v>408</v>
      </c>
      <c r="D1530" s="3">
        <v>408.1</v>
      </c>
      <c r="E1530" s="3">
        <v>405.55</v>
      </c>
      <c r="F1530" s="3">
        <v>406.85</v>
      </c>
      <c r="G1530" s="3">
        <v>407.4</v>
      </c>
      <c r="H1530" s="3">
        <v>407</v>
      </c>
      <c r="I1530" s="3">
        <v>406.82</v>
      </c>
      <c r="J1530" s="3">
        <v>471.5</v>
      </c>
      <c r="K1530" s="3">
        <v>390.15</v>
      </c>
      <c r="L1530" s="2">
        <v>7987236</v>
      </c>
      <c r="M1530" s="2">
        <v>3249380333.5500002</v>
      </c>
      <c r="N1530" s="2">
        <v>107940</v>
      </c>
      <c r="O1530" t="s">
        <v>22</v>
      </c>
      <c r="P1530" s="8">
        <f t="shared" si="69"/>
        <v>-1.1499999999999773</v>
      </c>
      <c r="Q1530" t="s">
        <v>40</v>
      </c>
      <c r="R1530">
        <f t="shared" si="70"/>
        <v>11</v>
      </c>
      <c r="S1530" t="str">
        <f t="shared" si="71"/>
        <v>Nov</v>
      </c>
      <c r="T1530" s="9">
        <f>VLOOKUP(O1530, Annual_Summary!A:B, 2, 0)</f>
        <v>-0.16726934600681886</v>
      </c>
    </row>
    <row r="1531" spans="1:20" x14ac:dyDescent="0.3">
      <c r="A1531" s="1">
        <v>45972</v>
      </c>
      <c r="B1531" t="s">
        <v>15</v>
      </c>
      <c r="C1531" s="3">
        <v>406</v>
      </c>
      <c r="D1531" s="3">
        <v>408.05</v>
      </c>
      <c r="E1531" s="3">
        <v>404.6</v>
      </c>
      <c r="F1531" s="3">
        <v>405.55</v>
      </c>
      <c r="G1531" s="3">
        <v>407.2</v>
      </c>
      <c r="H1531" s="3">
        <v>406.85</v>
      </c>
      <c r="I1531" s="3">
        <v>406.29</v>
      </c>
      <c r="J1531" s="3">
        <v>471.5</v>
      </c>
      <c r="K1531" s="3">
        <v>390.15</v>
      </c>
      <c r="L1531" s="2">
        <v>12005318</v>
      </c>
      <c r="M1531" s="2">
        <v>4877632724.5500002</v>
      </c>
      <c r="N1531" s="2">
        <v>97321</v>
      </c>
      <c r="O1531" t="s">
        <v>22</v>
      </c>
      <c r="P1531" s="8">
        <f t="shared" si="69"/>
        <v>-0.44999999999998863</v>
      </c>
      <c r="Q1531" t="s">
        <v>40</v>
      </c>
      <c r="R1531">
        <f t="shared" si="70"/>
        <v>11</v>
      </c>
      <c r="S1531" t="str">
        <f t="shared" si="71"/>
        <v>Nov</v>
      </c>
      <c r="T1531" s="9">
        <f>VLOOKUP(O1531, Annual_Summary!A:B, 2, 0)</f>
        <v>-0.16726934600681886</v>
      </c>
    </row>
    <row r="1532" spans="1:20" x14ac:dyDescent="0.3">
      <c r="A1532" s="1">
        <v>45971</v>
      </c>
      <c r="B1532" t="s">
        <v>15</v>
      </c>
      <c r="C1532" s="3">
        <v>404.05</v>
      </c>
      <c r="D1532" s="3">
        <v>407.1</v>
      </c>
      <c r="E1532" s="3">
        <v>403.65</v>
      </c>
      <c r="F1532" s="3">
        <v>404.05</v>
      </c>
      <c r="G1532" s="3">
        <v>406</v>
      </c>
      <c r="H1532" s="3">
        <v>405.55</v>
      </c>
      <c r="I1532" s="3">
        <v>405.75</v>
      </c>
      <c r="J1532" s="3">
        <v>471.5</v>
      </c>
      <c r="K1532" s="3">
        <v>390.15</v>
      </c>
      <c r="L1532" s="2">
        <v>6650003</v>
      </c>
      <c r="M1532" s="2">
        <v>2698266556.5500002</v>
      </c>
      <c r="N1532" s="2">
        <v>128591</v>
      </c>
      <c r="O1532" t="s">
        <v>22</v>
      </c>
      <c r="P1532" s="8">
        <f t="shared" si="69"/>
        <v>0</v>
      </c>
      <c r="Q1532" t="s">
        <v>40</v>
      </c>
      <c r="R1532">
        <f t="shared" si="70"/>
        <v>11</v>
      </c>
      <c r="S1532" t="str">
        <f t="shared" si="71"/>
        <v>Nov</v>
      </c>
      <c r="T1532" s="9">
        <f>VLOOKUP(O1532, Annual_Summary!A:B, 2, 0)</f>
        <v>-0.16726934600681886</v>
      </c>
    </row>
    <row r="1533" spans="1:20" x14ac:dyDescent="0.3">
      <c r="A1533" s="1">
        <v>45968</v>
      </c>
      <c r="B1533" t="s">
        <v>15</v>
      </c>
      <c r="C1533" s="3">
        <v>406.05</v>
      </c>
      <c r="D1533" s="3">
        <v>409.1</v>
      </c>
      <c r="E1533" s="3">
        <v>403.1</v>
      </c>
      <c r="F1533" s="3">
        <v>407.5</v>
      </c>
      <c r="G1533" s="3">
        <v>404.4</v>
      </c>
      <c r="H1533" s="3">
        <v>404.05</v>
      </c>
      <c r="I1533" s="3">
        <v>405.13</v>
      </c>
      <c r="J1533" s="3">
        <v>471.5</v>
      </c>
      <c r="K1533" s="3">
        <v>390.15</v>
      </c>
      <c r="L1533" s="2">
        <v>8411611</v>
      </c>
      <c r="M1533" s="2">
        <v>3407815043.1999998</v>
      </c>
      <c r="N1533" s="2">
        <v>92747</v>
      </c>
      <c r="O1533" t="s">
        <v>22</v>
      </c>
      <c r="P1533" s="8">
        <f t="shared" si="69"/>
        <v>1.4499999999999886</v>
      </c>
      <c r="Q1533" t="s">
        <v>40</v>
      </c>
      <c r="R1533">
        <f t="shared" si="70"/>
        <v>11</v>
      </c>
      <c r="S1533" t="str">
        <f t="shared" si="71"/>
        <v>Nov</v>
      </c>
      <c r="T1533" s="9">
        <f>VLOOKUP(O1533, Annual_Summary!A:B, 2, 0)</f>
        <v>-0.16726934600681886</v>
      </c>
    </row>
    <row r="1534" spans="1:20" x14ac:dyDescent="0.3">
      <c r="A1534" s="1">
        <v>45967</v>
      </c>
      <c r="B1534" t="s">
        <v>15</v>
      </c>
      <c r="C1534" s="3">
        <v>410</v>
      </c>
      <c r="D1534" s="3">
        <v>413.3</v>
      </c>
      <c r="E1534" s="3">
        <v>406.55</v>
      </c>
      <c r="F1534" s="3">
        <v>408.9</v>
      </c>
      <c r="G1534" s="3">
        <v>408.5</v>
      </c>
      <c r="H1534" s="3">
        <v>407.5</v>
      </c>
      <c r="I1534" s="3">
        <v>408.26</v>
      </c>
      <c r="J1534" s="3">
        <v>471.5</v>
      </c>
      <c r="K1534" s="3">
        <v>390.15</v>
      </c>
      <c r="L1534" s="2">
        <v>10095563</v>
      </c>
      <c r="M1534" s="2">
        <v>4121588309.6500001</v>
      </c>
      <c r="N1534" s="2">
        <v>146248</v>
      </c>
      <c r="O1534" t="s">
        <v>22</v>
      </c>
      <c r="P1534" s="8">
        <f t="shared" si="69"/>
        <v>-1.1000000000000227</v>
      </c>
      <c r="Q1534" t="s">
        <v>40</v>
      </c>
      <c r="R1534">
        <f t="shared" si="70"/>
        <v>11</v>
      </c>
      <c r="S1534" t="str">
        <f t="shared" si="71"/>
        <v>Nov</v>
      </c>
      <c r="T1534" s="9">
        <f>VLOOKUP(O1534, Annual_Summary!A:B, 2, 0)</f>
        <v>-0.16726934600681886</v>
      </c>
    </row>
    <row r="1535" spans="1:20" x14ac:dyDescent="0.3">
      <c r="A1535" s="1">
        <v>45965</v>
      </c>
      <c r="B1535" t="s">
        <v>15</v>
      </c>
      <c r="C1535" s="3">
        <v>414</v>
      </c>
      <c r="D1535" s="3">
        <v>414.5</v>
      </c>
      <c r="E1535" s="3">
        <v>408.35</v>
      </c>
      <c r="F1535" s="3">
        <v>413.95</v>
      </c>
      <c r="G1535" s="3">
        <v>408.8</v>
      </c>
      <c r="H1535" s="3">
        <v>408.9</v>
      </c>
      <c r="I1535" s="3">
        <v>410.16</v>
      </c>
      <c r="J1535" s="3">
        <v>471.5</v>
      </c>
      <c r="K1535" s="3">
        <v>390.15</v>
      </c>
      <c r="L1535" s="2">
        <v>10085404</v>
      </c>
      <c r="M1535" s="2">
        <v>4136635461.4000001</v>
      </c>
      <c r="N1535" s="2">
        <v>140114</v>
      </c>
      <c r="O1535" t="s">
        <v>22</v>
      </c>
      <c r="P1535" s="8">
        <f t="shared" si="69"/>
        <v>-5.0000000000011369E-2</v>
      </c>
      <c r="Q1535" t="s">
        <v>40</v>
      </c>
      <c r="R1535">
        <f t="shared" si="70"/>
        <v>11</v>
      </c>
      <c r="S1535" t="str">
        <f t="shared" si="71"/>
        <v>Nov</v>
      </c>
      <c r="T1535" s="9">
        <f>VLOOKUP(O1535, Annual_Summary!A:B, 2, 0)</f>
        <v>-0.16726934600681886</v>
      </c>
    </row>
    <row r="1536" spans="1:20" x14ac:dyDescent="0.3">
      <c r="A1536" s="1">
        <v>45964</v>
      </c>
      <c r="B1536" t="s">
        <v>15</v>
      </c>
      <c r="C1536" s="3">
        <v>419.95</v>
      </c>
      <c r="D1536" s="3">
        <v>421.65</v>
      </c>
      <c r="E1536" s="3">
        <v>413.3</v>
      </c>
      <c r="F1536" s="3">
        <v>420.35</v>
      </c>
      <c r="G1536" s="3">
        <v>414</v>
      </c>
      <c r="H1536" s="3">
        <v>413.95</v>
      </c>
      <c r="I1536" s="3">
        <v>415.71</v>
      </c>
      <c r="J1536" s="3">
        <v>471.5</v>
      </c>
      <c r="K1536" s="3">
        <v>390.15</v>
      </c>
      <c r="L1536" s="2">
        <v>7635440</v>
      </c>
      <c r="M1536" s="2">
        <v>3174092208.1999998</v>
      </c>
      <c r="N1536" s="2">
        <v>168846</v>
      </c>
      <c r="O1536" t="s">
        <v>22</v>
      </c>
      <c r="P1536" s="8">
        <f t="shared" si="69"/>
        <v>0.40000000000003411</v>
      </c>
      <c r="Q1536" t="s">
        <v>40</v>
      </c>
      <c r="R1536">
        <f t="shared" si="70"/>
        <v>11</v>
      </c>
      <c r="S1536" t="str">
        <f t="shared" si="71"/>
        <v>Nov</v>
      </c>
      <c r="T1536" s="9">
        <f>VLOOKUP(O1536, Annual_Summary!A:B, 2, 0)</f>
        <v>-0.16726934600681886</v>
      </c>
    </row>
    <row r="1537" spans="1:20" x14ac:dyDescent="0.3">
      <c r="A1537" s="1">
        <v>45961</v>
      </c>
      <c r="B1537" t="s">
        <v>15</v>
      </c>
      <c r="C1537" s="3">
        <v>420.5</v>
      </c>
      <c r="D1537" s="3">
        <v>426.4</v>
      </c>
      <c r="E1537" s="3">
        <v>418.2</v>
      </c>
      <c r="F1537" s="3">
        <v>418.75</v>
      </c>
      <c r="G1537" s="3">
        <v>419.95</v>
      </c>
      <c r="H1537" s="3">
        <v>420.35</v>
      </c>
      <c r="I1537" s="3">
        <v>422.45</v>
      </c>
      <c r="J1537" s="3">
        <v>471.5</v>
      </c>
      <c r="K1537" s="3">
        <v>390.15</v>
      </c>
      <c r="L1537" s="2">
        <v>18599864</v>
      </c>
      <c r="M1537" s="2">
        <v>7857495955.9499998</v>
      </c>
      <c r="N1537" s="2">
        <v>203655</v>
      </c>
      <c r="O1537" t="s">
        <v>22</v>
      </c>
      <c r="P1537" s="8">
        <f t="shared" si="69"/>
        <v>-1.75</v>
      </c>
      <c r="Q1537" t="s">
        <v>40</v>
      </c>
      <c r="R1537">
        <f t="shared" si="70"/>
        <v>10</v>
      </c>
      <c r="S1537" t="str">
        <f t="shared" si="71"/>
        <v>Oct</v>
      </c>
      <c r="T1537" s="9">
        <f>VLOOKUP(O1537, Annual_Summary!A:B, 2, 0)</f>
        <v>-0.16726934600681886</v>
      </c>
    </row>
    <row r="1538" spans="1:20" x14ac:dyDescent="0.3">
      <c r="A1538" s="1">
        <v>45960</v>
      </c>
      <c r="B1538" t="s">
        <v>15</v>
      </c>
      <c r="C1538" s="3">
        <v>421.6</v>
      </c>
      <c r="D1538" s="3">
        <v>421.7</v>
      </c>
      <c r="E1538" s="3">
        <v>416.15</v>
      </c>
      <c r="F1538" s="3">
        <v>421.6</v>
      </c>
      <c r="G1538" s="3">
        <v>419.35</v>
      </c>
      <c r="H1538" s="3">
        <v>418.75</v>
      </c>
      <c r="I1538" s="3">
        <v>419.29</v>
      </c>
      <c r="J1538" s="3">
        <v>471.5</v>
      </c>
      <c r="K1538" s="3">
        <v>390.15</v>
      </c>
      <c r="L1538" s="2">
        <v>12938674</v>
      </c>
      <c r="M1538" s="2">
        <v>5425028130.1999998</v>
      </c>
      <c r="N1538" s="2">
        <v>128633</v>
      </c>
      <c r="O1538" t="s">
        <v>22</v>
      </c>
      <c r="P1538" s="8">
        <f t="shared" si="69"/>
        <v>0</v>
      </c>
      <c r="Q1538" t="s">
        <v>40</v>
      </c>
      <c r="R1538">
        <f t="shared" si="70"/>
        <v>10</v>
      </c>
      <c r="S1538" t="str">
        <f t="shared" si="71"/>
        <v>Oct</v>
      </c>
      <c r="T1538" s="9">
        <f>VLOOKUP(O1538, Annual_Summary!A:B, 2, 0)</f>
        <v>-0.16726934600681886</v>
      </c>
    </row>
    <row r="1539" spans="1:20" x14ac:dyDescent="0.3">
      <c r="A1539" s="1">
        <v>45959</v>
      </c>
      <c r="B1539" t="s">
        <v>15</v>
      </c>
      <c r="C1539" s="3">
        <v>418.2</v>
      </c>
      <c r="D1539" s="3">
        <v>422.2</v>
      </c>
      <c r="E1539" s="3">
        <v>416.05</v>
      </c>
      <c r="F1539" s="3">
        <v>417.9</v>
      </c>
      <c r="G1539" s="3">
        <v>421.85</v>
      </c>
      <c r="H1539" s="3">
        <v>421.6</v>
      </c>
      <c r="I1539" s="3">
        <v>419.47</v>
      </c>
      <c r="J1539" s="3">
        <v>471.5</v>
      </c>
      <c r="K1539" s="3">
        <v>390.15</v>
      </c>
      <c r="L1539" s="2">
        <v>11470661</v>
      </c>
      <c r="M1539" s="2">
        <v>4811576571.1499996</v>
      </c>
      <c r="N1539" s="2">
        <v>126826</v>
      </c>
      <c r="O1539" t="s">
        <v>22</v>
      </c>
      <c r="P1539" s="8">
        <f t="shared" ref="P1539:P1602" si="72">F1539-C1539</f>
        <v>-0.30000000000001137</v>
      </c>
      <c r="Q1539" t="s">
        <v>40</v>
      </c>
      <c r="R1539">
        <f t="shared" ref="R1539:R1602" si="73">MONTH(A1539)</f>
        <v>10</v>
      </c>
      <c r="S1539" t="str">
        <f t="shared" ref="S1539:S1602" si="74">TEXT(A1539,"mmm")</f>
        <v>Oct</v>
      </c>
      <c r="T1539" s="9">
        <f>VLOOKUP(O1539, Annual_Summary!A:B, 2, 0)</f>
        <v>-0.16726934600681886</v>
      </c>
    </row>
    <row r="1540" spans="1:20" x14ac:dyDescent="0.3">
      <c r="A1540" s="1">
        <v>45958</v>
      </c>
      <c r="B1540" t="s">
        <v>15</v>
      </c>
      <c r="C1540" s="3">
        <v>420.5</v>
      </c>
      <c r="D1540" s="3">
        <v>421.65</v>
      </c>
      <c r="E1540" s="3">
        <v>415.9</v>
      </c>
      <c r="F1540" s="3">
        <v>420.65</v>
      </c>
      <c r="G1540" s="3">
        <v>417.85</v>
      </c>
      <c r="H1540" s="3">
        <v>417.9</v>
      </c>
      <c r="I1540" s="3">
        <v>417.96</v>
      </c>
      <c r="J1540" s="3">
        <v>471.5</v>
      </c>
      <c r="K1540" s="3">
        <v>390.15</v>
      </c>
      <c r="L1540" s="2">
        <v>17163147</v>
      </c>
      <c r="M1540" s="2">
        <v>7173491707.0500002</v>
      </c>
      <c r="N1540" s="2">
        <v>147046</v>
      </c>
      <c r="O1540" t="s">
        <v>22</v>
      </c>
      <c r="P1540" s="8">
        <f t="shared" si="72"/>
        <v>0.14999999999997726</v>
      </c>
      <c r="Q1540" t="s">
        <v>40</v>
      </c>
      <c r="R1540">
        <f t="shared" si="73"/>
        <v>10</v>
      </c>
      <c r="S1540" t="str">
        <f t="shared" si="74"/>
        <v>Oct</v>
      </c>
      <c r="T1540" s="9">
        <f>VLOOKUP(O1540, Annual_Summary!A:B, 2, 0)</f>
        <v>-0.16726934600681886</v>
      </c>
    </row>
    <row r="1541" spans="1:20" x14ac:dyDescent="0.3">
      <c r="A1541" s="1">
        <v>45957</v>
      </c>
      <c r="B1541" t="s">
        <v>15</v>
      </c>
      <c r="C1541" s="3">
        <v>417</v>
      </c>
      <c r="D1541" s="3">
        <v>422.7</v>
      </c>
      <c r="E1541" s="3">
        <v>416.6</v>
      </c>
      <c r="F1541" s="3">
        <v>416.8</v>
      </c>
      <c r="G1541" s="3">
        <v>421</v>
      </c>
      <c r="H1541" s="3">
        <v>420.65</v>
      </c>
      <c r="I1541" s="3">
        <v>420.58</v>
      </c>
      <c r="J1541" s="3">
        <v>471.5</v>
      </c>
      <c r="K1541" s="3">
        <v>390.15</v>
      </c>
      <c r="L1541" s="2">
        <v>11603679</v>
      </c>
      <c r="M1541" s="2">
        <v>4880229507.8500004</v>
      </c>
      <c r="N1541" s="2">
        <v>115318</v>
      </c>
      <c r="O1541" t="s">
        <v>22</v>
      </c>
      <c r="P1541" s="8">
        <f t="shared" si="72"/>
        <v>-0.19999999999998863</v>
      </c>
      <c r="Q1541" t="s">
        <v>40</v>
      </c>
      <c r="R1541">
        <f t="shared" si="73"/>
        <v>10</v>
      </c>
      <c r="S1541" t="str">
        <f t="shared" si="74"/>
        <v>Oct</v>
      </c>
      <c r="T1541" s="9">
        <f>VLOOKUP(O1541, Annual_Summary!A:B, 2, 0)</f>
        <v>-0.16726934600681886</v>
      </c>
    </row>
    <row r="1542" spans="1:20" x14ac:dyDescent="0.3">
      <c r="A1542" s="1">
        <v>45954</v>
      </c>
      <c r="B1542" t="s">
        <v>15</v>
      </c>
      <c r="C1542" s="3">
        <v>415.95</v>
      </c>
      <c r="D1542" s="3">
        <v>417.95</v>
      </c>
      <c r="E1542" s="3">
        <v>413.45</v>
      </c>
      <c r="F1542" s="3">
        <v>415.95</v>
      </c>
      <c r="G1542" s="3">
        <v>417.8</v>
      </c>
      <c r="H1542" s="3">
        <v>416.8</v>
      </c>
      <c r="I1542" s="3">
        <v>415.51</v>
      </c>
      <c r="J1542" s="3">
        <v>471.5</v>
      </c>
      <c r="K1542" s="3">
        <v>390.15</v>
      </c>
      <c r="L1542" s="2">
        <v>14935678</v>
      </c>
      <c r="M1542" s="2">
        <v>6205957776.1000004</v>
      </c>
      <c r="N1542" s="2">
        <v>114037</v>
      </c>
      <c r="O1542" t="s">
        <v>22</v>
      </c>
      <c r="P1542" s="8">
        <f t="shared" si="72"/>
        <v>0</v>
      </c>
      <c r="Q1542" t="s">
        <v>40</v>
      </c>
      <c r="R1542">
        <f t="shared" si="73"/>
        <v>10</v>
      </c>
      <c r="S1542" t="str">
        <f t="shared" si="74"/>
        <v>Oct</v>
      </c>
      <c r="T1542" s="9">
        <f>VLOOKUP(O1542, Annual_Summary!A:B, 2, 0)</f>
        <v>-0.16726934600681886</v>
      </c>
    </row>
    <row r="1543" spans="1:20" x14ac:dyDescent="0.3">
      <c r="A1543" s="1">
        <v>45953</v>
      </c>
      <c r="B1543" t="s">
        <v>15</v>
      </c>
      <c r="C1543" s="3">
        <v>416</v>
      </c>
      <c r="D1543" s="3">
        <v>420.45</v>
      </c>
      <c r="E1543" s="3">
        <v>413.55</v>
      </c>
      <c r="F1543" s="3">
        <v>412.85</v>
      </c>
      <c r="G1543" s="3">
        <v>416.25</v>
      </c>
      <c r="H1543" s="3">
        <v>415.95</v>
      </c>
      <c r="I1543" s="3">
        <v>417.33</v>
      </c>
      <c r="J1543" s="3">
        <v>471.5</v>
      </c>
      <c r="K1543" s="3">
        <v>390.15</v>
      </c>
      <c r="L1543" s="2">
        <v>24305990</v>
      </c>
      <c r="M1543" s="2">
        <v>10143543220.15</v>
      </c>
      <c r="N1543" s="2">
        <v>189470</v>
      </c>
      <c r="O1543" t="s">
        <v>22</v>
      </c>
      <c r="P1543" s="8">
        <f t="shared" si="72"/>
        <v>-3.1499999999999773</v>
      </c>
      <c r="Q1543" t="s">
        <v>40</v>
      </c>
      <c r="R1543">
        <f t="shared" si="73"/>
        <v>10</v>
      </c>
      <c r="S1543" t="str">
        <f t="shared" si="74"/>
        <v>Oct</v>
      </c>
      <c r="T1543" s="9">
        <f>VLOOKUP(O1543, Annual_Summary!A:B, 2, 0)</f>
        <v>-0.16726934600681886</v>
      </c>
    </row>
    <row r="1544" spans="1:20" x14ac:dyDescent="0.3">
      <c r="A1544" s="1">
        <v>45951</v>
      </c>
      <c r="B1544" t="s">
        <v>15</v>
      </c>
      <c r="C1544" s="3">
        <v>413.5</v>
      </c>
      <c r="D1544" s="3">
        <v>413.95</v>
      </c>
      <c r="E1544" s="3">
        <v>412.35</v>
      </c>
      <c r="F1544" s="3">
        <v>413.05</v>
      </c>
      <c r="G1544" s="3">
        <v>412.5</v>
      </c>
      <c r="H1544" s="3">
        <v>412.85</v>
      </c>
      <c r="I1544" s="3">
        <v>412.93</v>
      </c>
      <c r="J1544" s="3">
        <v>471.5</v>
      </c>
      <c r="K1544" s="3">
        <v>390.15</v>
      </c>
      <c r="L1544" s="2">
        <v>1142130</v>
      </c>
      <c r="M1544" s="2">
        <v>471623300.60000002</v>
      </c>
      <c r="N1544" s="2">
        <v>38260</v>
      </c>
      <c r="O1544" t="s">
        <v>22</v>
      </c>
      <c r="P1544" s="8">
        <f t="shared" si="72"/>
        <v>-0.44999999999998863</v>
      </c>
      <c r="Q1544" t="s">
        <v>40</v>
      </c>
      <c r="R1544">
        <f t="shared" si="73"/>
        <v>10</v>
      </c>
      <c r="S1544" t="str">
        <f t="shared" si="74"/>
        <v>Oct</v>
      </c>
      <c r="T1544" s="9">
        <f>VLOOKUP(O1544, Annual_Summary!A:B, 2, 0)</f>
        <v>-0.16726934600681886</v>
      </c>
    </row>
    <row r="1545" spans="1:20" x14ac:dyDescent="0.3">
      <c r="A1545" s="1">
        <v>45950</v>
      </c>
      <c r="B1545" t="s">
        <v>15</v>
      </c>
      <c r="C1545" s="3">
        <v>412.55</v>
      </c>
      <c r="D1545" s="3">
        <v>414.85</v>
      </c>
      <c r="E1545" s="3">
        <v>411.3</v>
      </c>
      <c r="F1545" s="3">
        <v>412.15</v>
      </c>
      <c r="G1545" s="3">
        <v>412.6</v>
      </c>
      <c r="H1545" s="3">
        <v>413.05</v>
      </c>
      <c r="I1545" s="3">
        <v>412.96</v>
      </c>
      <c r="J1545" s="3">
        <v>471.5</v>
      </c>
      <c r="K1545" s="3">
        <v>390.15</v>
      </c>
      <c r="L1545" s="2">
        <v>13083621</v>
      </c>
      <c r="M1545" s="2">
        <v>5403072501.6000004</v>
      </c>
      <c r="N1545" s="2">
        <v>126249</v>
      </c>
      <c r="O1545" t="s">
        <v>22</v>
      </c>
      <c r="P1545" s="8">
        <f t="shared" si="72"/>
        <v>-0.40000000000003411</v>
      </c>
      <c r="Q1545" t="s">
        <v>40</v>
      </c>
      <c r="R1545">
        <f t="shared" si="73"/>
        <v>10</v>
      </c>
      <c r="S1545" t="str">
        <f t="shared" si="74"/>
        <v>Oct</v>
      </c>
      <c r="T1545" s="9">
        <f>VLOOKUP(O1545, Annual_Summary!A:B, 2, 0)</f>
        <v>-0.16726934600681886</v>
      </c>
    </row>
    <row r="1546" spans="1:20" x14ac:dyDescent="0.3">
      <c r="A1546" s="1">
        <v>45947</v>
      </c>
      <c r="B1546" t="s">
        <v>15</v>
      </c>
      <c r="C1546" s="3">
        <v>405.35</v>
      </c>
      <c r="D1546" s="3">
        <v>413.85</v>
      </c>
      <c r="E1546" s="3">
        <v>405.25</v>
      </c>
      <c r="F1546" s="3">
        <v>405.15</v>
      </c>
      <c r="G1546" s="3">
        <v>411.4</v>
      </c>
      <c r="H1546" s="3">
        <v>412.15</v>
      </c>
      <c r="I1546" s="3">
        <v>411.42</v>
      </c>
      <c r="J1546" s="3">
        <v>471.5</v>
      </c>
      <c r="K1546" s="3">
        <v>390.15</v>
      </c>
      <c r="L1546" s="2">
        <v>21071344</v>
      </c>
      <c r="M1546" s="2">
        <v>8669197740.6499996</v>
      </c>
      <c r="N1546" s="2">
        <v>155146</v>
      </c>
      <c r="O1546" t="s">
        <v>22</v>
      </c>
      <c r="P1546" s="8">
        <f t="shared" si="72"/>
        <v>-0.20000000000004547</v>
      </c>
      <c r="Q1546" t="s">
        <v>40</v>
      </c>
      <c r="R1546">
        <f t="shared" si="73"/>
        <v>10</v>
      </c>
      <c r="S1546" t="str">
        <f t="shared" si="74"/>
        <v>Oct</v>
      </c>
      <c r="T1546" s="9">
        <f>VLOOKUP(O1546, Annual_Summary!A:B, 2, 0)</f>
        <v>-0.16726934600681886</v>
      </c>
    </row>
    <row r="1547" spans="1:20" x14ac:dyDescent="0.3">
      <c r="A1547" s="1">
        <v>45946</v>
      </c>
      <c r="B1547" t="s">
        <v>15</v>
      </c>
      <c r="C1547" s="3">
        <v>401</v>
      </c>
      <c r="D1547" s="3">
        <v>406</v>
      </c>
      <c r="E1547" s="3">
        <v>399.55</v>
      </c>
      <c r="F1547" s="3">
        <v>399.9</v>
      </c>
      <c r="G1547" s="3">
        <v>405.45</v>
      </c>
      <c r="H1547" s="3">
        <v>405.15</v>
      </c>
      <c r="I1547" s="3">
        <v>403</v>
      </c>
      <c r="J1547" s="3">
        <v>471.5</v>
      </c>
      <c r="K1547" s="3">
        <v>390.15</v>
      </c>
      <c r="L1547" s="2">
        <v>22962049</v>
      </c>
      <c r="M1547" s="2">
        <v>9253741617.7000008</v>
      </c>
      <c r="N1547" s="2">
        <v>161737</v>
      </c>
      <c r="O1547" t="s">
        <v>22</v>
      </c>
      <c r="P1547" s="8">
        <f t="shared" si="72"/>
        <v>-1.1000000000000227</v>
      </c>
      <c r="Q1547" t="s">
        <v>40</v>
      </c>
      <c r="R1547">
        <f t="shared" si="73"/>
        <v>10</v>
      </c>
      <c r="S1547" t="str">
        <f t="shared" si="74"/>
        <v>Oct</v>
      </c>
      <c r="T1547" s="9">
        <f>VLOOKUP(O1547, Annual_Summary!A:B, 2, 0)</f>
        <v>-0.16726934600681886</v>
      </c>
    </row>
    <row r="1548" spans="1:20" x14ac:dyDescent="0.3">
      <c r="A1548" s="1">
        <v>45945</v>
      </c>
      <c r="B1548" t="s">
        <v>15</v>
      </c>
      <c r="C1548" s="3">
        <v>398</v>
      </c>
      <c r="D1548" s="3">
        <v>400.85</v>
      </c>
      <c r="E1548" s="3">
        <v>397.25</v>
      </c>
      <c r="F1548" s="3">
        <v>396.8</v>
      </c>
      <c r="G1548" s="3">
        <v>400.3</v>
      </c>
      <c r="H1548" s="3">
        <v>399.9</v>
      </c>
      <c r="I1548" s="3">
        <v>399.77</v>
      </c>
      <c r="J1548" s="3">
        <v>471.5</v>
      </c>
      <c r="K1548" s="3">
        <v>390.15</v>
      </c>
      <c r="L1548" s="2">
        <v>16043867</v>
      </c>
      <c r="M1548" s="2">
        <v>6413886116.5</v>
      </c>
      <c r="N1548" s="2">
        <v>107335</v>
      </c>
      <c r="O1548" t="s">
        <v>22</v>
      </c>
      <c r="P1548" s="8">
        <f t="shared" si="72"/>
        <v>-1.1999999999999886</v>
      </c>
      <c r="Q1548" t="s">
        <v>40</v>
      </c>
      <c r="R1548">
        <f t="shared" si="73"/>
        <v>10</v>
      </c>
      <c r="S1548" t="str">
        <f t="shared" si="74"/>
        <v>Oct</v>
      </c>
      <c r="T1548" s="9">
        <f>VLOOKUP(O1548, Annual_Summary!A:B, 2, 0)</f>
        <v>-0.16726934600681886</v>
      </c>
    </row>
    <row r="1549" spans="1:20" x14ac:dyDescent="0.3">
      <c r="A1549" s="1">
        <v>45944</v>
      </c>
      <c r="B1549" t="s">
        <v>15</v>
      </c>
      <c r="C1549" s="3">
        <v>400</v>
      </c>
      <c r="D1549" s="3">
        <v>400.85</v>
      </c>
      <c r="E1549" s="3">
        <v>396.2</v>
      </c>
      <c r="F1549" s="3">
        <v>399.25</v>
      </c>
      <c r="G1549" s="3">
        <v>396.7</v>
      </c>
      <c r="H1549" s="3">
        <v>396.8</v>
      </c>
      <c r="I1549" s="3">
        <v>397.77</v>
      </c>
      <c r="J1549" s="3">
        <v>471.5</v>
      </c>
      <c r="K1549" s="3">
        <v>390.15</v>
      </c>
      <c r="L1549" s="2">
        <v>10291102</v>
      </c>
      <c r="M1549" s="2">
        <v>4093509264</v>
      </c>
      <c r="N1549" s="2">
        <v>155469</v>
      </c>
      <c r="O1549" t="s">
        <v>22</v>
      </c>
      <c r="P1549" s="8">
        <f t="shared" si="72"/>
        <v>-0.75</v>
      </c>
      <c r="Q1549" t="s">
        <v>40</v>
      </c>
      <c r="R1549">
        <f t="shared" si="73"/>
        <v>10</v>
      </c>
      <c r="S1549" t="str">
        <f t="shared" si="74"/>
        <v>Oct</v>
      </c>
      <c r="T1549" s="9">
        <f>VLOOKUP(O1549, Annual_Summary!A:B, 2, 0)</f>
        <v>-0.16726934600681886</v>
      </c>
    </row>
    <row r="1550" spans="1:20" x14ac:dyDescent="0.3">
      <c r="A1550" s="1">
        <v>45943</v>
      </c>
      <c r="B1550" t="s">
        <v>15</v>
      </c>
      <c r="C1550" s="3">
        <v>400</v>
      </c>
      <c r="D1550" s="3">
        <v>400.95</v>
      </c>
      <c r="E1550" s="3">
        <v>398.55</v>
      </c>
      <c r="F1550" s="3">
        <v>402.8</v>
      </c>
      <c r="G1550" s="3">
        <v>399.4</v>
      </c>
      <c r="H1550" s="3">
        <v>399.25</v>
      </c>
      <c r="I1550" s="3">
        <v>399.67</v>
      </c>
      <c r="J1550" s="3">
        <v>471.5</v>
      </c>
      <c r="K1550" s="3">
        <v>390.15</v>
      </c>
      <c r="L1550" s="2">
        <v>9508594</v>
      </c>
      <c r="M1550" s="2">
        <v>3800278856.6999998</v>
      </c>
      <c r="N1550" s="2">
        <v>172792</v>
      </c>
      <c r="O1550" t="s">
        <v>22</v>
      </c>
      <c r="P1550" s="8">
        <f t="shared" si="72"/>
        <v>2.8000000000000114</v>
      </c>
      <c r="Q1550" t="s">
        <v>40</v>
      </c>
      <c r="R1550">
        <f t="shared" si="73"/>
        <v>10</v>
      </c>
      <c r="S1550" t="str">
        <f t="shared" si="74"/>
        <v>Oct</v>
      </c>
      <c r="T1550" s="9">
        <f>VLOOKUP(O1550, Annual_Summary!A:B, 2, 0)</f>
        <v>-0.16726934600681886</v>
      </c>
    </row>
    <row r="1551" spans="1:20" x14ac:dyDescent="0.3">
      <c r="A1551" s="1">
        <v>45940</v>
      </c>
      <c r="B1551" t="s">
        <v>15</v>
      </c>
      <c r="C1551" s="3">
        <v>400.45</v>
      </c>
      <c r="D1551" s="3">
        <v>403.85</v>
      </c>
      <c r="E1551" s="3">
        <v>399.5</v>
      </c>
      <c r="F1551" s="3">
        <v>399.9</v>
      </c>
      <c r="G1551" s="3">
        <v>402.5</v>
      </c>
      <c r="H1551" s="3">
        <v>402.8</v>
      </c>
      <c r="I1551" s="3">
        <v>402.29</v>
      </c>
      <c r="J1551" s="3">
        <v>471.5</v>
      </c>
      <c r="K1551" s="3">
        <v>390.15</v>
      </c>
      <c r="L1551" s="2">
        <v>15085738</v>
      </c>
      <c r="M1551" s="2">
        <v>6068794009.1000004</v>
      </c>
      <c r="N1551" s="2">
        <v>115991</v>
      </c>
      <c r="O1551" t="s">
        <v>22</v>
      </c>
      <c r="P1551" s="8">
        <f t="shared" si="72"/>
        <v>-0.55000000000001137</v>
      </c>
      <c r="Q1551" t="s">
        <v>40</v>
      </c>
      <c r="R1551">
        <f t="shared" si="73"/>
        <v>10</v>
      </c>
      <c r="S1551" t="str">
        <f t="shared" si="74"/>
        <v>Oct</v>
      </c>
      <c r="T1551" s="9">
        <f>VLOOKUP(O1551, Annual_Summary!A:B, 2, 0)</f>
        <v>-0.16726934600681886</v>
      </c>
    </row>
    <row r="1552" spans="1:20" x14ac:dyDescent="0.3">
      <c r="A1552" s="1">
        <v>45939</v>
      </c>
      <c r="B1552" t="s">
        <v>15</v>
      </c>
      <c r="C1552" s="3">
        <v>399</v>
      </c>
      <c r="D1552" s="3">
        <v>401.4</v>
      </c>
      <c r="E1552" s="3">
        <v>398.95</v>
      </c>
      <c r="F1552" s="3">
        <v>399.75</v>
      </c>
      <c r="G1552" s="3">
        <v>399.3</v>
      </c>
      <c r="H1552" s="3">
        <v>399.9</v>
      </c>
      <c r="I1552" s="3">
        <v>399.97</v>
      </c>
      <c r="J1552" s="3">
        <v>471.5</v>
      </c>
      <c r="K1552" s="3">
        <v>390.15</v>
      </c>
      <c r="L1552" s="2">
        <v>15656267</v>
      </c>
      <c r="M1552" s="2">
        <v>6262021427.1000004</v>
      </c>
      <c r="N1552" s="2">
        <v>127019</v>
      </c>
      <c r="O1552" t="s">
        <v>22</v>
      </c>
      <c r="P1552" s="8">
        <f t="shared" si="72"/>
        <v>0.75</v>
      </c>
      <c r="Q1552" t="s">
        <v>40</v>
      </c>
      <c r="R1552">
        <f t="shared" si="73"/>
        <v>10</v>
      </c>
      <c r="S1552" t="str">
        <f t="shared" si="74"/>
        <v>Oct</v>
      </c>
      <c r="T1552" s="9">
        <f>VLOOKUP(O1552, Annual_Summary!A:B, 2, 0)</f>
        <v>-0.16726934600681886</v>
      </c>
    </row>
    <row r="1553" spans="1:20" x14ac:dyDescent="0.3">
      <c r="A1553" s="1">
        <v>45938</v>
      </c>
      <c r="B1553" t="s">
        <v>15</v>
      </c>
      <c r="C1553" s="3">
        <v>400</v>
      </c>
      <c r="D1553" s="3">
        <v>401.75</v>
      </c>
      <c r="E1553" s="3">
        <v>398</v>
      </c>
      <c r="F1553" s="3">
        <v>399.8</v>
      </c>
      <c r="G1553" s="3">
        <v>399.5</v>
      </c>
      <c r="H1553" s="3">
        <v>399.75</v>
      </c>
      <c r="I1553" s="3">
        <v>399.5</v>
      </c>
      <c r="J1553" s="3">
        <v>471.5</v>
      </c>
      <c r="K1553" s="3">
        <v>390.15</v>
      </c>
      <c r="L1553" s="2">
        <v>8402463</v>
      </c>
      <c r="M1553" s="2">
        <v>3356745732.5500002</v>
      </c>
      <c r="N1553" s="2">
        <v>93216</v>
      </c>
      <c r="O1553" t="s">
        <v>22</v>
      </c>
      <c r="P1553" s="8">
        <f t="shared" si="72"/>
        <v>-0.19999999999998863</v>
      </c>
      <c r="Q1553" t="s">
        <v>40</v>
      </c>
      <c r="R1553">
        <f t="shared" si="73"/>
        <v>10</v>
      </c>
      <c r="S1553" t="str">
        <f t="shared" si="74"/>
        <v>Oct</v>
      </c>
      <c r="T1553" s="9">
        <f>VLOOKUP(O1553, Annual_Summary!A:B, 2, 0)</f>
        <v>-0.16726934600681886</v>
      </c>
    </row>
    <row r="1554" spans="1:20" x14ac:dyDescent="0.3">
      <c r="A1554" s="1">
        <v>45937</v>
      </c>
      <c r="B1554" t="s">
        <v>15</v>
      </c>
      <c r="C1554" s="3">
        <v>402.5</v>
      </c>
      <c r="D1554" s="3">
        <v>402.6</v>
      </c>
      <c r="E1554" s="3">
        <v>399.5</v>
      </c>
      <c r="F1554" s="3">
        <v>400.75</v>
      </c>
      <c r="G1554" s="3">
        <v>399.9</v>
      </c>
      <c r="H1554" s="3">
        <v>399.8</v>
      </c>
      <c r="I1554" s="3">
        <v>400.47</v>
      </c>
      <c r="J1554" s="3">
        <v>471.5</v>
      </c>
      <c r="K1554" s="3">
        <v>390.15</v>
      </c>
      <c r="L1554" s="2">
        <v>12298968</v>
      </c>
      <c r="M1554" s="2">
        <v>4925318576.6999998</v>
      </c>
      <c r="N1554" s="2">
        <v>128812</v>
      </c>
      <c r="O1554" t="s">
        <v>22</v>
      </c>
      <c r="P1554" s="8">
        <f t="shared" si="72"/>
        <v>-1.75</v>
      </c>
      <c r="Q1554" t="s">
        <v>40</v>
      </c>
      <c r="R1554">
        <f t="shared" si="73"/>
        <v>10</v>
      </c>
      <c r="S1554" t="str">
        <f t="shared" si="74"/>
        <v>Oct</v>
      </c>
      <c r="T1554" s="9">
        <f>VLOOKUP(O1554, Annual_Summary!A:B, 2, 0)</f>
        <v>-0.16726934600681886</v>
      </c>
    </row>
    <row r="1555" spans="1:20" x14ac:dyDescent="0.3">
      <c r="A1555" s="1">
        <v>45936</v>
      </c>
      <c r="B1555" t="s">
        <v>15</v>
      </c>
      <c r="C1555" s="3">
        <v>403</v>
      </c>
      <c r="D1555" s="3">
        <v>403.9</v>
      </c>
      <c r="E1555" s="3">
        <v>399.8</v>
      </c>
      <c r="F1555" s="3">
        <v>404.3</v>
      </c>
      <c r="G1555" s="3">
        <v>401.1</v>
      </c>
      <c r="H1555" s="3">
        <v>400.75</v>
      </c>
      <c r="I1555" s="3">
        <v>400.71</v>
      </c>
      <c r="J1555" s="3">
        <v>471.5</v>
      </c>
      <c r="K1555" s="3">
        <v>390.15</v>
      </c>
      <c r="L1555" s="2">
        <v>13989077</v>
      </c>
      <c r="M1555" s="2">
        <v>5605584637.3000002</v>
      </c>
      <c r="N1555" s="2">
        <v>119696</v>
      </c>
      <c r="O1555" t="s">
        <v>22</v>
      </c>
      <c r="P1555" s="8">
        <f t="shared" si="72"/>
        <v>1.3000000000000114</v>
      </c>
      <c r="Q1555" t="s">
        <v>40</v>
      </c>
      <c r="R1555">
        <f t="shared" si="73"/>
        <v>10</v>
      </c>
      <c r="S1555" t="str">
        <f t="shared" si="74"/>
        <v>Oct</v>
      </c>
      <c r="T1555" s="9">
        <f>VLOOKUP(O1555, Annual_Summary!A:B, 2, 0)</f>
        <v>-0.16726934600681886</v>
      </c>
    </row>
    <row r="1556" spans="1:20" x14ac:dyDescent="0.3">
      <c r="A1556" s="1">
        <v>45933</v>
      </c>
      <c r="B1556" t="s">
        <v>15</v>
      </c>
      <c r="C1556" s="3">
        <v>404.9</v>
      </c>
      <c r="D1556" s="3">
        <v>405.5</v>
      </c>
      <c r="E1556" s="3">
        <v>402.3</v>
      </c>
      <c r="F1556" s="3">
        <v>405.6</v>
      </c>
      <c r="G1556" s="3">
        <v>404.6</v>
      </c>
      <c r="H1556" s="3">
        <v>404.3</v>
      </c>
      <c r="I1556" s="3">
        <v>404.32</v>
      </c>
      <c r="J1556" s="3">
        <v>471.5</v>
      </c>
      <c r="K1556" s="3">
        <v>390.15</v>
      </c>
      <c r="L1556" s="2">
        <v>16987141</v>
      </c>
      <c r="M1556" s="2">
        <v>6868213808.3000002</v>
      </c>
      <c r="N1556" s="2">
        <v>119898</v>
      </c>
      <c r="O1556" t="s">
        <v>22</v>
      </c>
      <c r="P1556" s="8">
        <f t="shared" si="72"/>
        <v>0.70000000000004547</v>
      </c>
      <c r="Q1556" t="s">
        <v>40</v>
      </c>
      <c r="R1556">
        <f t="shared" si="73"/>
        <v>10</v>
      </c>
      <c r="S1556" t="str">
        <f t="shared" si="74"/>
        <v>Oct</v>
      </c>
      <c r="T1556" s="9">
        <f>VLOOKUP(O1556, Annual_Summary!A:B, 2, 0)</f>
        <v>-0.16726934600681886</v>
      </c>
    </row>
    <row r="1557" spans="1:20" x14ac:dyDescent="0.3">
      <c r="A1557" s="1">
        <v>45931</v>
      </c>
      <c r="B1557" t="s">
        <v>15</v>
      </c>
      <c r="C1557" s="3">
        <v>402.35</v>
      </c>
      <c r="D1557" s="3">
        <v>406</v>
      </c>
      <c r="E1557" s="3">
        <v>399.75</v>
      </c>
      <c r="F1557" s="3">
        <v>401.55</v>
      </c>
      <c r="G1557" s="3">
        <v>404.9</v>
      </c>
      <c r="H1557" s="3">
        <v>405.6</v>
      </c>
      <c r="I1557" s="3">
        <v>403.72</v>
      </c>
      <c r="J1557" s="3">
        <v>471.5</v>
      </c>
      <c r="K1557" s="3">
        <v>390.15</v>
      </c>
      <c r="L1557" s="2">
        <v>17643039</v>
      </c>
      <c r="M1557" s="2">
        <v>7122831971.25</v>
      </c>
      <c r="N1557" s="2">
        <v>116986</v>
      </c>
      <c r="O1557" t="s">
        <v>22</v>
      </c>
      <c r="P1557" s="8">
        <f t="shared" si="72"/>
        <v>-0.80000000000001137</v>
      </c>
      <c r="Q1557" t="s">
        <v>40</v>
      </c>
      <c r="R1557">
        <f t="shared" si="73"/>
        <v>10</v>
      </c>
      <c r="S1557" t="str">
        <f t="shared" si="74"/>
        <v>Oct</v>
      </c>
      <c r="T1557" s="9">
        <f>VLOOKUP(O1557, Annual_Summary!A:B, 2, 0)</f>
        <v>-0.16726934600681886</v>
      </c>
    </row>
    <row r="1558" spans="1:20" x14ac:dyDescent="0.3">
      <c r="A1558" s="1">
        <v>45930</v>
      </c>
      <c r="B1558" t="s">
        <v>15</v>
      </c>
      <c r="C1558" s="3">
        <v>406.75</v>
      </c>
      <c r="D1558" s="3">
        <v>406.75</v>
      </c>
      <c r="E1558" s="3">
        <v>400.4</v>
      </c>
      <c r="F1558" s="3">
        <v>407.25</v>
      </c>
      <c r="G1558" s="3">
        <v>401.7</v>
      </c>
      <c r="H1558" s="3">
        <v>401.55</v>
      </c>
      <c r="I1558" s="3">
        <v>402.22</v>
      </c>
      <c r="J1558" s="3">
        <v>471.5</v>
      </c>
      <c r="K1558" s="3">
        <v>390.15</v>
      </c>
      <c r="L1558" s="2">
        <v>9465490</v>
      </c>
      <c r="M1558" s="2">
        <v>3807199569.5</v>
      </c>
      <c r="N1558" s="2">
        <v>135011</v>
      </c>
      <c r="O1558" t="s">
        <v>22</v>
      </c>
      <c r="P1558" s="8">
        <f t="shared" si="72"/>
        <v>0.5</v>
      </c>
      <c r="Q1558" t="s">
        <v>40</v>
      </c>
      <c r="R1558">
        <f t="shared" si="73"/>
        <v>9</v>
      </c>
      <c r="S1558" t="str">
        <f t="shared" si="74"/>
        <v>Sep</v>
      </c>
      <c r="T1558" s="9">
        <f>VLOOKUP(O1558, Annual_Summary!A:B, 2, 0)</f>
        <v>-0.16726934600681886</v>
      </c>
    </row>
    <row r="1559" spans="1:20" x14ac:dyDescent="0.3">
      <c r="A1559" s="1">
        <v>45929</v>
      </c>
      <c r="B1559" t="s">
        <v>15</v>
      </c>
      <c r="C1559" s="3">
        <v>406.9</v>
      </c>
      <c r="D1559" s="3">
        <v>408</v>
      </c>
      <c r="E1559" s="3">
        <v>403.2</v>
      </c>
      <c r="F1559" s="3">
        <v>405.1</v>
      </c>
      <c r="G1559" s="3">
        <v>404.4</v>
      </c>
      <c r="H1559" s="3">
        <v>407.25</v>
      </c>
      <c r="I1559" s="3">
        <v>406.55</v>
      </c>
      <c r="J1559" s="3">
        <v>471.5</v>
      </c>
      <c r="K1559" s="3">
        <v>390.15</v>
      </c>
      <c r="L1559" s="2">
        <v>19717660</v>
      </c>
      <c r="M1559" s="2">
        <v>8016125728.8000002</v>
      </c>
      <c r="N1559" s="2">
        <v>138356</v>
      </c>
      <c r="O1559" t="s">
        <v>22</v>
      </c>
      <c r="P1559" s="8">
        <f t="shared" si="72"/>
        <v>-1.7999999999999545</v>
      </c>
      <c r="Q1559" t="s">
        <v>40</v>
      </c>
      <c r="R1559">
        <f t="shared" si="73"/>
        <v>9</v>
      </c>
      <c r="S1559" t="str">
        <f t="shared" si="74"/>
        <v>Sep</v>
      </c>
      <c r="T1559" s="9">
        <f>VLOOKUP(O1559, Annual_Summary!A:B, 2, 0)</f>
        <v>-0.16726934600681886</v>
      </c>
    </row>
    <row r="1560" spans="1:20" x14ac:dyDescent="0.3">
      <c r="A1560" s="1">
        <v>45926</v>
      </c>
      <c r="B1560" t="s">
        <v>15</v>
      </c>
      <c r="C1560" s="3">
        <v>400.1</v>
      </c>
      <c r="D1560" s="3">
        <v>405.9</v>
      </c>
      <c r="E1560" s="3">
        <v>399.8</v>
      </c>
      <c r="F1560" s="3">
        <v>400.1</v>
      </c>
      <c r="G1560" s="3">
        <v>405</v>
      </c>
      <c r="H1560" s="3">
        <v>405.1</v>
      </c>
      <c r="I1560" s="3">
        <v>403.62</v>
      </c>
      <c r="J1560" s="3">
        <v>471.5</v>
      </c>
      <c r="K1560" s="3">
        <v>390.15</v>
      </c>
      <c r="L1560" s="2">
        <v>14414044</v>
      </c>
      <c r="M1560" s="2">
        <v>5817782528.8999996</v>
      </c>
      <c r="N1560" s="2">
        <v>120767</v>
      </c>
      <c r="O1560" t="s">
        <v>22</v>
      </c>
      <c r="P1560" s="8">
        <f t="shared" si="72"/>
        <v>0</v>
      </c>
      <c r="Q1560" t="s">
        <v>40</v>
      </c>
      <c r="R1560">
        <f t="shared" si="73"/>
        <v>9</v>
      </c>
      <c r="S1560" t="str">
        <f t="shared" si="74"/>
        <v>Sep</v>
      </c>
      <c r="T1560" s="9">
        <f>VLOOKUP(O1560, Annual_Summary!A:B, 2, 0)</f>
        <v>-0.16726934600681886</v>
      </c>
    </row>
    <row r="1561" spans="1:20" x14ac:dyDescent="0.3">
      <c r="A1561" s="1">
        <v>45925</v>
      </c>
      <c r="B1561" t="s">
        <v>15</v>
      </c>
      <c r="C1561" s="3">
        <v>401.45</v>
      </c>
      <c r="D1561" s="3">
        <v>403</v>
      </c>
      <c r="E1561" s="3">
        <v>398</v>
      </c>
      <c r="F1561" s="3">
        <v>401</v>
      </c>
      <c r="G1561" s="3">
        <v>400.45</v>
      </c>
      <c r="H1561" s="3">
        <v>400.1</v>
      </c>
      <c r="I1561" s="3">
        <v>400.05</v>
      </c>
      <c r="J1561" s="3">
        <v>471.5</v>
      </c>
      <c r="K1561" s="3">
        <v>390.15</v>
      </c>
      <c r="L1561" s="2">
        <v>22006368</v>
      </c>
      <c r="M1561" s="2">
        <v>8803608106.5499992</v>
      </c>
      <c r="N1561" s="2">
        <v>174393</v>
      </c>
      <c r="O1561" t="s">
        <v>22</v>
      </c>
      <c r="P1561" s="8">
        <f t="shared" si="72"/>
        <v>-0.44999999999998863</v>
      </c>
      <c r="Q1561" t="s">
        <v>40</v>
      </c>
      <c r="R1561">
        <f t="shared" si="73"/>
        <v>9</v>
      </c>
      <c r="S1561" t="str">
        <f t="shared" si="74"/>
        <v>Sep</v>
      </c>
      <c r="T1561" s="9">
        <f>VLOOKUP(O1561, Annual_Summary!A:B, 2, 0)</f>
        <v>-0.16726934600681886</v>
      </c>
    </row>
    <row r="1562" spans="1:20" x14ac:dyDescent="0.3">
      <c r="A1562" s="1">
        <v>45924</v>
      </c>
      <c r="B1562" t="s">
        <v>15</v>
      </c>
      <c r="C1562" s="3">
        <v>403.2</v>
      </c>
      <c r="D1562" s="3">
        <v>404.65</v>
      </c>
      <c r="E1562" s="3">
        <v>400.7</v>
      </c>
      <c r="F1562" s="3">
        <v>403.2</v>
      </c>
      <c r="G1562" s="3">
        <v>401</v>
      </c>
      <c r="H1562" s="3">
        <v>401</v>
      </c>
      <c r="I1562" s="3">
        <v>401.65</v>
      </c>
      <c r="J1562" s="3">
        <v>471.5</v>
      </c>
      <c r="K1562" s="3">
        <v>390.15</v>
      </c>
      <c r="L1562" s="2">
        <v>12380865</v>
      </c>
      <c r="M1562" s="2">
        <v>4972836129.3500004</v>
      </c>
      <c r="N1562" s="2">
        <v>117613</v>
      </c>
      <c r="O1562" t="s">
        <v>22</v>
      </c>
      <c r="P1562" s="8">
        <f t="shared" si="72"/>
        <v>0</v>
      </c>
      <c r="Q1562" t="s">
        <v>40</v>
      </c>
      <c r="R1562">
        <f t="shared" si="73"/>
        <v>9</v>
      </c>
      <c r="S1562" t="str">
        <f t="shared" si="74"/>
        <v>Sep</v>
      </c>
      <c r="T1562" s="9">
        <f>VLOOKUP(O1562, Annual_Summary!A:B, 2, 0)</f>
        <v>-0.16726934600681886</v>
      </c>
    </row>
    <row r="1563" spans="1:20" x14ac:dyDescent="0.3">
      <c r="A1563" s="1">
        <v>45923</v>
      </c>
      <c r="B1563" t="s">
        <v>15</v>
      </c>
      <c r="C1563" s="3">
        <v>407.1</v>
      </c>
      <c r="D1563" s="3">
        <v>408.1</v>
      </c>
      <c r="E1563" s="3">
        <v>402.1</v>
      </c>
      <c r="F1563" s="3">
        <v>406.95</v>
      </c>
      <c r="G1563" s="3">
        <v>404</v>
      </c>
      <c r="H1563" s="3">
        <v>403.2</v>
      </c>
      <c r="I1563" s="3">
        <v>403.67</v>
      </c>
      <c r="J1563" s="3">
        <v>471.5</v>
      </c>
      <c r="K1563" s="3">
        <v>390.15</v>
      </c>
      <c r="L1563" s="2">
        <v>14936357</v>
      </c>
      <c r="M1563" s="2">
        <v>6029414917.8500004</v>
      </c>
      <c r="N1563" s="2">
        <v>165353</v>
      </c>
      <c r="O1563" t="s">
        <v>22</v>
      </c>
      <c r="P1563" s="8">
        <f t="shared" si="72"/>
        <v>-0.15000000000003411</v>
      </c>
      <c r="Q1563" t="s">
        <v>40</v>
      </c>
      <c r="R1563">
        <f t="shared" si="73"/>
        <v>9</v>
      </c>
      <c r="S1563" t="str">
        <f t="shared" si="74"/>
        <v>Sep</v>
      </c>
      <c r="T1563" s="9">
        <f>VLOOKUP(O1563, Annual_Summary!A:B, 2, 0)</f>
        <v>-0.16726934600681886</v>
      </c>
    </row>
    <row r="1564" spans="1:20" x14ac:dyDescent="0.3">
      <c r="A1564" s="1">
        <v>45922</v>
      </c>
      <c r="B1564" t="s">
        <v>15</v>
      </c>
      <c r="C1564" s="3">
        <v>410.65</v>
      </c>
      <c r="D1564" s="3">
        <v>411</v>
      </c>
      <c r="E1564" s="3">
        <v>406.05</v>
      </c>
      <c r="F1564" s="3">
        <v>410.65</v>
      </c>
      <c r="G1564" s="3">
        <v>407</v>
      </c>
      <c r="H1564" s="3">
        <v>406.95</v>
      </c>
      <c r="I1564" s="3">
        <v>408.02</v>
      </c>
      <c r="J1564" s="3">
        <v>471.5</v>
      </c>
      <c r="K1564" s="3">
        <v>390.15</v>
      </c>
      <c r="L1564" s="2">
        <v>8930779</v>
      </c>
      <c r="M1564" s="2">
        <v>3643975296.25</v>
      </c>
      <c r="N1564" s="2">
        <v>128779</v>
      </c>
      <c r="O1564" t="s">
        <v>22</v>
      </c>
      <c r="P1564" s="8">
        <f t="shared" si="72"/>
        <v>0</v>
      </c>
      <c r="Q1564" t="s">
        <v>40</v>
      </c>
      <c r="R1564">
        <f t="shared" si="73"/>
        <v>9</v>
      </c>
      <c r="S1564" t="str">
        <f t="shared" si="74"/>
        <v>Sep</v>
      </c>
      <c r="T1564" s="9">
        <f>VLOOKUP(O1564, Annual_Summary!A:B, 2, 0)</f>
        <v>-0.16726934600681886</v>
      </c>
    </row>
    <row r="1565" spans="1:20" x14ac:dyDescent="0.3">
      <c r="A1565" s="1">
        <v>45919</v>
      </c>
      <c r="B1565" t="s">
        <v>15</v>
      </c>
      <c r="C1565" s="3">
        <v>411.55</v>
      </c>
      <c r="D1565" s="3">
        <v>412.6</v>
      </c>
      <c r="E1565" s="3">
        <v>408.95</v>
      </c>
      <c r="F1565" s="3">
        <v>411.55</v>
      </c>
      <c r="G1565" s="3">
        <v>410</v>
      </c>
      <c r="H1565" s="3">
        <v>410.65</v>
      </c>
      <c r="I1565" s="3">
        <v>410.47</v>
      </c>
      <c r="J1565" s="3">
        <v>471.5</v>
      </c>
      <c r="K1565" s="3">
        <v>390.15</v>
      </c>
      <c r="L1565" s="2">
        <v>19505321</v>
      </c>
      <c r="M1565" s="2">
        <v>8006379578.25</v>
      </c>
      <c r="N1565" s="2">
        <v>119041</v>
      </c>
      <c r="O1565" t="s">
        <v>22</v>
      </c>
      <c r="P1565" s="8">
        <f t="shared" si="72"/>
        <v>0</v>
      </c>
      <c r="Q1565" t="s">
        <v>40</v>
      </c>
      <c r="R1565">
        <f t="shared" si="73"/>
        <v>9</v>
      </c>
      <c r="S1565" t="str">
        <f t="shared" si="74"/>
        <v>Sep</v>
      </c>
      <c r="T1565" s="9">
        <f>VLOOKUP(O1565, Annual_Summary!A:B, 2, 0)</f>
        <v>-0.16726934600681886</v>
      </c>
    </row>
    <row r="1566" spans="1:20" x14ac:dyDescent="0.3">
      <c r="A1566" s="1">
        <v>45918</v>
      </c>
      <c r="B1566" t="s">
        <v>15</v>
      </c>
      <c r="C1566" s="3">
        <v>411.35</v>
      </c>
      <c r="D1566" s="3">
        <v>413.05</v>
      </c>
      <c r="E1566" s="3">
        <v>410.1</v>
      </c>
      <c r="F1566" s="3">
        <v>409.3</v>
      </c>
      <c r="G1566" s="3">
        <v>412.5</v>
      </c>
      <c r="H1566" s="3">
        <v>411.55</v>
      </c>
      <c r="I1566" s="3">
        <v>411.51</v>
      </c>
      <c r="J1566" s="3">
        <v>471.5</v>
      </c>
      <c r="K1566" s="3">
        <v>390.15</v>
      </c>
      <c r="L1566" s="2">
        <v>15647808</v>
      </c>
      <c r="M1566" s="2">
        <v>6439299773.3000002</v>
      </c>
      <c r="N1566" s="2">
        <v>105500</v>
      </c>
      <c r="O1566" t="s">
        <v>22</v>
      </c>
      <c r="P1566" s="8">
        <f t="shared" si="72"/>
        <v>-2.0500000000000114</v>
      </c>
      <c r="Q1566" t="s">
        <v>40</v>
      </c>
      <c r="R1566">
        <f t="shared" si="73"/>
        <v>9</v>
      </c>
      <c r="S1566" t="str">
        <f t="shared" si="74"/>
        <v>Sep</v>
      </c>
      <c r="T1566" s="9">
        <f>VLOOKUP(O1566, Annual_Summary!A:B, 2, 0)</f>
        <v>-0.16726934600681886</v>
      </c>
    </row>
    <row r="1567" spans="1:20" x14ac:dyDescent="0.3">
      <c r="A1567" s="1">
        <v>45917</v>
      </c>
      <c r="B1567" t="s">
        <v>15</v>
      </c>
      <c r="C1567" s="3">
        <v>413.95</v>
      </c>
      <c r="D1567" s="3">
        <v>414.6</v>
      </c>
      <c r="E1567" s="3">
        <v>408.05</v>
      </c>
      <c r="F1567" s="3">
        <v>413.1</v>
      </c>
      <c r="G1567" s="3">
        <v>410.05</v>
      </c>
      <c r="H1567" s="3">
        <v>409.3</v>
      </c>
      <c r="I1567" s="3">
        <v>410.17</v>
      </c>
      <c r="J1567" s="3">
        <v>471.5</v>
      </c>
      <c r="K1567" s="3">
        <v>390.15</v>
      </c>
      <c r="L1567" s="2">
        <v>14113882</v>
      </c>
      <c r="M1567" s="2">
        <v>5789128854.5500002</v>
      </c>
      <c r="N1567" s="2">
        <v>147228</v>
      </c>
      <c r="O1567" t="s">
        <v>22</v>
      </c>
      <c r="P1567" s="8">
        <f t="shared" si="72"/>
        <v>-0.84999999999996589</v>
      </c>
      <c r="Q1567" t="s">
        <v>40</v>
      </c>
      <c r="R1567">
        <f t="shared" si="73"/>
        <v>9</v>
      </c>
      <c r="S1567" t="str">
        <f t="shared" si="74"/>
        <v>Sep</v>
      </c>
      <c r="T1567" s="9">
        <f>VLOOKUP(O1567, Annual_Summary!A:B, 2, 0)</f>
        <v>-0.16726934600681886</v>
      </c>
    </row>
    <row r="1568" spans="1:20" x14ac:dyDescent="0.3">
      <c r="A1568" s="1">
        <v>45916</v>
      </c>
      <c r="B1568" t="s">
        <v>15</v>
      </c>
      <c r="C1568" s="3">
        <v>413.2</v>
      </c>
      <c r="D1568" s="3">
        <v>414.35</v>
      </c>
      <c r="E1568" s="3">
        <v>412</v>
      </c>
      <c r="F1568" s="3">
        <v>412.65</v>
      </c>
      <c r="G1568" s="3">
        <v>413.65</v>
      </c>
      <c r="H1568" s="3">
        <v>413.1</v>
      </c>
      <c r="I1568" s="3">
        <v>413.12</v>
      </c>
      <c r="J1568" s="3">
        <v>471.5</v>
      </c>
      <c r="K1568" s="3">
        <v>390.15</v>
      </c>
      <c r="L1568" s="2">
        <v>8239087</v>
      </c>
      <c r="M1568" s="2">
        <v>3403729371.0500002</v>
      </c>
      <c r="N1568" s="2">
        <v>97899</v>
      </c>
      <c r="O1568" t="s">
        <v>22</v>
      </c>
      <c r="P1568" s="8">
        <f t="shared" si="72"/>
        <v>-0.55000000000001137</v>
      </c>
      <c r="Q1568" t="s">
        <v>40</v>
      </c>
      <c r="R1568">
        <f t="shared" si="73"/>
        <v>9</v>
      </c>
      <c r="S1568" t="str">
        <f t="shared" si="74"/>
        <v>Sep</v>
      </c>
      <c r="T1568" s="9">
        <f>VLOOKUP(O1568, Annual_Summary!A:B, 2, 0)</f>
        <v>-0.16726934600681886</v>
      </c>
    </row>
    <row r="1569" spans="1:20" x14ac:dyDescent="0.3">
      <c r="A1569" s="1">
        <v>45915</v>
      </c>
      <c r="B1569" t="s">
        <v>15</v>
      </c>
      <c r="C1569" s="3">
        <v>413.05</v>
      </c>
      <c r="D1569" s="3">
        <v>414.3</v>
      </c>
      <c r="E1569" s="3">
        <v>411.75</v>
      </c>
      <c r="F1569" s="3">
        <v>413.75</v>
      </c>
      <c r="G1569" s="3">
        <v>412.8</v>
      </c>
      <c r="H1569" s="3">
        <v>412.65</v>
      </c>
      <c r="I1569" s="3">
        <v>413.05</v>
      </c>
      <c r="J1569" s="3">
        <v>471.5</v>
      </c>
      <c r="K1569" s="3">
        <v>390.15</v>
      </c>
      <c r="L1569" s="2">
        <v>5707331</v>
      </c>
      <c r="M1569" s="2">
        <v>2357418512.5500002</v>
      </c>
      <c r="N1569" s="2">
        <v>91972</v>
      </c>
      <c r="O1569" t="s">
        <v>22</v>
      </c>
      <c r="P1569" s="8">
        <f t="shared" si="72"/>
        <v>0.69999999999998863</v>
      </c>
      <c r="Q1569" t="s">
        <v>40</v>
      </c>
      <c r="R1569">
        <f t="shared" si="73"/>
        <v>9</v>
      </c>
      <c r="S1569" t="str">
        <f t="shared" si="74"/>
        <v>Sep</v>
      </c>
      <c r="T1569" s="9">
        <f>VLOOKUP(O1569, Annual_Summary!A:B, 2, 0)</f>
        <v>-0.16726934600681886</v>
      </c>
    </row>
    <row r="1570" spans="1:20" x14ac:dyDescent="0.3">
      <c r="A1570" s="1">
        <v>45912</v>
      </c>
      <c r="B1570" t="s">
        <v>15</v>
      </c>
      <c r="C1570" s="3">
        <v>415.35</v>
      </c>
      <c r="D1570" s="3">
        <v>417.05</v>
      </c>
      <c r="E1570" s="3">
        <v>412.85</v>
      </c>
      <c r="F1570" s="3">
        <v>415.05</v>
      </c>
      <c r="G1570" s="3">
        <v>413.55</v>
      </c>
      <c r="H1570" s="3">
        <v>413.75</v>
      </c>
      <c r="I1570" s="3">
        <v>414.89</v>
      </c>
      <c r="J1570" s="3">
        <v>471.5</v>
      </c>
      <c r="K1570" s="3">
        <v>390.15</v>
      </c>
      <c r="L1570" s="2">
        <v>7803379</v>
      </c>
      <c r="M1570" s="2">
        <v>3237550924.5</v>
      </c>
      <c r="N1570" s="2">
        <v>78225</v>
      </c>
      <c r="O1570" t="s">
        <v>22</v>
      </c>
      <c r="P1570" s="8">
        <f t="shared" si="72"/>
        <v>-0.30000000000001137</v>
      </c>
      <c r="Q1570" t="s">
        <v>40</v>
      </c>
      <c r="R1570">
        <f t="shared" si="73"/>
        <v>9</v>
      </c>
      <c r="S1570" t="str">
        <f t="shared" si="74"/>
        <v>Sep</v>
      </c>
      <c r="T1570" s="9">
        <f>VLOOKUP(O1570, Annual_Summary!A:B, 2, 0)</f>
        <v>-0.16726934600681886</v>
      </c>
    </row>
    <row r="1571" spans="1:20" x14ac:dyDescent="0.3">
      <c r="A1571" s="1">
        <v>45911</v>
      </c>
      <c r="B1571" t="s">
        <v>15</v>
      </c>
      <c r="C1571" s="3">
        <v>413.05</v>
      </c>
      <c r="D1571" s="3">
        <v>416.7</v>
      </c>
      <c r="E1571" s="3">
        <v>412.45</v>
      </c>
      <c r="F1571" s="3">
        <v>413.05</v>
      </c>
      <c r="G1571" s="3">
        <v>415.35</v>
      </c>
      <c r="H1571" s="3">
        <v>415.05</v>
      </c>
      <c r="I1571" s="3">
        <v>415.51</v>
      </c>
      <c r="J1571" s="3">
        <v>471.5</v>
      </c>
      <c r="K1571" s="3">
        <v>390.15</v>
      </c>
      <c r="L1571" s="2">
        <v>8274406</v>
      </c>
      <c r="M1571" s="2">
        <v>3438066391.5500002</v>
      </c>
      <c r="N1571" s="2">
        <v>195524</v>
      </c>
      <c r="O1571" t="s">
        <v>22</v>
      </c>
      <c r="P1571" s="8">
        <f t="shared" si="72"/>
        <v>0</v>
      </c>
      <c r="Q1571" t="s">
        <v>40</v>
      </c>
      <c r="R1571">
        <f t="shared" si="73"/>
        <v>9</v>
      </c>
      <c r="S1571" t="str">
        <f t="shared" si="74"/>
        <v>Sep</v>
      </c>
      <c r="T1571" s="9">
        <f>VLOOKUP(O1571, Annual_Summary!A:B, 2, 0)</f>
        <v>-0.16726934600681886</v>
      </c>
    </row>
    <row r="1572" spans="1:20" x14ac:dyDescent="0.3">
      <c r="A1572" s="1">
        <v>45910</v>
      </c>
      <c r="B1572" t="s">
        <v>15</v>
      </c>
      <c r="C1572" s="3">
        <v>411</v>
      </c>
      <c r="D1572" s="3">
        <v>413.7</v>
      </c>
      <c r="E1572" s="3">
        <v>408.95</v>
      </c>
      <c r="F1572" s="3">
        <v>410.05</v>
      </c>
      <c r="G1572" s="3">
        <v>413</v>
      </c>
      <c r="H1572" s="3">
        <v>413.05</v>
      </c>
      <c r="I1572" s="3">
        <v>411.25</v>
      </c>
      <c r="J1572" s="3">
        <v>471.5</v>
      </c>
      <c r="K1572" s="3">
        <v>390.15</v>
      </c>
      <c r="L1572" s="2">
        <v>9252397</v>
      </c>
      <c r="M1572" s="2">
        <v>3805055609.0500002</v>
      </c>
      <c r="N1572" s="2">
        <v>141806</v>
      </c>
      <c r="O1572" t="s">
        <v>22</v>
      </c>
      <c r="P1572" s="8">
        <f t="shared" si="72"/>
        <v>-0.94999999999998863</v>
      </c>
      <c r="Q1572" t="s">
        <v>40</v>
      </c>
      <c r="R1572">
        <f t="shared" si="73"/>
        <v>9</v>
      </c>
      <c r="S1572" t="str">
        <f t="shared" si="74"/>
        <v>Sep</v>
      </c>
      <c r="T1572" s="9">
        <f>VLOOKUP(O1572, Annual_Summary!A:B, 2, 0)</f>
        <v>-0.16726934600681886</v>
      </c>
    </row>
    <row r="1573" spans="1:20" x14ac:dyDescent="0.3">
      <c r="A1573" s="1">
        <v>45909</v>
      </c>
      <c r="B1573" t="s">
        <v>15</v>
      </c>
      <c r="C1573" s="3">
        <v>408.5</v>
      </c>
      <c r="D1573" s="3">
        <v>410.95</v>
      </c>
      <c r="E1573" s="3">
        <v>407.4</v>
      </c>
      <c r="F1573" s="3">
        <v>407.55</v>
      </c>
      <c r="G1573" s="3">
        <v>410</v>
      </c>
      <c r="H1573" s="3">
        <v>410.05</v>
      </c>
      <c r="I1573" s="3">
        <v>409.78</v>
      </c>
      <c r="J1573" s="3">
        <v>471.5</v>
      </c>
      <c r="K1573" s="3">
        <v>390.15</v>
      </c>
      <c r="L1573" s="2">
        <v>8825896</v>
      </c>
      <c r="M1573" s="2">
        <v>3616692854.5999999</v>
      </c>
      <c r="N1573" s="2">
        <v>88691</v>
      </c>
      <c r="O1573" t="s">
        <v>22</v>
      </c>
      <c r="P1573" s="8">
        <f t="shared" si="72"/>
        <v>-0.94999999999998863</v>
      </c>
      <c r="Q1573" t="s">
        <v>40</v>
      </c>
      <c r="R1573">
        <f t="shared" si="73"/>
        <v>9</v>
      </c>
      <c r="S1573" t="str">
        <f t="shared" si="74"/>
        <v>Sep</v>
      </c>
      <c r="T1573" s="9">
        <f>VLOOKUP(O1573, Annual_Summary!A:B, 2, 0)</f>
        <v>-0.16726934600681886</v>
      </c>
    </row>
    <row r="1574" spans="1:20" x14ac:dyDescent="0.3">
      <c r="A1574" s="1">
        <v>45908</v>
      </c>
      <c r="B1574" t="s">
        <v>15</v>
      </c>
      <c r="C1574" s="3">
        <v>407.45</v>
      </c>
      <c r="D1574" s="3">
        <v>410.55</v>
      </c>
      <c r="E1574" s="3">
        <v>406.8</v>
      </c>
      <c r="F1574" s="3">
        <v>407.35</v>
      </c>
      <c r="G1574" s="3">
        <v>408.4</v>
      </c>
      <c r="H1574" s="3">
        <v>407.55</v>
      </c>
      <c r="I1574" s="3">
        <v>408.21</v>
      </c>
      <c r="J1574" s="3">
        <v>471.5</v>
      </c>
      <c r="K1574" s="3">
        <v>390.15</v>
      </c>
      <c r="L1574" s="2">
        <v>7419022</v>
      </c>
      <c r="M1574" s="2">
        <v>3028506105.1500001</v>
      </c>
      <c r="N1574" s="2">
        <v>113635</v>
      </c>
      <c r="O1574" t="s">
        <v>22</v>
      </c>
      <c r="P1574" s="8">
        <f t="shared" si="72"/>
        <v>-9.9999999999965894E-2</v>
      </c>
      <c r="Q1574" t="s">
        <v>40</v>
      </c>
      <c r="R1574">
        <f t="shared" si="73"/>
        <v>9</v>
      </c>
      <c r="S1574" t="str">
        <f t="shared" si="74"/>
        <v>Sep</v>
      </c>
      <c r="T1574" s="9">
        <f>VLOOKUP(O1574, Annual_Summary!A:B, 2, 0)</f>
        <v>-0.16726934600681886</v>
      </c>
    </row>
    <row r="1575" spans="1:20" x14ac:dyDescent="0.3">
      <c r="A1575" s="1">
        <v>45905</v>
      </c>
      <c r="B1575" t="s">
        <v>15</v>
      </c>
      <c r="C1575" s="3">
        <v>416.9</v>
      </c>
      <c r="D1575" s="3">
        <v>417</v>
      </c>
      <c r="E1575" s="3">
        <v>404.4</v>
      </c>
      <c r="F1575" s="3">
        <v>415.9</v>
      </c>
      <c r="G1575" s="3">
        <v>407.9</v>
      </c>
      <c r="H1575" s="3">
        <v>407.35</v>
      </c>
      <c r="I1575" s="3">
        <v>406.82</v>
      </c>
      <c r="J1575" s="3">
        <v>471.5</v>
      </c>
      <c r="K1575" s="3">
        <v>390.15</v>
      </c>
      <c r="L1575" s="2">
        <v>16000675</v>
      </c>
      <c r="M1575" s="2">
        <v>6509428201.4499998</v>
      </c>
      <c r="N1575" s="2">
        <v>213298</v>
      </c>
      <c r="O1575" t="s">
        <v>22</v>
      </c>
      <c r="P1575" s="8">
        <f t="shared" si="72"/>
        <v>-1</v>
      </c>
      <c r="Q1575" t="s">
        <v>40</v>
      </c>
      <c r="R1575">
        <f t="shared" si="73"/>
        <v>9</v>
      </c>
      <c r="S1575" t="str">
        <f t="shared" si="74"/>
        <v>Sep</v>
      </c>
      <c r="T1575" s="9">
        <f>VLOOKUP(O1575, Annual_Summary!A:B, 2, 0)</f>
        <v>-0.16726934600681886</v>
      </c>
    </row>
    <row r="1576" spans="1:20" x14ac:dyDescent="0.3">
      <c r="A1576" s="1">
        <v>45904</v>
      </c>
      <c r="B1576" t="s">
        <v>15</v>
      </c>
      <c r="C1576" s="3">
        <v>423.95</v>
      </c>
      <c r="D1576" s="3">
        <v>427</v>
      </c>
      <c r="E1576" s="3">
        <v>415</v>
      </c>
      <c r="F1576" s="3">
        <v>411.75</v>
      </c>
      <c r="G1576" s="3">
        <v>415.75</v>
      </c>
      <c r="H1576" s="3">
        <v>415.9</v>
      </c>
      <c r="I1576" s="3">
        <v>418.56</v>
      </c>
      <c r="J1576" s="3">
        <v>471.5</v>
      </c>
      <c r="K1576" s="3">
        <v>390.15</v>
      </c>
      <c r="L1576" s="2">
        <v>27274123</v>
      </c>
      <c r="M1576" s="2">
        <v>11415887821.049999</v>
      </c>
      <c r="N1576" s="2">
        <v>271564</v>
      </c>
      <c r="O1576" t="s">
        <v>22</v>
      </c>
      <c r="P1576" s="8">
        <f t="shared" si="72"/>
        <v>-12.199999999999989</v>
      </c>
      <c r="Q1576" t="s">
        <v>40</v>
      </c>
      <c r="R1576">
        <f t="shared" si="73"/>
        <v>9</v>
      </c>
      <c r="S1576" t="str">
        <f t="shared" si="74"/>
        <v>Sep</v>
      </c>
      <c r="T1576" s="9">
        <f>VLOOKUP(O1576, Annual_Summary!A:B, 2, 0)</f>
        <v>-0.16726934600681886</v>
      </c>
    </row>
    <row r="1577" spans="1:20" x14ac:dyDescent="0.3">
      <c r="A1577" s="1">
        <v>45903</v>
      </c>
      <c r="B1577" t="s">
        <v>15</v>
      </c>
      <c r="C1577" s="3">
        <v>408.5</v>
      </c>
      <c r="D1577" s="3">
        <v>413.25</v>
      </c>
      <c r="E1577" s="3">
        <v>407.3</v>
      </c>
      <c r="F1577" s="3">
        <v>406.75</v>
      </c>
      <c r="G1577" s="3">
        <v>411.1</v>
      </c>
      <c r="H1577" s="3">
        <v>411.75</v>
      </c>
      <c r="I1577" s="3">
        <v>410.55</v>
      </c>
      <c r="J1577" s="3">
        <v>471.5</v>
      </c>
      <c r="K1577" s="3">
        <v>390.15</v>
      </c>
      <c r="L1577" s="2">
        <v>12936588</v>
      </c>
      <c r="M1577" s="2">
        <v>5311134586.6000004</v>
      </c>
      <c r="N1577" s="2">
        <v>118422</v>
      </c>
      <c r="O1577" t="s">
        <v>22</v>
      </c>
      <c r="P1577" s="8">
        <f t="shared" si="72"/>
        <v>-1.75</v>
      </c>
      <c r="Q1577" t="s">
        <v>40</v>
      </c>
      <c r="R1577">
        <f t="shared" si="73"/>
        <v>9</v>
      </c>
      <c r="S1577" t="str">
        <f t="shared" si="74"/>
        <v>Sep</v>
      </c>
      <c r="T1577" s="9">
        <f>VLOOKUP(O1577, Annual_Summary!A:B, 2, 0)</f>
        <v>-0.16726934600681886</v>
      </c>
    </row>
    <row r="1578" spans="1:20" x14ac:dyDescent="0.3">
      <c r="A1578" s="1">
        <v>45902</v>
      </c>
      <c r="B1578" t="s">
        <v>15</v>
      </c>
      <c r="C1578" s="3">
        <v>406.55</v>
      </c>
      <c r="D1578" s="3">
        <v>407.85</v>
      </c>
      <c r="E1578" s="3">
        <v>404.45</v>
      </c>
      <c r="F1578" s="3">
        <v>405.85</v>
      </c>
      <c r="G1578" s="3">
        <v>407</v>
      </c>
      <c r="H1578" s="3">
        <v>406.75</v>
      </c>
      <c r="I1578" s="3">
        <v>406.37</v>
      </c>
      <c r="J1578" s="3">
        <v>471.5</v>
      </c>
      <c r="K1578" s="3">
        <v>390.15</v>
      </c>
      <c r="L1578" s="2">
        <v>19808255</v>
      </c>
      <c r="M1578" s="2">
        <v>8049546791.5</v>
      </c>
      <c r="N1578" s="2">
        <v>224334</v>
      </c>
      <c r="O1578" t="s">
        <v>22</v>
      </c>
      <c r="P1578" s="8">
        <f t="shared" si="72"/>
        <v>-0.69999999999998863</v>
      </c>
      <c r="Q1578" t="s">
        <v>40</v>
      </c>
      <c r="R1578">
        <f t="shared" si="73"/>
        <v>9</v>
      </c>
      <c r="S1578" t="str">
        <f t="shared" si="74"/>
        <v>Sep</v>
      </c>
      <c r="T1578" s="9">
        <f>VLOOKUP(O1578, Annual_Summary!A:B, 2, 0)</f>
        <v>-0.16726934600681886</v>
      </c>
    </row>
    <row r="1579" spans="1:20" x14ac:dyDescent="0.3">
      <c r="A1579" s="1">
        <v>45901</v>
      </c>
      <c r="B1579" t="s">
        <v>15</v>
      </c>
      <c r="C1579" s="3">
        <v>409.75</v>
      </c>
      <c r="D1579" s="3">
        <v>410.2</v>
      </c>
      <c r="E1579" s="3">
        <v>405</v>
      </c>
      <c r="F1579" s="3">
        <v>409.75</v>
      </c>
      <c r="G1579" s="3">
        <v>405.55</v>
      </c>
      <c r="H1579" s="3">
        <v>405.85</v>
      </c>
      <c r="I1579" s="3">
        <v>406.32</v>
      </c>
      <c r="J1579" s="3">
        <v>471.5</v>
      </c>
      <c r="K1579" s="3">
        <v>390.15</v>
      </c>
      <c r="L1579" s="2">
        <v>12268090</v>
      </c>
      <c r="M1579" s="2">
        <v>4984783795.8000002</v>
      </c>
      <c r="N1579" s="2">
        <v>169790</v>
      </c>
      <c r="O1579" t="s">
        <v>22</v>
      </c>
      <c r="P1579" s="8">
        <f t="shared" si="72"/>
        <v>0</v>
      </c>
      <c r="Q1579" t="s">
        <v>40</v>
      </c>
      <c r="R1579">
        <f t="shared" si="73"/>
        <v>9</v>
      </c>
      <c r="S1579" t="str">
        <f t="shared" si="74"/>
        <v>Sep</v>
      </c>
      <c r="T1579" s="9">
        <f>VLOOKUP(O1579, Annual_Summary!A:B, 2, 0)</f>
        <v>-0.16726934600681886</v>
      </c>
    </row>
    <row r="1580" spans="1:20" x14ac:dyDescent="0.3">
      <c r="A1580" s="1">
        <v>45898</v>
      </c>
      <c r="B1580" t="s">
        <v>15</v>
      </c>
      <c r="C1580" s="3">
        <v>402</v>
      </c>
      <c r="D1580" s="3">
        <v>410.45</v>
      </c>
      <c r="E1580" s="3">
        <v>401.9</v>
      </c>
      <c r="F1580" s="3">
        <v>400.9</v>
      </c>
      <c r="G1580" s="3">
        <v>409.5</v>
      </c>
      <c r="H1580" s="3">
        <v>409.75</v>
      </c>
      <c r="I1580" s="3">
        <v>407.54</v>
      </c>
      <c r="J1580" s="3">
        <v>471.5</v>
      </c>
      <c r="K1580" s="3">
        <v>390.15</v>
      </c>
      <c r="L1580" s="2">
        <v>25255050</v>
      </c>
      <c r="M1580" s="2">
        <v>10292536558.9</v>
      </c>
      <c r="N1580" s="2">
        <v>152907</v>
      </c>
      <c r="O1580" t="s">
        <v>22</v>
      </c>
      <c r="P1580" s="8">
        <f t="shared" si="72"/>
        <v>-1.1000000000000227</v>
      </c>
      <c r="Q1580" t="s">
        <v>40</v>
      </c>
      <c r="R1580">
        <f t="shared" si="73"/>
        <v>8</v>
      </c>
      <c r="S1580" t="str">
        <f t="shared" si="74"/>
        <v>Aug</v>
      </c>
      <c r="T1580" s="9">
        <f>VLOOKUP(O1580, Annual_Summary!A:B, 2, 0)</f>
        <v>-0.16726934600681886</v>
      </c>
    </row>
    <row r="1581" spans="1:20" x14ac:dyDescent="0.3">
      <c r="A1581" s="1">
        <v>45897</v>
      </c>
      <c r="B1581" t="s">
        <v>15</v>
      </c>
      <c r="C1581" s="3">
        <v>404.5</v>
      </c>
      <c r="D1581" s="3">
        <v>404.5</v>
      </c>
      <c r="E1581" s="3">
        <v>400</v>
      </c>
      <c r="F1581" s="3">
        <v>403.35</v>
      </c>
      <c r="G1581" s="3">
        <v>400.8</v>
      </c>
      <c r="H1581" s="3">
        <v>400.9</v>
      </c>
      <c r="I1581" s="3">
        <v>401.4</v>
      </c>
      <c r="J1581" s="3">
        <v>471.5</v>
      </c>
      <c r="K1581" s="3">
        <v>390.15</v>
      </c>
      <c r="L1581" s="2">
        <v>12471719</v>
      </c>
      <c r="M1581" s="2">
        <v>5006114050</v>
      </c>
      <c r="N1581" s="2">
        <v>165609</v>
      </c>
      <c r="O1581" t="s">
        <v>22</v>
      </c>
      <c r="P1581" s="8">
        <f t="shared" si="72"/>
        <v>-1.1499999999999773</v>
      </c>
      <c r="Q1581" t="s">
        <v>40</v>
      </c>
      <c r="R1581">
        <f t="shared" si="73"/>
        <v>8</v>
      </c>
      <c r="S1581" t="str">
        <f t="shared" si="74"/>
        <v>Aug</v>
      </c>
      <c r="T1581" s="9">
        <f>VLOOKUP(O1581, Annual_Summary!A:B, 2, 0)</f>
        <v>-0.16726934600681886</v>
      </c>
    </row>
    <row r="1582" spans="1:20" x14ac:dyDescent="0.3">
      <c r="A1582" s="1">
        <v>45895</v>
      </c>
      <c r="B1582" t="s">
        <v>15</v>
      </c>
      <c r="C1582" s="3">
        <v>399.3</v>
      </c>
      <c r="D1582" s="3">
        <v>405.4</v>
      </c>
      <c r="E1582" s="3">
        <v>398.4</v>
      </c>
      <c r="F1582" s="3">
        <v>399.35</v>
      </c>
      <c r="G1582" s="3">
        <v>403.35</v>
      </c>
      <c r="H1582" s="3">
        <v>403.35</v>
      </c>
      <c r="I1582" s="3">
        <v>402.3</v>
      </c>
      <c r="J1582" s="3">
        <v>471.5</v>
      </c>
      <c r="K1582" s="3">
        <v>390.15</v>
      </c>
      <c r="L1582" s="2">
        <v>13715752</v>
      </c>
      <c r="M1582" s="2">
        <v>5517842190</v>
      </c>
      <c r="N1582" s="2">
        <v>180641</v>
      </c>
      <c r="O1582" t="s">
        <v>22</v>
      </c>
      <c r="P1582" s="8">
        <f t="shared" si="72"/>
        <v>5.0000000000011369E-2</v>
      </c>
      <c r="Q1582" t="s">
        <v>40</v>
      </c>
      <c r="R1582">
        <f t="shared" si="73"/>
        <v>8</v>
      </c>
      <c r="S1582" t="str">
        <f t="shared" si="74"/>
        <v>Aug</v>
      </c>
      <c r="T1582" s="9">
        <f>VLOOKUP(O1582, Annual_Summary!A:B, 2, 0)</f>
        <v>-0.16726934600681886</v>
      </c>
    </row>
    <row r="1583" spans="1:20" x14ac:dyDescent="0.3">
      <c r="A1583" s="1">
        <v>45894</v>
      </c>
      <c r="B1583" t="s">
        <v>15</v>
      </c>
      <c r="C1583" s="3">
        <v>399</v>
      </c>
      <c r="D1583" s="3">
        <v>400.55</v>
      </c>
      <c r="E1583" s="3">
        <v>396.25</v>
      </c>
      <c r="F1583" s="3">
        <v>398.3</v>
      </c>
      <c r="G1583" s="3">
        <v>399.15</v>
      </c>
      <c r="H1583" s="3">
        <v>399.35</v>
      </c>
      <c r="I1583" s="3">
        <v>399.17</v>
      </c>
      <c r="J1583" s="3">
        <v>471.5</v>
      </c>
      <c r="K1583" s="3">
        <v>390.15</v>
      </c>
      <c r="L1583" s="2">
        <v>10440286</v>
      </c>
      <c r="M1583" s="2">
        <v>4167497911.5</v>
      </c>
      <c r="N1583" s="2">
        <v>142577</v>
      </c>
      <c r="O1583" t="s">
        <v>22</v>
      </c>
      <c r="P1583" s="8">
        <f t="shared" si="72"/>
        <v>-0.69999999999998863</v>
      </c>
      <c r="Q1583" t="s">
        <v>40</v>
      </c>
      <c r="R1583">
        <f t="shared" si="73"/>
        <v>8</v>
      </c>
      <c r="S1583" t="str">
        <f t="shared" si="74"/>
        <v>Aug</v>
      </c>
      <c r="T1583" s="9">
        <f>VLOOKUP(O1583, Annual_Summary!A:B, 2, 0)</f>
        <v>-0.16726934600681886</v>
      </c>
    </row>
    <row r="1584" spans="1:20" x14ac:dyDescent="0.3">
      <c r="A1584" s="1">
        <v>45891</v>
      </c>
      <c r="B1584" t="s">
        <v>15</v>
      </c>
      <c r="C1584" s="3">
        <v>406</v>
      </c>
      <c r="D1584" s="3">
        <v>406.5</v>
      </c>
      <c r="E1584" s="3">
        <v>397.5</v>
      </c>
      <c r="F1584" s="3">
        <v>405.55</v>
      </c>
      <c r="G1584" s="3">
        <v>398.3</v>
      </c>
      <c r="H1584" s="3">
        <v>398.3</v>
      </c>
      <c r="I1584" s="3">
        <v>399.91</v>
      </c>
      <c r="J1584" s="3">
        <v>471.5</v>
      </c>
      <c r="K1584" s="3">
        <v>390.15</v>
      </c>
      <c r="L1584" s="2">
        <v>13087624</v>
      </c>
      <c r="M1584" s="2">
        <v>5233881432.8000002</v>
      </c>
      <c r="N1584" s="2">
        <v>204639</v>
      </c>
      <c r="O1584" t="s">
        <v>22</v>
      </c>
      <c r="P1584" s="8">
        <f t="shared" si="72"/>
        <v>-0.44999999999998863</v>
      </c>
      <c r="Q1584" t="s">
        <v>40</v>
      </c>
      <c r="R1584">
        <f t="shared" si="73"/>
        <v>8</v>
      </c>
      <c r="S1584" t="str">
        <f t="shared" si="74"/>
        <v>Aug</v>
      </c>
      <c r="T1584" s="9">
        <f>VLOOKUP(O1584, Annual_Summary!A:B, 2, 0)</f>
        <v>-0.16726934600681886</v>
      </c>
    </row>
    <row r="1585" spans="1:20" x14ac:dyDescent="0.3">
      <c r="A1585" s="1">
        <v>45890</v>
      </c>
      <c r="B1585" t="s">
        <v>15</v>
      </c>
      <c r="C1585" s="3">
        <v>406.05</v>
      </c>
      <c r="D1585" s="3">
        <v>406.85</v>
      </c>
      <c r="E1585" s="3">
        <v>403.35</v>
      </c>
      <c r="F1585" s="3">
        <v>406.05</v>
      </c>
      <c r="G1585" s="3">
        <v>406</v>
      </c>
      <c r="H1585" s="3">
        <v>405.55</v>
      </c>
      <c r="I1585" s="3">
        <v>405.69</v>
      </c>
      <c r="J1585" s="3">
        <v>471.5</v>
      </c>
      <c r="K1585" s="3">
        <v>390.15</v>
      </c>
      <c r="L1585" s="2">
        <v>15028966</v>
      </c>
      <c r="M1585" s="2">
        <v>6097100177.4499998</v>
      </c>
      <c r="N1585" s="2">
        <v>182931</v>
      </c>
      <c r="O1585" t="s">
        <v>22</v>
      </c>
      <c r="P1585" s="8">
        <f t="shared" si="72"/>
        <v>0</v>
      </c>
      <c r="Q1585" t="s">
        <v>40</v>
      </c>
      <c r="R1585">
        <f t="shared" si="73"/>
        <v>8</v>
      </c>
      <c r="S1585" t="str">
        <f t="shared" si="74"/>
        <v>Aug</v>
      </c>
      <c r="T1585" s="9">
        <f>VLOOKUP(O1585, Annual_Summary!A:B, 2, 0)</f>
        <v>-0.16726934600681886</v>
      </c>
    </row>
    <row r="1586" spans="1:20" x14ac:dyDescent="0.3">
      <c r="A1586" s="1">
        <v>45889</v>
      </c>
      <c r="B1586" t="s">
        <v>15</v>
      </c>
      <c r="C1586" s="3">
        <v>409.1</v>
      </c>
      <c r="D1586" s="3">
        <v>410.25</v>
      </c>
      <c r="E1586" s="3">
        <v>405.45</v>
      </c>
      <c r="F1586" s="3">
        <v>409.1</v>
      </c>
      <c r="G1586" s="3">
        <v>406.25</v>
      </c>
      <c r="H1586" s="3">
        <v>406.05</v>
      </c>
      <c r="I1586" s="3">
        <v>407.87</v>
      </c>
      <c r="J1586" s="3">
        <v>471.5</v>
      </c>
      <c r="K1586" s="3">
        <v>390.15</v>
      </c>
      <c r="L1586" s="2">
        <v>18188129</v>
      </c>
      <c r="M1586" s="2">
        <v>7418416584.5500002</v>
      </c>
      <c r="N1586" s="2">
        <v>158846</v>
      </c>
      <c r="O1586" t="s">
        <v>22</v>
      </c>
      <c r="P1586" s="8">
        <f t="shared" si="72"/>
        <v>0</v>
      </c>
      <c r="Q1586" t="s">
        <v>40</v>
      </c>
      <c r="R1586">
        <f t="shared" si="73"/>
        <v>8</v>
      </c>
      <c r="S1586" t="str">
        <f t="shared" si="74"/>
        <v>Aug</v>
      </c>
      <c r="T1586" s="9">
        <f>VLOOKUP(O1586, Annual_Summary!A:B, 2, 0)</f>
        <v>-0.16726934600681886</v>
      </c>
    </row>
    <row r="1587" spans="1:20" x14ac:dyDescent="0.3">
      <c r="A1587" s="1">
        <v>45888</v>
      </c>
      <c r="B1587" t="s">
        <v>15</v>
      </c>
      <c r="C1587" s="3">
        <v>406.35</v>
      </c>
      <c r="D1587" s="3">
        <v>409.4</v>
      </c>
      <c r="E1587" s="3">
        <v>404.5</v>
      </c>
      <c r="F1587" s="3">
        <v>406.3</v>
      </c>
      <c r="G1587" s="3">
        <v>409.1</v>
      </c>
      <c r="H1587" s="3">
        <v>409.1</v>
      </c>
      <c r="I1587" s="3">
        <v>406.86</v>
      </c>
      <c r="J1587" s="3">
        <v>471.5</v>
      </c>
      <c r="K1587" s="3">
        <v>390.15</v>
      </c>
      <c r="L1587" s="2">
        <v>16681331</v>
      </c>
      <c r="M1587" s="2">
        <v>6786912397.3000002</v>
      </c>
      <c r="N1587" s="2">
        <v>175005</v>
      </c>
      <c r="O1587" t="s">
        <v>22</v>
      </c>
      <c r="P1587" s="8">
        <f t="shared" si="72"/>
        <v>-5.0000000000011369E-2</v>
      </c>
      <c r="Q1587" t="s">
        <v>40</v>
      </c>
      <c r="R1587">
        <f t="shared" si="73"/>
        <v>8</v>
      </c>
      <c r="S1587" t="str">
        <f t="shared" si="74"/>
        <v>Aug</v>
      </c>
      <c r="T1587" s="9">
        <f>VLOOKUP(O1587, Annual_Summary!A:B, 2, 0)</f>
        <v>-0.16726934600681886</v>
      </c>
    </row>
    <row r="1588" spans="1:20" x14ac:dyDescent="0.3">
      <c r="A1588" s="1">
        <v>45887</v>
      </c>
      <c r="B1588" t="s">
        <v>15</v>
      </c>
      <c r="C1588" s="3">
        <v>413</v>
      </c>
      <c r="D1588" s="3">
        <v>413.7</v>
      </c>
      <c r="E1588" s="3">
        <v>404.85</v>
      </c>
      <c r="F1588" s="3">
        <v>411.45</v>
      </c>
      <c r="G1588" s="3">
        <v>405.3</v>
      </c>
      <c r="H1588" s="3">
        <v>406.3</v>
      </c>
      <c r="I1588" s="3">
        <v>408.7</v>
      </c>
      <c r="J1588" s="3">
        <v>471.5</v>
      </c>
      <c r="K1588" s="3">
        <v>390.15</v>
      </c>
      <c r="L1588" s="2">
        <v>30950814</v>
      </c>
      <c r="M1588" s="2">
        <v>12649659054.299999</v>
      </c>
      <c r="N1588" s="2">
        <v>193343</v>
      </c>
      <c r="O1588" t="s">
        <v>22</v>
      </c>
      <c r="P1588" s="8">
        <f t="shared" si="72"/>
        <v>-1.5500000000000114</v>
      </c>
      <c r="Q1588" t="s">
        <v>40</v>
      </c>
      <c r="R1588">
        <f t="shared" si="73"/>
        <v>8</v>
      </c>
      <c r="S1588" t="str">
        <f t="shared" si="74"/>
        <v>Aug</v>
      </c>
      <c r="T1588" s="9">
        <f>VLOOKUP(O1588, Annual_Summary!A:B, 2, 0)</f>
        <v>-0.16726934600681886</v>
      </c>
    </row>
    <row r="1589" spans="1:20" x14ac:dyDescent="0.3">
      <c r="A1589" s="1">
        <v>45883</v>
      </c>
      <c r="B1589" t="s">
        <v>15</v>
      </c>
      <c r="C1589" s="3">
        <v>414.25</v>
      </c>
      <c r="D1589" s="3">
        <v>415.05</v>
      </c>
      <c r="E1589" s="3">
        <v>411</v>
      </c>
      <c r="F1589" s="3">
        <v>414.1</v>
      </c>
      <c r="G1589" s="3">
        <v>411.45</v>
      </c>
      <c r="H1589" s="3">
        <v>411.45</v>
      </c>
      <c r="I1589" s="3">
        <v>412.48</v>
      </c>
      <c r="J1589" s="3">
        <v>471.5</v>
      </c>
      <c r="K1589" s="3">
        <v>390.15</v>
      </c>
      <c r="L1589" s="2">
        <v>9580361</v>
      </c>
      <c r="M1589" s="2">
        <v>3951669337.5</v>
      </c>
      <c r="N1589" s="2">
        <v>122767</v>
      </c>
      <c r="O1589" t="s">
        <v>22</v>
      </c>
      <c r="P1589" s="8">
        <f t="shared" si="72"/>
        <v>-0.14999999999997726</v>
      </c>
      <c r="Q1589" t="s">
        <v>40</v>
      </c>
      <c r="R1589">
        <f t="shared" si="73"/>
        <v>8</v>
      </c>
      <c r="S1589" t="str">
        <f t="shared" si="74"/>
        <v>Aug</v>
      </c>
      <c r="T1589" s="9">
        <f>VLOOKUP(O1589, Annual_Summary!A:B, 2, 0)</f>
        <v>-0.16726934600681886</v>
      </c>
    </row>
    <row r="1590" spans="1:20" x14ac:dyDescent="0.3">
      <c r="A1590" s="1">
        <v>45882</v>
      </c>
      <c r="B1590" t="s">
        <v>15</v>
      </c>
      <c r="C1590" s="3">
        <v>417.2</v>
      </c>
      <c r="D1590" s="3">
        <v>417.5</v>
      </c>
      <c r="E1590" s="3">
        <v>413.6</v>
      </c>
      <c r="F1590" s="3">
        <v>416.35</v>
      </c>
      <c r="G1590" s="3">
        <v>414.2</v>
      </c>
      <c r="H1590" s="3">
        <v>414.1</v>
      </c>
      <c r="I1590" s="3">
        <v>414.82</v>
      </c>
      <c r="J1590" s="3">
        <v>471.5</v>
      </c>
      <c r="K1590" s="3">
        <v>390.15</v>
      </c>
      <c r="L1590" s="2">
        <v>10874910</v>
      </c>
      <c r="M1590" s="2">
        <v>4511079760.8000002</v>
      </c>
      <c r="N1590" s="2">
        <v>86765</v>
      </c>
      <c r="O1590" t="s">
        <v>22</v>
      </c>
      <c r="P1590" s="8">
        <f t="shared" si="72"/>
        <v>-0.84999999999996589</v>
      </c>
      <c r="Q1590" t="s">
        <v>40</v>
      </c>
      <c r="R1590">
        <f t="shared" si="73"/>
        <v>8</v>
      </c>
      <c r="S1590" t="str">
        <f t="shared" si="74"/>
        <v>Aug</v>
      </c>
      <c r="T1590" s="9">
        <f>VLOOKUP(O1590, Annual_Summary!A:B, 2, 0)</f>
        <v>-0.16726934600681886</v>
      </c>
    </row>
    <row r="1591" spans="1:20" x14ac:dyDescent="0.3">
      <c r="A1591" s="1">
        <v>45881</v>
      </c>
      <c r="B1591" t="s">
        <v>15</v>
      </c>
      <c r="C1591" s="3">
        <v>417</v>
      </c>
      <c r="D1591" s="3">
        <v>419.8</v>
      </c>
      <c r="E1591" s="3">
        <v>415.3</v>
      </c>
      <c r="F1591" s="3">
        <v>416.85</v>
      </c>
      <c r="G1591" s="3">
        <v>416.1</v>
      </c>
      <c r="H1591" s="3">
        <v>416.35</v>
      </c>
      <c r="I1591" s="3">
        <v>417.43</v>
      </c>
      <c r="J1591" s="3">
        <v>471.5</v>
      </c>
      <c r="K1591" s="3">
        <v>390.15</v>
      </c>
      <c r="L1591" s="2">
        <v>13635738</v>
      </c>
      <c r="M1591" s="2">
        <v>5692002511.3999996</v>
      </c>
      <c r="N1591" s="2">
        <v>105553</v>
      </c>
      <c r="O1591" t="s">
        <v>22</v>
      </c>
      <c r="P1591" s="8">
        <f t="shared" si="72"/>
        <v>-0.14999999999997726</v>
      </c>
      <c r="Q1591" t="s">
        <v>40</v>
      </c>
      <c r="R1591">
        <f t="shared" si="73"/>
        <v>8</v>
      </c>
      <c r="S1591" t="str">
        <f t="shared" si="74"/>
        <v>Aug</v>
      </c>
      <c r="T1591" s="9">
        <f>VLOOKUP(O1591, Annual_Summary!A:B, 2, 0)</f>
        <v>-0.16726934600681886</v>
      </c>
    </row>
    <row r="1592" spans="1:20" x14ac:dyDescent="0.3">
      <c r="A1592" s="1">
        <v>45880</v>
      </c>
      <c r="B1592" t="s">
        <v>15</v>
      </c>
      <c r="C1592" s="3">
        <v>414.5</v>
      </c>
      <c r="D1592" s="3">
        <v>417</v>
      </c>
      <c r="E1592" s="3">
        <v>414</v>
      </c>
      <c r="F1592" s="3">
        <v>414.5</v>
      </c>
      <c r="G1592" s="3">
        <v>417</v>
      </c>
      <c r="H1592" s="3">
        <v>416.85</v>
      </c>
      <c r="I1592" s="3">
        <v>416.05</v>
      </c>
      <c r="J1592" s="3">
        <v>471.5</v>
      </c>
      <c r="K1592" s="3">
        <v>390.15</v>
      </c>
      <c r="L1592" s="2">
        <v>8514272</v>
      </c>
      <c r="M1592" s="2">
        <v>3542355434.8000002</v>
      </c>
      <c r="N1592" s="2">
        <v>111986</v>
      </c>
      <c r="O1592" t="s">
        <v>22</v>
      </c>
      <c r="P1592" s="8">
        <f t="shared" si="72"/>
        <v>0</v>
      </c>
      <c r="Q1592" t="s">
        <v>40</v>
      </c>
      <c r="R1592">
        <f t="shared" si="73"/>
        <v>8</v>
      </c>
      <c r="S1592" t="str">
        <f t="shared" si="74"/>
        <v>Aug</v>
      </c>
      <c r="T1592" s="9">
        <f>VLOOKUP(O1592, Annual_Summary!A:B, 2, 0)</f>
        <v>-0.16726934600681886</v>
      </c>
    </row>
    <row r="1593" spans="1:20" x14ac:dyDescent="0.3">
      <c r="A1593" s="1">
        <v>45877</v>
      </c>
      <c r="B1593" t="s">
        <v>15</v>
      </c>
      <c r="C1593" s="3">
        <v>413.9</v>
      </c>
      <c r="D1593" s="3">
        <v>415.35</v>
      </c>
      <c r="E1593" s="3">
        <v>412.95</v>
      </c>
      <c r="F1593" s="3">
        <v>413.6</v>
      </c>
      <c r="G1593" s="3">
        <v>414.45</v>
      </c>
      <c r="H1593" s="3">
        <v>414.5</v>
      </c>
      <c r="I1593" s="3">
        <v>414.32</v>
      </c>
      <c r="J1593" s="3">
        <v>471.5</v>
      </c>
      <c r="K1593" s="3">
        <v>390.15</v>
      </c>
      <c r="L1593" s="2">
        <v>9814361</v>
      </c>
      <c r="M1593" s="2">
        <v>4066250194.9000001</v>
      </c>
      <c r="N1593" s="2">
        <v>95336</v>
      </c>
      <c r="O1593" t="s">
        <v>22</v>
      </c>
      <c r="P1593" s="8">
        <f t="shared" si="72"/>
        <v>-0.29999999999995453</v>
      </c>
      <c r="Q1593" t="s">
        <v>40</v>
      </c>
      <c r="R1593">
        <f t="shared" si="73"/>
        <v>8</v>
      </c>
      <c r="S1593" t="str">
        <f t="shared" si="74"/>
        <v>Aug</v>
      </c>
      <c r="T1593" s="9">
        <f>VLOOKUP(O1593, Annual_Summary!A:B, 2, 0)</f>
        <v>-0.16726934600681886</v>
      </c>
    </row>
    <row r="1594" spans="1:20" x14ac:dyDescent="0.3">
      <c r="A1594" s="1">
        <v>45876</v>
      </c>
      <c r="B1594" t="s">
        <v>15</v>
      </c>
      <c r="C1594" s="3">
        <v>412</v>
      </c>
      <c r="D1594" s="3">
        <v>414.75</v>
      </c>
      <c r="E1594" s="3">
        <v>411.65</v>
      </c>
      <c r="F1594" s="3">
        <v>412</v>
      </c>
      <c r="G1594" s="3">
        <v>413.8</v>
      </c>
      <c r="H1594" s="3">
        <v>413.6</v>
      </c>
      <c r="I1594" s="3">
        <v>413.34</v>
      </c>
      <c r="J1594" s="3">
        <v>471.5</v>
      </c>
      <c r="K1594" s="3">
        <v>390.15</v>
      </c>
      <c r="L1594" s="2">
        <v>11514878</v>
      </c>
      <c r="M1594" s="2">
        <v>4759538600.1000004</v>
      </c>
      <c r="N1594" s="2">
        <v>107647</v>
      </c>
      <c r="O1594" t="s">
        <v>22</v>
      </c>
      <c r="P1594" s="8">
        <f t="shared" si="72"/>
        <v>0</v>
      </c>
      <c r="Q1594" t="s">
        <v>40</v>
      </c>
      <c r="R1594">
        <f t="shared" si="73"/>
        <v>8</v>
      </c>
      <c r="S1594" t="str">
        <f t="shared" si="74"/>
        <v>Aug</v>
      </c>
      <c r="T1594" s="9">
        <f>VLOOKUP(O1594, Annual_Summary!A:B, 2, 0)</f>
        <v>-0.16726934600681886</v>
      </c>
    </row>
    <row r="1595" spans="1:20" x14ac:dyDescent="0.3">
      <c r="A1595" s="1">
        <v>45875</v>
      </c>
      <c r="B1595" t="s">
        <v>15</v>
      </c>
      <c r="C1595" s="3">
        <v>414.15</v>
      </c>
      <c r="D1595" s="3">
        <v>415</v>
      </c>
      <c r="E1595" s="3">
        <v>410.5</v>
      </c>
      <c r="F1595" s="3">
        <v>414.15</v>
      </c>
      <c r="G1595" s="3">
        <v>412.2</v>
      </c>
      <c r="H1595" s="3">
        <v>412</v>
      </c>
      <c r="I1595" s="3">
        <v>411.74</v>
      </c>
      <c r="J1595" s="3">
        <v>471.5</v>
      </c>
      <c r="K1595" s="3">
        <v>390.15</v>
      </c>
      <c r="L1595" s="2">
        <v>9080543</v>
      </c>
      <c r="M1595" s="2">
        <v>3738841645.3000002</v>
      </c>
      <c r="N1595" s="2">
        <v>123746</v>
      </c>
      <c r="O1595" t="s">
        <v>22</v>
      </c>
      <c r="P1595" s="8">
        <f t="shared" si="72"/>
        <v>0</v>
      </c>
      <c r="Q1595" t="s">
        <v>40</v>
      </c>
      <c r="R1595">
        <f t="shared" si="73"/>
        <v>8</v>
      </c>
      <c r="S1595" t="str">
        <f t="shared" si="74"/>
        <v>Aug</v>
      </c>
      <c r="T1595" s="9">
        <f>VLOOKUP(O1595, Annual_Summary!A:B, 2, 0)</f>
        <v>-0.16726934600681886</v>
      </c>
    </row>
    <row r="1596" spans="1:20" x14ac:dyDescent="0.3">
      <c r="A1596" s="1">
        <v>45874</v>
      </c>
      <c r="B1596" t="s">
        <v>15</v>
      </c>
      <c r="C1596" s="3">
        <v>417.2</v>
      </c>
      <c r="D1596" s="3">
        <v>417.95</v>
      </c>
      <c r="E1596" s="3">
        <v>413</v>
      </c>
      <c r="F1596" s="3">
        <v>416.85</v>
      </c>
      <c r="G1596" s="3">
        <v>413.8</v>
      </c>
      <c r="H1596" s="3">
        <v>414.15</v>
      </c>
      <c r="I1596" s="3">
        <v>414.33</v>
      </c>
      <c r="J1596" s="3">
        <v>471.5</v>
      </c>
      <c r="K1596" s="3">
        <v>390.15</v>
      </c>
      <c r="L1596" s="2">
        <v>8495104</v>
      </c>
      <c r="M1596" s="2">
        <v>3519798904.0500002</v>
      </c>
      <c r="N1596" s="2">
        <v>147684</v>
      </c>
      <c r="O1596" t="s">
        <v>22</v>
      </c>
      <c r="P1596" s="8">
        <f t="shared" si="72"/>
        <v>-0.34999999999996589</v>
      </c>
      <c r="Q1596" t="s">
        <v>40</v>
      </c>
      <c r="R1596">
        <f t="shared" si="73"/>
        <v>8</v>
      </c>
      <c r="S1596" t="str">
        <f t="shared" si="74"/>
        <v>Aug</v>
      </c>
      <c r="T1596" s="9">
        <f>VLOOKUP(O1596, Annual_Summary!A:B, 2, 0)</f>
        <v>-0.16726934600681886</v>
      </c>
    </row>
    <row r="1597" spans="1:20" x14ac:dyDescent="0.3">
      <c r="A1597" s="1">
        <v>45873</v>
      </c>
      <c r="B1597" t="s">
        <v>15</v>
      </c>
      <c r="C1597" s="3">
        <v>420.2</v>
      </c>
      <c r="D1597" s="3">
        <v>422.5</v>
      </c>
      <c r="E1597" s="3">
        <v>415.1</v>
      </c>
      <c r="F1597" s="3">
        <v>416.45</v>
      </c>
      <c r="G1597" s="3">
        <v>416.65</v>
      </c>
      <c r="H1597" s="3">
        <v>416.85</v>
      </c>
      <c r="I1597" s="3">
        <v>417.96</v>
      </c>
      <c r="J1597" s="3">
        <v>471.5</v>
      </c>
      <c r="K1597" s="3">
        <v>390.15</v>
      </c>
      <c r="L1597" s="2">
        <v>18352458</v>
      </c>
      <c r="M1597" s="2">
        <v>7670504419.3999996</v>
      </c>
      <c r="N1597" s="2">
        <v>346053</v>
      </c>
      <c r="O1597" t="s">
        <v>22</v>
      </c>
      <c r="P1597" s="8">
        <f t="shared" si="72"/>
        <v>-3.75</v>
      </c>
      <c r="Q1597" t="s">
        <v>40</v>
      </c>
      <c r="R1597">
        <f t="shared" si="73"/>
        <v>8</v>
      </c>
      <c r="S1597" t="str">
        <f t="shared" si="74"/>
        <v>Aug</v>
      </c>
      <c r="T1597" s="9">
        <f>VLOOKUP(O1597, Annual_Summary!A:B, 2, 0)</f>
        <v>-0.16726934600681886</v>
      </c>
    </row>
    <row r="1598" spans="1:20" x14ac:dyDescent="0.3">
      <c r="A1598" s="1">
        <v>45870</v>
      </c>
      <c r="B1598" t="s">
        <v>15</v>
      </c>
      <c r="C1598" s="3">
        <v>412.4</v>
      </c>
      <c r="D1598" s="3">
        <v>419.35</v>
      </c>
      <c r="E1598" s="3">
        <v>411.8</v>
      </c>
      <c r="F1598" s="3">
        <v>411.95</v>
      </c>
      <c r="G1598" s="3">
        <v>416.6</v>
      </c>
      <c r="H1598" s="3">
        <v>416.45</v>
      </c>
      <c r="I1598" s="3">
        <v>416.54</v>
      </c>
      <c r="J1598" s="3">
        <v>471.5</v>
      </c>
      <c r="K1598" s="3">
        <v>390.15</v>
      </c>
      <c r="L1598" s="2">
        <v>14324065</v>
      </c>
      <c r="M1598" s="2">
        <v>5966572601.75</v>
      </c>
      <c r="N1598" s="2">
        <v>143905</v>
      </c>
      <c r="O1598" t="s">
        <v>22</v>
      </c>
      <c r="P1598" s="8">
        <f t="shared" si="72"/>
        <v>-0.44999999999998863</v>
      </c>
      <c r="Q1598" t="s">
        <v>40</v>
      </c>
      <c r="R1598">
        <f t="shared" si="73"/>
        <v>8</v>
      </c>
      <c r="S1598" t="str">
        <f t="shared" si="74"/>
        <v>Aug</v>
      </c>
      <c r="T1598" s="9">
        <f>VLOOKUP(O1598, Annual_Summary!A:B, 2, 0)</f>
        <v>-0.16726934600681886</v>
      </c>
    </row>
    <row r="1599" spans="1:20" x14ac:dyDescent="0.3">
      <c r="A1599" s="1">
        <v>45869</v>
      </c>
      <c r="B1599" t="s">
        <v>15</v>
      </c>
      <c r="C1599" s="3">
        <v>405.95</v>
      </c>
      <c r="D1599" s="3">
        <v>414</v>
      </c>
      <c r="E1599" s="3">
        <v>405.55</v>
      </c>
      <c r="F1599" s="3">
        <v>407.6</v>
      </c>
      <c r="G1599" s="3">
        <v>411.7</v>
      </c>
      <c r="H1599" s="3">
        <v>411.95</v>
      </c>
      <c r="I1599" s="3">
        <v>410.46</v>
      </c>
      <c r="J1599" s="3">
        <v>471.5</v>
      </c>
      <c r="K1599" s="3">
        <v>390.15</v>
      </c>
      <c r="L1599" s="2">
        <v>19364174</v>
      </c>
      <c r="M1599" s="2">
        <v>7948130344.6999998</v>
      </c>
      <c r="N1599" s="2">
        <v>145541</v>
      </c>
      <c r="O1599" t="s">
        <v>22</v>
      </c>
      <c r="P1599" s="8">
        <f t="shared" si="72"/>
        <v>1.6500000000000341</v>
      </c>
      <c r="Q1599" t="s">
        <v>40</v>
      </c>
      <c r="R1599">
        <f t="shared" si="73"/>
        <v>7</v>
      </c>
      <c r="S1599" t="str">
        <f t="shared" si="74"/>
        <v>Jul</v>
      </c>
      <c r="T1599" s="9">
        <f>VLOOKUP(O1599, Annual_Summary!A:B, 2, 0)</f>
        <v>-0.16726934600681886</v>
      </c>
    </row>
    <row r="1600" spans="1:20" x14ac:dyDescent="0.3">
      <c r="A1600" s="1">
        <v>45868</v>
      </c>
      <c r="B1600" t="s">
        <v>15</v>
      </c>
      <c r="C1600" s="3">
        <v>409</v>
      </c>
      <c r="D1600" s="3">
        <v>409.3</v>
      </c>
      <c r="E1600" s="3">
        <v>405.75</v>
      </c>
      <c r="F1600" s="3">
        <v>408.45</v>
      </c>
      <c r="G1600" s="3">
        <v>407.8</v>
      </c>
      <c r="H1600" s="3">
        <v>407.6</v>
      </c>
      <c r="I1600" s="3">
        <v>407.37</v>
      </c>
      <c r="J1600" s="3">
        <v>471.5</v>
      </c>
      <c r="K1600" s="3">
        <v>390.15</v>
      </c>
      <c r="L1600" s="2">
        <v>10915863</v>
      </c>
      <c r="M1600" s="2">
        <v>4446803251.75</v>
      </c>
      <c r="N1600" s="2">
        <v>102742</v>
      </c>
      <c r="O1600" t="s">
        <v>22</v>
      </c>
      <c r="P1600" s="8">
        <f t="shared" si="72"/>
        <v>-0.55000000000001137</v>
      </c>
      <c r="Q1600" t="s">
        <v>40</v>
      </c>
      <c r="R1600">
        <f t="shared" si="73"/>
        <v>7</v>
      </c>
      <c r="S1600" t="str">
        <f t="shared" si="74"/>
        <v>Jul</v>
      </c>
      <c r="T1600" s="9">
        <f>VLOOKUP(O1600, Annual_Summary!A:B, 2, 0)</f>
        <v>-0.16726934600681886</v>
      </c>
    </row>
    <row r="1601" spans="1:20" x14ac:dyDescent="0.3">
      <c r="A1601" s="1">
        <v>45867</v>
      </c>
      <c r="B1601" t="s">
        <v>15</v>
      </c>
      <c r="C1601" s="3">
        <v>410</v>
      </c>
      <c r="D1601" s="3">
        <v>411.4</v>
      </c>
      <c r="E1601" s="3">
        <v>408</v>
      </c>
      <c r="F1601" s="3">
        <v>409.9</v>
      </c>
      <c r="G1601" s="3">
        <v>408.2</v>
      </c>
      <c r="H1601" s="3">
        <v>408.45</v>
      </c>
      <c r="I1601" s="3">
        <v>409.3</v>
      </c>
      <c r="J1601" s="3">
        <v>471.5</v>
      </c>
      <c r="K1601" s="3">
        <v>390.15</v>
      </c>
      <c r="L1601" s="2">
        <v>6811772</v>
      </c>
      <c r="M1601" s="2">
        <v>2788074823.5500002</v>
      </c>
      <c r="N1601" s="2">
        <v>97448</v>
      </c>
      <c r="O1601" t="s">
        <v>22</v>
      </c>
      <c r="P1601" s="8">
        <f t="shared" si="72"/>
        <v>-0.10000000000002274</v>
      </c>
      <c r="Q1601" t="s">
        <v>40</v>
      </c>
      <c r="R1601">
        <f t="shared" si="73"/>
        <v>7</v>
      </c>
      <c r="S1601" t="str">
        <f t="shared" si="74"/>
        <v>Jul</v>
      </c>
      <c r="T1601" s="9">
        <f>VLOOKUP(O1601, Annual_Summary!A:B, 2, 0)</f>
        <v>-0.16726934600681886</v>
      </c>
    </row>
    <row r="1602" spans="1:20" x14ac:dyDescent="0.3">
      <c r="A1602" s="1">
        <v>45866</v>
      </c>
      <c r="B1602" t="s">
        <v>15</v>
      </c>
      <c r="C1602" s="3">
        <v>410.8</v>
      </c>
      <c r="D1602" s="3">
        <v>410.85</v>
      </c>
      <c r="E1602" s="3">
        <v>408.6</v>
      </c>
      <c r="F1602" s="3">
        <v>409.4</v>
      </c>
      <c r="G1602" s="3">
        <v>409.8</v>
      </c>
      <c r="H1602" s="3">
        <v>409.9</v>
      </c>
      <c r="I1602" s="3">
        <v>409.88</v>
      </c>
      <c r="J1602" s="3">
        <v>471.5</v>
      </c>
      <c r="K1602" s="3">
        <v>390.15</v>
      </c>
      <c r="L1602" s="2">
        <v>8123337</v>
      </c>
      <c r="M1602" s="2">
        <v>3329557179.75</v>
      </c>
      <c r="N1602" s="2">
        <v>86106</v>
      </c>
      <c r="O1602" t="s">
        <v>22</v>
      </c>
      <c r="P1602" s="8">
        <f t="shared" si="72"/>
        <v>-1.4000000000000341</v>
      </c>
      <c r="Q1602" t="s">
        <v>40</v>
      </c>
      <c r="R1602">
        <f t="shared" si="73"/>
        <v>7</v>
      </c>
      <c r="S1602" t="str">
        <f t="shared" si="74"/>
        <v>Jul</v>
      </c>
      <c r="T1602" s="9">
        <f>VLOOKUP(O1602, Annual_Summary!A:B, 2, 0)</f>
        <v>-0.16726934600681886</v>
      </c>
    </row>
    <row r="1603" spans="1:20" x14ac:dyDescent="0.3">
      <c r="A1603" s="1">
        <v>45863</v>
      </c>
      <c r="B1603" t="s">
        <v>15</v>
      </c>
      <c r="C1603" s="3">
        <v>410</v>
      </c>
      <c r="D1603" s="3">
        <v>410.25</v>
      </c>
      <c r="E1603" s="3">
        <v>407.75</v>
      </c>
      <c r="F1603" s="3">
        <v>409.95</v>
      </c>
      <c r="G1603" s="3">
        <v>409.6</v>
      </c>
      <c r="H1603" s="3">
        <v>409.4</v>
      </c>
      <c r="I1603" s="3">
        <v>409.17</v>
      </c>
      <c r="J1603" s="3">
        <v>471.5</v>
      </c>
      <c r="K1603" s="3">
        <v>390.15</v>
      </c>
      <c r="L1603" s="2">
        <v>5824089</v>
      </c>
      <c r="M1603" s="2">
        <v>2383043433.0500002</v>
      </c>
      <c r="N1603" s="2">
        <v>100941</v>
      </c>
      <c r="O1603" t="s">
        <v>22</v>
      </c>
      <c r="P1603" s="8">
        <f t="shared" ref="P1603:P1666" si="75">F1603-C1603</f>
        <v>-5.0000000000011369E-2</v>
      </c>
      <c r="Q1603" t="s">
        <v>40</v>
      </c>
      <c r="R1603">
        <f t="shared" ref="R1603:R1666" si="76">MONTH(A1603)</f>
        <v>7</v>
      </c>
      <c r="S1603" t="str">
        <f t="shared" ref="S1603:S1666" si="77">TEXT(A1603,"mmm")</f>
        <v>Jul</v>
      </c>
      <c r="T1603" s="9">
        <f>VLOOKUP(O1603, Annual_Summary!A:B, 2, 0)</f>
        <v>-0.16726934600681886</v>
      </c>
    </row>
    <row r="1604" spans="1:20" x14ac:dyDescent="0.3">
      <c r="A1604" s="1">
        <v>45862</v>
      </c>
      <c r="B1604" t="s">
        <v>15</v>
      </c>
      <c r="C1604" s="3">
        <v>415.85</v>
      </c>
      <c r="D1604" s="3">
        <v>415.85</v>
      </c>
      <c r="E1604" s="3">
        <v>409.45</v>
      </c>
      <c r="F1604" s="3">
        <v>414.95</v>
      </c>
      <c r="G1604" s="3">
        <v>410</v>
      </c>
      <c r="H1604" s="3">
        <v>409.95</v>
      </c>
      <c r="I1604" s="3">
        <v>411.42</v>
      </c>
      <c r="J1604" s="3">
        <v>471.5</v>
      </c>
      <c r="K1604" s="3">
        <v>390.15</v>
      </c>
      <c r="L1604" s="2">
        <v>9005157</v>
      </c>
      <c r="M1604" s="2">
        <v>3704882523.9499998</v>
      </c>
      <c r="N1604" s="2">
        <v>132378</v>
      </c>
      <c r="O1604" t="s">
        <v>22</v>
      </c>
      <c r="P1604" s="8">
        <f t="shared" si="75"/>
        <v>-0.90000000000003411</v>
      </c>
      <c r="Q1604" t="s">
        <v>40</v>
      </c>
      <c r="R1604">
        <f t="shared" si="76"/>
        <v>7</v>
      </c>
      <c r="S1604" t="str">
        <f t="shared" si="77"/>
        <v>Jul</v>
      </c>
      <c r="T1604" s="9">
        <f>VLOOKUP(O1604, Annual_Summary!A:B, 2, 0)</f>
        <v>-0.16726934600681886</v>
      </c>
    </row>
    <row r="1605" spans="1:20" x14ac:dyDescent="0.3">
      <c r="A1605" s="1">
        <v>45861</v>
      </c>
      <c r="B1605" t="s">
        <v>15</v>
      </c>
      <c r="C1605" s="3">
        <v>417.1</v>
      </c>
      <c r="D1605" s="3">
        <v>417.9</v>
      </c>
      <c r="E1605" s="3">
        <v>414</v>
      </c>
      <c r="F1605" s="3">
        <v>416</v>
      </c>
      <c r="G1605" s="3">
        <v>415</v>
      </c>
      <c r="H1605" s="3">
        <v>414.95</v>
      </c>
      <c r="I1605" s="3">
        <v>415.04</v>
      </c>
      <c r="J1605" s="3">
        <v>471.5</v>
      </c>
      <c r="K1605" s="3">
        <v>390.15</v>
      </c>
      <c r="L1605" s="2">
        <v>12196187</v>
      </c>
      <c r="M1605" s="2">
        <v>5061866238.3999996</v>
      </c>
      <c r="N1605" s="2">
        <v>99775</v>
      </c>
      <c r="O1605" t="s">
        <v>22</v>
      </c>
      <c r="P1605" s="8">
        <f t="shared" si="75"/>
        <v>-1.1000000000000227</v>
      </c>
      <c r="Q1605" t="s">
        <v>40</v>
      </c>
      <c r="R1605">
        <f t="shared" si="76"/>
        <v>7</v>
      </c>
      <c r="S1605" t="str">
        <f t="shared" si="77"/>
        <v>Jul</v>
      </c>
      <c r="T1605" s="9">
        <f>VLOOKUP(O1605, Annual_Summary!A:B, 2, 0)</f>
        <v>-0.16726934600681886</v>
      </c>
    </row>
    <row r="1606" spans="1:20" x14ac:dyDescent="0.3">
      <c r="A1606" s="1">
        <v>45860</v>
      </c>
      <c r="B1606" t="s">
        <v>15</v>
      </c>
      <c r="C1606" s="3">
        <v>420.1</v>
      </c>
      <c r="D1606" s="3">
        <v>420.4</v>
      </c>
      <c r="E1606" s="3">
        <v>415.2</v>
      </c>
      <c r="F1606" s="3">
        <v>420.1</v>
      </c>
      <c r="G1606" s="3">
        <v>415.95</v>
      </c>
      <c r="H1606" s="3">
        <v>416</v>
      </c>
      <c r="I1606" s="3">
        <v>416.82</v>
      </c>
      <c r="J1606" s="3">
        <v>471.5</v>
      </c>
      <c r="K1606" s="3">
        <v>390.15</v>
      </c>
      <c r="L1606" s="2">
        <v>9869507</v>
      </c>
      <c r="M1606" s="2">
        <v>4113826380.9499998</v>
      </c>
      <c r="N1606" s="2">
        <v>117437</v>
      </c>
      <c r="O1606" t="s">
        <v>22</v>
      </c>
      <c r="P1606" s="8">
        <f t="shared" si="75"/>
        <v>0</v>
      </c>
      <c r="Q1606" t="s">
        <v>40</v>
      </c>
      <c r="R1606">
        <f t="shared" si="76"/>
        <v>7</v>
      </c>
      <c r="S1606" t="str">
        <f t="shared" si="77"/>
        <v>Jul</v>
      </c>
      <c r="T1606" s="9">
        <f>VLOOKUP(O1606, Annual_Summary!A:B, 2, 0)</f>
        <v>-0.16726934600681886</v>
      </c>
    </row>
    <row r="1607" spans="1:20" x14ac:dyDescent="0.3">
      <c r="A1607" s="1">
        <v>45859</v>
      </c>
      <c r="B1607" t="s">
        <v>15</v>
      </c>
      <c r="C1607" s="3">
        <v>422</v>
      </c>
      <c r="D1607" s="3">
        <v>422.75</v>
      </c>
      <c r="E1607" s="3">
        <v>418.4</v>
      </c>
      <c r="F1607" s="3">
        <v>422.75</v>
      </c>
      <c r="G1607" s="3">
        <v>420.3</v>
      </c>
      <c r="H1607" s="3">
        <v>420.1</v>
      </c>
      <c r="I1607" s="3">
        <v>420.55</v>
      </c>
      <c r="J1607" s="3">
        <v>471.5</v>
      </c>
      <c r="K1607" s="3">
        <v>390.15</v>
      </c>
      <c r="L1607" s="2">
        <v>4822343</v>
      </c>
      <c r="M1607" s="2">
        <v>2028012485.95</v>
      </c>
      <c r="N1607" s="2">
        <v>85747</v>
      </c>
      <c r="O1607" t="s">
        <v>22</v>
      </c>
      <c r="P1607" s="8">
        <f t="shared" si="75"/>
        <v>0.75</v>
      </c>
      <c r="Q1607" t="s">
        <v>40</v>
      </c>
      <c r="R1607">
        <f t="shared" si="76"/>
        <v>7</v>
      </c>
      <c r="S1607" t="str">
        <f t="shared" si="77"/>
        <v>Jul</v>
      </c>
      <c r="T1607" s="9">
        <f>VLOOKUP(O1607, Annual_Summary!A:B, 2, 0)</f>
        <v>-0.16726934600681886</v>
      </c>
    </row>
    <row r="1608" spans="1:20" x14ac:dyDescent="0.3">
      <c r="A1608" s="1">
        <v>45856</v>
      </c>
      <c r="B1608" t="s">
        <v>15</v>
      </c>
      <c r="C1608" s="3">
        <v>425.2</v>
      </c>
      <c r="D1608" s="3">
        <v>425.2</v>
      </c>
      <c r="E1608" s="3">
        <v>420.1</v>
      </c>
      <c r="F1608" s="3">
        <v>423.95</v>
      </c>
      <c r="G1608" s="3">
        <v>422</v>
      </c>
      <c r="H1608" s="3">
        <v>422.75</v>
      </c>
      <c r="I1608" s="3">
        <v>422.22</v>
      </c>
      <c r="J1608" s="3">
        <v>471.5</v>
      </c>
      <c r="K1608" s="3">
        <v>390.15</v>
      </c>
      <c r="L1608" s="2">
        <v>6730256</v>
      </c>
      <c r="M1608" s="2">
        <v>2841642514.0500002</v>
      </c>
      <c r="N1608" s="2">
        <v>82551</v>
      </c>
      <c r="O1608" t="s">
        <v>22</v>
      </c>
      <c r="P1608" s="8">
        <f t="shared" si="75"/>
        <v>-1.25</v>
      </c>
      <c r="Q1608" t="s">
        <v>40</v>
      </c>
      <c r="R1608">
        <f t="shared" si="76"/>
        <v>7</v>
      </c>
      <c r="S1608" t="str">
        <f t="shared" si="77"/>
        <v>Jul</v>
      </c>
      <c r="T1608" s="9">
        <f>VLOOKUP(O1608, Annual_Summary!A:B, 2, 0)</f>
        <v>-0.16726934600681886</v>
      </c>
    </row>
    <row r="1609" spans="1:20" x14ac:dyDescent="0.3">
      <c r="A1609" s="1">
        <v>45855</v>
      </c>
      <c r="B1609" t="s">
        <v>15</v>
      </c>
      <c r="C1609" s="3">
        <v>425.8</v>
      </c>
      <c r="D1609" s="3">
        <v>425.9</v>
      </c>
      <c r="E1609" s="3">
        <v>423</v>
      </c>
      <c r="F1609" s="3">
        <v>424.6</v>
      </c>
      <c r="G1609" s="3">
        <v>423.25</v>
      </c>
      <c r="H1609" s="3">
        <v>423.95</v>
      </c>
      <c r="I1609" s="3">
        <v>424.62</v>
      </c>
      <c r="J1609" s="3">
        <v>471.5</v>
      </c>
      <c r="K1609" s="3">
        <v>390.15</v>
      </c>
      <c r="L1609" s="2">
        <v>7240795</v>
      </c>
      <c r="M1609" s="2">
        <v>3074622256.6999998</v>
      </c>
      <c r="N1609" s="2">
        <v>85266</v>
      </c>
      <c r="O1609" t="s">
        <v>22</v>
      </c>
      <c r="P1609" s="8">
        <f t="shared" si="75"/>
        <v>-1.1999999999999886</v>
      </c>
      <c r="Q1609" t="s">
        <v>40</v>
      </c>
      <c r="R1609">
        <f t="shared" si="76"/>
        <v>7</v>
      </c>
      <c r="S1609" t="str">
        <f t="shared" si="77"/>
        <v>Jul</v>
      </c>
      <c r="T1609" s="9">
        <f>VLOOKUP(O1609, Annual_Summary!A:B, 2, 0)</f>
        <v>-0.16726934600681886</v>
      </c>
    </row>
    <row r="1610" spans="1:20" x14ac:dyDescent="0.3">
      <c r="A1610" s="1">
        <v>45854</v>
      </c>
      <c r="B1610" t="s">
        <v>15</v>
      </c>
      <c r="C1610" s="3">
        <v>422.1</v>
      </c>
      <c r="D1610" s="3">
        <v>425.45</v>
      </c>
      <c r="E1610" s="3">
        <v>420.3</v>
      </c>
      <c r="F1610" s="3">
        <v>422.1</v>
      </c>
      <c r="G1610" s="3">
        <v>424.4</v>
      </c>
      <c r="H1610" s="3">
        <v>424.6</v>
      </c>
      <c r="I1610" s="3">
        <v>423.52</v>
      </c>
      <c r="J1610" s="3">
        <v>471.5</v>
      </c>
      <c r="K1610" s="3">
        <v>390.15</v>
      </c>
      <c r="L1610" s="2">
        <v>9780773</v>
      </c>
      <c r="M1610" s="2">
        <v>4142330034.6500001</v>
      </c>
      <c r="N1610" s="2">
        <v>91064</v>
      </c>
      <c r="O1610" t="s">
        <v>22</v>
      </c>
      <c r="P1610" s="8">
        <f t="shared" si="75"/>
        <v>0</v>
      </c>
      <c r="Q1610" t="s">
        <v>40</v>
      </c>
      <c r="R1610">
        <f t="shared" si="76"/>
        <v>7</v>
      </c>
      <c r="S1610" t="str">
        <f t="shared" si="77"/>
        <v>Jul</v>
      </c>
      <c r="T1610" s="9">
        <f>VLOOKUP(O1610, Annual_Summary!A:B, 2, 0)</f>
        <v>-0.16726934600681886</v>
      </c>
    </row>
    <row r="1611" spans="1:20" x14ac:dyDescent="0.3">
      <c r="A1611" s="1">
        <v>45853</v>
      </c>
      <c r="B1611" t="s">
        <v>15</v>
      </c>
      <c r="C1611" s="3">
        <v>420.9</v>
      </c>
      <c r="D1611" s="3">
        <v>422.4</v>
      </c>
      <c r="E1611" s="3">
        <v>419</v>
      </c>
      <c r="F1611" s="3">
        <v>419.4</v>
      </c>
      <c r="G1611" s="3">
        <v>422.3</v>
      </c>
      <c r="H1611" s="3">
        <v>422.1</v>
      </c>
      <c r="I1611" s="3">
        <v>421.37</v>
      </c>
      <c r="J1611" s="3">
        <v>471.5</v>
      </c>
      <c r="K1611" s="3">
        <v>390.15</v>
      </c>
      <c r="L1611" s="2">
        <v>8532755</v>
      </c>
      <c r="M1611" s="2">
        <v>3595425226.1999998</v>
      </c>
      <c r="N1611" s="2">
        <v>112643</v>
      </c>
      <c r="O1611" t="s">
        <v>22</v>
      </c>
      <c r="P1611" s="8">
        <f t="shared" si="75"/>
        <v>-1.5</v>
      </c>
      <c r="Q1611" t="s">
        <v>40</v>
      </c>
      <c r="R1611">
        <f t="shared" si="76"/>
        <v>7</v>
      </c>
      <c r="S1611" t="str">
        <f t="shared" si="77"/>
        <v>Jul</v>
      </c>
      <c r="T1611" s="9">
        <f>VLOOKUP(O1611, Annual_Summary!A:B, 2, 0)</f>
        <v>-0.16726934600681886</v>
      </c>
    </row>
    <row r="1612" spans="1:20" x14ac:dyDescent="0.3">
      <c r="A1612" s="1">
        <v>45852</v>
      </c>
      <c r="B1612" t="s">
        <v>15</v>
      </c>
      <c r="C1612" s="3">
        <v>417.05</v>
      </c>
      <c r="D1612" s="3">
        <v>419.95</v>
      </c>
      <c r="E1612" s="3">
        <v>416.55</v>
      </c>
      <c r="F1612" s="3">
        <v>416.8</v>
      </c>
      <c r="G1612" s="3">
        <v>419.35</v>
      </c>
      <c r="H1612" s="3">
        <v>419.4</v>
      </c>
      <c r="I1612" s="3">
        <v>418.9</v>
      </c>
      <c r="J1612" s="3">
        <v>471.5</v>
      </c>
      <c r="K1612" s="3">
        <v>390.15</v>
      </c>
      <c r="L1612" s="2">
        <v>6896989</v>
      </c>
      <c r="M1612" s="2">
        <v>2889123352.9499998</v>
      </c>
      <c r="N1612" s="2">
        <v>94592</v>
      </c>
      <c r="O1612" t="s">
        <v>22</v>
      </c>
      <c r="P1612" s="8">
        <f t="shared" si="75"/>
        <v>-0.25</v>
      </c>
      <c r="Q1612" t="s">
        <v>40</v>
      </c>
      <c r="R1612">
        <f t="shared" si="76"/>
        <v>7</v>
      </c>
      <c r="S1612" t="str">
        <f t="shared" si="77"/>
        <v>Jul</v>
      </c>
      <c r="T1612" s="9">
        <f>VLOOKUP(O1612, Annual_Summary!A:B, 2, 0)</f>
        <v>-0.16726934600681886</v>
      </c>
    </row>
    <row r="1613" spans="1:20" x14ac:dyDescent="0.3">
      <c r="A1613" s="1">
        <v>45849</v>
      </c>
      <c r="B1613" t="s">
        <v>15</v>
      </c>
      <c r="C1613" s="3">
        <v>417</v>
      </c>
      <c r="D1613" s="3">
        <v>418.05</v>
      </c>
      <c r="E1613" s="3">
        <v>415.5</v>
      </c>
      <c r="F1613" s="3">
        <v>416.85</v>
      </c>
      <c r="G1613" s="3">
        <v>416.65</v>
      </c>
      <c r="H1613" s="3">
        <v>416.8</v>
      </c>
      <c r="I1613" s="3">
        <v>416.92</v>
      </c>
      <c r="J1613" s="3">
        <v>471.5</v>
      </c>
      <c r="K1613" s="3">
        <v>390.15</v>
      </c>
      <c r="L1613" s="2">
        <v>8578844</v>
      </c>
      <c r="M1613" s="2">
        <v>3576713516.4499998</v>
      </c>
      <c r="N1613" s="2">
        <v>96778</v>
      </c>
      <c r="O1613" t="s">
        <v>22</v>
      </c>
      <c r="P1613" s="8">
        <f t="shared" si="75"/>
        <v>-0.14999999999997726</v>
      </c>
      <c r="Q1613" t="s">
        <v>40</v>
      </c>
      <c r="R1613">
        <f t="shared" si="76"/>
        <v>7</v>
      </c>
      <c r="S1613" t="str">
        <f t="shared" si="77"/>
        <v>Jul</v>
      </c>
      <c r="T1613" s="9">
        <f>VLOOKUP(O1613, Annual_Summary!A:B, 2, 0)</f>
        <v>-0.16726934600681886</v>
      </c>
    </row>
    <row r="1614" spans="1:20" x14ac:dyDescent="0.3">
      <c r="A1614" s="1">
        <v>45848</v>
      </c>
      <c r="B1614" t="s">
        <v>15</v>
      </c>
      <c r="C1614" s="3">
        <v>420.3</v>
      </c>
      <c r="D1614" s="3">
        <v>420.3</v>
      </c>
      <c r="E1614" s="3">
        <v>416.4</v>
      </c>
      <c r="F1614" s="3">
        <v>419.45</v>
      </c>
      <c r="G1614" s="3">
        <v>416.65</v>
      </c>
      <c r="H1614" s="3">
        <v>416.85</v>
      </c>
      <c r="I1614" s="3">
        <v>417.61</v>
      </c>
      <c r="J1614" s="3">
        <v>471.5</v>
      </c>
      <c r="K1614" s="3">
        <v>390.15</v>
      </c>
      <c r="L1614" s="2">
        <v>6220360</v>
      </c>
      <c r="M1614" s="2">
        <v>2597661683.25</v>
      </c>
      <c r="N1614" s="2">
        <v>76333</v>
      </c>
      <c r="O1614" t="s">
        <v>22</v>
      </c>
      <c r="P1614" s="8">
        <f t="shared" si="75"/>
        <v>-0.85000000000002274</v>
      </c>
      <c r="Q1614" t="s">
        <v>40</v>
      </c>
      <c r="R1614">
        <f t="shared" si="76"/>
        <v>7</v>
      </c>
      <c r="S1614" t="str">
        <f t="shared" si="77"/>
        <v>Jul</v>
      </c>
      <c r="T1614" s="9">
        <f>VLOOKUP(O1614, Annual_Summary!A:B, 2, 0)</f>
        <v>-0.16726934600681886</v>
      </c>
    </row>
    <row r="1615" spans="1:20" x14ac:dyDescent="0.3">
      <c r="A1615" s="1">
        <v>45847</v>
      </c>
      <c r="B1615" t="s">
        <v>15</v>
      </c>
      <c r="C1615" s="3">
        <v>416.2</v>
      </c>
      <c r="D1615" s="3">
        <v>420.3</v>
      </c>
      <c r="E1615" s="3">
        <v>415.45</v>
      </c>
      <c r="F1615" s="3">
        <v>417.2</v>
      </c>
      <c r="G1615" s="3">
        <v>419.1</v>
      </c>
      <c r="H1615" s="3">
        <v>419.45</v>
      </c>
      <c r="I1615" s="3">
        <v>419.08</v>
      </c>
      <c r="J1615" s="3">
        <v>471.5</v>
      </c>
      <c r="K1615" s="3">
        <v>390.15</v>
      </c>
      <c r="L1615" s="2">
        <v>9930533</v>
      </c>
      <c r="M1615" s="2">
        <v>4161651352.25</v>
      </c>
      <c r="N1615" s="2">
        <v>146808</v>
      </c>
      <c r="O1615" t="s">
        <v>22</v>
      </c>
      <c r="P1615" s="8">
        <f t="shared" si="75"/>
        <v>1</v>
      </c>
      <c r="Q1615" t="s">
        <v>40</v>
      </c>
      <c r="R1615">
        <f t="shared" si="76"/>
        <v>7</v>
      </c>
      <c r="S1615" t="str">
        <f t="shared" si="77"/>
        <v>Jul</v>
      </c>
      <c r="T1615" s="9">
        <f>VLOOKUP(O1615, Annual_Summary!A:B, 2, 0)</f>
        <v>-0.16726934600681886</v>
      </c>
    </row>
    <row r="1616" spans="1:20" x14ac:dyDescent="0.3">
      <c r="A1616" s="1">
        <v>45846</v>
      </c>
      <c r="B1616" t="s">
        <v>15</v>
      </c>
      <c r="C1616" s="3">
        <v>416.15</v>
      </c>
      <c r="D1616" s="3">
        <v>418.1</v>
      </c>
      <c r="E1616" s="3">
        <v>414.65</v>
      </c>
      <c r="F1616" s="3">
        <v>416.15</v>
      </c>
      <c r="G1616" s="3">
        <v>418</v>
      </c>
      <c r="H1616" s="3">
        <v>417.2</v>
      </c>
      <c r="I1616" s="3">
        <v>416.46</v>
      </c>
      <c r="J1616" s="3">
        <v>471.5</v>
      </c>
      <c r="K1616" s="3">
        <v>390.15</v>
      </c>
      <c r="L1616" s="2">
        <v>6807192</v>
      </c>
      <c r="M1616" s="2">
        <v>2834924838.5500002</v>
      </c>
      <c r="N1616" s="2">
        <v>76566</v>
      </c>
      <c r="O1616" t="s">
        <v>22</v>
      </c>
      <c r="P1616" s="8">
        <f t="shared" si="75"/>
        <v>0</v>
      </c>
      <c r="Q1616" t="s">
        <v>40</v>
      </c>
      <c r="R1616">
        <f t="shared" si="76"/>
        <v>7</v>
      </c>
      <c r="S1616" t="str">
        <f t="shared" si="77"/>
        <v>Jul</v>
      </c>
      <c r="T1616" s="9">
        <f>VLOOKUP(O1616, Annual_Summary!A:B, 2, 0)</f>
        <v>-0.16726934600681886</v>
      </c>
    </row>
    <row r="1617" spans="1:20" x14ac:dyDescent="0.3">
      <c r="A1617" s="1">
        <v>45845</v>
      </c>
      <c r="B1617" t="s">
        <v>15</v>
      </c>
      <c r="C1617" s="3">
        <v>413</v>
      </c>
      <c r="D1617" s="3">
        <v>417.2</v>
      </c>
      <c r="E1617" s="3">
        <v>412</v>
      </c>
      <c r="F1617" s="3">
        <v>412.55</v>
      </c>
      <c r="G1617" s="3">
        <v>416.5</v>
      </c>
      <c r="H1617" s="3">
        <v>416.15</v>
      </c>
      <c r="I1617" s="3">
        <v>415.88</v>
      </c>
      <c r="J1617" s="3">
        <v>471.5</v>
      </c>
      <c r="K1617" s="3">
        <v>390.15</v>
      </c>
      <c r="L1617" s="2">
        <v>6845218</v>
      </c>
      <c r="M1617" s="2">
        <v>2846807822.5</v>
      </c>
      <c r="N1617" s="2">
        <v>120392</v>
      </c>
      <c r="O1617" t="s">
        <v>22</v>
      </c>
      <c r="P1617" s="8">
        <f t="shared" si="75"/>
        <v>-0.44999999999998863</v>
      </c>
      <c r="Q1617" t="s">
        <v>40</v>
      </c>
      <c r="R1617">
        <f t="shared" si="76"/>
        <v>7</v>
      </c>
      <c r="S1617" t="str">
        <f t="shared" si="77"/>
        <v>Jul</v>
      </c>
      <c r="T1617" s="9">
        <f>VLOOKUP(O1617, Annual_Summary!A:B, 2, 0)</f>
        <v>-0.16726934600681886</v>
      </c>
    </row>
    <row r="1618" spans="1:20" x14ac:dyDescent="0.3">
      <c r="A1618" s="1">
        <v>45842</v>
      </c>
      <c r="B1618" t="s">
        <v>15</v>
      </c>
      <c r="C1618" s="3">
        <v>414.9</v>
      </c>
      <c r="D1618" s="3">
        <v>415</v>
      </c>
      <c r="E1618" s="3">
        <v>411.75</v>
      </c>
      <c r="F1618" s="3">
        <v>413.35</v>
      </c>
      <c r="G1618" s="3">
        <v>412.7</v>
      </c>
      <c r="H1618" s="3">
        <v>412.55</v>
      </c>
      <c r="I1618" s="3">
        <v>412.8</v>
      </c>
      <c r="J1618" s="3">
        <v>471.5</v>
      </c>
      <c r="K1618" s="3">
        <v>390.15</v>
      </c>
      <c r="L1618" s="2">
        <v>8256733</v>
      </c>
      <c r="M1618" s="2">
        <v>3408342585.9499998</v>
      </c>
      <c r="N1618" s="2">
        <v>103880</v>
      </c>
      <c r="O1618" t="s">
        <v>22</v>
      </c>
      <c r="P1618" s="8">
        <f t="shared" si="75"/>
        <v>-1.5499999999999545</v>
      </c>
      <c r="Q1618" t="s">
        <v>40</v>
      </c>
      <c r="R1618">
        <f t="shared" si="76"/>
        <v>7</v>
      </c>
      <c r="S1618" t="str">
        <f t="shared" si="77"/>
        <v>Jul</v>
      </c>
      <c r="T1618" s="9">
        <f>VLOOKUP(O1618, Annual_Summary!A:B, 2, 0)</f>
        <v>-0.16726934600681886</v>
      </c>
    </row>
    <row r="1619" spans="1:20" x14ac:dyDescent="0.3">
      <c r="A1619" s="1">
        <v>45841</v>
      </c>
      <c r="B1619" t="s">
        <v>15</v>
      </c>
      <c r="C1619" s="3">
        <v>414</v>
      </c>
      <c r="D1619" s="3">
        <v>416</v>
      </c>
      <c r="E1619" s="3">
        <v>411.25</v>
      </c>
      <c r="F1619" s="3">
        <v>412.95</v>
      </c>
      <c r="G1619" s="3">
        <v>413.9</v>
      </c>
      <c r="H1619" s="3">
        <v>413.35</v>
      </c>
      <c r="I1619" s="3">
        <v>413.57</v>
      </c>
      <c r="J1619" s="3">
        <v>471.5</v>
      </c>
      <c r="K1619" s="3">
        <v>390.15</v>
      </c>
      <c r="L1619" s="2">
        <v>14185298</v>
      </c>
      <c r="M1619" s="2">
        <v>5866630211.25</v>
      </c>
      <c r="N1619" s="2">
        <v>142804</v>
      </c>
      <c r="O1619" t="s">
        <v>22</v>
      </c>
      <c r="P1619" s="8">
        <f t="shared" si="75"/>
        <v>-1.0500000000000114</v>
      </c>
      <c r="Q1619" t="s">
        <v>40</v>
      </c>
      <c r="R1619">
        <f t="shared" si="76"/>
        <v>7</v>
      </c>
      <c r="S1619" t="str">
        <f t="shared" si="77"/>
        <v>Jul</v>
      </c>
      <c r="T1619" s="9">
        <f>VLOOKUP(O1619, Annual_Summary!A:B, 2, 0)</f>
        <v>-0.16726934600681886</v>
      </c>
    </row>
    <row r="1620" spans="1:20" x14ac:dyDescent="0.3">
      <c r="A1620" s="1">
        <v>45840</v>
      </c>
      <c r="B1620" t="s">
        <v>15</v>
      </c>
      <c r="C1620" s="3">
        <v>416.9</v>
      </c>
      <c r="D1620" s="3">
        <v>416.9</v>
      </c>
      <c r="E1620" s="3">
        <v>411.7</v>
      </c>
      <c r="F1620" s="3">
        <v>415.1</v>
      </c>
      <c r="G1620" s="3">
        <v>413.2</v>
      </c>
      <c r="H1620" s="3">
        <v>412.95</v>
      </c>
      <c r="I1620" s="3">
        <v>413.58</v>
      </c>
      <c r="J1620" s="3">
        <v>471.5</v>
      </c>
      <c r="K1620" s="3">
        <v>390.15</v>
      </c>
      <c r="L1620" s="2">
        <v>15990899</v>
      </c>
      <c r="M1620" s="2">
        <v>6613437048</v>
      </c>
      <c r="N1620" s="2">
        <v>148675</v>
      </c>
      <c r="O1620" t="s">
        <v>22</v>
      </c>
      <c r="P1620" s="8">
        <f t="shared" si="75"/>
        <v>-1.7999999999999545</v>
      </c>
      <c r="Q1620" t="s">
        <v>40</v>
      </c>
      <c r="R1620">
        <f t="shared" si="76"/>
        <v>7</v>
      </c>
      <c r="S1620" t="str">
        <f t="shared" si="77"/>
        <v>Jul</v>
      </c>
      <c r="T1620" s="9">
        <f>VLOOKUP(O1620, Annual_Summary!A:B, 2, 0)</f>
        <v>-0.16726934600681886</v>
      </c>
    </row>
    <row r="1621" spans="1:20" x14ac:dyDescent="0.3">
      <c r="A1621" s="1">
        <v>45839</v>
      </c>
      <c r="B1621" t="s">
        <v>15</v>
      </c>
      <c r="C1621" s="3">
        <v>417</v>
      </c>
      <c r="D1621" s="3">
        <v>418.85</v>
      </c>
      <c r="E1621" s="3">
        <v>414.9</v>
      </c>
      <c r="F1621" s="3">
        <v>416.45</v>
      </c>
      <c r="G1621" s="3">
        <v>415.1</v>
      </c>
      <c r="H1621" s="3">
        <v>415.1</v>
      </c>
      <c r="I1621" s="3">
        <v>416.37</v>
      </c>
      <c r="J1621" s="3">
        <v>471.5</v>
      </c>
      <c r="K1621" s="3">
        <v>390.15</v>
      </c>
      <c r="L1621" s="2">
        <v>13670465</v>
      </c>
      <c r="M1621" s="2">
        <v>5691910423.4499998</v>
      </c>
      <c r="N1621" s="2">
        <v>135207</v>
      </c>
      <c r="O1621" t="s">
        <v>22</v>
      </c>
      <c r="P1621" s="8">
        <f t="shared" si="75"/>
        <v>-0.55000000000001137</v>
      </c>
      <c r="Q1621" t="s">
        <v>40</v>
      </c>
      <c r="R1621">
        <f t="shared" si="76"/>
        <v>7</v>
      </c>
      <c r="S1621" t="str">
        <f t="shared" si="77"/>
        <v>Jul</v>
      </c>
      <c r="T1621" s="9">
        <f>VLOOKUP(O1621, Annual_Summary!A:B, 2, 0)</f>
        <v>-0.16726934600681886</v>
      </c>
    </row>
    <row r="1622" spans="1:20" x14ac:dyDescent="0.3">
      <c r="A1622" s="1">
        <v>45838</v>
      </c>
      <c r="B1622" t="s">
        <v>15</v>
      </c>
      <c r="C1622" s="3">
        <v>419.8</v>
      </c>
      <c r="D1622" s="3">
        <v>420.75</v>
      </c>
      <c r="E1622" s="3">
        <v>415.8</v>
      </c>
      <c r="F1622" s="3">
        <v>418.65</v>
      </c>
      <c r="G1622" s="3">
        <v>416.3</v>
      </c>
      <c r="H1622" s="3">
        <v>416.45</v>
      </c>
      <c r="I1622" s="3">
        <v>417.37</v>
      </c>
      <c r="J1622" s="3">
        <v>471.5</v>
      </c>
      <c r="K1622" s="3">
        <v>390.15</v>
      </c>
      <c r="L1622" s="2">
        <v>12317124</v>
      </c>
      <c r="M1622" s="2">
        <v>5140785633.0500002</v>
      </c>
      <c r="N1622" s="2">
        <v>145533</v>
      </c>
      <c r="O1622" t="s">
        <v>22</v>
      </c>
      <c r="P1622" s="8">
        <f t="shared" si="75"/>
        <v>-1.1500000000000341</v>
      </c>
      <c r="Q1622" t="s">
        <v>40</v>
      </c>
      <c r="R1622">
        <f t="shared" si="76"/>
        <v>6</v>
      </c>
      <c r="S1622" t="str">
        <f t="shared" si="77"/>
        <v>Jun</v>
      </c>
      <c r="T1622" s="9">
        <f>VLOOKUP(O1622, Annual_Summary!A:B, 2, 0)</f>
        <v>-0.16726934600681886</v>
      </c>
    </row>
    <row r="1623" spans="1:20" x14ac:dyDescent="0.3">
      <c r="A1623" s="1">
        <v>45835</v>
      </c>
      <c r="B1623" t="s">
        <v>15</v>
      </c>
      <c r="C1623" s="3">
        <v>421</v>
      </c>
      <c r="D1623" s="3">
        <v>422</v>
      </c>
      <c r="E1623" s="3">
        <v>417.8</v>
      </c>
      <c r="F1623" s="3">
        <v>420.3</v>
      </c>
      <c r="G1623" s="3">
        <v>420</v>
      </c>
      <c r="H1623" s="3">
        <v>418.65</v>
      </c>
      <c r="I1623" s="3">
        <v>419.38</v>
      </c>
      <c r="J1623" s="3">
        <v>471.5</v>
      </c>
      <c r="K1623" s="3">
        <v>390.15</v>
      </c>
      <c r="L1623" s="2">
        <v>21409935</v>
      </c>
      <c r="M1623" s="2">
        <v>8978830736</v>
      </c>
      <c r="N1623" s="2">
        <v>138937</v>
      </c>
      <c r="O1623" t="s">
        <v>22</v>
      </c>
      <c r="P1623" s="8">
        <f t="shared" si="75"/>
        <v>-0.69999999999998863</v>
      </c>
      <c r="Q1623" t="s">
        <v>40</v>
      </c>
      <c r="R1623">
        <f t="shared" si="76"/>
        <v>6</v>
      </c>
      <c r="S1623" t="str">
        <f t="shared" si="77"/>
        <v>Jun</v>
      </c>
      <c r="T1623" s="9">
        <f>VLOOKUP(O1623, Annual_Summary!A:B, 2, 0)</f>
        <v>-0.16726934600681886</v>
      </c>
    </row>
    <row r="1624" spans="1:20" x14ac:dyDescent="0.3">
      <c r="A1624" s="1">
        <v>45834</v>
      </c>
      <c r="B1624" t="s">
        <v>15</v>
      </c>
      <c r="C1624" s="3">
        <v>417.2</v>
      </c>
      <c r="D1624" s="3">
        <v>420.9</v>
      </c>
      <c r="E1624" s="3">
        <v>416.25</v>
      </c>
      <c r="F1624" s="3">
        <v>416.35</v>
      </c>
      <c r="G1624" s="3">
        <v>420</v>
      </c>
      <c r="H1624" s="3">
        <v>420.3</v>
      </c>
      <c r="I1624" s="3">
        <v>418.46</v>
      </c>
      <c r="J1624" s="3">
        <v>471.5</v>
      </c>
      <c r="K1624" s="3">
        <v>390.15</v>
      </c>
      <c r="L1624" s="2">
        <v>13703918</v>
      </c>
      <c r="M1624" s="2">
        <v>5734531592.1499996</v>
      </c>
      <c r="N1624" s="2">
        <v>248476</v>
      </c>
      <c r="O1624" t="s">
        <v>22</v>
      </c>
      <c r="P1624" s="8">
        <f t="shared" si="75"/>
        <v>-0.84999999999996589</v>
      </c>
      <c r="Q1624" t="s">
        <v>40</v>
      </c>
      <c r="R1624">
        <f t="shared" si="76"/>
        <v>6</v>
      </c>
      <c r="S1624" t="str">
        <f t="shared" si="77"/>
        <v>Jun</v>
      </c>
      <c r="T1624" s="9">
        <f>VLOOKUP(O1624, Annual_Summary!A:B, 2, 0)</f>
        <v>-0.16726934600681886</v>
      </c>
    </row>
    <row r="1625" spans="1:20" x14ac:dyDescent="0.3">
      <c r="A1625" s="1">
        <v>45833</v>
      </c>
      <c r="B1625" t="s">
        <v>15</v>
      </c>
      <c r="C1625" s="3">
        <v>416.4</v>
      </c>
      <c r="D1625" s="3">
        <v>418.15</v>
      </c>
      <c r="E1625" s="3">
        <v>415.1</v>
      </c>
      <c r="F1625" s="3">
        <v>414.35</v>
      </c>
      <c r="G1625" s="3">
        <v>416.1</v>
      </c>
      <c r="H1625" s="3">
        <v>416.35</v>
      </c>
      <c r="I1625" s="3">
        <v>416.89</v>
      </c>
      <c r="J1625" s="3">
        <v>471.5</v>
      </c>
      <c r="K1625" s="3">
        <v>390.15</v>
      </c>
      <c r="L1625" s="2">
        <v>9946718</v>
      </c>
      <c r="M1625" s="2">
        <v>4146714301.4499998</v>
      </c>
      <c r="N1625" s="2">
        <v>150780</v>
      </c>
      <c r="O1625" t="s">
        <v>22</v>
      </c>
      <c r="P1625" s="8">
        <f t="shared" si="75"/>
        <v>-2.0499999999999545</v>
      </c>
      <c r="Q1625" t="s">
        <v>40</v>
      </c>
      <c r="R1625">
        <f t="shared" si="76"/>
        <v>6</v>
      </c>
      <c r="S1625" t="str">
        <f t="shared" si="77"/>
        <v>Jun</v>
      </c>
      <c r="T1625" s="9">
        <f>VLOOKUP(O1625, Annual_Summary!A:B, 2, 0)</f>
        <v>-0.16726934600681886</v>
      </c>
    </row>
    <row r="1626" spans="1:20" x14ac:dyDescent="0.3">
      <c r="A1626" s="1">
        <v>45832</v>
      </c>
      <c r="B1626" t="s">
        <v>15</v>
      </c>
      <c r="C1626" s="3">
        <v>416.9</v>
      </c>
      <c r="D1626" s="3">
        <v>420.65</v>
      </c>
      <c r="E1626" s="3">
        <v>413.75</v>
      </c>
      <c r="F1626" s="3">
        <v>413.9</v>
      </c>
      <c r="G1626" s="3">
        <v>414.55</v>
      </c>
      <c r="H1626" s="3">
        <v>414.35</v>
      </c>
      <c r="I1626" s="3">
        <v>416.39</v>
      </c>
      <c r="J1626" s="3">
        <v>471.5</v>
      </c>
      <c r="K1626" s="3">
        <v>390.15</v>
      </c>
      <c r="L1626" s="2">
        <v>16690068</v>
      </c>
      <c r="M1626" s="2">
        <v>6949518762.75</v>
      </c>
      <c r="N1626" s="2">
        <v>201406</v>
      </c>
      <c r="O1626" t="s">
        <v>22</v>
      </c>
      <c r="P1626" s="8">
        <f t="shared" si="75"/>
        <v>-3</v>
      </c>
      <c r="Q1626" t="s">
        <v>40</v>
      </c>
      <c r="R1626">
        <f t="shared" si="76"/>
        <v>6</v>
      </c>
      <c r="S1626" t="str">
        <f t="shared" si="77"/>
        <v>Jun</v>
      </c>
      <c r="T1626" s="9">
        <f>VLOOKUP(O1626, Annual_Summary!A:B, 2, 0)</f>
        <v>-0.16726934600681886</v>
      </c>
    </row>
    <row r="1627" spans="1:20" x14ac:dyDescent="0.3">
      <c r="A1627" s="1">
        <v>45831</v>
      </c>
      <c r="B1627" t="s">
        <v>15</v>
      </c>
      <c r="C1627" s="3">
        <v>417</v>
      </c>
      <c r="D1627" s="3">
        <v>417.5</v>
      </c>
      <c r="E1627" s="3">
        <v>411.75</v>
      </c>
      <c r="F1627" s="3">
        <v>418.55</v>
      </c>
      <c r="G1627" s="3">
        <v>413.4</v>
      </c>
      <c r="H1627" s="3">
        <v>413.9</v>
      </c>
      <c r="I1627" s="3">
        <v>415</v>
      </c>
      <c r="J1627" s="3">
        <v>471.5</v>
      </c>
      <c r="K1627" s="3">
        <v>390.15</v>
      </c>
      <c r="L1627" s="2">
        <v>14839890</v>
      </c>
      <c r="M1627" s="2">
        <v>6158508971.4499998</v>
      </c>
      <c r="N1627" s="2">
        <v>171311</v>
      </c>
      <c r="O1627" t="s">
        <v>22</v>
      </c>
      <c r="P1627" s="8">
        <f t="shared" si="75"/>
        <v>1.5500000000000114</v>
      </c>
      <c r="Q1627" t="s">
        <v>40</v>
      </c>
      <c r="R1627">
        <f t="shared" si="76"/>
        <v>6</v>
      </c>
      <c r="S1627" t="str">
        <f t="shared" si="77"/>
        <v>Jun</v>
      </c>
      <c r="T1627" s="9">
        <f>VLOOKUP(O1627, Annual_Summary!A:B, 2, 0)</f>
        <v>-0.16726934600681886</v>
      </c>
    </row>
    <row r="1628" spans="1:20" x14ac:dyDescent="0.3">
      <c r="A1628" s="1">
        <v>45828</v>
      </c>
      <c r="B1628" t="s">
        <v>15</v>
      </c>
      <c r="C1628" s="3">
        <v>416</v>
      </c>
      <c r="D1628" s="3">
        <v>419.5</v>
      </c>
      <c r="E1628" s="3">
        <v>416</v>
      </c>
      <c r="F1628" s="3">
        <v>416</v>
      </c>
      <c r="G1628" s="3">
        <v>417.25</v>
      </c>
      <c r="H1628" s="3">
        <v>418.55</v>
      </c>
      <c r="I1628" s="3">
        <v>418.46</v>
      </c>
      <c r="J1628" s="3">
        <v>471.5</v>
      </c>
      <c r="K1628" s="3">
        <v>390.15</v>
      </c>
      <c r="L1628" s="2">
        <v>13203184</v>
      </c>
      <c r="M1628" s="2">
        <v>5524985516.3000002</v>
      </c>
      <c r="N1628" s="2">
        <v>110675</v>
      </c>
      <c r="O1628" t="s">
        <v>22</v>
      </c>
      <c r="P1628" s="8">
        <f t="shared" si="75"/>
        <v>0</v>
      </c>
      <c r="Q1628" t="s">
        <v>40</v>
      </c>
      <c r="R1628">
        <f t="shared" si="76"/>
        <v>6</v>
      </c>
      <c r="S1628" t="str">
        <f t="shared" si="77"/>
        <v>Jun</v>
      </c>
      <c r="T1628" s="9">
        <f>VLOOKUP(O1628, Annual_Summary!A:B, 2, 0)</f>
        <v>-0.16726934600681886</v>
      </c>
    </row>
    <row r="1629" spans="1:20" x14ac:dyDescent="0.3">
      <c r="A1629" s="1">
        <v>45827</v>
      </c>
      <c r="B1629" t="s">
        <v>15</v>
      </c>
      <c r="C1629" s="3">
        <v>415.65</v>
      </c>
      <c r="D1629" s="3">
        <v>418.25</v>
      </c>
      <c r="E1629" s="3">
        <v>414.8</v>
      </c>
      <c r="F1629" s="3">
        <v>415.9</v>
      </c>
      <c r="G1629" s="3">
        <v>415.8</v>
      </c>
      <c r="H1629" s="3">
        <v>416</v>
      </c>
      <c r="I1629" s="3">
        <v>416.72</v>
      </c>
      <c r="J1629" s="3">
        <v>471.5</v>
      </c>
      <c r="K1629" s="3">
        <v>390.15</v>
      </c>
      <c r="L1629" s="2">
        <v>12601006</v>
      </c>
      <c r="M1629" s="2">
        <v>5251107254.8500004</v>
      </c>
      <c r="N1629" s="2">
        <v>91846</v>
      </c>
      <c r="O1629" t="s">
        <v>22</v>
      </c>
      <c r="P1629" s="8">
        <f t="shared" si="75"/>
        <v>0.25</v>
      </c>
      <c r="Q1629" t="s">
        <v>40</v>
      </c>
      <c r="R1629">
        <f t="shared" si="76"/>
        <v>6</v>
      </c>
      <c r="S1629" t="str">
        <f t="shared" si="77"/>
        <v>Jun</v>
      </c>
      <c r="T1629" s="9">
        <f>VLOOKUP(O1629, Annual_Summary!A:B, 2, 0)</f>
        <v>-0.16726934600681886</v>
      </c>
    </row>
    <row r="1630" spans="1:20" x14ac:dyDescent="0.3">
      <c r="A1630" s="1">
        <v>45826</v>
      </c>
      <c r="B1630" t="s">
        <v>15</v>
      </c>
      <c r="C1630" s="3">
        <v>417</v>
      </c>
      <c r="D1630" s="3">
        <v>418.45</v>
      </c>
      <c r="E1630" s="3">
        <v>414.9</v>
      </c>
      <c r="F1630" s="3">
        <v>417.4</v>
      </c>
      <c r="G1630" s="3">
        <v>415.6</v>
      </c>
      <c r="H1630" s="3">
        <v>415.9</v>
      </c>
      <c r="I1630" s="3">
        <v>416.11</v>
      </c>
      <c r="J1630" s="3">
        <v>471.5</v>
      </c>
      <c r="K1630" s="3">
        <v>390.15</v>
      </c>
      <c r="L1630" s="2">
        <v>8036215</v>
      </c>
      <c r="M1630" s="2">
        <v>3343960493.9499998</v>
      </c>
      <c r="N1630" s="2">
        <v>126035</v>
      </c>
      <c r="O1630" t="s">
        <v>22</v>
      </c>
      <c r="P1630" s="8">
        <f t="shared" si="75"/>
        <v>0.39999999999997726</v>
      </c>
      <c r="Q1630" t="s">
        <v>40</v>
      </c>
      <c r="R1630">
        <f t="shared" si="76"/>
        <v>6</v>
      </c>
      <c r="S1630" t="str">
        <f t="shared" si="77"/>
        <v>Jun</v>
      </c>
      <c r="T1630" s="9">
        <f>VLOOKUP(O1630, Annual_Summary!A:B, 2, 0)</f>
        <v>-0.16726934600681886</v>
      </c>
    </row>
    <row r="1631" spans="1:20" x14ac:dyDescent="0.3">
      <c r="A1631" s="1">
        <v>45825</v>
      </c>
      <c r="B1631" t="s">
        <v>15</v>
      </c>
      <c r="C1631" s="3">
        <v>418.1</v>
      </c>
      <c r="D1631" s="3">
        <v>419.05</v>
      </c>
      <c r="E1631" s="3">
        <v>415.7</v>
      </c>
      <c r="F1631" s="3">
        <v>418.2</v>
      </c>
      <c r="G1631" s="3">
        <v>417.05</v>
      </c>
      <c r="H1631" s="3">
        <v>417.4</v>
      </c>
      <c r="I1631" s="3">
        <v>417.33</v>
      </c>
      <c r="J1631" s="3">
        <v>471.5</v>
      </c>
      <c r="K1631" s="3">
        <v>390.15</v>
      </c>
      <c r="L1631" s="2">
        <v>9028406</v>
      </c>
      <c r="M1631" s="2">
        <v>3767781671.25</v>
      </c>
      <c r="N1631" s="2">
        <v>115094</v>
      </c>
      <c r="O1631" t="s">
        <v>22</v>
      </c>
      <c r="P1631" s="8">
        <f t="shared" si="75"/>
        <v>9.9999999999965894E-2</v>
      </c>
      <c r="Q1631" t="s">
        <v>40</v>
      </c>
      <c r="R1631">
        <f t="shared" si="76"/>
        <v>6</v>
      </c>
      <c r="S1631" t="str">
        <f t="shared" si="77"/>
        <v>Jun</v>
      </c>
      <c r="T1631" s="9">
        <f>VLOOKUP(O1631, Annual_Summary!A:B, 2, 0)</f>
        <v>-0.16726934600681886</v>
      </c>
    </row>
    <row r="1632" spans="1:20" x14ac:dyDescent="0.3">
      <c r="A1632" s="1">
        <v>45824</v>
      </c>
      <c r="B1632" t="s">
        <v>15</v>
      </c>
      <c r="C1632" s="3">
        <v>414.95</v>
      </c>
      <c r="D1632" s="3">
        <v>418.9</v>
      </c>
      <c r="E1632" s="3">
        <v>413.25</v>
      </c>
      <c r="F1632" s="3">
        <v>413.9</v>
      </c>
      <c r="G1632" s="3">
        <v>418.65</v>
      </c>
      <c r="H1632" s="3">
        <v>418.2</v>
      </c>
      <c r="I1632" s="3">
        <v>417.32</v>
      </c>
      <c r="J1632" s="3">
        <v>471.5</v>
      </c>
      <c r="K1632" s="3">
        <v>390.15</v>
      </c>
      <c r="L1632" s="2">
        <v>7006629</v>
      </c>
      <c r="M1632" s="2">
        <v>2924040280.9499998</v>
      </c>
      <c r="N1632" s="2">
        <v>101302</v>
      </c>
      <c r="O1632" t="s">
        <v>22</v>
      </c>
      <c r="P1632" s="8">
        <f t="shared" si="75"/>
        <v>-1.0500000000000114</v>
      </c>
      <c r="Q1632" t="s">
        <v>40</v>
      </c>
      <c r="R1632">
        <f t="shared" si="76"/>
        <v>6</v>
      </c>
      <c r="S1632" t="str">
        <f t="shared" si="77"/>
        <v>Jun</v>
      </c>
      <c r="T1632" s="9">
        <f>VLOOKUP(O1632, Annual_Summary!A:B, 2, 0)</f>
        <v>-0.16726934600681886</v>
      </c>
    </row>
    <row r="1633" spans="1:20" x14ac:dyDescent="0.3">
      <c r="A1633" s="1">
        <v>45821</v>
      </c>
      <c r="B1633" t="s">
        <v>15</v>
      </c>
      <c r="C1633" s="3">
        <v>415</v>
      </c>
      <c r="D1633" s="3">
        <v>419.35</v>
      </c>
      <c r="E1633" s="3">
        <v>413.5</v>
      </c>
      <c r="F1633" s="3">
        <v>421</v>
      </c>
      <c r="G1633" s="3">
        <v>413.95</v>
      </c>
      <c r="H1633" s="3">
        <v>413.9</v>
      </c>
      <c r="I1633" s="3">
        <v>416.29</v>
      </c>
      <c r="J1633" s="3">
        <v>471.5</v>
      </c>
      <c r="K1633" s="3">
        <v>390.15</v>
      </c>
      <c r="L1633" s="2">
        <v>17873926</v>
      </c>
      <c r="M1633" s="2">
        <v>7440750348.6999998</v>
      </c>
      <c r="N1633" s="2">
        <v>163341</v>
      </c>
      <c r="O1633" t="s">
        <v>22</v>
      </c>
      <c r="P1633" s="8">
        <f t="shared" si="75"/>
        <v>6</v>
      </c>
      <c r="Q1633" t="s">
        <v>40</v>
      </c>
      <c r="R1633">
        <f t="shared" si="76"/>
        <v>6</v>
      </c>
      <c r="S1633" t="str">
        <f t="shared" si="77"/>
        <v>Jun</v>
      </c>
      <c r="T1633" s="9">
        <f>VLOOKUP(O1633, Annual_Summary!A:B, 2, 0)</f>
        <v>-0.16726934600681886</v>
      </c>
    </row>
    <row r="1634" spans="1:20" x14ac:dyDescent="0.3">
      <c r="A1634" s="1">
        <v>45820</v>
      </c>
      <c r="B1634" t="s">
        <v>15</v>
      </c>
      <c r="C1634" s="3">
        <v>427</v>
      </c>
      <c r="D1634" s="3">
        <v>427.2</v>
      </c>
      <c r="E1634" s="3">
        <v>419.55</v>
      </c>
      <c r="F1634" s="3">
        <v>426.15</v>
      </c>
      <c r="G1634" s="3">
        <v>420.95</v>
      </c>
      <c r="H1634" s="3">
        <v>421</v>
      </c>
      <c r="I1634" s="3">
        <v>421.78</v>
      </c>
      <c r="J1634" s="3">
        <v>471.5</v>
      </c>
      <c r="K1634" s="3">
        <v>390.15</v>
      </c>
      <c r="L1634" s="2">
        <v>18508835</v>
      </c>
      <c r="M1634" s="2">
        <v>7806698998.5</v>
      </c>
      <c r="N1634" s="2">
        <v>250912</v>
      </c>
      <c r="O1634" t="s">
        <v>22</v>
      </c>
      <c r="P1634" s="8">
        <f t="shared" si="75"/>
        <v>-0.85000000000002274</v>
      </c>
      <c r="Q1634" t="s">
        <v>40</v>
      </c>
      <c r="R1634">
        <f t="shared" si="76"/>
        <v>6</v>
      </c>
      <c r="S1634" t="str">
        <f t="shared" si="77"/>
        <v>Jun</v>
      </c>
      <c r="T1634" s="9">
        <f>VLOOKUP(O1634, Annual_Summary!A:B, 2, 0)</f>
        <v>-0.16726934600681886</v>
      </c>
    </row>
    <row r="1635" spans="1:20" x14ac:dyDescent="0.3">
      <c r="A1635" s="1">
        <v>45819</v>
      </c>
      <c r="B1635" t="s">
        <v>15</v>
      </c>
      <c r="C1635" s="3">
        <v>428</v>
      </c>
      <c r="D1635" s="3">
        <v>428.1</v>
      </c>
      <c r="E1635" s="3">
        <v>424.85</v>
      </c>
      <c r="F1635" s="3">
        <v>427</v>
      </c>
      <c r="G1635" s="3">
        <v>425.55</v>
      </c>
      <c r="H1635" s="3">
        <v>426.15</v>
      </c>
      <c r="I1635" s="3">
        <v>426.47</v>
      </c>
      <c r="J1635" s="3">
        <v>471.5</v>
      </c>
      <c r="K1635" s="3">
        <v>390.15</v>
      </c>
      <c r="L1635" s="2">
        <v>20789182</v>
      </c>
      <c r="M1635" s="2">
        <v>8866064896.5</v>
      </c>
      <c r="N1635" s="2">
        <v>148079</v>
      </c>
      <c r="O1635" t="s">
        <v>22</v>
      </c>
      <c r="P1635" s="8">
        <f t="shared" si="75"/>
        <v>-1</v>
      </c>
      <c r="Q1635" t="s">
        <v>40</v>
      </c>
      <c r="R1635">
        <f t="shared" si="76"/>
        <v>6</v>
      </c>
      <c r="S1635" t="str">
        <f t="shared" si="77"/>
        <v>Jun</v>
      </c>
      <c r="T1635" s="9">
        <f>VLOOKUP(O1635, Annual_Summary!A:B, 2, 0)</f>
        <v>-0.16726934600681886</v>
      </c>
    </row>
    <row r="1636" spans="1:20" x14ac:dyDescent="0.3">
      <c r="A1636" s="1">
        <v>45818</v>
      </c>
      <c r="B1636" t="s">
        <v>15</v>
      </c>
      <c r="C1636" s="3">
        <v>424.5</v>
      </c>
      <c r="D1636" s="3">
        <v>428.55</v>
      </c>
      <c r="E1636" s="3">
        <v>423.05</v>
      </c>
      <c r="F1636" s="3">
        <v>423.05</v>
      </c>
      <c r="G1636" s="3">
        <v>427.65</v>
      </c>
      <c r="H1636" s="3">
        <v>427</v>
      </c>
      <c r="I1636" s="3">
        <v>426.58</v>
      </c>
      <c r="J1636" s="3">
        <v>471.5</v>
      </c>
      <c r="K1636" s="3">
        <v>390.15</v>
      </c>
      <c r="L1636" s="2">
        <v>13041075</v>
      </c>
      <c r="M1636" s="2">
        <v>5563034401.5</v>
      </c>
      <c r="N1636" s="2">
        <v>170097</v>
      </c>
      <c r="O1636" t="s">
        <v>22</v>
      </c>
      <c r="P1636" s="8">
        <f t="shared" si="75"/>
        <v>-1.4499999999999886</v>
      </c>
      <c r="Q1636" t="s">
        <v>40</v>
      </c>
      <c r="R1636">
        <f t="shared" si="76"/>
        <v>6</v>
      </c>
      <c r="S1636" t="str">
        <f t="shared" si="77"/>
        <v>Jun</v>
      </c>
      <c r="T1636" s="9">
        <f>VLOOKUP(O1636, Annual_Summary!A:B, 2, 0)</f>
        <v>-0.16726934600681886</v>
      </c>
    </row>
    <row r="1637" spans="1:20" x14ac:dyDescent="0.3">
      <c r="A1637" s="1">
        <v>45817</v>
      </c>
      <c r="B1637" t="s">
        <v>15</v>
      </c>
      <c r="C1637" s="3">
        <v>422</v>
      </c>
      <c r="D1637" s="3">
        <v>423.6</v>
      </c>
      <c r="E1637" s="3">
        <v>420.5</v>
      </c>
      <c r="F1637" s="3">
        <v>421.05</v>
      </c>
      <c r="G1637" s="3">
        <v>423</v>
      </c>
      <c r="H1637" s="3">
        <v>423.05</v>
      </c>
      <c r="I1637" s="3">
        <v>422.61</v>
      </c>
      <c r="J1637" s="3">
        <v>471.5</v>
      </c>
      <c r="K1637" s="3">
        <v>390.15</v>
      </c>
      <c r="L1637" s="2">
        <v>10473123</v>
      </c>
      <c r="M1637" s="2">
        <v>4426007949.6499996</v>
      </c>
      <c r="N1637" s="2">
        <v>152980</v>
      </c>
      <c r="O1637" t="s">
        <v>22</v>
      </c>
      <c r="P1637" s="8">
        <f t="shared" si="75"/>
        <v>-0.94999999999998863</v>
      </c>
      <c r="Q1637" t="s">
        <v>40</v>
      </c>
      <c r="R1637">
        <f t="shared" si="76"/>
        <v>6</v>
      </c>
      <c r="S1637" t="str">
        <f t="shared" si="77"/>
        <v>Jun</v>
      </c>
      <c r="T1637" s="9">
        <f>VLOOKUP(O1637, Annual_Summary!A:B, 2, 0)</f>
        <v>-0.16726934600681886</v>
      </c>
    </row>
    <row r="1638" spans="1:20" x14ac:dyDescent="0.3">
      <c r="A1638" s="1">
        <v>45814</v>
      </c>
      <c r="B1638" t="s">
        <v>15</v>
      </c>
      <c r="C1638" s="3">
        <v>420.3</v>
      </c>
      <c r="D1638" s="3">
        <v>421.3</v>
      </c>
      <c r="E1638" s="3">
        <v>419</v>
      </c>
      <c r="F1638" s="3">
        <v>419.1</v>
      </c>
      <c r="G1638" s="3">
        <v>421.05</v>
      </c>
      <c r="H1638" s="3">
        <v>421.05</v>
      </c>
      <c r="I1638" s="3">
        <v>420.36</v>
      </c>
      <c r="J1638" s="3">
        <v>471.5</v>
      </c>
      <c r="K1638" s="3">
        <v>390.15</v>
      </c>
      <c r="L1638" s="2">
        <v>8774988</v>
      </c>
      <c r="M1638" s="2">
        <v>3688650527.1999998</v>
      </c>
      <c r="N1638" s="2">
        <v>135147</v>
      </c>
      <c r="O1638" t="s">
        <v>22</v>
      </c>
      <c r="P1638" s="8">
        <f t="shared" si="75"/>
        <v>-1.1999999999999886</v>
      </c>
      <c r="Q1638" t="s">
        <v>40</v>
      </c>
      <c r="R1638">
        <f t="shared" si="76"/>
        <v>6</v>
      </c>
      <c r="S1638" t="str">
        <f t="shared" si="77"/>
        <v>Jun</v>
      </c>
      <c r="T1638" s="9">
        <f>VLOOKUP(O1638, Annual_Summary!A:B, 2, 0)</f>
        <v>-0.16726934600681886</v>
      </c>
    </row>
    <row r="1639" spans="1:20" x14ac:dyDescent="0.3">
      <c r="A1639" s="1">
        <v>45813</v>
      </c>
      <c r="B1639" t="s">
        <v>15</v>
      </c>
      <c r="C1639" s="3">
        <v>418.5</v>
      </c>
      <c r="D1639" s="3">
        <v>420.95</v>
      </c>
      <c r="E1639" s="3">
        <v>415.75</v>
      </c>
      <c r="F1639" s="3">
        <v>417</v>
      </c>
      <c r="G1639" s="3">
        <v>419.45</v>
      </c>
      <c r="H1639" s="3">
        <v>419.1</v>
      </c>
      <c r="I1639" s="3">
        <v>418.56</v>
      </c>
      <c r="J1639" s="3">
        <v>471.5</v>
      </c>
      <c r="K1639" s="3">
        <v>390.15</v>
      </c>
      <c r="L1639" s="2">
        <v>13212523</v>
      </c>
      <c r="M1639" s="2">
        <v>5530248629.8000002</v>
      </c>
      <c r="N1639" s="2">
        <v>125958</v>
      </c>
      <c r="O1639" t="s">
        <v>22</v>
      </c>
      <c r="P1639" s="8">
        <f t="shared" si="75"/>
        <v>-1.5</v>
      </c>
      <c r="Q1639" t="s">
        <v>40</v>
      </c>
      <c r="R1639">
        <f t="shared" si="76"/>
        <v>6</v>
      </c>
      <c r="S1639" t="str">
        <f t="shared" si="77"/>
        <v>Jun</v>
      </c>
      <c r="T1639" s="9">
        <f>VLOOKUP(O1639, Annual_Summary!A:B, 2, 0)</f>
        <v>-0.16726934600681886</v>
      </c>
    </row>
    <row r="1640" spans="1:20" x14ac:dyDescent="0.3">
      <c r="A1640" s="1">
        <v>45812</v>
      </c>
      <c r="B1640" t="s">
        <v>15</v>
      </c>
      <c r="C1640" s="3">
        <v>417.15</v>
      </c>
      <c r="D1640" s="3">
        <v>419</v>
      </c>
      <c r="E1640" s="3">
        <v>415.95</v>
      </c>
      <c r="F1640" s="3">
        <v>416.95</v>
      </c>
      <c r="G1640" s="3">
        <v>416.8</v>
      </c>
      <c r="H1640" s="3">
        <v>417</v>
      </c>
      <c r="I1640" s="3">
        <v>417.14</v>
      </c>
      <c r="J1640" s="3">
        <v>471.5</v>
      </c>
      <c r="K1640" s="3">
        <v>390.15</v>
      </c>
      <c r="L1640" s="2">
        <v>12598933</v>
      </c>
      <c r="M1640" s="2">
        <v>5255534433.3999996</v>
      </c>
      <c r="N1640" s="2">
        <v>116476</v>
      </c>
      <c r="O1640" t="s">
        <v>22</v>
      </c>
      <c r="P1640" s="8">
        <f t="shared" si="75"/>
        <v>-0.19999999999998863</v>
      </c>
      <c r="Q1640" t="s">
        <v>40</v>
      </c>
      <c r="R1640">
        <f t="shared" si="76"/>
        <v>6</v>
      </c>
      <c r="S1640" t="str">
        <f t="shared" si="77"/>
        <v>Jun</v>
      </c>
      <c r="T1640" s="9">
        <f>VLOOKUP(O1640, Annual_Summary!A:B, 2, 0)</f>
        <v>-0.16726934600681886</v>
      </c>
    </row>
    <row r="1641" spans="1:20" x14ac:dyDescent="0.3">
      <c r="A1641" s="1">
        <v>45811</v>
      </c>
      <c r="B1641" t="s">
        <v>15</v>
      </c>
      <c r="C1641" s="3">
        <v>419</v>
      </c>
      <c r="D1641" s="3">
        <v>421.7</v>
      </c>
      <c r="E1641" s="3">
        <v>415.65</v>
      </c>
      <c r="F1641" s="3">
        <v>419.3</v>
      </c>
      <c r="G1641" s="3">
        <v>417</v>
      </c>
      <c r="H1641" s="3">
        <v>416.95</v>
      </c>
      <c r="I1641" s="3">
        <v>418.03</v>
      </c>
      <c r="J1641" s="3">
        <v>471.5</v>
      </c>
      <c r="K1641" s="3">
        <v>390.15</v>
      </c>
      <c r="L1641" s="2">
        <v>13216486</v>
      </c>
      <c r="M1641" s="2">
        <v>5524919470.1999998</v>
      </c>
      <c r="N1641" s="2">
        <v>140901</v>
      </c>
      <c r="O1641" t="s">
        <v>22</v>
      </c>
      <c r="P1641" s="8">
        <f t="shared" si="75"/>
        <v>0.30000000000001137</v>
      </c>
      <c r="Q1641" t="s">
        <v>40</v>
      </c>
      <c r="R1641">
        <f t="shared" si="76"/>
        <v>6</v>
      </c>
      <c r="S1641" t="str">
        <f t="shared" si="77"/>
        <v>Jun</v>
      </c>
      <c r="T1641" s="9">
        <f>VLOOKUP(O1641, Annual_Summary!A:B, 2, 0)</f>
        <v>-0.16726934600681886</v>
      </c>
    </row>
    <row r="1642" spans="1:20" x14ac:dyDescent="0.3">
      <c r="A1642" s="1">
        <v>45810</v>
      </c>
      <c r="B1642" t="s">
        <v>15</v>
      </c>
      <c r="C1642" s="3">
        <v>418.3</v>
      </c>
      <c r="D1642" s="3">
        <v>420.45</v>
      </c>
      <c r="E1642" s="3">
        <v>414.55</v>
      </c>
      <c r="F1642" s="3">
        <v>418.05</v>
      </c>
      <c r="G1642" s="3">
        <v>418.5</v>
      </c>
      <c r="H1642" s="3">
        <v>419.3</v>
      </c>
      <c r="I1642" s="3">
        <v>418.16</v>
      </c>
      <c r="J1642" s="3">
        <v>471.5</v>
      </c>
      <c r="K1642" s="3">
        <v>390.15</v>
      </c>
      <c r="L1642" s="2">
        <v>14973380</v>
      </c>
      <c r="M1642" s="2">
        <v>6261214003.6000004</v>
      </c>
      <c r="N1642" s="2">
        <v>165410</v>
      </c>
      <c r="O1642" t="s">
        <v>22</v>
      </c>
      <c r="P1642" s="8">
        <f t="shared" si="75"/>
        <v>-0.25</v>
      </c>
      <c r="Q1642" t="s">
        <v>40</v>
      </c>
      <c r="R1642">
        <f t="shared" si="76"/>
        <v>6</v>
      </c>
      <c r="S1642" t="str">
        <f t="shared" si="77"/>
        <v>Jun</v>
      </c>
      <c r="T1642" s="9">
        <f>VLOOKUP(O1642, Annual_Summary!A:B, 2, 0)</f>
        <v>-0.16726934600681886</v>
      </c>
    </row>
    <row r="1643" spans="1:20" x14ac:dyDescent="0.3">
      <c r="A1643" s="1">
        <v>45807</v>
      </c>
      <c r="B1643" t="s">
        <v>15</v>
      </c>
      <c r="C1643" s="3">
        <v>419.1</v>
      </c>
      <c r="D1643" s="3">
        <v>420.05</v>
      </c>
      <c r="E1643" s="3">
        <v>416.4</v>
      </c>
      <c r="F1643" s="3">
        <v>418.75</v>
      </c>
      <c r="G1643" s="3">
        <v>418.75</v>
      </c>
      <c r="H1643" s="3">
        <v>418.05</v>
      </c>
      <c r="I1643" s="3">
        <v>417.87</v>
      </c>
      <c r="J1643" s="3">
        <v>471.5</v>
      </c>
      <c r="K1643" s="3">
        <v>390.15</v>
      </c>
      <c r="L1643" s="2">
        <v>30656239</v>
      </c>
      <c r="M1643" s="2">
        <v>12810187425.4</v>
      </c>
      <c r="N1643" s="2">
        <v>159932</v>
      </c>
      <c r="O1643" t="s">
        <v>22</v>
      </c>
      <c r="P1643" s="8">
        <f t="shared" si="75"/>
        <v>-0.35000000000002274</v>
      </c>
      <c r="Q1643" t="s">
        <v>40</v>
      </c>
      <c r="R1643">
        <f t="shared" si="76"/>
        <v>5</v>
      </c>
      <c r="S1643" t="str">
        <f t="shared" si="77"/>
        <v>May</v>
      </c>
      <c r="T1643" s="9">
        <f>VLOOKUP(O1643, Annual_Summary!A:B, 2, 0)</f>
        <v>-0.16726934600681886</v>
      </c>
    </row>
    <row r="1644" spans="1:20" x14ac:dyDescent="0.3">
      <c r="A1644" s="1">
        <v>45806</v>
      </c>
      <c r="B1644" t="s">
        <v>15</v>
      </c>
      <c r="C1644" s="3">
        <v>422</v>
      </c>
      <c r="D1644" s="3">
        <v>422.8</v>
      </c>
      <c r="E1644" s="3">
        <v>416.6</v>
      </c>
      <c r="F1644" s="3">
        <v>420.2</v>
      </c>
      <c r="G1644" s="3">
        <v>419.35</v>
      </c>
      <c r="H1644" s="3">
        <v>418.75</v>
      </c>
      <c r="I1644" s="3">
        <v>418.44</v>
      </c>
      <c r="J1644" s="3">
        <v>471.5</v>
      </c>
      <c r="K1644" s="3">
        <v>390.15</v>
      </c>
      <c r="L1644" s="2">
        <v>21478547</v>
      </c>
      <c r="M1644" s="2">
        <v>8987465219.8999996</v>
      </c>
      <c r="N1644" s="2">
        <v>201763</v>
      </c>
      <c r="O1644" t="s">
        <v>22</v>
      </c>
      <c r="P1644" s="8">
        <f t="shared" si="75"/>
        <v>-1.8000000000000114</v>
      </c>
      <c r="Q1644" t="s">
        <v>40</v>
      </c>
      <c r="R1644">
        <f t="shared" si="76"/>
        <v>5</v>
      </c>
      <c r="S1644" t="str">
        <f t="shared" si="77"/>
        <v>May</v>
      </c>
      <c r="T1644" s="9">
        <f>VLOOKUP(O1644, Annual_Summary!A:B, 2, 0)</f>
        <v>-0.16726934600681886</v>
      </c>
    </row>
    <row r="1645" spans="1:20" x14ac:dyDescent="0.3">
      <c r="A1645" s="1">
        <v>45805</v>
      </c>
      <c r="B1645" t="s">
        <v>15</v>
      </c>
      <c r="C1645" s="3">
        <v>417.7</v>
      </c>
      <c r="D1645" s="3">
        <v>422.6</v>
      </c>
      <c r="E1645" s="3">
        <v>413</v>
      </c>
      <c r="F1645" s="3">
        <v>433.9</v>
      </c>
      <c r="G1645" s="3">
        <v>421</v>
      </c>
      <c r="H1645" s="3">
        <v>420.2</v>
      </c>
      <c r="I1645" s="3">
        <v>415.08</v>
      </c>
      <c r="J1645" s="3">
        <v>471.5</v>
      </c>
      <c r="K1645" s="3">
        <v>390.15</v>
      </c>
      <c r="L1645" s="2">
        <v>431851622</v>
      </c>
      <c r="M1645" s="2">
        <v>179255083660.79999</v>
      </c>
      <c r="N1645" s="2">
        <v>413487</v>
      </c>
      <c r="O1645" t="s">
        <v>22</v>
      </c>
      <c r="P1645" s="8">
        <f t="shared" si="75"/>
        <v>16.199999999999989</v>
      </c>
      <c r="Q1645" t="s">
        <v>40</v>
      </c>
      <c r="R1645">
        <f t="shared" si="76"/>
        <v>5</v>
      </c>
      <c r="S1645" t="str">
        <f t="shared" si="77"/>
        <v>May</v>
      </c>
      <c r="T1645" s="9">
        <f>VLOOKUP(O1645, Annual_Summary!A:B, 2, 0)</f>
        <v>-0.16726934600681886</v>
      </c>
    </row>
    <row r="1646" spans="1:20" x14ac:dyDescent="0.3">
      <c r="A1646" s="1">
        <v>45804</v>
      </c>
      <c r="B1646" t="s">
        <v>15</v>
      </c>
      <c r="C1646" s="3">
        <v>442.9</v>
      </c>
      <c r="D1646" s="3">
        <v>444.2</v>
      </c>
      <c r="E1646" s="3">
        <v>430.85</v>
      </c>
      <c r="F1646" s="3">
        <v>442.9</v>
      </c>
      <c r="G1646" s="3">
        <v>434.7</v>
      </c>
      <c r="H1646" s="3">
        <v>433.9</v>
      </c>
      <c r="I1646" s="3">
        <v>436.39</v>
      </c>
      <c r="J1646" s="3">
        <v>471.5</v>
      </c>
      <c r="K1646" s="3">
        <v>390.15</v>
      </c>
      <c r="L1646" s="2">
        <v>26986022</v>
      </c>
      <c r="M1646" s="2">
        <v>11776331084.9</v>
      </c>
      <c r="N1646" s="2">
        <v>224458</v>
      </c>
      <c r="O1646" t="s">
        <v>22</v>
      </c>
      <c r="P1646" s="8">
        <f t="shared" si="75"/>
        <v>0</v>
      </c>
      <c r="Q1646" t="s">
        <v>40</v>
      </c>
      <c r="R1646">
        <f t="shared" si="76"/>
        <v>5</v>
      </c>
      <c r="S1646" t="str">
        <f t="shared" si="77"/>
        <v>May</v>
      </c>
      <c r="T1646" s="9">
        <f>VLOOKUP(O1646, Annual_Summary!A:B, 2, 0)</f>
        <v>-0.16726934600681886</v>
      </c>
    </row>
    <row r="1647" spans="1:20" x14ac:dyDescent="0.3">
      <c r="A1647" s="1">
        <v>45803</v>
      </c>
      <c r="B1647" t="s">
        <v>15</v>
      </c>
      <c r="C1647" s="3">
        <v>438.25</v>
      </c>
      <c r="D1647" s="3">
        <v>443.55</v>
      </c>
      <c r="E1647" s="3">
        <v>436.75</v>
      </c>
      <c r="F1647" s="3">
        <v>436.3</v>
      </c>
      <c r="G1647" s="3">
        <v>442.9</v>
      </c>
      <c r="H1647" s="3">
        <v>442.9</v>
      </c>
      <c r="I1647" s="3">
        <v>440.19</v>
      </c>
      <c r="J1647" s="3">
        <v>471.5</v>
      </c>
      <c r="K1647" s="3">
        <v>390.15</v>
      </c>
      <c r="L1647" s="2">
        <v>13107662</v>
      </c>
      <c r="M1647" s="2">
        <v>5769828393.5500002</v>
      </c>
      <c r="N1647" s="2">
        <v>107919</v>
      </c>
      <c r="O1647" t="s">
        <v>22</v>
      </c>
      <c r="P1647" s="8">
        <f t="shared" si="75"/>
        <v>-1.9499999999999886</v>
      </c>
      <c r="Q1647" t="s">
        <v>40</v>
      </c>
      <c r="R1647">
        <f t="shared" si="76"/>
        <v>5</v>
      </c>
      <c r="S1647" t="str">
        <f t="shared" si="77"/>
        <v>May</v>
      </c>
      <c r="T1647" s="9">
        <f>VLOOKUP(O1647, Annual_Summary!A:B, 2, 0)</f>
        <v>-0.16726934600681886</v>
      </c>
    </row>
    <row r="1648" spans="1:20" x14ac:dyDescent="0.3">
      <c r="A1648" s="1">
        <v>45800</v>
      </c>
      <c r="B1648" t="s">
        <v>15</v>
      </c>
      <c r="C1648" s="3">
        <v>434</v>
      </c>
      <c r="D1648" s="3">
        <v>439</v>
      </c>
      <c r="E1648" s="3">
        <v>429</v>
      </c>
      <c r="F1648" s="3">
        <v>426.1</v>
      </c>
      <c r="G1648" s="3">
        <v>436</v>
      </c>
      <c r="H1648" s="3">
        <v>436.3</v>
      </c>
      <c r="I1648" s="3">
        <v>435.32</v>
      </c>
      <c r="J1648" s="3">
        <v>471.5</v>
      </c>
      <c r="K1648" s="3">
        <v>390.15</v>
      </c>
      <c r="L1648" s="2">
        <v>18536884</v>
      </c>
      <c r="M1648" s="2">
        <v>8069422032.25</v>
      </c>
      <c r="N1648" s="2">
        <v>180589</v>
      </c>
      <c r="O1648" t="s">
        <v>22</v>
      </c>
      <c r="P1648" s="8">
        <f t="shared" si="75"/>
        <v>-7.8999999999999773</v>
      </c>
      <c r="Q1648" t="s">
        <v>40</v>
      </c>
      <c r="R1648">
        <f t="shared" si="76"/>
        <v>5</v>
      </c>
      <c r="S1648" t="str">
        <f t="shared" si="77"/>
        <v>May</v>
      </c>
      <c r="T1648" s="9">
        <f>VLOOKUP(O1648, Annual_Summary!A:B, 2, 0)</f>
        <v>-0.16726934600681886</v>
      </c>
    </row>
    <row r="1649" spans="1:20" x14ac:dyDescent="0.3">
      <c r="A1649" s="1">
        <v>45799</v>
      </c>
      <c r="B1649" t="s">
        <v>15</v>
      </c>
      <c r="C1649" s="3">
        <v>433</v>
      </c>
      <c r="D1649" s="3">
        <v>433</v>
      </c>
      <c r="E1649" s="3">
        <v>422.9</v>
      </c>
      <c r="F1649" s="3">
        <v>433</v>
      </c>
      <c r="G1649" s="3">
        <v>425.5</v>
      </c>
      <c r="H1649" s="3">
        <v>426.1</v>
      </c>
      <c r="I1649" s="3">
        <v>425.53</v>
      </c>
      <c r="J1649" s="3">
        <v>471.5</v>
      </c>
      <c r="K1649" s="3">
        <v>390.15</v>
      </c>
      <c r="L1649" s="2">
        <v>19451749</v>
      </c>
      <c r="M1649" s="2">
        <v>8277312766.3999996</v>
      </c>
      <c r="N1649" s="2">
        <v>172555</v>
      </c>
      <c r="O1649" t="s">
        <v>22</v>
      </c>
      <c r="P1649" s="8">
        <f t="shared" si="75"/>
        <v>0</v>
      </c>
      <c r="Q1649" t="s">
        <v>40</v>
      </c>
      <c r="R1649">
        <f t="shared" si="76"/>
        <v>5</v>
      </c>
      <c r="S1649" t="str">
        <f t="shared" si="77"/>
        <v>May</v>
      </c>
      <c r="T1649" s="9">
        <f>VLOOKUP(O1649, Annual_Summary!A:B, 2, 0)</f>
        <v>-0.16726934600681886</v>
      </c>
    </row>
    <row r="1650" spans="1:20" x14ac:dyDescent="0.3">
      <c r="A1650" s="1">
        <v>45798</v>
      </c>
      <c r="B1650" t="s">
        <v>15</v>
      </c>
      <c r="C1650" s="3">
        <v>436.6</v>
      </c>
      <c r="D1650" s="3">
        <v>438.2</v>
      </c>
      <c r="E1650" s="3">
        <v>432</v>
      </c>
      <c r="F1650" s="3">
        <v>434.9</v>
      </c>
      <c r="G1650" s="3">
        <v>432.4</v>
      </c>
      <c r="H1650" s="3">
        <v>433</v>
      </c>
      <c r="I1650" s="3">
        <v>435.04</v>
      </c>
      <c r="J1650" s="3">
        <v>471.5</v>
      </c>
      <c r="K1650" s="3">
        <v>390.15</v>
      </c>
      <c r="L1650" s="2">
        <v>5776672</v>
      </c>
      <c r="M1650" s="2">
        <v>2513103067.75</v>
      </c>
      <c r="N1650" s="2">
        <v>64175</v>
      </c>
      <c r="O1650" t="s">
        <v>22</v>
      </c>
      <c r="P1650" s="8">
        <f t="shared" si="75"/>
        <v>-1.7000000000000455</v>
      </c>
      <c r="Q1650" t="s">
        <v>40</v>
      </c>
      <c r="R1650">
        <f t="shared" si="76"/>
        <v>5</v>
      </c>
      <c r="S1650" t="str">
        <f t="shared" si="77"/>
        <v>May</v>
      </c>
      <c r="T1650" s="9">
        <f>VLOOKUP(O1650, Annual_Summary!A:B, 2, 0)</f>
        <v>-0.16726934600681886</v>
      </c>
    </row>
    <row r="1651" spans="1:20" x14ac:dyDescent="0.3">
      <c r="A1651" s="1">
        <v>45797</v>
      </c>
      <c r="B1651" t="s">
        <v>15</v>
      </c>
      <c r="C1651" s="3">
        <v>437</v>
      </c>
      <c r="D1651" s="3">
        <v>440.8</v>
      </c>
      <c r="E1651" s="3">
        <v>432.9</v>
      </c>
      <c r="F1651" s="3">
        <v>435.35</v>
      </c>
      <c r="G1651" s="3">
        <v>435.4</v>
      </c>
      <c r="H1651" s="3">
        <v>434.9</v>
      </c>
      <c r="I1651" s="3">
        <v>436.58</v>
      </c>
      <c r="J1651" s="3">
        <v>471.5</v>
      </c>
      <c r="K1651" s="3">
        <v>390.15</v>
      </c>
      <c r="L1651" s="2">
        <v>9868414</v>
      </c>
      <c r="M1651" s="2">
        <v>4308392163.3999996</v>
      </c>
      <c r="N1651" s="2">
        <v>103234</v>
      </c>
      <c r="O1651" t="s">
        <v>22</v>
      </c>
      <c r="P1651" s="8">
        <f t="shared" si="75"/>
        <v>-1.6499999999999773</v>
      </c>
      <c r="Q1651" t="s">
        <v>40</v>
      </c>
      <c r="R1651">
        <f t="shared" si="76"/>
        <v>5</v>
      </c>
      <c r="S1651" t="str">
        <f t="shared" si="77"/>
        <v>May</v>
      </c>
      <c r="T1651" s="9">
        <f>VLOOKUP(O1651, Annual_Summary!A:B, 2, 0)</f>
        <v>-0.16726934600681886</v>
      </c>
    </row>
    <row r="1652" spans="1:20" x14ac:dyDescent="0.3">
      <c r="A1652" s="1">
        <v>45796</v>
      </c>
      <c r="B1652" t="s">
        <v>15</v>
      </c>
      <c r="C1652" s="3">
        <v>435</v>
      </c>
      <c r="D1652" s="3">
        <v>438.5</v>
      </c>
      <c r="E1652" s="3">
        <v>432.65</v>
      </c>
      <c r="F1652" s="3">
        <v>435.7</v>
      </c>
      <c r="G1652" s="3">
        <v>436.1</v>
      </c>
      <c r="H1652" s="3">
        <v>435.35</v>
      </c>
      <c r="I1652" s="3">
        <v>435</v>
      </c>
      <c r="J1652" s="3">
        <v>471.5</v>
      </c>
      <c r="K1652" s="3">
        <v>390.15</v>
      </c>
      <c r="L1652" s="2">
        <v>7543854</v>
      </c>
      <c r="M1652" s="2">
        <v>3281549026.5999999</v>
      </c>
      <c r="N1652" s="2">
        <v>104429</v>
      </c>
      <c r="O1652" t="s">
        <v>22</v>
      </c>
      <c r="P1652" s="8">
        <f t="shared" si="75"/>
        <v>0.69999999999998863</v>
      </c>
      <c r="Q1652" t="s">
        <v>40</v>
      </c>
      <c r="R1652">
        <f t="shared" si="76"/>
        <v>5</v>
      </c>
      <c r="S1652" t="str">
        <f t="shared" si="77"/>
        <v>May</v>
      </c>
      <c r="T1652" s="9">
        <f>VLOOKUP(O1652, Annual_Summary!A:B, 2, 0)</f>
        <v>-0.16726934600681886</v>
      </c>
    </row>
    <row r="1653" spans="1:20" x14ac:dyDescent="0.3">
      <c r="A1653" s="1">
        <v>45793</v>
      </c>
      <c r="B1653" t="s">
        <v>15</v>
      </c>
      <c r="C1653" s="3">
        <v>434.9</v>
      </c>
      <c r="D1653" s="3">
        <v>436.2</v>
      </c>
      <c r="E1653" s="3">
        <v>432.1</v>
      </c>
      <c r="F1653" s="3">
        <v>432.65</v>
      </c>
      <c r="G1653" s="3">
        <v>435.6</v>
      </c>
      <c r="H1653" s="3">
        <v>435.7</v>
      </c>
      <c r="I1653" s="3">
        <v>434.74</v>
      </c>
      <c r="J1653" s="3">
        <v>471.5</v>
      </c>
      <c r="K1653" s="3">
        <v>390.15</v>
      </c>
      <c r="L1653" s="2">
        <v>16402035</v>
      </c>
      <c r="M1653" s="2">
        <v>7130684218.5500002</v>
      </c>
      <c r="N1653" s="2">
        <v>105849</v>
      </c>
      <c r="O1653" t="s">
        <v>22</v>
      </c>
      <c r="P1653" s="8">
        <f t="shared" si="75"/>
        <v>-2.25</v>
      </c>
      <c r="Q1653" t="s">
        <v>40</v>
      </c>
      <c r="R1653">
        <f t="shared" si="76"/>
        <v>5</v>
      </c>
      <c r="S1653" t="str">
        <f t="shared" si="77"/>
        <v>May</v>
      </c>
      <c r="T1653" s="9">
        <f>VLOOKUP(O1653, Annual_Summary!A:B, 2, 0)</f>
        <v>-0.16726934600681886</v>
      </c>
    </row>
    <row r="1654" spans="1:20" x14ac:dyDescent="0.3">
      <c r="A1654" s="1">
        <v>45792</v>
      </c>
      <c r="B1654" t="s">
        <v>15</v>
      </c>
      <c r="C1654" s="3">
        <v>429.1</v>
      </c>
      <c r="D1654" s="3">
        <v>435.4</v>
      </c>
      <c r="E1654" s="3">
        <v>426</v>
      </c>
      <c r="F1654" s="3">
        <v>429.1</v>
      </c>
      <c r="G1654" s="3">
        <v>432</v>
      </c>
      <c r="H1654" s="3">
        <v>432.65</v>
      </c>
      <c r="I1654" s="3">
        <v>431.14</v>
      </c>
      <c r="J1654" s="3">
        <v>471.5</v>
      </c>
      <c r="K1654" s="3">
        <v>390.15</v>
      </c>
      <c r="L1654" s="2">
        <v>24263510</v>
      </c>
      <c r="M1654" s="2">
        <v>10460938250.1</v>
      </c>
      <c r="N1654" s="2">
        <v>173965</v>
      </c>
      <c r="O1654" t="s">
        <v>22</v>
      </c>
      <c r="P1654" s="8">
        <f t="shared" si="75"/>
        <v>0</v>
      </c>
      <c r="Q1654" t="s">
        <v>40</v>
      </c>
      <c r="R1654">
        <f t="shared" si="76"/>
        <v>5</v>
      </c>
      <c r="S1654" t="str">
        <f t="shared" si="77"/>
        <v>May</v>
      </c>
      <c r="T1654" s="9">
        <f>VLOOKUP(O1654, Annual_Summary!A:B, 2, 0)</f>
        <v>-0.16726934600681886</v>
      </c>
    </row>
    <row r="1655" spans="1:20" x14ac:dyDescent="0.3">
      <c r="A1655" s="1">
        <v>45791</v>
      </c>
      <c r="B1655" t="s">
        <v>15</v>
      </c>
      <c r="C1655" s="3">
        <v>427.1</v>
      </c>
      <c r="D1655" s="3">
        <v>431.85</v>
      </c>
      <c r="E1655" s="3">
        <v>425.9</v>
      </c>
      <c r="F1655" s="3">
        <v>427.9</v>
      </c>
      <c r="G1655" s="3">
        <v>429.05</v>
      </c>
      <c r="H1655" s="3">
        <v>429.1</v>
      </c>
      <c r="I1655" s="3">
        <v>428.65</v>
      </c>
      <c r="J1655" s="3">
        <v>471.5</v>
      </c>
      <c r="K1655" s="3">
        <v>390.15</v>
      </c>
      <c r="L1655" s="2">
        <v>9557309</v>
      </c>
      <c r="M1655" s="2">
        <v>4096782375.4499998</v>
      </c>
      <c r="N1655" s="2">
        <v>96326</v>
      </c>
      <c r="O1655" t="s">
        <v>22</v>
      </c>
      <c r="P1655" s="8">
        <f t="shared" si="75"/>
        <v>0.79999999999995453</v>
      </c>
      <c r="Q1655" t="s">
        <v>40</v>
      </c>
      <c r="R1655">
        <f t="shared" si="76"/>
        <v>5</v>
      </c>
      <c r="S1655" t="str">
        <f t="shared" si="77"/>
        <v>May</v>
      </c>
      <c r="T1655" s="9">
        <f>VLOOKUP(O1655, Annual_Summary!A:B, 2, 0)</f>
        <v>-0.16726934600681886</v>
      </c>
    </row>
    <row r="1656" spans="1:20" x14ac:dyDescent="0.3">
      <c r="A1656" s="1">
        <v>45790</v>
      </c>
      <c r="B1656" t="s">
        <v>15</v>
      </c>
      <c r="C1656" s="3">
        <v>434.9</v>
      </c>
      <c r="D1656" s="3">
        <v>437.95</v>
      </c>
      <c r="E1656" s="3">
        <v>425.35</v>
      </c>
      <c r="F1656" s="3">
        <v>435.5</v>
      </c>
      <c r="G1656" s="3">
        <v>427.9</v>
      </c>
      <c r="H1656" s="3">
        <v>427.9</v>
      </c>
      <c r="I1656" s="3">
        <v>429.47</v>
      </c>
      <c r="J1656" s="3">
        <v>471.5</v>
      </c>
      <c r="K1656" s="3">
        <v>390.15</v>
      </c>
      <c r="L1656" s="2">
        <v>14976369</v>
      </c>
      <c r="M1656" s="2">
        <v>6431940112.4499998</v>
      </c>
      <c r="N1656" s="2">
        <v>153294</v>
      </c>
      <c r="O1656" t="s">
        <v>22</v>
      </c>
      <c r="P1656" s="8">
        <f t="shared" si="75"/>
        <v>0.60000000000002274</v>
      </c>
      <c r="Q1656" t="s">
        <v>40</v>
      </c>
      <c r="R1656">
        <f t="shared" si="76"/>
        <v>5</v>
      </c>
      <c r="S1656" t="str">
        <f t="shared" si="77"/>
        <v>May</v>
      </c>
      <c r="T1656" s="9">
        <f>VLOOKUP(O1656, Annual_Summary!A:B, 2, 0)</f>
        <v>-0.16726934600681886</v>
      </c>
    </row>
    <row r="1657" spans="1:20" x14ac:dyDescent="0.3">
      <c r="A1657" s="1">
        <v>45789</v>
      </c>
      <c r="B1657" t="s">
        <v>15</v>
      </c>
      <c r="C1657" s="3">
        <v>429.5</v>
      </c>
      <c r="D1657" s="3">
        <v>436.2</v>
      </c>
      <c r="E1657" s="3">
        <v>428.15</v>
      </c>
      <c r="F1657" s="3">
        <v>423.55</v>
      </c>
      <c r="G1657" s="3">
        <v>435.1</v>
      </c>
      <c r="H1657" s="3">
        <v>435.5</v>
      </c>
      <c r="I1657" s="3">
        <v>433.63</v>
      </c>
      <c r="J1657" s="3">
        <v>471.5</v>
      </c>
      <c r="K1657" s="3">
        <v>390.15</v>
      </c>
      <c r="L1657" s="2">
        <v>8031891</v>
      </c>
      <c r="M1657" s="2">
        <v>3482863921.6500001</v>
      </c>
      <c r="N1657" s="2">
        <v>78145</v>
      </c>
      <c r="O1657" t="s">
        <v>22</v>
      </c>
      <c r="P1657" s="8">
        <f t="shared" si="75"/>
        <v>-5.9499999999999886</v>
      </c>
      <c r="Q1657" t="s">
        <v>40</v>
      </c>
      <c r="R1657">
        <f t="shared" si="76"/>
        <v>5</v>
      </c>
      <c r="S1657" t="str">
        <f t="shared" si="77"/>
        <v>May</v>
      </c>
      <c r="T1657" s="9">
        <f>VLOOKUP(O1657, Annual_Summary!A:B, 2, 0)</f>
        <v>-0.16726934600681886</v>
      </c>
    </row>
    <row r="1658" spans="1:20" x14ac:dyDescent="0.3">
      <c r="A1658" s="1">
        <v>45786</v>
      </c>
      <c r="B1658" t="s">
        <v>15</v>
      </c>
      <c r="C1658" s="3">
        <v>425.95</v>
      </c>
      <c r="D1658" s="3">
        <v>429.15</v>
      </c>
      <c r="E1658" s="3">
        <v>423</v>
      </c>
      <c r="F1658" s="3">
        <v>430.6</v>
      </c>
      <c r="G1658" s="3">
        <v>424</v>
      </c>
      <c r="H1658" s="3">
        <v>423.55</v>
      </c>
      <c r="I1658" s="3">
        <v>425.58</v>
      </c>
      <c r="J1658" s="3">
        <v>471.5</v>
      </c>
      <c r="K1658" s="3">
        <v>390.15</v>
      </c>
      <c r="L1658" s="2">
        <v>8226512</v>
      </c>
      <c r="M1658" s="2">
        <v>3501026096.6500001</v>
      </c>
      <c r="N1658" s="2">
        <v>134382</v>
      </c>
      <c r="O1658" t="s">
        <v>22</v>
      </c>
      <c r="P1658" s="8">
        <f t="shared" si="75"/>
        <v>4.6500000000000341</v>
      </c>
      <c r="Q1658" t="s">
        <v>40</v>
      </c>
      <c r="R1658">
        <f t="shared" si="76"/>
        <v>5</v>
      </c>
      <c r="S1658" t="str">
        <f t="shared" si="77"/>
        <v>May</v>
      </c>
      <c r="T1658" s="9">
        <f>VLOOKUP(O1658, Annual_Summary!A:B, 2, 0)</f>
        <v>-0.16726934600681886</v>
      </c>
    </row>
    <row r="1659" spans="1:20" x14ac:dyDescent="0.3">
      <c r="A1659" s="1">
        <v>45785</v>
      </c>
      <c r="B1659" t="s">
        <v>15</v>
      </c>
      <c r="C1659" s="3">
        <v>429</v>
      </c>
      <c r="D1659" s="3">
        <v>431.5</v>
      </c>
      <c r="E1659" s="3">
        <v>423.55</v>
      </c>
      <c r="F1659" s="3">
        <v>431.15</v>
      </c>
      <c r="G1659" s="3">
        <v>429.4</v>
      </c>
      <c r="H1659" s="3">
        <v>430.6</v>
      </c>
      <c r="I1659" s="3">
        <v>428.99</v>
      </c>
      <c r="J1659" s="3">
        <v>471.5</v>
      </c>
      <c r="K1659" s="3">
        <v>390.15</v>
      </c>
      <c r="L1659" s="2">
        <v>19937960</v>
      </c>
      <c r="M1659" s="2">
        <v>8553117657.75</v>
      </c>
      <c r="N1659" s="2">
        <v>173524</v>
      </c>
      <c r="O1659" t="s">
        <v>22</v>
      </c>
      <c r="P1659" s="8">
        <f t="shared" si="75"/>
        <v>2.1499999999999773</v>
      </c>
      <c r="Q1659" t="s">
        <v>40</v>
      </c>
      <c r="R1659">
        <f t="shared" si="76"/>
        <v>5</v>
      </c>
      <c r="S1659" t="str">
        <f t="shared" si="77"/>
        <v>May</v>
      </c>
      <c r="T1659" s="9">
        <f>VLOOKUP(O1659, Annual_Summary!A:B, 2, 0)</f>
        <v>-0.16726934600681886</v>
      </c>
    </row>
    <row r="1660" spans="1:20" x14ac:dyDescent="0.3">
      <c r="A1660" s="1">
        <v>45784</v>
      </c>
      <c r="B1660" t="s">
        <v>15</v>
      </c>
      <c r="C1660" s="3">
        <v>433.4</v>
      </c>
      <c r="D1660" s="3">
        <v>435</v>
      </c>
      <c r="E1660" s="3">
        <v>429.7</v>
      </c>
      <c r="F1660" s="3">
        <v>435.55</v>
      </c>
      <c r="G1660" s="3">
        <v>430.15</v>
      </c>
      <c r="H1660" s="3">
        <v>431.15</v>
      </c>
      <c r="I1660" s="3">
        <v>431.77</v>
      </c>
      <c r="J1660" s="3">
        <v>471.5</v>
      </c>
      <c r="K1660" s="3">
        <v>390.15</v>
      </c>
      <c r="L1660" s="2">
        <v>9710361</v>
      </c>
      <c r="M1660" s="2">
        <v>4192656819.5999999</v>
      </c>
      <c r="N1660" s="2">
        <v>148037</v>
      </c>
      <c r="O1660" t="s">
        <v>22</v>
      </c>
      <c r="P1660" s="8">
        <f t="shared" si="75"/>
        <v>2.1500000000000341</v>
      </c>
      <c r="Q1660" t="s">
        <v>40</v>
      </c>
      <c r="R1660">
        <f t="shared" si="76"/>
        <v>5</v>
      </c>
      <c r="S1660" t="str">
        <f t="shared" si="77"/>
        <v>May</v>
      </c>
      <c r="T1660" s="9">
        <f>VLOOKUP(O1660, Annual_Summary!A:B, 2, 0)</f>
        <v>-0.16726934600681886</v>
      </c>
    </row>
    <row r="1661" spans="1:20" x14ac:dyDescent="0.3">
      <c r="A1661" s="1">
        <v>45783</v>
      </c>
      <c r="B1661" t="s">
        <v>15</v>
      </c>
      <c r="C1661" s="3">
        <v>437.5</v>
      </c>
      <c r="D1661" s="3">
        <v>439.65</v>
      </c>
      <c r="E1661" s="3">
        <v>433</v>
      </c>
      <c r="F1661" s="3">
        <v>436.95</v>
      </c>
      <c r="G1661" s="3">
        <v>433.2</v>
      </c>
      <c r="H1661" s="3">
        <v>435.55</v>
      </c>
      <c r="I1661" s="3">
        <v>436.24</v>
      </c>
      <c r="J1661" s="3">
        <v>471.5</v>
      </c>
      <c r="K1661" s="3">
        <v>390.15</v>
      </c>
      <c r="L1661" s="2">
        <v>15026568</v>
      </c>
      <c r="M1661" s="2">
        <v>6555176631.8999996</v>
      </c>
      <c r="N1661" s="2">
        <v>133609</v>
      </c>
      <c r="O1661" t="s">
        <v>22</v>
      </c>
      <c r="P1661" s="8">
        <f t="shared" si="75"/>
        <v>-0.55000000000001137</v>
      </c>
      <c r="Q1661" t="s">
        <v>40</v>
      </c>
      <c r="R1661">
        <f t="shared" si="76"/>
        <v>5</v>
      </c>
      <c r="S1661" t="str">
        <f t="shared" si="77"/>
        <v>May</v>
      </c>
      <c r="T1661" s="9">
        <f>VLOOKUP(O1661, Annual_Summary!A:B, 2, 0)</f>
        <v>-0.16726934600681886</v>
      </c>
    </row>
    <row r="1662" spans="1:20" x14ac:dyDescent="0.3">
      <c r="A1662" s="1">
        <v>45782</v>
      </c>
      <c r="B1662" t="s">
        <v>15</v>
      </c>
      <c r="C1662" s="3">
        <v>430.25</v>
      </c>
      <c r="D1662" s="3">
        <v>438.5</v>
      </c>
      <c r="E1662" s="3">
        <v>429.35</v>
      </c>
      <c r="F1662" s="3">
        <v>430.25</v>
      </c>
      <c r="G1662" s="3">
        <v>437.5</v>
      </c>
      <c r="H1662" s="3">
        <v>436.95</v>
      </c>
      <c r="I1662" s="3">
        <v>436.11</v>
      </c>
      <c r="J1662" s="3">
        <v>471.5</v>
      </c>
      <c r="K1662" s="3">
        <v>390.15</v>
      </c>
      <c r="L1662" s="2">
        <v>11525305</v>
      </c>
      <c r="M1662" s="2">
        <v>5026339793.8000002</v>
      </c>
      <c r="N1662" s="2">
        <v>117066</v>
      </c>
      <c r="O1662" t="s">
        <v>22</v>
      </c>
      <c r="P1662" s="8">
        <f t="shared" si="75"/>
        <v>0</v>
      </c>
      <c r="Q1662" t="s">
        <v>40</v>
      </c>
      <c r="R1662">
        <f t="shared" si="76"/>
        <v>5</v>
      </c>
      <c r="S1662" t="str">
        <f t="shared" si="77"/>
        <v>May</v>
      </c>
      <c r="T1662" s="9">
        <f>VLOOKUP(O1662, Annual_Summary!A:B, 2, 0)</f>
        <v>-0.16726934600681886</v>
      </c>
    </row>
    <row r="1663" spans="1:20" x14ac:dyDescent="0.3">
      <c r="A1663" s="1">
        <v>45779</v>
      </c>
      <c r="B1663" t="s">
        <v>15</v>
      </c>
      <c r="C1663" s="3">
        <v>424.1</v>
      </c>
      <c r="D1663" s="3">
        <v>431.5</v>
      </c>
      <c r="E1663" s="3">
        <v>424.1</v>
      </c>
      <c r="F1663" s="3">
        <v>425.8</v>
      </c>
      <c r="G1663" s="3">
        <v>429.3</v>
      </c>
      <c r="H1663" s="3">
        <v>430.25</v>
      </c>
      <c r="I1663" s="3">
        <v>428.82</v>
      </c>
      <c r="J1663" s="3">
        <v>471.5</v>
      </c>
      <c r="K1663" s="3">
        <v>390.15</v>
      </c>
      <c r="L1663" s="2">
        <v>12769461</v>
      </c>
      <c r="M1663" s="2">
        <v>5475858517.6499996</v>
      </c>
      <c r="N1663" s="2">
        <v>115137</v>
      </c>
      <c r="O1663" t="s">
        <v>22</v>
      </c>
      <c r="P1663" s="8">
        <f t="shared" si="75"/>
        <v>1.6999999999999886</v>
      </c>
      <c r="Q1663" t="s">
        <v>40</v>
      </c>
      <c r="R1663">
        <f t="shared" si="76"/>
        <v>5</v>
      </c>
      <c r="S1663" t="str">
        <f t="shared" si="77"/>
        <v>May</v>
      </c>
      <c r="T1663" s="9">
        <f>VLOOKUP(O1663, Annual_Summary!A:B, 2, 0)</f>
        <v>-0.16726934600681886</v>
      </c>
    </row>
    <row r="1664" spans="1:20" x14ac:dyDescent="0.3">
      <c r="A1664" s="1">
        <v>45777</v>
      </c>
      <c r="B1664" t="s">
        <v>15</v>
      </c>
      <c r="C1664" s="3">
        <v>427.4</v>
      </c>
      <c r="D1664" s="3">
        <v>429.3</v>
      </c>
      <c r="E1664" s="3">
        <v>422</v>
      </c>
      <c r="F1664" s="3">
        <v>426</v>
      </c>
      <c r="G1664" s="3">
        <v>425</v>
      </c>
      <c r="H1664" s="3">
        <v>425.8</v>
      </c>
      <c r="I1664" s="3">
        <v>426.72</v>
      </c>
      <c r="J1664" s="3">
        <v>471.5</v>
      </c>
      <c r="K1664" s="3">
        <v>390.15</v>
      </c>
      <c r="L1664" s="2">
        <v>10026546</v>
      </c>
      <c r="M1664" s="2">
        <v>4278552724.8000002</v>
      </c>
      <c r="N1664" s="2">
        <v>197832</v>
      </c>
      <c r="O1664" t="s">
        <v>22</v>
      </c>
      <c r="P1664" s="8">
        <f t="shared" si="75"/>
        <v>-1.3999999999999773</v>
      </c>
      <c r="Q1664" t="s">
        <v>40</v>
      </c>
      <c r="R1664">
        <f t="shared" si="76"/>
        <v>4</v>
      </c>
      <c r="S1664" t="str">
        <f t="shared" si="77"/>
        <v>Apr</v>
      </c>
      <c r="T1664" s="9">
        <f>VLOOKUP(O1664, Annual_Summary!A:B, 2, 0)</f>
        <v>-0.16726934600681886</v>
      </c>
    </row>
    <row r="1665" spans="1:20" x14ac:dyDescent="0.3">
      <c r="A1665" s="1">
        <v>45776</v>
      </c>
      <c r="B1665" t="s">
        <v>15</v>
      </c>
      <c r="C1665" s="3">
        <v>428.9</v>
      </c>
      <c r="D1665" s="3">
        <v>429.6</v>
      </c>
      <c r="E1665" s="3">
        <v>425</v>
      </c>
      <c r="F1665" s="3">
        <v>428.8</v>
      </c>
      <c r="G1665" s="3">
        <v>425.35</v>
      </c>
      <c r="H1665" s="3">
        <v>426</v>
      </c>
      <c r="I1665" s="3">
        <v>426.31</v>
      </c>
      <c r="J1665" s="3">
        <v>471.5</v>
      </c>
      <c r="K1665" s="3">
        <v>390.15</v>
      </c>
      <c r="L1665" s="2">
        <v>11189930</v>
      </c>
      <c r="M1665" s="2">
        <v>4770331679.8000002</v>
      </c>
      <c r="N1665" s="2">
        <v>228223</v>
      </c>
      <c r="O1665" t="s">
        <v>22</v>
      </c>
      <c r="P1665" s="8">
        <f t="shared" si="75"/>
        <v>-9.9999999999965894E-2</v>
      </c>
      <c r="Q1665" t="s">
        <v>40</v>
      </c>
      <c r="R1665">
        <f t="shared" si="76"/>
        <v>4</v>
      </c>
      <c r="S1665" t="str">
        <f t="shared" si="77"/>
        <v>Apr</v>
      </c>
      <c r="T1665" s="9">
        <f>VLOOKUP(O1665, Annual_Summary!A:B, 2, 0)</f>
        <v>-0.16726934600681886</v>
      </c>
    </row>
    <row r="1666" spans="1:20" x14ac:dyDescent="0.3">
      <c r="A1666" s="1">
        <v>45775</v>
      </c>
      <c r="B1666" t="s">
        <v>15</v>
      </c>
      <c r="C1666" s="3">
        <v>426.65</v>
      </c>
      <c r="D1666" s="3">
        <v>430.5</v>
      </c>
      <c r="E1666" s="3">
        <v>424.75</v>
      </c>
      <c r="F1666" s="3">
        <v>427.8</v>
      </c>
      <c r="G1666" s="3">
        <v>428.75</v>
      </c>
      <c r="H1666" s="3">
        <v>428.8</v>
      </c>
      <c r="I1666" s="3">
        <v>428.56</v>
      </c>
      <c r="J1666" s="3">
        <v>471.5</v>
      </c>
      <c r="K1666" s="3">
        <v>390.15</v>
      </c>
      <c r="L1666" s="2">
        <v>6287095</v>
      </c>
      <c r="M1666" s="2">
        <v>2694427013.8499999</v>
      </c>
      <c r="N1666" s="2">
        <v>73016</v>
      </c>
      <c r="O1666" t="s">
        <v>22</v>
      </c>
      <c r="P1666" s="8">
        <f t="shared" si="75"/>
        <v>1.1500000000000341</v>
      </c>
      <c r="Q1666" t="s">
        <v>40</v>
      </c>
      <c r="R1666">
        <f t="shared" si="76"/>
        <v>4</v>
      </c>
      <c r="S1666" t="str">
        <f t="shared" si="77"/>
        <v>Apr</v>
      </c>
      <c r="T1666" s="9">
        <f>VLOOKUP(O1666, Annual_Summary!A:B, 2, 0)</f>
        <v>-0.16726934600681886</v>
      </c>
    </row>
    <row r="1667" spans="1:20" x14ac:dyDescent="0.3">
      <c r="A1667" s="1">
        <v>45772</v>
      </c>
      <c r="B1667" t="s">
        <v>15</v>
      </c>
      <c r="C1667" s="3">
        <v>430.05</v>
      </c>
      <c r="D1667" s="3">
        <v>432.7</v>
      </c>
      <c r="E1667" s="3">
        <v>423.3</v>
      </c>
      <c r="F1667" s="3">
        <v>430.05</v>
      </c>
      <c r="G1667" s="3">
        <v>427.6</v>
      </c>
      <c r="H1667" s="3">
        <v>427.8</v>
      </c>
      <c r="I1667" s="3">
        <v>425.99</v>
      </c>
      <c r="J1667" s="3">
        <v>471.5</v>
      </c>
      <c r="K1667" s="3">
        <v>390.15</v>
      </c>
      <c r="L1667" s="2">
        <v>22944377</v>
      </c>
      <c r="M1667" s="2">
        <v>9774087061.5</v>
      </c>
      <c r="N1667" s="2">
        <v>120877</v>
      </c>
      <c r="O1667" t="s">
        <v>22</v>
      </c>
      <c r="P1667" s="8">
        <f t="shared" ref="P1667:P1730" si="78">F1667-C1667</f>
        <v>0</v>
      </c>
      <c r="Q1667" t="s">
        <v>40</v>
      </c>
      <c r="R1667">
        <f t="shared" ref="R1667:R1730" si="79">MONTH(A1667)</f>
        <v>4</v>
      </c>
      <c r="S1667" t="str">
        <f t="shared" ref="S1667:S1730" si="80">TEXT(A1667,"mmm")</f>
        <v>Apr</v>
      </c>
      <c r="T1667" s="9">
        <f>VLOOKUP(O1667, Annual_Summary!A:B, 2, 0)</f>
        <v>-0.16726934600681886</v>
      </c>
    </row>
    <row r="1668" spans="1:20" x14ac:dyDescent="0.3">
      <c r="A1668" s="1">
        <v>45771</v>
      </c>
      <c r="B1668" t="s">
        <v>15</v>
      </c>
      <c r="C1668" s="3">
        <v>431.85</v>
      </c>
      <c r="D1668" s="3">
        <v>436.05</v>
      </c>
      <c r="E1668" s="3">
        <v>429.3</v>
      </c>
      <c r="F1668" s="3">
        <v>430.85</v>
      </c>
      <c r="G1668" s="3">
        <v>429.85</v>
      </c>
      <c r="H1668" s="3">
        <v>430.05</v>
      </c>
      <c r="I1668" s="3">
        <v>431.79</v>
      </c>
      <c r="J1668" s="3">
        <v>471.5</v>
      </c>
      <c r="K1668" s="3">
        <v>390.15</v>
      </c>
      <c r="L1668" s="2">
        <v>26064089</v>
      </c>
      <c r="M1668" s="2">
        <v>11254147788.1</v>
      </c>
      <c r="N1668" s="2">
        <v>134018</v>
      </c>
      <c r="O1668" t="s">
        <v>22</v>
      </c>
      <c r="P1668" s="8">
        <f t="shared" si="78"/>
        <v>-1</v>
      </c>
      <c r="Q1668" t="s">
        <v>40</v>
      </c>
      <c r="R1668">
        <f t="shared" si="79"/>
        <v>4</v>
      </c>
      <c r="S1668" t="str">
        <f t="shared" si="80"/>
        <v>Apr</v>
      </c>
      <c r="T1668" s="9">
        <f>VLOOKUP(O1668, Annual_Summary!A:B, 2, 0)</f>
        <v>-0.16726934600681886</v>
      </c>
    </row>
    <row r="1669" spans="1:20" x14ac:dyDescent="0.3">
      <c r="A1669" s="1">
        <v>45770</v>
      </c>
      <c r="B1669" t="s">
        <v>15</v>
      </c>
      <c r="C1669" s="3">
        <v>436.2</v>
      </c>
      <c r="D1669" s="3">
        <v>437.45</v>
      </c>
      <c r="E1669" s="3">
        <v>428.85</v>
      </c>
      <c r="F1669" s="3">
        <v>433.6</v>
      </c>
      <c r="G1669" s="3">
        <v>430.15</v>
      </c>
      <c r="H1669" s="3">
        <v>430.85</v>
      </c>
      <c r="I1669" s="3">
        <v>431.14</v>
      </c>
      <c r="J1669" s="3">
        <v>471.5</v>
      </c>
      <c r="K1669" s="3">
        <v>390.15</v>
      </c>
      <c r="L1669" s="2">
        <v>19566317</v>
      </c>
      <c r="M1669" s="2">
        <v>8435917733.6499996</v>
      </c>
      <c r="N1669" s="2">
        <v>144472</v>
      </c>
      <c r="O1669" t="s">
        <v>22</v>
      </c>
      <c r="P1669" s="8">
        <f t="shared" si="78"/>
        <v>-2.5999999999999659</v>
      </c>
      <c r="Q1669" t="s">
        <v>40</v>
      </c>
      <c r="R1669">
        <f t="shared" si="79"/>
        <v>4</v>
      </c>
      <c r="S1669" t="str">
        <f t="shared" si="80"/>
        <v>Apr</v>
      </c>
      <c r="T1669" s="9">
        <f>VLOOKUP(O1669, Annual_Summary!A:B, 2, 0)</f>
        <v>-0.16726934600681886</v>
      </c>
    </row>
    <row r="1670" spans="1:20" x14ac:dyDescent="0.3">
      <c r="A1670" s="1">
        <v>45769</v>
      </c>
      <c r="B1670" t="s">
        <v>15</v>
      </c>
      <c r="C1670" s="3">
        <v>425.95</v>
      </c>
      <c r="D1670" s="3">
        <v>434.8</v>
      </c>
      <c r="E1670" s="3">
        <v>423.55</v>
      </c>
      <c r="F1670" s="3">
        <v>422.85</v>
      </c>
      <c r="G1670" s="3">
        <v>432.85</v>
      </c>
      <c r="H1670" s="3">
        <v>433.6</v>
      </c>
      <c r="I1670" s="3">
        <v>427.96</v>
      </c>
      <c r="J1670" s="3">
        <v>471.5</v>
      </c>
      <c r="K1670" s="3">
        <v>390.15</v>
      </c>
      <c r="L1670" s="2">
        <v>32031936</v>
      </c>
      <c r="M1670" s="2">
        <v>13708485407.15</v>
      </c>
      <c r="N1670" s="2">
        <v>167601</v>
      </c>
      <c r="O1670" t="s">
        <v>22</v>
      </c>
      <c r="P1670" s="8">
        <f t="shared" si="78"/>
        <v>-3.0999999999999659</v>
      </c>
      <c r="Q1670" t="s">
        <v>40</v>
      </c>
      <c r="R1670">
        <f t="shared" si="79"/>
        <v>4</v>
      </c>
      <c r="S1670" t="str">
        <f t="shared" si="80"/>
        <v>Apr</v>
      </c>
      <c r="T1670" s="9">
        <f>VLOOKUP(O1670, Annual_Summary!A:B, 2, 0)</f>
        <v>-0.16726934600681886</v>
      </c>
    </row>
    <row r="1671" spans="1:20" x14ac:dyDescent="0.3">
      <c r="A1671" s="1">
        <v>45768</v>
      </c>
      <c r="B1671" t="s">
        <v>15</v>
      </c>
      <c r="C1671" s="3">
        <v>428.05</v>
      </c>
      <c r="D1671" s="3">
        <v>429.1</v>
      </c>
      <c r="E1671" s="3">
        <v>421.5</v>
      </c>
      <c r="F1671" s="3">
        <v>427.25</v>
      </c>
      <c r="G1671" s="3">
        <v>422.95</v>
      </c>
      <c r="H1671" s="3">
        <v>422.85</v>
      </c>
      <c r="I1671" s="3">
        <v>422.51</v>
      </c>
      <c r="J1671" s="3">
        <v>471.5</v>
      </c>
      <c r="K1671" s="3">
        <v>390.15</v>
      </c>
      <c r="L1671" s="2">
        <v>27388236</v>
      </c>
      <c r="M1671" s="2">
        <v>11571885187.299999</v>
      </c>
      <c r="N1671" s="2">
        <v>218049</v>
      </c>
      <c r="O1671" t="s">
        <v>22</v>
      </c>
      <c r="P1671" s="8">
        <f t="shared" si="78"/>
        <v>-0.80000000000001137</v>
      </c>
      <c r="Q1671" t="s">
        <v>40</v>
      </c>
      <c r="R1671">
        <f t="shared" si="79"/>
        <v>4</v>
      </c>
      <c r="S1671" t="str">
        <f t="shared" si="80"/>
        <v>Apr</v>
      </c>
      <c r="T1671" s="9">
        <f>VLOOKUP(O1671, Annual_Summary!A:B, 2, 0)</f>
        <v>-0.16726934600681886</v>
      </c>
    </row>
    <row r="1672" spans="1:20" x14ac:dyDescent="0.3">
      <c r="A1672" s="1">
        <v>45764</v>
      </c>
      <c r="B1672" t="s">
        <v>15</v>
      </c>
      <c r="C1672" s="3">
        <v>425</v>
      </c>
      <c r="D1672" s="3">
        <v>427.85</v>
      </c>
      <c r="E1672" s="3">
        <v>421.55</v>
      </c>
      <c r="F1672" s="3">
        <v>424.45</v>
      </c>
      <c r="G1672" s="3">
        <v>427</v>
      </c>
      <c r="H1672" s="3">
        <v>427.25</v>
      </c>
      <c r="I1672" s="3">
        <v>425.37</v>
      </c>
      <c r="J1672" s="3">
        <v>471.5</v>
      </c>
      <c r="K1672" s="3">
        <v>390.15</v>
      </c>
      <c r="L1672" s="2">
        <v>22410217</v>
      </c>
      <c r="M1672" s="2">
        <v>9532679412.8999996</v>
      </c>
      <c r="N1672" s="2">
        <v>222404</v>
      </c>
      <c r="O1672" t="s">
        <v>22</v>
      </c>
      <c r="P1672" s="8">
        <f t="shared" si="78"/>
        <v>-0.55000000000001137</v>
      </c>
      <c r="Q1672" t="s">
        <v>40</v>
      </c>
      <c r="R1672">
        <f t="shared" si="79"/>
        <v>4</v>
      </c>
      <c r="S1672" t="str">
        <f t="shared" si="80"/>
        <v>Apr</v>
      </c>
      <c r="T1672" s="9">
        <f>VLOOKUP(O1672, Annual_Summary!A:B, 2, 0)</f>
        <v>-0.16726934600681886</v>
      </c>
    </row>
    <row r="1673" spans="1:20" x14ac:dyDescent="0.3">
      <c r="A1673" s="1">
        <v>45763</v>
      </c>
      <c r="B1673" t="s">
        <v>15</v>
      </c>
      <c r="C1673" s="3">
        <v>418</v>
      </c>
      <c r="D1673" s="3">
        <v>426.05</v>
      </c>
      <c r="E1673" s="3">
        <v>418</v>
      </c>
      <c r="F1673" s="3">
        <v>420.4</v>
      </c>
      <c r="G1673" s="3">
        <v>424.9</v>
      </c>
      <c r="H1673" s="3">
        <v>424.45</v>
      </c>
      <c r="I1673" s="3">
        <v>423.29</v>
      </c>
      <c r="J1673" s="3">
        <v>471.5</v>
      </c>
      <c r="K1673" s="3">
        <v>390.15</v>
      </c>
      <c r="L1673" s="2">
        <v>13034594</v>
      </c>
      <c r="M1673" s="2">
        <v>5517451893.1499996</v>
      </c>
      <c r="N1673" s="2">
        <v>115189</v>
      </c>
      <c r="O1673" t="s">
        <v>22</v>
      </c>
      <c r="P1673" s="8">
        <f t="shared" si="78"/>
        <v>2.3999999999999773</v>
      </c>
      <c r="Q1673" t="s">
        <v>40</v>
      </c>
      <c r="R1673">
        <f t="shared" si="79"/>
        <v>4</v>
      </c>
      <c r="S1673" t="str">
        <f t="shared" si="80"/>
        <v>Apr</v>
      </c>
      <c r="T1673" s="9">
        <f>VLOOKUP(O1673, Annual_Summary!A:B, 2, 0)</f>
        <v>-0.16726934600681886</v>
      </c>
    </row>
    <row r="1674" spans="1:20" x14ac:dyDescent="0.3">
      <c r="A1674" s="1">
        <v>45762</v>
      </c>
      <c r="B1674" t="s">
        <v>15</v>
      </c>
      <c r="C1674" s="3">
        <v>429.2</v>
      </c>
      <c r="D1674" s="3">
        <v>429.2</v>
      </c>
      <c r="E1674" s="3">
        <v>419</v>
      </c>
      <c r="F1674" s="3">
        <v>421.55</v>
      </c>
      <c r="G1674" s="3">
        <v>420.35</v>
      </c>
      <c r="H1674" s="3">
        <v>420.4</v>
      </c>
      <c r="I1674" s="3">
        <v>421.35</v>
      </c>
      <c r="J1674" s="3">
        <v>471.5</v>
      </c>
      <c r="K1674" s="3">
        <v>390.15</v>
      </c>
      <c r="L1674" s="2">
        <v>11685880</v>
      </c>
      <c r="M1674" s="2">
        <v>4923848655.8000002</v>
      </c>
      <c r="N1674" s="2">
        <v>129742</v>
      </c>
      <c r="O1674" t="s">
        <v>22</v>
      </c>
      <c r="P1674" s="8">
        <f t="shared" si="78"/>
        <v>-7.6499999999999773</v>
      </c>
      <c r="Q1674" t="s">
        <v>40</v>
      </c>
      <c r="R1674">
        <f t="shared" si="79"/>
        <v>4</v>
      </c>
      <c r="S1674" t="str">
        <f t="shared" si="80"/>
        <v>Apr</v>
      </c>
      <c r="T1674" s="9">
        <f>VLOOKUP(O1674, Annual_Summary!A:B, 2, 0)</f>
        <v>-0.16726934600681886</v>
      </c>
    </row>
    <row r="1675" spans="1:20" x14ac:dyDescent="0.3">
      <c r="A1675" s="1">
        <v>45758</v>
      </c>
      <c r="B1675" t="s">
        <v>15</v>
      </c>
      <c r="C1675" s="3">
        <v>420</v>
      </c>
      <c r="D1675" s="3">
        <v>422.45</v>
      </c>
      <c r="E1675" s="3">
        <v>417</v>
      </c>
      <c r="F1675" s="3">
        <v>416.3</v>
      </c>
      <c r="G1675" s="3">
        <v>422</v>
      </c>
      <c r="H1675" s="3">
        <v>421.55</v>
      </c>
      <c r="I1675" s="3">
        <v>420.4</v>
      </c>
      <c r="J1675" s="3">
        <v>471.5</v>
      </c>
      <c r="K1675" s="3">
        <v>390.15</v>
      </c>
      <c r="L1675" s="2">
        <v>8939356</v>
      </c>
      <c r="M1675" s="2">
        <v>3758063114.5500002</v>
      </c>
      <c r="N1675" s="2">
        <v>98015</v>
      </c>
      <c r="O1675" t="s">
        <v>22</v>
      </c>
      <c r="P1675" s="8">
        <f t="shared" si="78"/>
        <v>-3.6999999999999886</v>
      </c>
      <c r="Q1675" t="s">
        <v>40</v>
      </c>
      <c r="R1675">
        <f t="shared" si="79"/>
        <v>4</v>
      </c>
      <c r="S1675" t="str">
        <f t="shared" si="80"/>
        <v>Apr</v>
      </c>
      <c r="T1675" s="9">
        <f>VLOOKUP(O1675, Annual_Summary!A:B, 2, 0)</f>
        <v>-0.16726934600681886</v>
      </c>
    </row>
    <row r="1676" spans="1:20" x14ac:dyDescent="0.3">
      <c r="A1676" s="1">
        <v>45756</v>
      </c>
      <c r="B1676" t="s">
        <v>15</v>
      </c>
      <c r="C1676" s="3">
        <v>413</v>
      </c>
      <c r="D1676" s="3">
        <v>419.05</v>
      </c>
      <c r="E1676" s="3">
        <v>411.25</v>
      </c>
      <c r="F1676" s="3">
        <v>412.55</v>
      </c>
      <c r="G1676" s="3">
        <v>416.15</v>
      </c>
      <c r="H1676" s="3">
        <v>416.3</v>
      </c>
      <c r="I1676" s="3">
        <v>416.41</v>
      </c>
      <c r="J1676" s="3">
        <v>471.5</v>
      </c>
      <c r="K1676" s="3">
        <v>390.15</v>
      </c>
      <c r="L1676" s="2">
        <v>21785572</v>
      </c>
      <c r="M1676" s="2">
        <v>9071650104.3500004</v>
      </c>
      <c r="N1676" s="2">
        <v>242191</v>
      </c>
      <c r="O1676" t="s">
        <v>22</v>
      </c>
      <c r="P1676" s="8">
        <f t="shared" si="78"/>
        <v>-0.44999999999998863</v>
      </c>
      <c r="Q1676" t="s">
        <v>40</v>
      </c>
      <c r="R1676">
        <f t="shared" si="79"/>
        <v>4</v>
      </c>
      <c r="S1676" t="str">
        <f t="shared" si="80"/>
        <v>Apr</v>
      </c>
      <c r="T1676" s="9">
        <f>VLOOKUP(O1676, Annual_Summary!A:B, 2, 0)</f>
        <v>-0.16726934600681886</v>
      </c>
    </row>
    <row r="1677" spans="1:20" x14ac:dyDescent="0.3">
      <c r="A1677" s="1">
        <v>45755</v>
      </c>
      <c r="B1677" t="s">
        <v>15</v>
      </c>
      <c r="C1677" s="3">
        <v>411.9</v>
      </c>
      <c r="D1677" s="3">
        <v>415.8</v>
      </c>
      <c r="E1677" s="3">
        <v>407.25</v>
      </c>
      <c r="F1677" s="3">
        <v>406.05</v>
      </c>
      <c r="G1677" s="3">
        <v>413.5</v>
      </c>
      <c r="H1677" s="3">
        <v>412.55</v>
      </c>
      <c r="I1677" s="3">
        <v>411.57</v>
      </c>
      <c r="J1677" s="3">
        <v>471.5</v>
      </c>
      <c r="K1677" s="3">
        <v>390.15</v>
      </c>
      <c r="L1677" s="2">
        <v>18600796</v>
      </c>
      <c r="M1677" s="2">
        <v>7655492505.5</v>
      </c>
      <c r="N1677" s="2">
        <v>234584</v>
      </c>
      <c r="O1677" t="s">
        <v>22</v>
      </c>
      <c r="P1677" s="8">
        <f t="shared" si="78"/>
        <v>-5.8499999999999659</v>
      </c>
      <c r="Q1677" t="s">
        <v>40</v>
      </c>
      <c r="R1677">
        <f t="shared" si="79"/>
        <v>4</v>
      </c>
      <c r="S1677" t="str">
        <f t="shared" si="80"/>
        <v>Apr</v>
      </c>
      <c r="T1677" s="9">
        <f>VLOOKUP(O1677, Annual_Summary!A:B, 2, 0)</f>
        <v>-0.16726934600681886</v>
      </c>
    </row>
    <row r="1678" spans="1:20" x14ac:dyDescent="0.3">
      <c r="A1678" s="1">
        <v>45754</v>
      </c>
      <c r="B1678" t="s">
        <v>15</v>
      </c>
      <c r="C1678" s="3">
        <v>390.15</v>
      </c>
      <c r="D1678" s="3">
        <v>408.1</v>
      </c>
      <c r="E1678" s="3">
        <v>390.15</v>
      </c>
      <c r="F1678" s="3">
        <v>409.7</v>
      </c>
      <c r="G1678" s="3">
        <v>406.75</v>
      </c>
      <c r="H1678" s="3">
        <v>406.05</v>
      </c>
      <c r="I1678" s="3">
        <v>403.02</v>
      </c>
      <c r="J1678" s="3">
        <v>471.5</v>
      </c>
      <c r="K1678" s="3">
        <v>390.15</v>
      </c>
      <c r="L1678" s="2">
        <v>26762866</v>
      </c>
      <c r="M1678" s="2">
        <v>10785870136.450001</v>
      </c>
      <c r="N1678" s="2">
        <v>307280</v>
      </c>
      <c r="O1678" t="s">
        <v>22</v>
      </c>
      <c r="P1678" s="8">
        <f t="shared" si="78"/>
        <v>19.550000000000011</v>
      </c>
      <c r="Q1678" t="s">
        <v>40</v>
      </c>
      <c r="R1678">
        <f t="shared" si="79"/>
        <v>4</v>
      </c>
      <c r="S1678" t="str">
        <f t="shared" si="80"/>
        <v>Apr</v>
      </c>
      <c r="T1678" s="9">
        <f>VLOOKUP(O1678, Annual_Summary!A:B, 2, 0)</f>
        <v>-0.16726934600681886</v>
      </c>
    </row>
    <row r="1679" spans="1:20" x14ac:dyDescent="0.3">
      <c r="A1679" s="1">
        <v>45751</v>
      </c>
      <c r="B1679" t="s">
        <v>15</v>
      </c>
      <c r="C1679" s="3">
        <v>407.5</v>
      </c>
      <c r="D1679" s="3">
        <v>412.8</v>
      </c>
      <c r="E1679" s="3">
        <v>404.5</v>
      </c>
      <c r="F1679" s="3">
        <v>409.4</v>
      </c>
      <c r="G1679" s="3">
        <v>409.3</v>
      </c>
      <c r="H1679" s="3">
        <v>409.7</v>
      </c>
      <c r="I1679" s="3">
        <v>409.44</v>
      </c>
      <c r="J1679" s="3">
        <v>471.5</v>
      </c>
      <c r="K1679" s="3">
        <v>391.2</v>
      </c>
      <c r="L1679" s="2">
        <v>18627592</v>
      </c>
      <c r="M1679" s="2">
        <v>7626798175.75</v>
      </c>
      <c r="N1679" s="2">
        <v>149408</v>
      </c>
      <c r="O1679" t="s">
        <v>22</v>
      </c>
      <c r="P1679" s="8">
        <f t="shared" si="78"/>
        <v>1.8999999999999773</v>
      </c>
      <c r="Q1679" t="s">
        <v>40</v>
      </c>
      <c r="R1679">
        <f t="shared" si="79"/>
        <v>4</v>
      </c>
      <c r="S1679" t="str">
        <f t="shared" si="80"/>
        <v>Apr</v>
      </c>
      <c r="T1679" s="9">
        <f>VLOOKUP(O1679, Annual_Summary!A:B, 2, 0)</f>
        <v>-0.16726934600681886</v>
      </c>
    </row>
    <row r="1680" spans="1:20" x14ac:dyDescent="0.3">
      <c r="A1680" s="1">
        <v>45750</v>
      </c>
      <c r="B1680" t="s">
        <v>15</v>
      </c>
      <c r="C1680" s="3">
        <v>407.05</v>
      </c>
      <c r="D1680" s="3">
        <v>410.2</v>
      </c>
      <c r="E1680" s="3">
        <v>406.7</v>
      </c>
      <c r="F1680" s="3">
        <v>409.05</v>
      </c>
      <c r="G1680" s="3">
        <v>409</v>
      </c>
      <c r="H1680" s="3">
        <v>409.4</v>
      </c>
      <c r="I1680" s="3">
        <v>408.93</v>
      </c>
      <c r="J1680" s="3">
        <v>471.5</v>
      </c>
      <c r="K1680" s="3">
        <v>391.2</v>
      </c>
      <c r="L1680" s="2">
        <v>7059566</v>
      </c>
      <c r="M1680" s="2">
        <v>2886881314.8499999</v>
      </c>
      <c r="N1680" s="2">
        <v>78934</v>
      </c>
      <c r="O1680" t="s">
        <v>22</v>
      </c>
      <c r="P1680" s="8">
        <f t="shared" si="78"/>
        <v>2</v>
      </c>
      <c r="Q1680" t="s">
        <v>40</v>
      </c>
      <c r="R1680">
        <f t="shared" si="79"/>
        <v>4</v>
      </c>
      <c r="S1680" t="str">
        <f t="shared" si="80"/>
        <v>Apr</v>
      </c>
      <c r="T1680" s="9">
        <f>VLOOKUP(O1680, Annual_Summary!A:B, 2, 0)</f>
        <v>-0.16726934600681886</v>
      </c>
    </row>
    <row r="1681" spans="1:20" x14ac:dyDescent="0.3">
      <c r="A1681" s="1">
        <v>45749</v>
      </c>
      <c r="B1681" t="s">
        <v>15</v>
      </c>
      <c r="C1681" s="3">
        <v>407.05</v>
      </c>
      <c r="D1681" s="3">
        <v>410</v>
      </c>
      <c r="E1681" s="3">
        <v>406.05</v>
      </c>
      <c r="F1681" s="3">
        <v>406.65</v>
      </c>
      <c r="G1681" s="3">
        <v>408.7</v>
      </c>
      <c r="H1681" s="3">
        <v>409.05</v>
      </c>
      <c r="I1681" s="3">
        <v>408.65</v>
      </c>
      <c r="J1681" s="3">
        <v>471.5</v>
      </c>
      <c r="K1681" s="3">
        <v>391.2</v>
      </c>
      <c r="L1681" s="2">
        <v>8001323</v>
      </c>
      <c r="M1681" s="2">
        <v>3269711918.8000002</v>
      </c>
      <c r="N1681" s="2">
        <v>72562</v>
      </c>
      <c r="O1681" t="s">
        <v>22</v>
      </c>
      <c r="P1681" s="8">
        <f t="shared" si="78"/>
        <v>-0.40000000000003411</v>
      </c>
      <c r="Q1681" t="s">
        <v>40</v>
      </c>
      <c r="R1681">
        <f t="shared" si="79"/>
        <v>4</v>
      </c>
      <c r="S1681" t="str">
        <f t="shared" si="80"/>
        <v>Apr</v>
      </c>
      <c r="T1681" s="9">
        <f>VLOOKUP(O1681, Annual_Summary!A:B, 2, 0)</f>
        <v>-0.16726934600681886</v>
      </c>
    </row>
    <row r="1682" spans="1:20" x14ac:dyDescent="0.3">
      <c r="A1682" s="1">
        <v>45748</v>
      </c>
      <c r="B1682" t="s">
        <v>15</v>
      </c>
      <c r="C1682" s="3">
        <v>409.8</v>
      </c>
      <c r="D1682" s="3">
        <v>414.4</v>
      </c>
      <c r="E1682" s="3">
        <v>405.6</v>
      </c>
      <c r="F1682" s="3">
        <v>409.75</v>
      </c>
      <c r="G1682" s="3">
        <v>406.6</v>
      </c>
      <c r="H1682" s="3">
        <v>406.65</v>
      </c>
      <c r="I1682" s="3">
        <v>409.28</v>
      </c>
      <c r="J1682" s="3">
        <v>471.5</v>
      </c>
      <c r="K1682" s="3">
        <v>391.2</v>
      </c>
      <c r="L1682" s="2">
        <v>15206240</v>
      </c>
      <c r="M1682" s="2">
        <v>6223651577.6000004</v>
      </c>
      <c r="N1682" s="2">
        <v>127499</v>
      </c>
      <c r="O1682" t="s">
        <v>22</v>
      </c>
      <c r="P1682" s="8">
        <f t="shared" si="78"/>
        <v>-5.0000000000011369E-2</v>
      </c>
      <c r="Q1682" t="s">
        <v>40</v>
      </c>
      <c r="R1682">
        <f t="shared" si="79"/>
        <v>4</v>
      </c>
      <c r="S1682" t="str">
        <f t="shared" si="80"/>
        <v>Apr</v>
      </c>
      <c r="T1682" s="9">
        <f>VLOOKUP(O1682, Annual_Summary!A:B, 2, 0)</f>
        <v>-0.16726934600681886</v>
      </c>
    </row>
    <row r="1683" spans="1:20" x14ac:dyDescent="0.3">
      <c r="A1683" s="1">
        <v>45744</v>
      </c>
      <c r="B1683" t="s">
        <v>15</v>
      </c>
      <c r="C1683" s="3">
        <v>410.9</v>
      </c>
      <c r="D1683" s="3">
        <v>415.6</v>
      </c>
      <c r="E1683" s="3">
        <v>408.15</v>
      </c>
      <c r="F1683" s="3">
        <v>409.45</v>
      </c>
      <c r="G1683" s="3">
        <v>410.25</v>
      </c>
      <c r="H1683" s="3">
        <v>409.75</v>
      </c>
      <c r="I1683" s="3">
        <v>410.91</v>
      </c>
      <c r="J1683" s="3">
        <v>471.5</v>
      </c>
      <c r="K1683" s="3">
        <v>391.2</v>
      </c>
      <c r="L1683" s="2">
        <v>12981873</v>
      </c>
      <c r="M1683" s="2">
        <v>5334443057.8999996</v>
      </c>
      <c r="N1683" s="2">
        <v>114689</v>
      </c>
      <c r="O1683" t="s">
        <v>22</v>
      </c>
      <c r="P1683" s="8">
        <f t="shared" si="78"/>
        <v>-1.4499999999999886</v>
      </c>
      <c r="Q1683" t="s">
        <v>40</v>
      </c>
      <c r="R1683">
        <f t="shared" si="79"/>
        <v>3</v>
      </c>
      <c r="S1683" t="str">
        <f t="shared" si="80"/>
        <v>Mar</v>
      </c>
      <c r="T1683" s="9">
        <f>VLOOKUP(O1683, Annual_Summary!A:B, 2, 0)</f>
        <v>-0.16726934600681886</v>
      </c>
    </row>
    <row r="1684" spans="1:20" x14ac:dyDescent="0.3">
      <c r="A1684" s="1">
        <v>45743</v>
      </c>
      <c r="B1684" t="s">
        <v>15</v>
      </c>
      <c r="C1684" s="3">
        <v>408</v>
      </c>
      <c r="D1684" s="3">
        <v>410.7</v>
      </c>
      <c r="E1684" s="3">
        <v>405.65</v>
      </c>
      <c r="F1684" s="3">
        <v>407.35</v>
      </c>
      <c r="G1684" s="3">
        <v>409.35</v>
      </c>
      <c r="H1684" s="3">
        <v>409.45</v>
      </c>
      <c r="I1684" s="3">
        <v>409.35</v>
      </c>
      <c r="J1684" s="3">
        <v>471.5</v>
      </c>
      <c r="K1684" s="3">
        <v>391.2</v>
      </c>
      <c r="L1684" s="2">
        <v>18642328</v>
      </c>
      <c r="M1684" s="2">
        <v>7631235472.1999998</v>
      </c>
      <c r="N1684" s="2">
        <v>153590</v>
      </c>
      <c r="O1684" t="s">
        <v>22</v>
      </c>
      <c r="P1684" s="8">
        <f t="shared" si="78"/>
        <v>-0.64999999999997726</v>
      </c>
      <c r="Q1684" t="s">
        <v>40</v>
      </c>
      <c r="R1684">
        <f t="shared" si="79"/>
        <v>3</v>
      </c>
      <c r="S1684" t="str">
        <f t="shared" si="80"/>
        <v>Mar</v>
      </c>
      <c r="T1684" s="9">
        <f>VLOOKUP(O1684, Annual_Summary!A:B, 2, 0)</f>
        <v>-0.16726934600681886</v>
      </c>
    </row>
    <row r="1685" spans="1:20" x14ac:dyDescent="0.3">
      <c r="A1685" s="1">
        <v>45742</v>
      </c>
      <c r="B1685" t="s">
        <v>15</v>
      </c>
      <c r="C1685" s="3">
        <v>410.3</v>
      </c>
      <c r="D1685" s="3">
        <v>411.2</v>
      </c>
      <c r="E1685" s="3">
        <v>406.25</v>
      </c>
      <c r="F1685" s="3">
        <v>409.8</v>
      </c>
      <c r="G1685" s="3">
        <v>407.4</v>
      </c>
      <c r="H1685" s="3">
        <v>407.35</v>
      </c>
      <c r="I1685" s="3">
        <v>409.03</v>
      </c>
      <c r="J1685" s="3">
        <v>471.5</v>
      </c>
      <c r="K1685" s="3">
        <v>391.2</v>
      </c>
      <c r="L1685" s="2">
        <v>13891436</v>
      </c>
      <c r="M1685" s="2">
        <v>5681950426.0500002</v>
      </c>
      <c r="N1685" s="2">
        <v>103317</v>
      </c>
      <c r="O1685" t="s">
        <v>22</v>
      </c>
      <c r="P1685" s="8">
        <f t="shared" si="78"/>
        <v>-0.5</v>
      </c>
      <c r="Q1685" t="s">
        <v>40</v>
      </c>
      <c r="R1685">
        <f t="shared" si="79"/>
        <v>3</v>
      </c>
      <c r="S1685" t="str">
        <f t="shared" si="80"/>
        <v>Mar</v>
      </c>
      <c r="T1685" s="9">
        <f>VLOOKUP(O1685, Annual_Summary!A:B, 2, 0)</f>
        <v>-0.16726934600681886</v>
      </c>
    </row>
    <row r="1686" spans="1:20" x14ac:dyDescent="0.3">
      <c r="A1686" s="1">
        <v>45741</v>
      </c>
      <c r="B1686" t="s">
        <v>15</v>
      </c>
      <c r="C1686" s="3">
        <v>412</v>
      </c>
      <c r="D1686" s="3">
        <v>415.25</v>
      </c>
      <c r="E1686" s="3">
        <v>408.7</v>
      </c>
      <c r="F1686" s="3">
        <v>410.9</v>
      </c>
      <c r="G1686" s="3">
        <v>409.2</v>
      </c>
      <c r="H1686" s="3">
        <v>409.8</v>
      </c>
      <c r="I1686" s="3">
        <v>411.17</v>
      </c>
      <c r="J1686" s="3">
        <v>471.5</v>
      </c>
      <c r="K1686" s="3">
        <v>391.2</v>
      </c>
      <c r="L1686" s="2">
        <v>20338110</v>
      </c>
      <c r="M1686" s="2">
        <v>8362411027.5</v>
      </c>
      <c r="N1686" s="2">
        <v>138414</v>
      </c>
      <c r="O1686" t="s">
        <v>22</v>
      </c>
      <c r="P1686" s="8">
        <f t="shared" si="78"/>
        <v>-1.1000000000000227</v>
      </c>
      <c r="Q1686" t="s">
        <v>40</v>
      </c>
      <c r="R1686">
        <f t="shared" si="79"/>
        <v>3</v>
      </c>
      <c r="S1686" t="str">
        <f t="shared" si="80"/>
        <v>Mar</v>
      </c>
      <c r="T1686" s="9">
        <f>VLOOKUP(O1686, Annual_Summary!A:B, 2, 0)</f>
        <v>-0.16726934600681886</v>
      </c>
    </row>
    <row r="1687" spans="1:20" x14ac:dyDescent="0.3">
      <c r="A1687" s="1">
        <v>45740</v>
      </c>
      <c r="B1687" t="s">
        <v>15</v>
      </c>
      <c r="C1687" s="3">
        <v>407</v>
      </c>
      <c r="D1687" s="3">
        <v>412.85</v>
      </c>
      <c r="E1687" s="3">
        <v>405.6</v>
      </c>
      <c r="F1687" s="3">
        <v>405.55</v>
      </c>
      <c r="G1687" s="3">
        <v>411</v>
      </c>
      <c r="H1687" s="3">
        <v>410.9</v>
      </c>
      <c r="I1687" s="3">
        <v>409.64</v>
      </c>
      <c r="J1687" s="3">
        <v>471.5</v>
      </c>
      <c r="K1687" s="3">
        <v>391.2</v>
      </c>
      <c r="L1687" s="2">
        <v>14362572</v>
      </c>
      <c r="M1687" s="2">
        <v>5883505695.5</v>
      </c>
      <c r="N1687" s="2">
        <v>138703</v>
      </c>
      <c r="O1687" t="s">
        <v>22</v>
      </c>
      <c r="P1687" s="8">
        <f t="shared" si="78"/>
        <v>-1.4499999999999886</v>
      </c>
      <c r="Q1687" t="s">
        <v>40</v>
      </c>
      <c r="R1687">
        <f t="shared" si="79"/>
        <v>3</v>
      </c>
      <c r="S1687" t="str">
        <f t="shared" si="80"/>
        <v>Mar</v>
      </c>
      <c r="T1687" s="9">
        <f>VLOOKUP(O1687, Annual_Summary!A:B, 2, 0)</f>
        <v>-0.16726934600681886</v>
      </c>
    </row>
    <row r="1688" spans="1:20" x14ac:dyDescent="0.3">
      <c r="A1688" s="1">
        <v>45737</v>
      </c>
      <c r="B1688" t="s">
        <v>15</v>
      </c>
      <c r="C1688" s="3">
        <v>405.95</v>
      </c>
      <c r="D1688" s="3">
        <v>407.5</v>
      </c>
      <c r="E1688" s="3">
        <v>401.7</v>
      </c>
      <c r="F1688" s="3">
        <v>403.95</v>
      </c>
      <c r="G1688" s="3">
        <v>406.5</v>
      </c>
      <c r="H1688" s="3">
        <v>405.55</v>
      </c>
      <c r="I1688" s="3">
        <v>404.1</v>
      </c>
      <c r="J1688" s="3">
        <v>471.5</v>
      </c>
      <c r="K1688" s="3">
        <v>391.2</v>
      </c>
      <c r="L1688" s="2">
        <v>25302035</v>
      </c>
      <c r="M1688" s="2">
        <v>10224618507.85</v>
      </c>
      <c r="N1688" s="2">
        <v>130427</v>
      </c>
      <c r="O1688" t="s">
        <v>22</v>
      </c>
      <c r="P1688" s="8">
        <f t="shared" si="78"/>
        <v>-2</v>
      </c>
      <c r="Q1688" t="s">
        <v>40</v>
      </c>
      <c r="R1688">
        <f t="shared" si="79"/>
        <v>3</v>
      </c>
      <c r="S1688" t="str">
        <f t="shared" si="80"/>
        <v>Mar</v>
      </c>
      <c r="T1688" s="9">
        <f>VLOOKUP(O1688, Annual_Summary!A:B, 2, 0)</f>
        <v>-0.16726934600681886</v>
      </c>
    </row>
    <row r="1689" spans="1:20" x14ac:dyDescent="0.3">
      <c r="A1689" s="1">
        <v>45736</v>
      </c>
      <c r="B1689" t="s">
        <v>15</v>
      </c>
      <c r="C1689" s="3">
        <v>405</v>
      </c>
      <c r="D1689" s="3">
        <v>406.65</v>
      </c>
      <c r="E1689" s="3">
        <v>401.9</v>
      </c>
      <c r="F1689" s="3">
        <v>403.05</v>
      </c>
      <c r="G1689" s="3">
        <v>403.6</v>
      </c>
      <c r="H1689" s="3">
        <v>403.95</v>
      </c>
      <c r="I1689" s="3">
        <v>403.5</v>
      </c>
      <c r="J1689" s="3">
        <v>471.5</v>
      </c>
      <c r="K1689" s="3">
        <v>391.2</v>
      </c>
      <c r="L1689" s="2">
        <v>16994037</v>
      </c>
      <c r="M1689" s="2">
        <v>6857153651.6499996</v>
      </c>
      <c r="N1689" s="2">
        <v>125979</v>
      </c>
      <c r="O1689" t="s">
        <v>22</v>
      </c>
      <c r="P1689" s="8">
        <f t="shared" si="78"/>
        <v>-1.9499999999999886</v>
      </c>
      <c r="Q1689" t="s">
        <v>40</v>
      </c>
      <c r="R1689">
        <f t="shared" si="79"/>
        <v>3</v>
      </c>
      <c r="S1689" t="str">
        <f t="shared" si="80"/>
        <v>Mar</v>
      </c>
      <c r="T1689" s="9">
        <f>VLOOKUP(O1689, Annual_Summary!A:B, 2, 0)</f>
        <v>-0.16726934600681886</v>
      </c>
    </row>
    <row r="1690" spans="1:20" x14ac:dyDescent="0.3">
      <c r="A1690" s="1">
        <v>45735</v>
      </c>
      <c r="B1690" t="s">
        <v>15</v>
      </c>
      <c r="C1690" s="3">
        <v>410</v>
      </c>
      <c r="D1690" s="3">
        <v>410.75</v>
      </c>
      <c r="E1690" s="3">
        <v>402.6</v>
      </c>
      <c r="F1690" s="3">
        <v>409.1</v>
      </c>
      <c r="G1690" s="3">
        <v>403.4</v>
      </c>
      <c r="H1690" s="3">
        <v>403.05</v>
      </c>
      <c r="I1690" s="3">
        <v>404.51</v>
      </c>
      <c r="J1690" s="3">
        <v>471.5</v>
      </c>
      <c r="K1690" s="3">
        <v>391.2</v>
      </c>
      <c r="L1690" s="2">
        <v>12830387</v>
      </c>
      <c r="M1690" s="2">
        <v>5189984214.6000004</v>
      </c>
      <c r="N1690" s="2">
        <v>135494</v>
      </c>
      <c r="O1690" t="s">
        <v>22</v>
      </c>
      <c r="P1690" s="8">
        <f t="shared" si="78"/>
        <v>-0.89999999999997726</v>
      </c>
      <c r="Q1690" t="s">
        <v>40</v>
      </c>
      <c r="R1690">
        <f t="shared" si="79"/>
        <v>3</v>
      </c>
      <c r="S1690" t="str">
        <f t="shared" si="80"/>
        <v>Mar</v>
      </c>
      <c r="T1690" s="9">
        <f>VLOOKUP(O1690, Annual_Summary!A:B, 2, 0)</f>
        <v>-0.16726934600681886</v>
      </c>
    </row>
    <row r="1691" spans="1:20" x14ac:dyDescent="0.3">
      <c r="A1691" s="1">
        <v>45734</v>
      </c>
      <c r="B1691" t="s">
        <v>15</v>
      </c>
      <c r="C1691" s="3">
        <v>410</v>
      </c>
      <c r="D1691" s="3">
        <v>411.95</v>
      </c>
      <c r="E1691" s="3">
        <v>407.75</v>
      </c>
      <c r="F1691" s="3">
        <v>407.95</v>
      </c>
      <c r="G1691" s="3">
        <v>409.5</v>
      </c>
      <c r="H1691" s="3">
        <v>409.1</v>
      </c>
      <c r="I1691" s="3">
        <v>409.5</v>
      </c>
      <c r="J1691" s="3">
        <v>471.5</v>
      </c>
      <c r="K1691" s="3">
        <v>391.2</v>
      </c>
      <c r="L1691" s="2">
        <v>13861897</v>
      </c>
      <c r="M1691" s="2">
        <v>5676500784.8500004</v>
      </c>
      <c r="N1691" s="2">
        <v>106364</v>
      </c>
      <c r="O1691" t="s">
        <v>22</v>
      </c>
      <c r="P1691" s="8">
        <f t="shared" si="78"/>
        <v>-2.0500000000000114</v>
      </c>
      <c r="Q1691" t="s">
        <v>40</v>
      </c>
      <c r="R1691">
        <f t="shared" si="79"/>
        <v>3</v>
      </c>
      <c r="S1691" t="str">
        <f t="shared" si="80"/>
        <v>Mar</v>
      </c>
      <c r="T1691" s="9">
        <f>VLOOKUP(O1691, Annual_Summary!A:B, 2, 0)</f>
        <v>-0.16726934600681886</v>
      </c>
    </row>
    <row r="1692" spans="1:20" x14ac:dyDescent="0.3">
      <c r="A1692" s="1">
        <v>45733</v>
      </c>
      <c r="B1692" t="s">
        <v>15</v>
      </c>
      <c r="C1692" s="3">
        <v>413</v>
      </c>
      <c r="D1692" s="3">
        <v>416.25</v>
      </c>
      <c r="E1692" s="3">
        <v>407</v>
      </c>
      <c r="F1692" s="3">
        <v>412.05</v>
      </c>
      <c r="G1692" s="3">
        <v>407.8</v>
      </c>
      <c r="H1692" s="3">
        <v>407.95</v>
      </c>
      <c r="I1692" s="3">
        <v>409.81</v>
      </c>
      <c r="J1692" s="3">
        <v>471.5</v>
      </c>
      <c r="K1692" s="3">
        <v>391.2</v>
      </c>
      <c r="L1692" s="2">
        <v>5257859</v>
      </c>
      <c r="M1692" s="2">
        <v>2154706809.4000001</v>
      </c>
      <c r="N1692" s="2">
        <v>87899</v>
      </c>
      <c r="O1692" t="s">
        <v>22</v>
      </c>
      <c r="P1692" s="8">
        <f t="shared" si="78"/>
        <v>-0.94999999999998863</v>
      </c>
      <c r="Q1692" t="s">
        <v>40</v>
      </c>
      <c r="R1692">
        <f t="shared" si="79"/>
        <v>3</v>
      </c>
      <c r="S1692" t="str">
        <f t="shared" si="80"/>
        <v>Mar</v>
      </c>
      <c r="T1692" s="9">
        <f>VLOOKUP(O1692, Annual_Summary!A:B, 2, 0)</f>
        <v>-0.16726934600681886</v>
      </c>
    </row>
    <row r="1693" spans="1:20" x14ac:dyDescent="0.3">
      <c r="A1693" s="1">
        <v>45729</v>
      </c>
      <c r="B1693" t="s">
        <v>15</v>
      </c>
      <c r="C1693" s="3">
        <v>413</v>
      </c>
      <c r="D1693" s="3">
        <v>414.4</v>
      </c>
      <c r="E1693" s="3">
        <v>408.2</v>
      </c>
      <c r="F1693" s="3">
        <v>412.4</v>
      </c>
      <c r="G1693" s="3">
        <v>411.45</v>
      </c>
      <c r="H1693" s="3">
        <v>412.05</v>
      </c>
      <c r="I1693" s="3">
        <v>412.4</v>
      </c>
      <c r="J1693" s="3">
        <v>471.5</v>
      </c>
      <c r="K1693" s="3">
        <v>391.2</v>
      </c>
      <c r="L1693" s="2">
        <v>8196569</v>
      </c>
      <c r="M1693" s="2">
        <v>3380286305.6999998</v>
      </c>
      <c r="N1693" s="2">
        <v>122083</v>
      </c>
      <c r="O1693" t="s">
        <v>22</v>
      </c>
      <c r="P1693" s="8">
        <f t="shared" si="78"/>
        <v>-0.60000000000002274</v>
      </c>
      <c r="Q1693" t="s">
        <v>40</v>
      </c>
      <c r="R1693">
        <f t="shared" si="79"/>
        <v>3</v>
      </c>
      <c r="S1693" t="str">
        <f t="shared" si="80"/>
        <v>Mar</v>
      </c>
      <c r="T1693" s="9">
        <f>VLOOKUP(O1693, Annual_Summary!A:B, 2, 0)</f>
        <v>-0.16726934600681886</v>
      </c>
    </row>
    <row r="1694" spans="1:20" x14ac:dyDescent="0.3">
      <c r="A1694" s="1">
        <v>45728</v>
      </c>
      <c r="B1694" t="s">
        <v>15</v>
      </c>
      <c r="C1694" s="3">
        <v>406.4</v>
      </c>
      <c r="D1694" s="3">
        <v>413.3</v>
      </c>
      <c r="E1694" s="3">
        <v>404</v>
      </c>
      <c r="F1694" s="3">
        <v>406.2</v>
      </c>
      <c r="G1694" s="3">
        <v>412.55</v>
      </c>
      <c r="H1694" s="3">
        <v>412.4</v>
      </c>
      <c r="I1694" s="3">
        <v>409.75</v>
      </c>
      <c r="J1694" s="3">
        <v>471.5</v>
      </c>
      <c r="K1694" s="3">
        <v>391.2</v>
      </c>
      <c r="L1694" s="2">
        <v>13844306</v>
      </c>
      <c r="M1694" s="2">
        <v>5672766834.6000004</v>
      </c>
      <c r="N1694" s="2">
        <v>99237</v>
      </c>
      <c r="O1694" t="s">
        <v>22</v>
      </c>
      <c r="P1694" s="8">
        <f t="shared" si="78"/>
        <v>-0.19999999999998863</v>
      </c>
      <c r="Q1694" t="s">
        <v>40</v>
      </c>
      <c r="R1694">
        <f t="shared" si="79"/>
        <v>3</v>
      </c>
      <c r="S1694" t="str">
        <f t="shared" si="80"/>
        <v>Mar</v>
      </c>
      <c r="T1694" s="9">
        <f>VLOOKUP(O1694, Annual_Summary!A:B, 2, 0)</f>
        <v>-0.16726934600681886</v>
      </c>
    </row>
    <row r="1695" spans="1:20" x14ac:dyDescent="0.3">
      <c r="A1695" s="1">
        <v>45727</v>
      </c>
      <c r="B1695" t="s">
        <v>15</v>
      </c>
      <c r="C1695" s="3">
        <v>401.5</v>
      </c>
      <c r="D1695" s="3">
        <v>408.4</v>
      </c>
      <c r="E1695" s="3">
        <v>401.2</v>
      </c>
      <c r="F1695" s="3">
        <v>405</v>
      </c>
      <c r="G1695" s="3">
        <v>406.2</v>
      </c>
      <c r="H1695" s="3">
        <v>406.2</v>
      </c>
      <c r="I1695" s="3">
        <v>406.58</v>
      </c>
      <c r="J1695" s="3">
        <v>471.5</v>
      </c>
      <c r="K1695" s="3">
        <v>391.2</v>
      </c>
      <c r="L1695" s="2">
        <v>11099475</v>
      </c>
      <c r="M1695" s="2">
        <v>4512793431.6999998</v>
      </c>
      <c r="N1695" s="2">
        <v>116862</v>
      </c>
      <c r="O1695" t="s">
        <v>22</v>
      </c>
      <c r="P1695" s="8">
        <f t="shared" si="78"/>
        <v>3.5</v>
      </c>
      <c r="Q1695" t="s">
        <v>40</v>
      </c>
      <c r="R1695">
        <f t="shared" si="79"/>
        <v>3</v>
      </c>
      <c r="S1695" t="str">
        <f t="shared" si="80"/>
        <v>Mar</v>
      </c>
      <c r="T1695" s="9">
        <f>VLOOKUP(O1695, Annual_Summary!A:B, 2, 0)</f>
        <v>-0.16726934600681886</v>
      </c>
    </row>
    <row r="1696" spans="1:20" x14ac:dyDescent="0.3">
      <c r="A1696" s="1">
        <v>45726</v>
      </c>
      <c r="B1696" t="s">
        <v>15</v>
      </c>
      <c r="C1696" s="3">
        <v>401.05</v>
      </c>
      <c r="D1696" s="3">
        <v>406.85</v>
      </c>
      <c r="E1696" s="3">
        <v>400.4</v>
      </c>
      <c r="F1696" s="3">
        <v>403.9</v>
      </c>
      <c r="G1696" s="3">
        <v>404.8</v>
      </c>
      <c r="H1696" s="3">
        <v>405</v>
      </c>
      <c r="I1696" s="3">
        <v>404.7</v>
      </c>
      <c r="J1696" s="3">
        <v>471.5</v>
      </c>
      <c r="K1696" s="3">
        <v>391.2</v>
      </c>
      <c r="L1696" s="2">
        <v>9785018</v>
      </c>
      <c r="M1696" s="2">
        <v>3960032837.25</v>
      </c>
      <c r="N1696" s="2">
        <v>114078</v>
      </c>
      <c r="O1696" t="s">
        <v>22</v>
      </c>
      <c r="P1696" s="8">
        <f t="shared" si="78"/>
        <v>2.8499999999999659</v>
      </c>
      <c r="Q1696" t="s">
        <v>40</v>
      </c>
      <c r="R1696">
        <f t="shared" si="79"/>
        <v>3</v>
      </c>
      <c r="S1696" t="str">
        <f t="shared" si="80"/>
        <v>Mar</v>
      </c>
      <c r="T1696" s="9">
        <f>VLOOKUP(O1696, Annual_Summary!A:B, 2, 0)</f>
        <v>-0.16726934600681886</v>
      </c>
    </row>
    <row r="1697" spans="1:20" x14ac:dyDescent="0.3">
      <c r="A1697" s="1">
        <v>45723</v>
      </c>
      <c r="B1697" t="s">
        <v>15</v>
      </c>
      <c r="C1697" s="3">
        <v>403.55</v>
      </c>
      <c r="D1697" s="3">
        <v>405.85</v>
      </c>
      <c r="E1697" s="3">
        <v>401.7</v>
      </c>
      <c r="F1697" s="3">
        <v>405.7</v>
      </c>
      <c r="G1697" s="3">
        <v>403.75</v>
      </c>
      <c r="H1697" s="3">
        <v>403.9</v>
      </c>
      <c r="I1697" s="3">
        <v>403.66</v>
      </c>
      <c r="J1697" s="3">
        <v>471.5</v>
      </c>
      <c r="K1697" s="3">
        <v>391.2</v>
      </c>
      <c r="L1697" s="2">
        <v>11180761</v>
      </c>
      <c r="M1697" s="2">
        <v>4513190673.1499996</v>
      </c>
      <c r="N1697" s="2">
        <v>129975</v>
      </c>
      <c r="O1697" t="s">
        <v>22</v>
      </c>
      <c r="P1697" s="8">
        <f t="shared" si="78"/>
        <v>2.1499999999999773</v>
      </c>
      <c r="Q1697" t="s">
        <v>40</v>
      </c>
      <c r="R1697">
        <f t="shared" si="79"/>
        <v>3</v>
      </c>
      <c r="S1697" t="str">
        <f t="shared" si="80"/>
        <v>Mar</v>
      </c>
      <c r="T1697" s="9">
        <f>VLOOKUP(O1697, Annual_Summary!A:B, 2, 0)</f>
        <v>-0.16726934600681886</v>
      </c>
    </row>
    <row r="1698" spans="1:20" x14ac:dyDescent="0.3">
      <c r="A1698" s="1">
        <v>45722</v>
      </c>
      <c r="B1698" t="s">
        <v>15</v>
      </c>
      <c r="C1698" s="3">
        <v>409.15</v>
      </c>
      <c r="D1698" s="3">
        <v>409.7</v>
      </c>
      <c r="E1698" s="3">
        <v>400.55</v>
      </c>
      <c r="F1698" s="3">
        <v>405.05</v>
      </c>
      <c r="G1698" s="3">
        <v>406.2</v>
      </c>
      <c r="H1698" s="3">
        <v>405.7</v>
      </c>
      <c r="I1698" s="3">
        <v>403.66</v>
      </c>
      <c r="J1698" s="3">
        <v>471.5</v>
      </c>
      <c r="K1698" s="3">
        <v>391.2</v>
      </c>
      <c r="L1698" s="2">
        <v>17869996</v>
      </c>
      <c r="M1698" s="2">
        <v>7213483492.1999998</v>
      </c>
      <c r="N1698" s="2">
        <v>170718</v>
      </c>
      <c r="O1698" t="s">
        <v>22</v>
      </c>
      <c r="P1698" s="8">
        <f t="shared" si="78"/>
        <v>-4.0999999999999659</v>
      </c>
      <c r="Q1698" t="s">
        <v>40</v>
      </c>
      <c r="R1698">
        <f t="shared" si="79"/>
        <v>3</v>
      </c>
      <c r="S1698" t="str">
        <f t="shared" si="80"/>
        <v>Mar</v>
      </c>
      <c r="T1698" s="9">
        <f>VLOOKUP(O1698, Annual_Summary!A:B, 2, 0)</f>
        <v>-0.16726934600681886</v>
      </c>
    </row>
    <row r="1699" spans="1:20" x14ac:dyDescent="0.3">
      <c r="A1699" s="1">
        <v>45721</v>
      </c>
      <c r="B1699" t="s">
        <v>15</v>
      </c>
      <c r="C1699" s="3">
        <v>394.5</v>
      </c>
      <c r="D1699" s="3">
        <v>412.75</v>
      </c>
      <c r="E1699" s="3">
        <v>394.5</v>
      </c>
      <c r="F1699" s="3">
        <v>394.85</v>
      </c>
      <c r="G1699" s="3">
        <v>409.2</v>
      </c>
      <c r="H1699" s="3">
        <v>405.05</v>
      </c>
      <c r="I1699" s="3">
        <v>399.82</v>
      </c>
      <c r="J1699" s="3">
        <v>471.5</v>
      </c>
      <c r="K1699" s="3">
        <v>391.2</v>
      </c>
      <c r="L1699" s="2">
        <v>15665018</v>
      </c>
      <c r="M1699" s="2">
        <v>6263165318.0500002</v>
      </c>
      <c r="N1699" s="2">
        <v>169098</v>
      </c>
      <c r="O1699" t="s">
        <v>22</v>
      </c>
      <c r="P1699" s="8">
        <f t="shared" si="78"/>
        <v>0.35000000000002274</v>
      </c>
      <c r="Q1699" t="s">
        <v>40</v>
      </c>
      <c r="R1699">
        <f t="shared" si="79"/>
        <v>3</v>
      </c>
      <c r="S1699" t="str">
        <f t="shared" si="80"/>
        <v>Mar</v>
      </c>
      <c r="T1699" s="9">
        <f>VLOOKUP(O1699, Annual_Summary!A:B, 2, 0)</f>
        <v>-0.16726934600681886</v>
      </c>
    </row>
    <row r="1700" spans="1:20" x14ac:dyDescent="0.3">
      <c r="A1700" s="1">
        <v>45720</v>
      </c>
      <c r="B1700" t="s">
        <v>15</v>
      </c>
      <c r="C1700" s="3">
        <v>395.4</v>
      </c>
      <c r="D1700" s="3">
        <v>397.2</v>
      </c>
      <c r="E1700" s="3">
        <v>392.85</v>
      </c>
      <c r="F1700" s="3">
        <v>397.45</v>
      </c>
      <c r="G1700" s="3">
        <v>394.45</v>
      </c>
      <c r="H1700" s="3">
        <v>394.85</v>
      </c>
      <c r="I1700" s="3">
        <v>394.38</v>
      </c>
      <c r="J1700" s="3">
        <v>471.5</v>
      </c>
      <c r="K1700" s="3">
        <v>391.2</v>
      </c>
      <c r="L1700" s="2">
        <v>13404774</v>
      </c>
      <c r="M1700" s="2">
        <v>5286594132.8000002</v>
      </c>
      <c r="N1700" s="2">
        <v>154199</v>
      </c>
      <c r="O1700" t="s">
        <v>22</v>
      </c>
      <c r="P1700" s="8">
        <f t="shared" si="78"/>
        <v>2.0500000000000114</v>
      </c>
      <c r="Q1700" t="s">
        <v>40</v>
      </c>
      <c r="R1700">
        <f t="shared" si="79"/>
        <v>3</v>
      </c>
      <c r="S1700" t="str">
        <f t="shared" si="80"/>
        <v>Mar</v>
      </c>
      <c r="T1700" s="9">
        <f>VLOOKUP(O1700, Annual_Summary!A:B, 2, 0)</f>
        <v>-0.16726934600681886</v>
      </c>
    </row>
    <row r="1701" spans="1:20" x14ac:dyDescent="0.3">
      <c r="A1701" s="1">
        <v>45719</v>
      </c>
      <c r="B1701" t="s">
        <v>15</v>
      </c>
      <c r="C1701" s="3">
        <v>395.95</v>
      </c>
      <c r="D1701" s="3">
        <v>399</v>
      </c>
      <c r="E1701" s="3">
        <v>391.2</v>
      </c>
      <c r="F1701" s="3">
        <v>395</v>
      </c>
      <c r="G1701" s="3">
        <v>397</v>
      </c>
      <c r="H1701" s="3">
        <v>397.45</v>
      </c>
      <c r="I1701" s="3">
        <v>396.98</v>
      </c>
      <c r="J1701" s="3">
        <v>471.5</v>
      </c>
      <c r="K1701" s="3">
        <v>391.2</v>
      </c>
      <c r="L1701" s="2">
        <v>10702826</v>
      </c>
      <c r="M1701" s="2">
        <v>4248773535.6500001</v>
      </c>
      <c r="N1701" s="2">
        <v>169634</v>
      </c>
      <c r="O1701" t="s">
        <v>22</v>
      </c>
      <c r="P1701" s="8">
        <f t="shared" si="78"/>
        <v>-0.94999999999998863</v>
      </c>
      <c r="Q1701" t="s">
        <v>40</v>
      </c>
      <c r="R1701">
        <f t="shared" si="79"/>
        <v>3</v>
      </c>
      <c r="S1701" t="str">
        <f t="shared" si="80"/>
        <v>Mar</v>
      </c>
      <c r="T1701" s="9">
        <f>VLOOKUP(O1701, Annual_Summary!A:B, 2, 0)</f>
        <v>-0.16726934600681886</v>
      </c>
    </row>
    <row r="1702" spans="1:20" x14ac:dyDescent="0.3">
      <c r="A1702" s="1">
        <v>45716</v>
      </c>
      <c r="B1702" t="s">
        <v>15</v>
      </c>
      <c r="C1702" s="3">
        <v>399</v>
      </c>
      <c r="D1702" s="3">
        <v>402.5</v>
      </c>
      <c r="E1702" s="3">
        <v>392.2</v>
      </c>
      <c r="F1702" s="3">
        <v>401.6</v>
      </c>
      <c r="G1702" s="3">
        <v>395.9</v>
      </c>
      <c r="H1702" s="3">
        <v>395</v>
      </c>
      <c r="I1702" s="3">
        <v>394.79</v>
      </c>
      <c r="J1702" s="3">
        <v>471.5</v>
      </c>
      <c r="K1702" s="3">
        <v>392.2</v>
      </c>
      <c r="L1702" s="2">
        <v>31954776</v>
      </c>
      <c r="M1702" s="2">
        <v>12615432840.9</v>
      </c>
      <c r="N1702" s="2">
        <v>244503</v>
      </c>
      <c r="O1702" t="s">
        <v>22</v>
      </c>
      <c r="P1702" s="8">
        <f t="shared" si="78"/>
        <v>2.6000000000000227</v>
      </c>
      <c r="Q1702" t="s">
        <v>40</v>
      </c>
      <c r="R1702">
        <f t="shared" si="79"/>
        <v>2</v>
      </c>
      <c r="S1702" t="str">
        <f t="shared" si="80"/>
        <v>Feb</v>
      </c>
      <c r="T1702" s="9">
        <f>VLOOKUP(O1702, Annual_Summary!A:B, 2, 0)</f>
        <v>-0.16726934600681886</v>
      </c>
    </row>
    <row r="1703" spans="1:20" x14ac:dyDescent="0.3">
      <c r="A1703" s="1">
        <v>45715</v>
      </c>
      <c r="B1703" t="s">
        <v>15</v>
      </c>
      <c r="C1703" s="3">
        <v>404.85</v>
      </c>
      <c r="D1703" s="3">
        <v>406.5</v>
      </c>
      <c r="E1703" s="3">
        <v>399.5</v>
      </c>
      <c r="F1703" s="3">
        <v>404.85</v>
      </c>
      <c r="G1703" s="3">
        <v>401.5</v>
      </c>
      <c r="H1703" s="3">
        <v>401.6</v>
      </c>
      <c r="I1703" s="3">
        <v>401.75</v>
      </c>
      <c r="J1703" s="3">
        <v>471.5</v>
      </c>
      <c r="K1703" s="3">
        <v>396.2</v>
      </c>
      <c r="L1703" s="2">
        <v>19051003</v>
      </c>
      <c r="M1703" s="2">
        <v>7653697871.25</v>
      </c>
      <c r="N1703" s="2">
        <v>163369</v>
      </c>
      <c r="O1703" t="s">
        <v>22</v>
      </c>
      <c r="P1703" s="8">
        <f t="shared" si="78"/>
        <v>0</v>
      </c>
      <c r="Q1703" t="s">
        <v>40</v>
      </c>
      <c r="R1703">
        <f t="shared" si="79"/>
        <v>2</v>
      </c>
      <c r="S1703" t="str">
        <f t="shared" si="80"/>
        <v>Feb</v>
      </c>
      <c r="T1703" s="9">
        <f>VLOOKUP(O1703, Annual_Summary!A:B, 2, 0)</f>
        <v>-0.16726934600681886</v>
      </c>
    </row>
    <row r="1704" spans="1:20" x14ac:dyDescent="0.3">
      <c r="A1704" s="1">
        <v>45713</v>
      </c>
      <c r="B1704" t="s">
        <v>15</v>
      </c>
      <c r="C1704" s="3">
        <v>402</v>
      </c>
      <c r="D1704" s="3">
        <v>407</v>
      </c>
      <c r="E1704" s="3">
        <v>400.5</v>
      </c>
      <c r="F1704" s="3">
        <v>401.9</v>
      </c>
      <c r="G1704" s="3">
        <v>404</v>
      </c>
      <c r="H1704" s="3">
        <v>404.85</v>
      </c>
      <c r="I1704" s="3">
        <v>404.11</v>
      </c>
      <c r="J1704" s="3">
        <v>471.5</v>
      </c>
      <c r="K1704" s="3">
        <v>396.2</v>
      </c>
      <c r="L1704" s="2">
        <v>15760891</v>
      </c>
      <c r="M1704" s="2">
        <v>6369071142.9499998</v>
      </c>
      <c r="N1704" s="2">
        <v>138641</v>
      </c>
      <c r="O1704" t="s">
        <v>22</v>
      </c>
      <c r="P1704" s="8">
        <f t="shared" si="78"/>
        <v>-0.10000000000002274</v>
      </c>
      <c r="Q1704" t="s">
        <v>40</v>
      </c>
      <c r="R1704">
        <f t="shared" si="79"/>
        <v>2</v>
      </c>
      <c r="S1704" t="str">
        <f t="shared" si="80"/>
        <v>Feb</v>
      </c>
      <c r="T1704" s="9">
        <f>VLOOKUP(O1704, Annual_Summary!A:B, 2, 0)</f>
        <v>-0.16726934600681886</v>
      </c>
    </row>
    <row r="1705" spans="1:20" x14ac:dyDescent="0.3">
      <c r="A1705" s="1">
        <v>45712</v>
      </c>
      <c r="B1705" t="s">
        <v>15</v>
      </c>
      <c r="C1705" s="3">
        <v>400</v>
      </c>
      <c r="D1705" s="3">
        <v>403.4</v>
      </c>
      <c r="E1705" s="3">
        <v>398.75</v>
      </c>
      <c r="F1705" s="3">
        <v>400.9</v>
      </c>
      <c r="G1705" s="3">
        <v>402</v>
      </c>
      <c r="H1705" s="3">
        <v>401.9</v>
      </c>
      <c r="I1705" s="3">
        <v>401.96</v>
      </c>
      <c r="J1705" s="3">
        <v>471.5</v>
      </c>
      <c r="K1705" s="3">
        <v>396.2</v>
      </c>
      <c r="L1705" s="2">
        <v>7037625</v>
      </c>
      <c r="M1705" s="2">
        <v>2828832996.75</v>
      </c>
      <c r="N1705" s="2">
        <v>121155</v>
      </c>
      <c r="O1705" t="s">
        <v>22</v>
      </c>
      <c r="P1705" s="8">
        <f t="shared" si="78"/>
        <v>0.89999999999997726</v>
      </c>
      <c r="Q1705" t="s">
        <v>40</v>
      </c>
      <c r="R1705">
        <f t="shared" si="79"/>
        <v>2</v>
      </c>
      <c r="S1705" t="str">
        <f t="shared" si="80"/>
        <v>Feb</v>
      </c>
      <c r="T1705" s="9">
        <f>VLOOKUP(O1705, Annual_Summary!A:B, 2, 0)</f>
        <v>-0.16726934600681886</v>
      </c>
    </row>
    <row r="1706" spans="1:20" x14ac:dyDescent="0.3">
      <c r="A1706" s="1">
        <v>45709</v>
      </c>
      <c r="B1706" t="s">
        <v>15</v>
      </c>
      <c r="C1706" s="3">
        <v>402.05</v>
      </c>
      <c r="D1706" s="3">
        <v>403.25</v>
      </c>
      <c r="E1706" s="3">
        <v>399.2</v>
      </c>
      <c r="F1706" s="3">
        <v>402.05</v>
      </c>
      <c r="G1706" s="3">
        <v>400.7</v>
      </c>
      <c r="H1706" s="3">
        <v>400.9</v>
      </c>
      <c r="I1706" s="3">
        <v>400.75</v>
      </c>
      <c r="J1706" s="3">
        <v>471.5</v>
      </c>
      <c r="K1706" s="3">
        <v>396.2</v>
      </c>
      <c r="L1706" s="2">
        <v>8240986</v>
      </c>
      <c r="M1706" s="2">
        <v>3302544309.75</v>
      </c>
      <c r="N1706" s="2">
        <v>175217</v>
      </c>
      <c r="O1706" t="s">
        <v>22</v>
      </c>
      <c r="P1706" s="8">
        <f t="shared" si="78"/>
        <v>0</v>
      </c>
      <c r="Q1706" t="s">
        <v>40</v>
      </c>
      <c r="R1706">
        <f t="shared" si="79"/>
        <v>2</v>
      </c>
      <c r="S1706" t="str">
        <f t="shared" si="80"/>
        <v>Feb</v>
      </c>
      <c r="T1706" s="9">
        <f>VLOOKUP(O1706, Annual_Summary!A:B, 2, 0)</f>
        <v>-0.16726934600681886</v>
      </c>
    </row>
    <row r="1707" spans="1:20" x14ac:dyDescent="0.3">
      <c r="A1707" s="1">
        <v>45708</v>
      </c>
      <c r="B1707" t="s">
        <v>15</v>
      </c>
      <c r="C1707" s="3">
        <v>399.95</v>
      </c>
      <c r="D1707" s="3">
        <v>403.9</v>
      </c>
      <c r="E1707" s="3">
        <v>396.2</v>
      </c>
      <c r="F1707" s="3">
        <v>406.4</v>
      </c>
      <c r="G1707" s="3">
        <v>402</v>
      </c>
      <c r="H1707" s="3">
        <v>402.05</v>
      </c>
      <c r="I1707" s="3">
        <v>401.31</v>
      </c>
      <c r="J1707" s="3">
        <v>471.5</v>
      </c>
      <c r="K1707" s="3">
        <v>396.2</v>
      </c>
      <c r="L1707" s="2">
        <v>15355585</v>
      </c>
      <c r="M1707" s="2">
        <v>6162379397.3500004</v>
      </c>
      <c r="N1707" s="2">
        <v>226856</v>
      </c>
      <c r="O1707" t="s">
        <v>22</v>
      </c>
      <c r="P1707" s="8">
        <f t="shared" si="78"/>
        <v>6.4499999999999886</v>
      </c>
      <c r="Q1707" t="s">
        <v>40</v>
      </c>
      <c r="R1707">
        <f t="shared" si="79"/>
        <v>2</v>
      </c>
      <c r="S1707" t="str">
        <f t="shared" si="80"/>
        <v>Feb</v>
      </c>
      <c r="T1707" s="9">
        <f>VLOOKUP(O1707, Annual_Summary!A:B, 2, 0)</f>
        <v>-0.16726934600681886</v>
      </c>
    </row>
    <row r="1708" spans="1:20" x14ac:dyDescent="0.3">
      <c r="A1708" s="1">
        <v>45707</v>
      </c>
      <c r="B1708" t="s">
        <v>15</v>
      </c>
      <c r="C1708" s="3">
        <v>404.8</v>
      </c>
      <c r="D1708" s="3">
        <v>408.8</v>
      </c>
      <c r="E1708" s="3">
        <v>404.5</v>
      </c>
      <c r="F1708" s="3">
        <v>405.25</v>
      </c>
      <c r="G1708" s="3">
        <v>406.2</v>
      </c>
      <c r="H1708" s="3">
        <v>406.4</v>
      </c>
      <c r="I1708" s="3">
        <v>406.89</v>
      </c>
      <c r="J1708" s="3">
        <v>471.5</v>
      </c>
      <c r="K1708" s="3">
        <v>404</v>
      </c>
      <c r="L1708" s="2">
        <v>7079032</v>
      </c>
      <c r="M1708" s="2">
        <v>2880411815.9000001</v>
      </c>
      <c r="N1708" s="2">
        <v>88693</v>
      </c>
      <c r="O1708" t="s">
        <v>22</v>
      </c>
      <c r="P1708" s="8">
        <f t="shared" si="78"/>
        <v>0.44999999999998863</v>
      </c>
      <c r="Q1708" t="s">
        <v>40</v>
      </c>
      <c r="R1708">
        <f t="shared" si="79"/>
        <v>2</v>
      </c>
      <c r="S1708" t="str">
        <f t="shared" si="80"/>
        <v>Feb</v>
      </c>
      <c r="T1708" s="9">
        <f>VLOOKUP(O1708, Annual_Summary!A:B, 2, 0)</f>
        <v>-0.16726934600681886</v>
      </c>
    </row>
    <row r="1709" spans="1:20" x14ac:dyDescent="0.3">
      <c r="A1709" s="1">
        <v>45706</v>
      </c>
      <c r="B1709" t="s">
        <v>15</v>
      </c>
      <c r="C1709" s="3">
        <v>408</v>
      </c>
      <c r="D1709" s="3">
        <v>410.85</v>
      </c>
      <c r="E1709" s="3">
        <v>404</v>
      </c>
      <c r="F1709" s="3">
        <v>408.6</v>
      </c>
      <c r="G1709" s="3">
        <v>404.9</v>
      </c>
      <c r="H1709" s="3">
        <v>405.25</v>
      </c>
      <c r="I1709" s="3">
        <v>406.53</v>
      </c>
      <c r="J1709" s="3">
        <v>471.5</v>
      </c>
      <c r="K1709" s="3">
        <v>404</v>
      </c>
      <c r="L1709" s="2">
        <v>12998403</v>
      </c>
      <c r="M1709" s="2">
        <v>5284237636.8000002</v>
      </c>
      <c r="N1709" s="2">
        <v>208753</v>
      </c>
      <c r="O1709" t="s">
        <v>22</v>
      </c>
      <c r="P1709" s="8">
        <f t="shared" si="78"/>
        <v>0.60000000000002274</v>
      </c>
      <c r="Q1709" t="s">
        <v>40</v>
      </c>
      <c r="R1709">
        <f t="shared" si="79"/>
        <v>2</v>
      </c>
      <c r="S1709" t="str">
        <f t="shared" si="80"/>
        <v>Feb</v>
      </c>
      <c r="T1709" s="9">
        <f>VLOOKUP(O1709, Annual_Summary!A:B, 2, 0)</f>
        <v>-0.16726934600681886</v>
      </c>
    </row>
    <row r="1710" spans="1:20" x14ac:dyDescent="0.3">
      <c r="A1710" s="1">
        <v>45705</v>
      </c>
      <c r="B1710" t="s">
        <v>15</v>
      </c>
      <c r="C1710" s="3">
        <v>409.8</v>
      </c>
      <c r="D1710" s="3">
        <v>411.4</v>
      </c>
      <c r="E1710" s="3">
        <v>406.75</v>
      </c>
      <c r="F1710" s="3">
        <v>410.25</v>
      </c>
      <c r="G1710" s="3">
        <v>408.6</v>
      </c>
      <c r="H1710" s="3">
        <v>408.6</v>
      </c>
      <c r="I1710" s="3">
        <v>408.96</v>
      </c>
      <c r="J1710" s="3">
        <v>471.5</v>
      </c>
      <c r="K1710" s="3">
        <v>406.75</v>
      </c>
      <c r="L1710" s="2">
        <v>11975265</v>
      </c>
      <c r="M1710" s="2">
        <v>4897417889.1000004</v>
      </c>
      <c r="N1710" s="2">
        <v>285419</v>
      </c>
      <c r="O1710" t="s">
        <v>22</v>
      </c>
      <c r="P1710" s="8">
        <f t="shared" si="78"/>
        <v>0.44999999999998863</v>
      </c>
      <c r="Q1710" t="s">
        <v>40</v>
      </c>
      <c r="R1710">
        <f t="shared" si="79"/>
        <v>2</v>
      </c>
      <c r="S1710" t="str">
        <f t="shared" si="80"/>
        <v>Feb</v>
      </c>
      <c r="T1710" s="9">
        <f>VLOOKUP(O1710, Annual_Summary!A:B, 2, 0)</f>
        <v>-0.16726934600681886</v>
      </c>
    </row>
    <row r="1711" spans="1:20" x14ac:dyDescent="0.3">
      <c r="A1711" s="1">
        <v>45702</v>
      </c>
      <c r="B1711" t="s">
        <v>15</v>
      </c>
      <c r="C1711" s="3">
        <v>411.75</v>
      </c>
      <c r="D1711" s="3">
        <v>416.2</v>
      </c>
      <c r="E1711" s="3">
        <v>408.4</v>
      </c>
      <c r="F1711" s="3">
        <v>409.7</v>
      </c>
      <c r="G1711" s="3">
        <v>410</v>
      </c>
      <c r="H1711" s="3">
        <v>410.25</v>
      </c>
      <c r="I1711" s="3">
        <v>411.41</v>
      </c>
      <c r="J1711" s="3">
        <v>471.5</v>
      </c>
      <c r="K1711" s="3">
        <v>407.6</v>
      </c>
      <c r="L1711" s="2">
        <v>14124236</v>
      </c>
      <c r="M1711" s="2">
        <v>5810870731</v>
      </c>
      <c r="N1711" s="2">
        <v>199616</v>
      </c>
      <c r="O1711" t="s">
        <v>22</v>
      </c>
      <c r="P1711" s="8">
        <f t="shared" si="78"/>
        <v>-2.0500000000000114</v>
      </c>
      <c r="Q1711" t="s">
        <v>40</v>
      </c>
      <c r="R1711">
        <f t="shared" si="79"/>
        <v>2</v>
      </c>
      <c r="S1711" t="str">
        <f t="shared" si="80"/>
        <v>Feb</v>
      </c>
      <c r="T1711" s="9">
        <f>VLOOKUP(O1711, Annual_Summary!A:B, 2, 0)</f>
        <v>-0.16726934600681886</v>
      </c>
    </row>
    <row r="1712" spans="1:20" x14ac:dyDescent="0.3">
      <c r="A1712" s="1">
        <v>45701</v>
      </c>
      <c r="B1712" t="s">
        <v>15</v>
      </c>
      <c r="C1712" s="3">
        <v>409.95</v>
      </c>
      <c r="D1712" s="3">
        <v>413.95</v>
      </c>
      <c r="E1712" s="3">
        <v>409</v>
      </c>
      <c r="F1712" s="3">
        <v>409.9</v>
      </c>
      <c r="G1712" s="3">
        <v>410</v>
      </c>
      <c r="H1712" s="3">
        <v>409.7</v>
      </c>
      <c r="I1712" s="3">
        <v>411.14</v>
      </c>
      <c r="J1712" s="3">
        <v>471.5</v>
      </c>
      <c r="K1712" s="3">
        <v>407.6</v>
      </c>
      <c r="L1712" s="2">
        <v>12989029</v>
      </c>
      <c r="M1712" s="2">
        <v>5340310573.8999996</v>
      </c>
      <c r="N1712" s="2">
        <v>185598</v>
      </c>
      <c r="O1712" t="s">
        <v>22</v>
      </c>
      <c r="P1712" s="8">
        <f t="shared" si="78"/>
        <v>-5.0000000000011369E-2</v>
      </c>
      <c r="Q1712" t="s">
        <v>40</v>
      </c>
      <c r="R1712">
        <f t="shared" si="79"/>
        <v>2</v>
      </c>
      <c r="S1712" t="str">
        <f t="shared" si="80"/>
        <v>Feb</v>
      </c>
      <c r="T1712" s="9">
        <f>VLOOKUP(O1712, Annual_Summary!A:B, 2, 0)</f>
        <v>-0.16726934600681886</v>
      </c>
    </row>
    <row r="1713" spans="1:20" x14ac:dyDescent="0.3">
      <c r="A1713" s="1">
        <v>45700</v>
      </c>
      <c r="B1713" t="s">
        <v>15</v>
      </c>
      <c r="C1713" s="3">
        <v>413.15</v>
      </c>
      <c r="D1713" s="3">
        <v>413.8</v>
      </c>
      <c r="E1713" s="3">
        <v>407.6</v>
      </c>
      <c r="F1713" s="3">
        <v>418.3</v>
      </c>
      <c r="G1713" s="3">
        <v>411.2</v>
      </c>
      <c r="H1713" s="3">
        <v>409.9</v>
      </c>
      <c r="I1713" s="3">
        <v>410.36</v>
      </c>
      <c r="J1713" s="3">
        <v>471.5</v>
      </c>
      <c r="K1713" s="3">
        <v>407.6</v>
      </c>
      <c r="L1713" s="2">
        <v>13884574</v>
      </c>
      <c r="M1713" s="2">
        <v>5697674234.6499996</v>
      </c>
      <c r="N1713" s="2">
        <v>207478</v>
      </c>
      <c r="O1713" t="s">
        <v>22</v>
      </c>
      <c r="P1713" s="8">
        <f t="shared" si="78"/>
        <v>5.1500000000000341</v>
      </c>
      <c r="Q1713" t="s">
        <v>40</v>
      </c>
      <c r="R1713">
        <f t="shared" si="79"/>
        <v>2</v>
      </c>
      <c r="S1713" t="str">
        <f t="shared" si="80"/>
        <v>Feb</v>
      </c>
      <c r="T1713" s="9">
        <f>VLOOKUP(O1713, Annual_Summary!A:B, 2, 0)</f>
        <v>-0.16726934600681886</v>
      </c>
    </row>
    <row r="1714" spans="1:20" x14ac:dyDescent="0.3">
      <c r="A1714" s="1">
        <v>45699</v>
      </c>
      <c r="B1714" t="s">
        <v>15</v>
      </c>
      <c r="C1714" s="3">
        <v>428.8</v>
      </c>
      <c r="D1714" s="3">
        <v>430.55</v>
      </c>
      <c r="E1714" s="3">
        <v>417.5</v>
      </c>
      <c r="F1714" s="3">
        <v>427.2</v>
      </c>
      <c r="G1714" s="3">
        <v>418.05</v>
      </c>
      <c r="H1714" s="3">
        <v>418.3</v>
      </c>
      <c r="I1714" s="3">
        <v>421.57</v>
      </c>
      <c r="J1714" s="3">
        <v>471.5</v>
      </c>
      <c r="K1714" s="3">
        <v>417.5</v>
      </c>
      <c r="L1714" s="2">
        <v>14288751</v>
      </c>
      <c r="M1714" s="2">
        <v>6023750310.8000002</v>
      </c>
      <c r="N1714" s="2">
        <v>187384</v>
      </c>
      <c r="O1714" t="s">
        <v>22</v>
      </c>
      <c r="P1714" s="8">
        <f t="shared" si="78"/>
        <v>-1.6000000000000227</v>
      </c>
      <c r="Q1714" t="s">
        <v>40</v>
      </c>
      <c r="R1714">
        <f t="shared" si="79"/>
        <v>2</v>
      </c>
      <c r="S1714" t="str">
        <f t="shared" si="80"/>
        <v>Feb</v>
      </c>
      <c r="T1714" s="9">
        <f>VLOOKUP(O1714, Annual_Summary!A:B, 2, 0)</f>
        <v>-0.16726934600681886</v>
      </c>
    </row>
    <row r="1715" spans="1:20" x14ac:dyDescent="0.3">
      <c r="A1715" s="1">
        <v>45698</v>
      </c>
      <c r="B1715" t="s">
        <v>15</v>
      </c>
      <c r="C1715" s="3">
        <v>427</v>
      </c>
      <c r="D1715" s="3">
        <v>433.3</v>
      </c>
      <c r="E1715" s="3">
        <v>426.5</v>
      </c>
      <c r="F1715" s="3">
        <v>430.85</v>
      </c>
      <c r="G1715" s="3">
        <v>427.7</v>
      </c>
      <c r="H1715" s="3">
        <v>427.2</v>
      </c>
      <c r="I1715" s="3">
        <v>428.76</v>
      </c>
      <c r="J1715" s="3">
        <v>471.5</v>
      </c>
      <c r="K1715" s="3">
        <v>426.5</v>
      </c>
      <c r="L1715" s="2">
        <v>12227140</v>
      </c>
      <c r="M1715" s="2">
        <v>5242493795.8000002</v>
      </c>
      <c r="N1715" s="2">
        <v>156939</v>
      </c>
      <c r="O1715" t="s">
        <v>22</v>
      </c>
      <c r="P1715" s="8">
        <f t="shared" si="78"/>
        <v>3.8500000000000227</v>
      </c>
      <c r="Q1715" t="s">
        <v>40</v>
      </c>
      <c r="R1715">
        <f t="shared" si="79"/>
        <v>2</v>
      </c>
      <c r="S1715" t="str">
        <f t="shared" si="80"/>
        <v>Feb</v>
      </c>
      <c r="T1715" s="9">
        <f>VLOOKUP(O1715, Annual_Summary!A:B, 2, 0)</f>
        <v>-0.16726934600681886</v>
      </c>
    </row>
    <row r="1716" spans="1:20" x14ac:dyDescent="0.3">
      <c r="A1716" s="1">
        <v>45695</v>
      </c>
      <c r="B1716" t="s">
        <v>15</v>
      </c>
      <c r="C1716" s="3">
        <v>440</v>
      </c>
      <c r="D1716" s="3">
        <v>445.5</v>
      </c>
      <c r="E1716" s="3">
        <v>428.4</v>
      </c>
      <c r="F1716" s="3">
        <v>441.1</v>
      </c>
      <c r="G1716" s="3">
        <v>430.1</v>
      </c>
      <c r="H1716" s="3">
        <v>430.85</v>
      </c>
      <c r="I1716" s="3">
        <v>432.24</v>
      </c>
      <c r="J1716" s="3">
        <v>471.5</v>
      </c>
      <c r="K1716" s="3">
        <v>428.4</v>
      </c>
      <c r="L1716" s="2">
        <v>18875982</v>
      </c>
      <c r="M1716" s="2">
        <v>8158860785.3000002</v>
      </c>
      <c r="N1716" s="2">
        <v>212183</v>
      </c>
      <c r="O1716" t="s">
        <v>22</v>
      </c>
      <c r="P1716" s="8">
        <f t="shared" si="78"/>
        <v>1.1000000000000227</v>
      </c>
      <c r="Q1716" t="s">
        <v>40</v>
      </c>
      <c r="R1716">
        <f t="shared" si="79"/>
        <v>2</v>
      </c>
      <c r="S1716" t="str">
        <f t="shared" si="80"/>
        <v>Feb</v>
      </c>
      <c r="T1716" s="9">
        <f>VLOOKUP(O1716, Annual_Summary!A:B, 2, 0)</f>
        <v>-0.16726934600681886</v>
      </c>
    </row>
    <row r="1717" spans="1:20" x14ac:dyDescent="0.3">
      <c r="A1717" s="1">
        <v>45694</v>
      </c>
      <c r="B1717" t="s">
        <v>15</v>
      </c>
      <c r="C1717" s="3">
        <v>450</v>
      </c>
      <c r="D1717" s="3">
        <v>450</v>
      </c>
      <c r="E1717" s="3">
        <v>438.2</v>
      </c>
      <c r="F1717" s="3">
        <v>448.15</v>
      </c>
      <c r="G1717" s="3">
        <v>442.75</v>
      </c>
      <c r="H1717" s="3">
        <v>441.1</v>
      </c>
      <c r="I1717" s="3">
        <v>441.65</v>
      </c>
      <c r="J1717" s="3">
        <v>471.5</v>
      </c>
      <c r="K1717" s="3">
        <v>430.1</v>
      </c>
      <c r="L1717" s="2">
        <v>17469129</v>
      </c>
      <c r="M1717" s="2">
        <v>7715280524.9499998</v>
      </c>
      <c r="N1717" s="2">
        <v>164798</v>
      </c>
      <c r="O1717" t="s">
        <v>22</v>
      </c>
      <c r="P1717" s="8">
        <f t="shared" si="78"/>
        <v>-1.8500000000000227</v>
      </c>
      <c r="Q1717" t="s">
        <v>40</v>
      </c>
      <c r="R1717">
        <f t="shared" si="79"/>
        <v>2</v>
      </c>
      <c r="S1717" t="str">
        <f t="shared" si="80"/>
        <v>Feb</v>
      </c>
      <c r="T1717" s="9">
        <f>VLOOKUP(O1717, Annual_Summary!A:B, 2, 0)</f>
        <v>-0.16726934600681886</v>
      </c>
    </row>
    <row r="1718" spans="1:20" x14ac:dyDescent="0.3">
      <c r="A1718" s="1">
        <v>45693</v>
      </c>
      <c r="B1718" t="s">
        <v>15</v>
      </c>
      <c r="C1718" s="3">
        <v>455.15</v>
      </c>
      <c r="D1718" s="3">
        <v>455.85</v>
      </c>
      <c r="E1718" s="3">
        <v>446.5</v>
      </c>
      <c r="F1718" s="3">
        <v>455.15</v>
      </c>
      <c r="G1718" s="3">
        <v>448.5</v>
      </c>
      <c r="H1718" s="3">
        <v>448.15</v>
      </c>
      <c r="I1718" s="3">
        <v>450.02</v>
      </c>
      <c r="J1718" s="3">
        <v>471.5</v>
      </c>
      <c r="K1718" s="3">
        <v>430.1</v>
      </c>
      <c r="L1718" s="2">
        <v>12836283</v>
      </c>
      <c r="M1718" s="2">
        <v>5776523794.1999998</v>
      </c>
      <c r="N1718" s="2">
        <v>155466</v>
      </c>
      <c r="O1718" t="s">
        <v>22</v>
      </c>
      <c r="P1718" s="8">
        <f t="shared" si="78"/>
        <v>0</v>
      </c>
      <c r="Q1718" t="s">
        <v>40</v>
      </c>
      <c r="R1718">
        <f t="shared" si="79"/>
        <v>2</v>
      </c>
      <c r="S1718" t="str">
        <f t="shared" si="80"/>
        <v>Feb</v>
      </c>
      <c r="T1718" s="9">
        <f>VLOOKUP(O1718, Annual_Summary!A:B, 2, 0)</f>
        <v>-0.16726934600681886</v>
      </c>
    </row>
    <row r="1719" spans="1:20" x14ac:dyDescent="0.3">
      <c r="A1719" s="1">
        <v>45692</v>
      </c>
      <c r="B1719" t="s">
        <v>15</v>
      </c>
      <c r="C1719" s="3">
        <v>458</v>
      </c>
      <c r="D1719" s="3">
        <v>460.35</v>
      </c>
      <c r="E1719" s="3">
        <v>448.75</v>
      </c>
      <c r="F1719" s="3">
        <v>454.35</v>
      </c>
      <c r="G1719" s="3">
        <v>454.3</v>
      </c>
      <c r="H1719" s="3">
        <v>455.15</v>
      </c>
      <c r="I1719" s="3">
        <v>454.39</v>
      </c>
      <c r="J1719" s="3">
        <v>471.5</v>
      </c>
      <c r="K1719" s="3">
        <v>430.1</v>
      </c>
      <c r="L1719" s="2">
        <v>18923681</v>
      </c>
      <c r="M1719" s="2">
        <v>8598691176.8999996</v>
      </c>
      <c r="N1719" s="2">
        <v>219082</v>
      </c>
      <c r="O1719" t="s">
        <v>22</v>
      </c>
      <c r="P1719" s="8">
        <f t="shared" si="78"/>
        <v>-3.6499999999999773</v>
      </c>
      <c r="Q1719" t="s">
        <v>40</v>
      </c>
      <c r="R1719">
        <f t="shared" si="79"/>
        <v>2</v>
      </c>
      <c r="S1719" t="str">
        <f t="shared" si="80"/>
        <v>Feb</v>
      </c>
      <c r="T1719" s="9">
        <f>VLOOKUP(O1719, Annual_Summary!A:B, 2, 0)</f>
        <v>-0.16726934600681886</v>
      </c>
    </row>
    <row r="1720" spans="1:20" x14ac:dyDescent="0.3">
      <c r="A1720" s="1">
        <v>45691</v>
      </c>
      <c r="B1720" t="s">
        <v>15</v>
      </c>
      <c r="C1720" s="3">
        <v>462</v>
      </c>
      <c r="D1720" s="3">
        <v>465.2</v>
      </c>
      <c r="E1720" s="3">
        <v>452.3</v>
      </c>
      <c r="F1720" s="3">
        <v>462.55</v>
      </c>
      <c r="G1720" s="3">
        <v>453.5</v>
      </c>
      <c r="H1720" s="3">
        <v>454.35</v>
      </c>
      <c r="I1720" s="3">
        <v>457.77</v>
      </c>
      <c r="J1720" s="3">
        <v>471.5</v>
      </c>
      <c r="K1720" s="3">
        <v>430.1</v>
      </c>
      <c r="L1720" s="2">
        <v>16991730</v>
      </c>
      <c r="M1720" s="2">
        <v>7778230238.5</v>
      </c>
      <c r="N1720" s="2">
        <v>278444</v>
      </c>
      <c r="O1720" t="s">
        <v>22</v>
      </c>
      <c r="P1720" s="8">
        <f t="shared" si="78"/>
        <v>0.55000000000001137</v>
      </c>
      <c r="Q1720" t="s">
        <v>40</v>
      </c>
      <c r="R1720">
        <f t="shared" si="79"/>
        <v>2</v>
      </c>
      <c r="S1720" t="str">
        <f t="shared" si="80"/>
        <v>Feb</v>
      </c>
      <c r="T1720" s="9">
        <f>VLOOKUP(O1720, Annual_Summary!A:B, 2, 0)</f>
        <v>-0.16726934600681886</v>
      </c>
    </row>
    <row r="1721" spans="1:20" x14ac:dyDescent="0.3">
      <c r="A1721" s="1">
        <v>45689</v>
      </c>
      <c r="B1721" t="s">
        <v>15</v>
      </c>
      <c r="C1721" s="3">
        <v>448</v>
      </c>
      <c r="D1721" s="3">
        <v>471.5</v>
      </c>
      <c r="E1721" s="3">
        <v>439.55</v>
      </c>
      <c r="F1721" s="3">
        <v>447.5</v>
      </c>
      <c r="G1721" s="3">
        <v>461.55</v>
      </c>
      <c r="H1721" s="3">
        <v>462.55</v>
      </c>
      <c r="I1721" s="3">
        <v>459.22</v>
      </c>
      <c r="J1721" s="3">
        <v>471.5</v>
      </c>
      <c r="K1721" s="3">
        <v>430.1</v>
      </c>
      <c r="L1721" s="2">
        <v>30393007</v>
      </c>
      <c r="M1721" s="2">
        <v>13957038228.1</v>
      </c>
      <c r="N1721" s="2">
        <v>308264</v>
      </c>
      <c r="O1721" t="s">
        <v>22</v>
      </c>
      <c r="P1721" s="8">
        <f t="shared" si="78"/>
        <v>-0.5</v>
      </c>
      <c r="Q1721" t="s">
        <v>40</v>
      </c>
      <c r="R1721">
        <f t="shared" si="79"/>
        <v>2</v>
      </c>
      <c r="S1721" t="str">
        <f t="shared" si="80"/>
        <v>Feb</v>
      </c>
      <c r="T1721" s="9">
        <f>VLOOKUP(O1721, Annual_Summary!A:B, 2, 0)</f>
        <v>-0.16726934600681886</v>
      </c>
    </row>
    <row r="1722" spans="1:20" x14ac:dyDescent="0.3">
      <c r="A1722" s="1">
        <v>45688</v>
      </c>
      <c r="B1722" t="s">
        <v>15</v>
      </c>
      <c r="C1722" s="3">
        <v>436.5</v>
      </c>
      <c r="D1722" s="3">
        <v>448.2</v>
      </c>
      <c r="E1722" s="3">
        <v>435.1</v>
      </c>
      <c r="F1722" s="3">
        <v>436.2</v>
      </c>
      <c r="G1722" s="3">
        <v>447.7</v>
      </c>
      <c r="H1722" s="3">
        <v>447.5</v>
      </c>
      <c r="I1722" s="3">
        <v>443.74</v>
      </c>
      <c r="J1722" s="3">
        <v>461.75</v>
      </c>
      <c r="K1722" s="3">
        <v>430.1</v>
      </c>
      <c r="L1722" s="2">
        <v>13546181</v>
      </c>
      <c r="M1722" s="2">
        <v>6011029618.0500002</v>
      </c>
      <c r="N1722" s="2">
        <v>292498</v>
      </c>
      <c r="O1722" t="s">
        <v>22</v>
      </c>
      <c r="P1722" s="8">
        <f t="shared" si="78"/>
        <v>-0.30000000000001137</v>
      </c>
      <c r="Q1722" t="s">
        <v>40</v>
      </c>
      <c r="R1722">
        <f t="shared" si="79"/>
        <v>1</v>
      </c>
      <c r="S1722" t="str">
        <f t="shared" si="80"/>
        <v>Jan</v>
      </c>
      <c r="T1722" s="9">
        <f>VLOOKUP(O1722, Annual_Summary!A:B, 2, 0)</f>
        <v>-0.16726934600681886</v>
      </c>
    </row>
    <row r="1723" spans="1:20" x14ac:dyDescent="0.3">
      <c r="A1723" s="1">
        <v>45687</v>
      </c>
      <c r="B1723" t="s">
        <v>15</v>
      </c>
      <c r="C1723" s="3">
        <v>433</v>
      </c>
      <c r="D1723" s="3">
        <v>438</v>
      </c>
      <c r="E1723" s="3">
        <v>431.45</v>
      </c>
      <c r="F1723" s="3">
        <v>433.35</v>
      </c>
      <c r="G1723" s="3">
        <v>436</v>
      </c>
      <c r="H1723" s="3">
        <v>436.2</v>
      </c>
      <c r="I1723" s="3">
        <v>434.97</v>
      </c>
      <c r="J1723" s="3">
        <v>461.75</v>
      </c>
      <c r="K1723" s="3">
        <v>430.1</v>
      </c>
      <c r="L1723" s="2">
        <v>22496695</v>
      </c>
      <c r="M1723" s="2">
        <v>9785477722.3999996</v>
      </c>
      <c r="N1723" s="2">
        <v>206602</v>
      </c>
      <c r="O1723" t="s">
        <v>22</v>
      </c>
      <c r="P1723" s="8">
        <f t="shared" si="78"/>
        <v>0.35000000000002274</v>
      </c>
      <c r="Q1723" t="s">
        <v>40</v>
      </c>
      <c r="R1723">
        <f t="shared" si="79"/>
        <v>1</v>
      </c>
      <c r="S1723" t="str">
        <f t="shared" si="80"/>
        <v>Jan</v>
      </c>
      <c r="T1723" s="9">
        <f>VLOOKUP(O1723, Annual_Summary!A:B, 2, 0)</f>
        <v>-0.16726934600681886</v>
      </c>
    </row>
    <row r="1724" spans="1:20" x14ac:dyDescent="0.3">
      <c r="A1724" s="1">
        <v>45686</v>
      </c>
      <c r="B1724" t="s">
        <v>15</v>
      </c>
      <c r="C1724" s="3">
        <v>435.95</v>
      </c>
      <c r="D1724" s="3">
        <v>437.5</v>
      </c>
      <c r="E1724" s="3">
        <v>430.1</v>
      </c>
      <c r="F1724" s="3">
        <v>435.45</v>
      </c>
      <c r="G1724" s="3">
        <v>433.25</v>
      </c>
      <c r="H1724" s="3">
        <v>433.35</v>
      </c>
      <c r="I1724" s="3">
        <v>433.19</v>
      </c>
      <c r="J1724" s="3">
        <v>461.75</v>
      </c>
      <c r="K1724" s="3">
        <v>430.1</v>
      </c>
      <c r="L1724" s="2">
        <v>15158510</v>
      </c>
      <c r="M1724" s="2">
        <v>6566456115</v>
      </c>
      <c r="N1724" s="2">
        <v>270156</v>
      </c>
      <c r="O1724" t="s">
        <v>22</v>
      </c>
      <c r="P1724" s="8">
        <f t="shared" si="78"/>
        <v>-0.5</v>
      </c>
      <c r="Q1724" t="s">
        <v>40</v>
      </c>
      <c r="R1724">
        <f t="shared" si="79"/>
        <v>1</v>
      </c>
      <c r="S1724" t="str">
        <f t="shared" si="80"/>
        <v>Jan</v>
      </c>
      <c r="T1724" s="9">
        <f>VLOOKUP(O1724, Annual_Summary!A:B, 2, 0)</f>
        <v>-0.16726934600681886</v>
      </c>
    </row>
    <row r="1725" spans="1:20" x14ac:dyDescent="0.3">
      <c r="A1725" s="1">
        <v>45685</v>
      </c>
      <c r="B1725" t="s">
        <v>15</v>
      </c>
      <c r="C1725" s="3">
        <v>440</v>
      </c>
      <c r="D1725" s="3">
        <v>441.8</v>
      </c>
      <c r="E1725" s="3">
        <v>434.5</v>
      </c>
      <c r="F1725" s="3">
        <v>440.1</v>
      </c>
      <c r="G1725" s="3">
        <v>434.65</v>
      </c>
      <c r="H1725" s="3">
        <v>435.45</v>
      </c>
      <c r="I1725" s="3">
        <v>437.14</v>
      </c>
      <c r="J1725" s="3">
        <v>461.75</v>
      </c>
      <c r="K1725" s="3">
        <v>431.1</v>
      </c>
      <c r="L1725" s="2">
        <v>20813072</v>
      </c>
      <c r="M1725" s="2">
        <v>9098282699.2000008</v>
      </c>
      <c r="N1725" s="2">
        <v>174411</v>
      </c>
      <c r="O1725" t="s">
        <v>22</v>
      </c>
      <c r="P1725" s="8">
        <f t="shared" si="78"/>
        <v>0.10000000000002274</v>
      </c>
      <c r="Q1725" t="s">
        <v>40</v>
      </c>
      <c r="R1725">
        <f t="shared" si="79"/>
        <v>1</v>
      </c>
      <c r="S1725" t="str">
        <f t="shared" si="80"/>
        <v>Jan</v>
      </c>
      <c r="T1725" s="9">
        <f>VLOOKUP(O1725, Annual_Summary!A:B, 2, 0)</f>
        <v>-0.16726934600681886</v>
      </c>
    </row>
    <row r="1726" spans="1:20" x14ac:dyDescent="0.3">
      <c r="A1726" s="1">
        <v>45684</v>
      </c>
      <c r="B1726" t="s">
        <v>15</v>
      </c>
      <c r="C1726" s="3">
        <v>440.8</v>
      </c>
      <c r="D1726" s="3">
        <v>445</v>
      </c>
      <c r="E1726" s="3">
        <v>436.55</v>
      </c>
      <c r="F1726" s="3">
        <v>441.6</v>
      </c>
      <c r="G1726" s="3">
        <v>439.9</v>
      </c>
      <c r="H1726" s="3">
        <v>440.1</v>
      </c>
      <c r="I1726" s="3">
        <v>440.42</v>
      </c>
      <c r="J1726" s="3">
        <v>461.75</v>
      </c>
      <c r="K1726" s="3">
        <v>431.1</v>
      </c>
      <c r="L1726" s="2">
        <v>10480203</v>
      </c>
      <c r="M1726" s="2">
        <v>4615646516.4499998</v>
      </c>
      <c r="N1726" s="2">
        <v>155397</v>
      </c>
      <c r="O1726" t="s">
        <v>22</v>
      </c>
      <c r="P1726" s="8">
        <f t="shared" si="78"/>
        <v>0.80000000000001137</v>
      </c>
      <c r="Q1726" t="s">
        <v>40</v>
      </c>
      <c r="R1726">
        <f t="shared" si="79"/>
        <v>1</v>
      </c>
      <c r="S1726" t="str">
        <f t="shared" si="80"/>
        <v>Jan</v>
      </c>
      <c r="T1726" s="9">
        <f>VLOOKUP(O1726, Annual_Summary!A:B, 2, 0)</f>
        <v>-0.16726934600681886</v>
      </c>
    </row>
    <row r="1727" spans="1:20" x14ac:dyDescent="0.3">
      <c r="A1727" s="1">
        <v>45681</v>
      </c>
      <c r="B1727" t="s">
        <v>15</v>
      </c>
      <c r="C1727" s="3">
        <v>439.4</v>
      </c>
      <c r="D1727" s="3">
        <v>445</v>
      </c>
      <c r="E1727" s="3">
        <v>439.05</v>
      </c>
      <c r="F1727" s="3">
        <v>440.2</v>
      </c>
      <c r="G1727" s="3">
        <v>441.4</v>
      </c>
      <c r="H1727" s="3">
        <v>441.6</v>
      </c>
      <c r="I1727" s="3">
        <v>442.53</v>
      </c>
      <c r="J1727" s="3">
        <v>461.75</v>
      </c>
      <c r="K1727" s="3">
        <v>431.1</v>
      </c>
      <c r="L1727" s="2">
        <v>9665384</v>
      </c>
      <c r="M1727" s="2">
        <v>4277228029.6999998</v>
      </c>
      <c r="N1727" s="2">
        <v>141694</v>
      </c>
      <c r="O1727" t="s">
        <v>22</v>
      </c>
      <c r="P1727" s="8">
        <f t="shared" si="78"/>
        <v>0.80000000000001137</v>
      </c>
      <c r="Q1727" t="s">
        <v>40</v>
      </c>
      <c r="R1727">
        <f t="shared" si="79"/>
        <v>1</v>
      </c>
      <c r="S1727" t="str">
        <f t="shared" si="80"/>
        <v>Jan</v>
      </c>
      <c r="T1727" s="9">
        <f>VLOOKUP(O1727, Annual_Summary!A:B, 2, 0)</f>
        <v>-0.16726934600681886</v>
      </c>
    </row>
    <row r="1728" spans="1:20" x14ac:dyDescent="0.3">
      <c r="A1728" s="1">
        <v>45680</v>
      </c>
      <c r="B1728" t="s">
        <v>15</v>
      </c>
      <c r="C1728" s="3">
        <v>435</v>
      </c>
      <c r="D1728" s="3">
        <v>441.85</v>
      </c>
      <c r="E1728" s="3">
        <v>434.1</v>
      </c>
      <c r="F1728" s="3">
        <v>437</v>
      </c>
      <c r="G1728" s="3">
        <v>440.45</v>
      </c>
      <c r="H1728" s="3">
        <v>440.2</v>
      </c>
      <c r="I1728" s="3">
        <v>439.59</v>
      </c>
      <c r="J1728" s="3">
        <v>461.75</v>
      </c>
      <c r="K1728" s="3">
        <v>431.1</v>
      </c>
      <c r="L1728" s="2">
        <v>8888248</v>
      </c>
      <c r="M1728" s="2">
        <v>3907165756.8499999</v>
      </c>
      <c r="N1728" s="2">
        <v>131321</v>
      </c>
      <c r="O1728" t="s">
        <v>22</v>
      </c>
      <c r="P1728" s="8">
        <f t="shared" si="78"/>
        <v>2</v>
      </c>
      <c r="Q1728" t="s">
        <v>40</v>
      </c>
      <c r="R1728">
        <f t="shared" si="79"/>
        <v>1</v>
      </c>
      <c r="S1728" t="str">
        <f t="shared" si="80"/>
        <v>Jan</v>
      </c>
      <c r="T1728" s="9">
        <f>VLOOKUP(O1728, Annual_Summary!A:B, 2, 0)</f>
        <v>-0.16726934600681886</v>
      </c>
    </row>
    <row r="1729" spans="1:20" x14ac:dyDescent="0.3">
      <c r="A1729" s="1">
        <v>45679</v>
      </c>
      <c r="B1729" t="s">
        <v>15</v>
      </c>
      <c r="C1729" s="3">
        <v>439.9</v>
      </c>
      <c r="D1729" s="3">
        <v>441.95</v>
      </c>
      <c r="E1729" s="3">
        <v>436.55</v>
      </c>
      <c r="F1729" s="3">
        <v>437.55</v>
      </c>
      <c r="G1729" s="3">
        <v>436.75</v>
      </c>
      <c r="H1729" s="3">
        <v>437</v>
      </c>
      <c r="I1729" s="3">
        <v>438.79</v>
      </c>
      <c r="J1729" s="3">
        <v>461.75</v>
      </c>
      <c r="K1729" s="3">
        <v>431.1</v>
      </c>
      <c r="L1729" s="2">
        <v>9619648</v>
      </c>
      <c r="M1729" s="2">
        <v>4220997156.0999999</v>
      </c>
      <c r="N1729" s="2">
        <v>133708</v>
      </c>
      <c r="O1729" t="s">
        <v>22</v>
      </c>
      <c r="P1729" s="8">
        <f t="shared" si="78"/>
        <v>-2.3499999999999659</v>
      </c>
      <c r="Q1729" t="s">
        <v>40</v>
      </c>
      <c r="R1729">
        <f t="shared" si="79"/>
        <v>1</v>
      </c>
      <c r="S1729" t="str">
        <f t="shared" si="80"/>
        <v>Jan</v>
      </c>
      <c r="T1729" s="9">
        <f>VLOOKUP(O1729, Annual_Summary!A:B, 2, 0)</f>
        <v>-0.16726934600681886</v>
      </c>
    </row>
    <row r="1730" spans="1:20" x14ac:dyDescent="0.3">
      <c r="A1730" s="1">
        <v>45678</v>
      </c>
      <c r="B1730" t="s">
        <v>15</v>
      </c>
      <c r="C1730" s="3">
        <v>438</v>
      </c>
      <c r="D1730" s="3">
        <v>447</v>
      </c>
      <c r="E1730" s="3">
        <v>435.25</v>
      </c>
      <c r="F1730" s="3">
        <v>437.7</v>
      </c>
      <c r="G1730" s="3">
        <v>437.95</v>
      </c>
      <c r="H1730" s="3">
        <v>437.55</v>
      </c>
      <c r="I1730" s="3">
        <v>440.22</v>
      </c>
      <c r="J1730" s="3">
        <v>461.75</v>
      </c>
      <c r="K1730" s="3">
        <v>431.1</v>
      </c>
      <c r="L1730" s="2">
        <v>15686500</v>
      </c>
      <c r="M1730" s="2">
        <v>6905471880.0500002</v>
      </c>
      <c r="N1730" s="2">
        <v>216692</v>
      </c>
      <c r="O1730" t="s">
        <v>22</v>
      </c>
      <c r="P1730" s="8">
        <f t="shared" si="78"/>
        <v>-0.30000000000001137</v>
      </c>
      <c r="Q1730" t="s">
        <v>40</v>
      </c>
      <c r="R1730">
        <f t="shared" si="79"/>
        <v>1</v>
      </c>
      <c r="S1730" t="str">
        <f t="shared" si="80"/>
        <v>Jan</v>
      </c>
      <c r="T1730" s="9">
        <f>VLOOKUP(O1730, Annual_Summary!A:B, 2, 0)</f>
        <v>-0.16726934600681886</v>
      </c>
    </row>
    <row r="1731" spans="1:20" x14ac:dyDescent="0.3">
      <c r="A1731" s="1">
        <v>45677</v>
      </c>
      <c r="B1731" t="s">
        <v>15</v>
      </c>
      <c r="C1731" s="3">
        <v>439</v>
      </c>
      <c r="D1731" s="3">
        <v>441.2</v>
      </c>
      <c r="E1731" s="3">
        <v>436</v>
      </c>
      <c r="F1731" s="3">
        <v>440.2</v>
      </c>
      <c r="G1731" s="3">
        <v>437.45</v>
      </c>
      <c r="H1731" s="3">
        <v>437.7</v>
      </c>
      <c r="I1731" s="3">
        <v>437.61</v>
      </c>
      <c r="J1731" s="3">
        <v>461.75</v>
      </c>
      <c r="K1731" s="3">
        <v>431.1</v>
      </c>
      <c r="L1731" s="2">
        <v>8742771</v>
      </c>
      <c r="M1731" s="2">
        <v>3825927431.8499999</v>
      </c>
      <c r="N1731" s="2">
        <v>152896</v>
      </c>
      <c r="O1731" t="s">
        <v>22</v>
      </c>
      <c r="P1731" s="8">
        <f t="shared" ref="P1731:P1794" si="81">F1731-C1731</f>
        <v>1.1999999999999886</v>
      </c>
      <c r="Q1731" t="s">
        <v>40</v>
      </c>
      <c r="R1731">
        <f t="shared" ref="R1731:R1794" si="82">MONTH(A1731)</f>
        <v>1</v>
      </c>
      <c r="S1731" t="str">
        <f t="shared" ref="S1731:S1794" si="83">TEXT(A1731,"mmm")</f>
        <v>Jan</v>
      </c>
      <c r="T1731" s="9">
        <f>VLOOKUP(O1731, Annual_Summary!A:B, 2, 0)</f>
        <v>-0.16726934600681886</v>
      </c>
    </row>
    <row r="1732" spans="1:20" x14ac:dyDescent="0.3">
      <c r="A1732" s="1">
        <v>45674</v>
      </c>
      <c r="B1732" t="s">
        <v>15</v>
      </c>
      <c r="C1732" s="3">
        <v>433</v>
      </c>
      <c r="D1732" s="3">
        <v>441.8</v>
      </c>
      <c r="E1732" s="3">
        <v>432.5</v>
      </c>
      <c r="F1732" s="3">
        <v>432.85</v>
      </c>
      <c r="G1732" s="3">
        <v>439.65</v>
      </c>
      <c r="H1732" s="3">
        <v>440.2</v>
      </c>
      <c r="I1732" s="3">
        <v>438.78</v>
      </c>
      <c r="J1732" s="3">
        <v>461.75</v>
      </c>
      <c r="K1732" s="3">
        <v>431.1</v>
      </c>
      <c r="L1732" s="2">
        <v>11270061</v>
      </c>
      <c r="M1732" s="2">
        <v>4945104351.0500002</v>
      </c>
      <c r="N1732" s="2">
        <v>119845</v>
      </c>
      <c r="O1732" t="s">
        <v>22</v>
      </c>
      <c r="P1732" s="8">
        <f t="shared" si="81"/>
        <v>-0.14999999999997726</v>
      </c>
      <c r="Q1732" t="s">
        <v>40</v>
      </c>
      <c r="R1732">
        <f t="shared" si="82"/>
        <v>1</v>
      </c>
      <c r="S1732" t="str">
        <f t="shared" si="83"/>
        <v>Jan</v>
      </c>
      <c r="T1732" s="9">
        <f>VLOOKUP(O1732, Annual_Summary!A:B, 2, 0)</f>
        <v>-0.16726934600681886</v>
      </c>
    </row>
    <row r="1733" spans="1:20" x14ac:dyDescent="0.3">
      <c r="A1733" s="1">
        <v>45673</v>
      </c>
      <c r="B1733" t="s">
        <v>15</v>
      </c>
      <c r="C1733" s="3">
        <v>438.05</v>
      </c>
      <c r="D1733" s="3">
        <v>439.45</v>
      </c>
      <c r="E1733" s="3">
        <v>431.1</v>
      </c>
      <c r="F1733" s="3">
        <v>437.35</v>
      </c>
      <c r="G1733" s="3">
        <v>432.9</v>
      </c>
      <c r="H1733" s="3">
        <v>432.85</v>
      </c>
      <c r="I1733" s="3">
        <v>432.62</v>
      </c>
      <c r="J1733" s="3">
        <v>461.75</v>
      </c>
      <c r="K1733" s="3">
        <v>431.1</v>
      </c>
      <c r="L1733" s="2">
        <v>15774070</v>
      </c>
      <c r="M1733" s="2">
        <v>6824178083.3999996</v>
      </c>
      <c r="N1733" s="2">
        <v>197000</v>
      </c>
      <c r="O1733" t="s">
        <v>22</v>
      </c>
      <c r="P1733" s="8">
        <f t="shared" si="81"/>
        <v>-0.69999999999998863</v>
      </c>
      <c r="Q1733" t="s">
        <v>40</v>
      </c>
      <c r="R1733">
        <f t="shared" si="82"/>
        <v>1</v>
      </c>
      <c r="S1733" t="str">
        <f t="shared" si="83"/>
        <v>Jan</v>
      </c>
      <c r="T1733" s="9">
        <f>VLOOKUP(O1733, Annual_Summary!A:B, 2, 0)</f>
        <v>-0.16726934600681886</v>
      </c>
    </row>
    <row r="1734" spans="1:20" x14ac:dyDescent="0.3">
      <c r="A1734" s="1">
        <v>45672</v>
      </c>
      <c r="B1734" t="s">
        <v>15</v>
      </c>
      <c r="C1734" s="3">
        <v>436.6</v>
      </c>
      <c r="D1734" s="3">
        <v>441.8</v>
      </c>
      <c r="E1734" s="3">
        <v>435.35</v>
      </c>
      <c r="F1734" s="3">
        <v>436.6</v>
      </c>
      <c r="G1734" s="3">
        <v>437</v>
      </c>
      <c r="H1734" s="3">
        <v>437.35</v>
      </c>
      <c r="I1734" s="3">
        <v>437.99</v>
      </c>
      <c r="J1734" s="3">
        <v>461.75</v>
      </c>
      <c r="K1734" s="3">
        <v>435</v>
      </c>
      <c r="L1734" s="2">
        <v>9786805</v>
      </c>
      <c r="M1734" s="2">
        <v>4286512512.75</v>
      </c>
      <c r="N1734" s="2">
        <v>123376</v>
      </c>
      <c r="O1734" t="s">
        <v>22</v>
      </c>
      <c r="P1734" s="8">
        <f t="shared" si="81"/>
        <v>0</v>
      </c>
      <c r="Q1734" t="s">
        <v>40</v>
      </c>
      <c r="R1734">
        <f t="shared" si="82"/>
        <v>1</v>
      </c>
      <c r="S1734" t="str">
        <f t="shared" si="83"/>
        <v>Jan</v>
      </c>
      <c r="T1734" s="9">
        <f>VLOOKUP(O1734, Annual_Summary!A:B, 2, 0)</f>
        <v>-0.16726934600681886</v>
      </c>
    </row>
    <row r="1735" spans="1:20" x14ac:dyDescent="0.3">
      <c r="A1735" s="1">
        <v>45671</v>
      </c>
      <c r="B1735" t="s">
        <v>15</v>
      </c>
      <c r="C1735" s="3">
        <v>441</v>
      </c>
      <c r="D1735" s="3">
        <v>441.5</v>
      </c>
      <c r="E1735" s="3">
        <v>435.85</v>
      </c>
      <c r="F1735" s="3">
        <v>439.05</v>
      </c>
      <c r="G1735" s="3">
        <v>436.95</v>
      </c>
      <c r="H1735" s="3">
        <v>436.6</v>
      </c>
      <c r="I1735" s="3">
        <v>438.04</v>
      </c>
      <c r="J1735" s="3">
        <v>461.75</v>
      </c>
      <c r="K1735" s="3">
        <v>435</v>
      </c>
      <c r="L1735" s="2">
        <v>18048459</v>
      </c>
      <c r="M1735" s="2">
        <v>7905915833.3500004</v>
      </c>
      <c r="N1735" s="2">
        <v>233131</v>
      </c>
      <c r="O1735" t="s">
        <v>22</v>
      </c>
      <c r="P1735" s="8">
        <f t="shared" si="81"/>
        <v>-1.9499999999999886</v>
      </c>
      <c r="Q1735" t="s">
        <v>40</v>
      </c>
      <c r="R1735">
        <f t="shared" si="82"/>
        <v>1</v>
      </c>
      <c r="S1735" t="str">
        <f t="shared" si="83"/>
        <v>Jan</v>
      </c>
      <c r="T1735" s="9">
        <f>VLOOKUP(O1735, Annual_Summary!A:B, 2, 0)</f>
        <v>-0.16726934600681886</v>
      </c>
    </row>
    <row r="1736" spans="1:20" x14ac:dyDescent="0.3">
      <c r="A1736" s="1">
        <v>45670</v>
      </c>
      <c r="B1736" t="s">
        <v>15</v>
      </c>
      <c r="C1736" s="3">
        <v>435</v>
      </c>
      <c r="D1736" s="3">
        <v>444</v>
      </c>
      <c r="E1736" s="3">
        <v>435</v>
      </c>
      <c r="F1736" s="3">
        <v>444.9</v>
      </c>
      <c r="G1736" s="3">
        <v>439</v>
      </c>
      <c r="H1736" s="3">
        <v>439.05</v>
      </c>
      <c r="I1736" s="3">
        <v>440.27</v>
      </c>
      <c r="J1736" s="3">
        <v>461.75</v>
      </c>
      <c r="K1736" s="3">
        <v>435</v>
      </c>
      <c r="L1736" s="2">
        <v>17799607</v>
      </c>
      <c r="M1736" s="2">
        <v>7836665097.9499998</v>
      </c>
      <c r="N1736" s="2">
        <v>172276</v>
      </c>
      <c r="O1736" t="s">
        <v>22</v>
      </c>
      <c r="P1736" s="8">
        <f t="shared" si="81"/>
        <v>9.8999999999999773</v>
      </c>
      <c r="Q1736" t="s">
        <v>40</v>
      </c>
      <c r="R1736">
        <f t="shared" si="82"/>
        <v>1</v>
      </c>
      <c r="S1736" t="str">
        <f t="shared" si="83"/>
        <v>Jan</v>
      </c>
      <c r="T1736" s="9">
        <f>VLOOKUP(O1736, Annual_Summary!A:B, 2, 0)</f>
        <v>-0.16726934600681886</v>
      </c>
    </row>
    <row r="1737" spans="1:20" x14ac:dyDescent="0.3">
      <c r="A1737" s="1">
        <v>45667</v>
      </c>
      <c r="B1737" t="s">
        <v>15</v>
      </c>
      <c r="C1737" s="3">
        <v>449.95</v>
      </c>
      <c r="D1737" s="3">
        <v>452</v>
      </c>
      <c r="E1737" s="3">
        <v>442.5</v>
      </c>
      <c r="F1737" s="3">
        <v>450.1</v>
      </c>
      <c r="G1737" s="3">
        <v>443.85</v>
      </c>
      <c r="H1737" s="3">
        <v>444.9</v>
      </c>
      <c r="I1737" s="3">
        <v>445.59</v>
      </c>
      <c r="J1737" s="3">
        <v>461.75</v>
      </c>
      <c r="K1737" s="3">
        <v>437.1</v>
      </c>
      <c r="L1737" s="2">
        <v>9145729</v>
      </c>
      <c r="M1737" s="2">
        <v>4075202264.9000001</v>
      </c>
      <c r="N1737" s="2">
        <v>169176</v>
      </c>
      <c r="O1737" t="s">
        <v>22</v>
      </c>
      <c r="P1737" s="8">
        <f t="shared" si="81"/>
        <v>0.15000000000003411</v>
      </c>
      <c r="Q1737" t="s">
        <v>40</v>
      </c>
      <c r="R1737">
        <f t="shared" si="82"/>
        <v>1</v>
      </c>
      <c r="S1737" t="str">
        <f t="shared" si="83"/>
        <v>Jan</v>
      </c>
      <c r="T1737" s="9">
        <f>VLOOKUP(O1737, Annual_Summary!A:B, 2, 0)</f>
        <v>-0.16726934600681886</v>
      </c>
    </row>
    <row r="1738" spans="1:20" x14ac:dyDescent="0.3">
      <c r="A1738" s="1">
        <v>45666</v>
      </c>
      <c r="B1738" t="s">
        <v>15</v>
      </c>
      <c r="C1738" s="3">
        <v>449.4</v>
      </c>
      <c r="D1738" s="3">
        <v>460.65</v>
      </c>
      <c r="E1738" s="3">
        <v>446.05</v>
      </c>
      <c r="F1738" s="3">
        <v>449.55</v>
      </c>
      <c r="G1738" s="3">
        <v>450.45</v>
      </c>
      <c r="H1738" s="3">
        <v>450.1</v>
      </c>
      <c r="I1738" s="3">
        <v>452.64</v>
      </c>
      <c r="J1738" s="3">
        <v>461.75</v>
      </c>
      <c r="K1738" s="3">
        <v>437.1</v>
      </c>
      <c r="L1738" s="2">
        <v>19732649</v>
      </c>
      <c r="M1738" s="2">
        <v>8931846709.4500008</v>
      </c>
      <c r="N1738" s="2">
        <v>214398</v>
      </c>
      <c r="O1738" t="s">
        <v>22</v>
      </c>
      <c r="P1738" s="8">
        <f t="shared" si="81"/>
        <v>0.15000000000003411</v>
      </c>
      <c r="Q1738" t="s">
        <v>40</v>
      </c>
      <c r="R1738">
        <f t="shared" si="82"/>
        <v>1</v>
      </c>
      <c r="S1738" t="str">
        <f t="shared" si="83"/>
        <v>Jan</v>
      </c>
      <c r="T1738" s="9">
        <f>VLOOKUP(O1738, Annual_Summary!A:B, 2, 0)</f>
        <v>-0.16726934600681886</v>
      </c>
    </row>
    <row r="1739" spans="1:20" x14ac:dyDescent="0.3">
      <c r="A1739" s="1">
        <v>45665</v>
      </c>
      <c r="B1739" t="s">
        <v>15</v>
      </c>
      <c r="C1739" s="3">
        <v>443</v>
      </c>
      <c r="D1739" s="3">
        <v>452.05</v>
      </c>
      <c r="E1739" s="3">
        <v>437.1</v>
      </c>
      <c r="F1739" s="3">
        <v>441.1</v>
      </c>
      <c r="G1739" s="3">
        <v>449.65</v>
      </c>
      <c r="H1739" s="3">
        <v>449.55</v>
      </c>
      <c r="I1739" s="3">
        <v>444.83</v>
      </c>
      <c r="J1739" s="3">
        <v>461.75</v>
      </c>
      <c r="K1739" s="3">
        <v>437.1</v>
      </c>
      <c r="L1739" s="2">
        <v>13482926</v>
      </c>
      <c r="M1739" s="2">
        <v>5997660207.25</v>
      </c>
      <c r="N1739" s="2">
        <v>163390</v>
      </c>
      <c r="O1739" t="s">
        <v>22</v>
      </c>
      <c r="P1739" s="8">
        <f t="shared" si="81"/>
        <v>-1.8999999999999773</v>
      </c>
      <c r="Q1739" t="s">
        <v>40</v>
      </c>
      <c r="R1739">
        <f t="shared" si="82"/>
        <v>1</v>
      </c>
      <c r="S1739" t="str">
        <f t="shared" si="83"/>
        <v>Jan</v>
      </c>
      <c r="T1739" s="9">
        <f>VLOOKUP(O1739, Annual_Summary!A:B, 2, 0)</f>
        <v>-0.16726934600681886</v>
      </c>
    </row>
    <row r="1740" spans="1:20" x14ac:dyDescent="0.3">
      <c r="A1740" s="1">
        <v>45664</v>
      </c>
      <c r="B1740" t="s">
        <v>15</v>
      </c>
      <c r="C1740" s="3">
        <v>445.5</v>
      </c>
      <c r="D1740" s="3">
        <v>447.6</v>
      </c>
      <c r="E1740" s="3">
        <v>440.15</v>
      </c>
      <c r="F1740" s="3">
        <v>442.65</v>
      </c>
      <c r="G1740" s="3">
        <v>441.1</v>
      </c>
      <c r="H1740" s="3">
        <v>441.1</v>
      </c>
      <c r="I1740" s="3">
        <v>442.97</v>
      </c>
      <c r="J1740" s="3">
        <v>461.75</v>
      </c>
      <c r="K1740" s="3">
        <v>440.15</v>
      </c>
      <c r="L1740" s="2">
        <v>14294780</v>
      </c>
      <c r="M1740" s="2">
        <v>6332098307.3000002</v>
      </c>
      <c r="N1740" s="2">
        <v>180441</v>
      </c>
      <c r="O1740" t="s">
        <v>22</v>
      </c>
      <c r="P1740" s="8">
        <f t="shared" si="81"/>
        <v>-2.8500000000000227</v>
      </c>
      <c r="Q1740" t="s">
        <v>40</v>
      </c>
      <c r="R1740">
        <f t="shared" si="82"/>
        <v>1</v>
      </c>
      <c r="S1740" t="str">
        <f t="shared" si="83"/>
        <v>Jan</v>
      </c>
      <c r="T1740" s="9">
        <f>VLOOKUP(O1740, Annual_Summary!A:B, 2, 0)</f>
        <v>-0.16726934600681886</v>
      </c>
    </row>
    <row r="1741" spans="1:20" x14ac:dyDescent="0.3">
      <c r="A1741" s="1">
        <v>45663</v>
      </c>
      <c r="B1741" t="s">
        <v>15</v>
      </c>
      <c r="C1741" s="3">
        <v>455.6</v>
      </c>
      <c r="D1741" s="3">
        <v>461.75</v>
      </c>
      <c r="E1741" s="3">
        <v>441.25</v>
      </c>
      <c r="F1741" s="3">
        <v>481.6</v>
      </c>
      <c r="G1741" s="3">
        <v>445.35</v>
      </c>
      <c r="H1741" s="3">
        <v>442.65</v>
      </c>
      <c r="I1741" s="3">
        <v>450.15</v>
      </c>
      <c r="J1741" s="3">
        <v>461.75</v>
      </c>
      <c r="K1741" s="3">
        <v>441.25</v>
      </c>
      <c r="L1741" s="2">
        <v>22009958</v>
      </c>
      <c r="M1741" s="2">
        <v>9907771203.0499992</v>
      </c>
      <c r="N1741" s="2">
        <v>286532</v>
      </c>
      <c r="O1741" t="s">
        <v>22</v>
      </c>
      <c r="P1741" s="8">
        <f t="shared" si="81"/>
        <v>26</v>
      </c>
      <c r="Q1741" t="s">
        <v>40</v>
      </c>
      <c r="R1741">
        <f t="shared" si="82"/>
        <v>1</v>
      </c>
      <c r="S1741" t="str">
        <f t="shared" si="83"/>
        <v>Jan</v>
      </c>
      <c r="T1741" s="9">
        <f>VLOOKUP(O1741, Annual_Summary!A:B, 2, 0)</f>
        <v>-0.16726934600681886</v>
      </c>
    </row>
    <row r="1742" spans="1:20" x14ac:dyDescent="0.3">
      <c r="A1742" s="1">
        <v>45660</v>
      </c>
      <c r="B1742" t="s">
        <v>15</v>
      </c>
      <c r="C1742" s="3">
        <v>490.25</v>
      </c>
      <c r="D1742" s="3">
        <v>491</v>
      </c>
      <c r="E1742" s="3">
        <v>479.85</v>
      </c>
      <c r="F1742" s="3">
        <v>489.05</v>
      </c>
      <c r="G1742" s="3">
        <v>483.95</v>
      </c>
      <c r="H1742" s="3">
        <v>481.6</v>
      </c>
      <c r="I1742" s="3">
        <v>482.67</v>
      </c>
      <c r="J1742" s="3">
        <v>528.5</v>
      </c>
      <c r="K1742" s="3">
        <v>399.35</v>
      </c>
      <c r="L1742" s="2">
        <v>37072992</v>
      </c>
      <c r="M1742" s="2">
        <v>17893961935.849998</v>
      </c>
      <c r="N1742" s="2">
        <v>227193</v>
      </c>
      <c r="O1742" t="s">
        <v>22</v>
      </c>
      <c r="P1742" s="8">
        <f t="shared" si="81"/>
        <v>-1.1999999999999886</v>
      </c>
      <c r="Q1742" t="s">
        <v>40</v>
      </c>
      <c r="R1742">
        <f t="shared" si="82"/>
        <v>1</v>
      </c>
      <c r="S1742" t="str">
        <f t="shared" si="83"/>
        <v>Jan</v>
      </c>
      <c r="T1742" s="9">
        <f>VLOOKUP(O1742, Annual_Summary!A:B, 2, 0)</f>
        <v>-0.16726934600681886</v>
      </c>
    </row>
    <row r="1743" spans="1:20" x14ac:dyDescent="0.3">
      <c r="A1743" s="1">
        <v>45659</v>
      </c>
      <c r="B1743" t="s">
        <v>15</v>
      </c>
      <c r="C1743" s="3">
        <v>485.35</v>
      </c>
      <c r="D1743" s="3">
        <v>490</v>
      </c>
      <c r="E1743" s="3">
        <v>482.3</v>
      </c>
      <c r="F1743" s="3">
        <v>483.95</v>
      </c>
      <c r="G1743" s="3">
        <v>489.5</v>
      </c>
      <c r="H1743" s="3">
        <v>489.05</v>
      </c>
      <c r="I1743" s="3">
        <v>486.22</v>
      </c>
      <c r="J1743" s="3">
        <v>528.5</v>
      </c>
      <c r="K1743" s="3">
        <v>399.35</v>
      </c>
      <c r="L1743" s="2">
        <v>26124980</v>
      </c>
      <c r="M1743" s="2">
        <v>12702491020.450001</v>
      </c>
      <c r="N1743" s="2">
        <v>224779</v>
      </c>
      <c r="O1743" t="s">
        <v>22</v>
      </c>
      <c r="P1743" s="8">
        <f t="shared" si="81"/>
        <v>-1.4000000000000341</v>
      </c>
      <c r="Q1743" t="s">
        <v>40</v>
      </c>
      <c r="R1743">
        <f t="shared" si="82"/>
        <v>1</v>
      </c>
      <c r="S1743" t="str">
        <f t="shared" si="83"/>
        <v>Jan</v>
      </c>
      <c r="T1743" s="9">
        <f>VLOOKUP(O1743, Annual_Summary!A:B, 2, 0)</f>
        <v>-0.16726934600681886</v>
      </c>
    </row>
    <row r="1744" spans="1:20" x14ac:dyDescent="0.3">
      <c r="A1744" s="1">
        <v>45658</v>
      </c>
      <c r="B1744" t="s">
        <v>15</v>
      </c>
      <c r="C1744" s="3">
        <v>486</v>
      </c>
      <c r="D1744" s="3">
        <v>486.85</v>
      </c>
      <c r="E1744" s="3">
        <v>482.15</v>
      </c>
      <c r="F1744" s="3">
        <v>483.65</v>
      </c>
      <c r="G1744" s="3">
        <v>484.7</v>
      </c>
      <c r="H1744" s="3">
        <v>483.95</v>
      </c>
      <c r="I1744" s="3">
        <v>484.93</v>
      </c>
      <c r="J1744" s="3">
        <v>528.5</v>
      </c>
      <c r="K1744" s="3">
        <v>399.35</v>
      </c>
      <c r="L1744" s="2">
        <v>18229128</v>
      </c>
      <c r="M1744" s="2">
        <v>8839930024.3999996</v>
      </c>
      <c r="N1744" s="2">
        <v>164587</v>
      </c>
      <c r="O1744" t="s">
        <v>22</v>
      </c>
      <c r="P1744" s="8">
        <f t="shared" si="81"/>
        <v>-2.3500000000000227</v>
      </c>
      <c r="Q1744" t="s">
        <v>40</v>
      </c>
      <c r="R1744">
        <f t="shared" si="82"/>
        <v>1</v>
      </c>
      <c r="S1744" t="str">
        <f t="shared" si="83"/>
        <v>Jan</v>
      </c>
      <c r="T1744" s="9">
        <f>VLOOKUP(O1744, Annual_Summary!A:B, 2, 0)</f>
        <v>-0.16726934600681886</v>
      </c>
    </row>
    <row r="1745" spans="1:20" x14ac:dyDescent="0.3">
      <c r="A1745" s="1">
        <v>46022</v>
      </c>
      <c r="B1745" t="s">
        <v>15</v>
      </c>
      <c r="C1745" s="3">
        <v>1541</v>
      </c>
      <c r="D1745" s="3">
        <v>1577</v>
      </c>
      <c r="E1745" s="3">
        <v>1541</v>
      </c>
      <c r="F1745" s="3">
        <v>1539.8</v>
      </c>
      <c r="G1745" s="3">
        <v>1569</v>
      </c>
      <c r="H1745" s="3">
        <v>1570.4</v>
      </c>
      <c r="I1745" s="3">
        <v>1566.86</v>
      </c>
      <c r="J1745" s="3">
        <v>1581.3</v>
      </c>
      <c r="K1745" s="3">
        <v>1114.8499999999999</v>
      </c>
      <c r="L1745" s="2">
        <v>5771830</v>
      </c>
      <c r="M1745" s="2">
        <v>9043650348.5</v>
      </c>
      <c r="N1745" s="2">
        <v>141792</v>
      </c>
      <c r="O1745" t="s">
        <v>23</v>
      </c>
      <c r="P1745" s="8">
        <f t="shared" si="81"/>
        <v>-1.2000000000000455</v>
      </c>
      <c r="Q1745" t="s">
        <v>41</v>
      </c>
      <c r="R1745">
        <f t="shared" si="82"/>
        <v>12</v>
      </c>
      <c r="S1745" t="str">
        <f t="shared" si="83"/>
        <v>Dec</v>
      </c>
      <c r="T1745" s="9">
        <f>VLOOKUP(O1745, Annual_Summary!A:B, 2, 0)</f>
        <v>0.2858955987717503</v>
      </c>
    </row>
    <row r="1746" spans="1:20" x14ac:dyDescent="0.3">
      <c r="A1746" s="1">
        <v>46021</v>
      </c>
      <c r="B1746" t="s">
        <v>15</v>
      </c>
      <c r="C1746" s="3">
        <v>1547</v>
      </c>
      <c r="D1746" s="3">
        <v>1553.6</v>
      </c>
      <c r="E1746" s="3">
        <v>1537.8</v>
      </c>
      <c r="F1746" s="3">
        <v>1545.6</v>
      </c>
      <c r="G1746" s="3">
        <v>1541</v>
      </c>
      <c r="H1746" s="3">
        <v>1539.8</v>
      </c>
      <c r="I1746" s="3">
        <v>1543.21</v>
      </c>
      <c r="J1746" s="3">
        <v>1581.3</v>
      </c>
      <c r="K1746" s="3">
        <v>1114.8499999999999</v>
      </c>
      <c r="L1746" s="2">
        <v>8815884</v>
      </c>
      <c r="M1746" s="2">
        <v>13604745435</v>
      </c>
      <c r="N1746" s="2">
        <v>199428</v>
      </c>
      <c r="O1746" t="s">
        <v>23</v>
      </c>
      <c r="P1746" s="8">
        <f t="shared" si="81"/>
        <v>-1.4000000000000909</v>
      </c>
      <c r="Q1746" t="s">
        <v>41</v>
      </c>
      <c r="R1746">
        <f t="shared" si="82"/>
        <v>12</v>
      </c>
      <c r="S1746" t="str">
        <f t="shared" si="83"/>
        <v>Dec</v>
      </c>
      <c r="T1746" s="9">
        <f>VLOOKUP(O1746, Annual_Summary!A:B, 2, 0)</f>
        <v>0.2858955987717503</v>
      </c>
    </row>
    <row r="1747" spans="1:20" x14ac:dyDescent="0.3">
      <c r="A1747" s="1">
        <v>46020</v>
      </c>
      <c r="B1747" t="s">
        <v>15</v>
      </c>
      <c r="C1747" s="3">
        <v>1554.9</v>
      </c>
      <c r="D1747" s="3">
        <v>1558.1</v>
      </c>
      <c r="E1747" s="3">
        <v>1543.6</v>
      </c>
      <c r="F1747" s="3">
        <v>1559.2</v>
      </c>
      <c r="G1747" s="3">
        <v>1546.7</v>
      </c>
      <c r="H1747" s="3">
        <v>1545.6</v>
      </c>
      <c r="I1747" s="3">
        <v>1547.8</v>
      </c>
      <c r="J1747" s="3">
        <v>1581.3</v>
      </c>
      <c r="K1747" s="3">
        <v>1114.8499999999999</v>
      </c>
      <c r="L1747" s="2">
        <v>5972105</v>
      </c>
      <c r="M1747" s="2">
        <v>9243616142.2999992</v>
      </c>
      <c r="N1747" s="2">
        <v>158162</v>
      </c>
      <c r="O1747" t="s">
        <v>23</v>
      </c>
      <c r="P1747" s="8">
        <f t="shared" si="81"/>
        <v>4.2999999999999545</v>
      </c>
      <c r="Q1747" t="s">
        <v>41</v>
      </c>
      <c r="R1747">
        <f t="shared" si="82"/>
        <v>12</v>
      </c>
      <c r="S1747" t="str">
        <f t="shared" si="83"/>
        <v>Dec</v>
      </c>
      <c r="T1747" s="9">
        <f>VLOOKUP(O1747, Annual_Summary!A:B, 2, 0)</f>
        <v>0.2858955987717503</v>
      </c>
    </row>
    <row r="1748" spans="1:20" x14ac:dyDescent="0.3">
      <c r="A1748" s="1">
        <v>46017</v>
      </c>
      <c r="B1748" t="s">
        <v>15</v>
      </c>
      <c r="C1748" s="3">
        <v>1554.7</v>
      </c>
      <c r="D1748" s="3">
        <v>1561</v>
      </c>
      <c r="E1748" s="3">
        <v>1554.3</v>
      </c>
      <c r="F1748" s="3">
        <v>1558.2</v>
      </c>
      <c r="G1748" s="3">
        <v>1560</v>
      </c>
      <c r="H1748" s="3">
        <v>1559.2</v>
      </c>
      <c r="I1748" s="3">
        <v>1558.05</v>
      </c>
      <c r="J1748" s="3">
        <v>1581.3</v>
      </c>
      <c r="K1748" s="3">
        <v>1114.8499999999999</v>
      </c>
      <c r="L1748" s="2">
        <v>2311495</v>
      </c>
      <c r="M1748" s="2">
        <v>3601435338.6999998</v>
      </c>
      <c r="N1748" s="2">
        <v>81976</v>
      </c>
      <c r="O1748" t="s">
        <v>23</v>
      </c>
      <c r="P1748" s="8">
        <f t="shared" si="81"/>
        <v>3.5</v>
      </c>
      <c r="Q1748" t="s">
        <v>41</v>
      </c>
      <c r="R1748">
        <f t="shared" si="82"/>
        <v>12</v>
      </c>
      <c r="S1748" t="str">
        <f t="shared" si="83"/>
        <v>Dec</v>
      </c>
      <c r="T1748" s="9">
        <f>VLOOKUP(O1748, Annual_Summary!A:B, 2, 0)</f>
        <v>0.2858955987717503</v>
      </c>
    </row>
    <row r="1749" spans="1:20" x14ac:dyDescent="0.3">
      <c r="A1749" s="1">
        <v>46015</v>
      </c>
      <c r="B1749" t="s">
        <v>15</v>
      </c>
      <c r="C1749" s="3">
        <v>1572.7</v>
      </c>
      <c r="D1749" s="3">
        <v>1575.7</v>
      </c>
      <c r="E1749" s="3">
        <v>1553.6</v>
      </c>
      <c r="F1749" s="3">
        <v>1570.7</v>
      </c>
      <c r="G1749" s="3">
        <v>1560.6</v>
      </c>
      <c r="H1749" s="3">
        <v>1558.2</v>
      </c>
      <c r="I1749" s="3">
        <v>1559.55</v>
      </c>
      <c r="J1749" s="3">
        <v>1581.3</v>
      </c>
      <c r="K1749" s="3">
        <v>1114.8499999999999</v>
      </c>
      <c r="L1749" s="2">
        <v>8815745</v>
      </c>
      <c r="M1749" s="2">
        <v>13748600530.9</v>
      </c>
      <c r="N1749" s="2">
        <v>243970</v>
      </c>
      <c r="O1749" t="s">
        <v>23</v>
      </c>
      <c r="P1749" s="8">
        <f t="shared" si="81"/>
        <v>-2</v>
      </c>
      <c r="Q1749" t="s">
        <v>41</v>
      </c>
      <c r="R1749">
        <f t="shared" si="82"/>
        <v>12</v>
      </c>
      <c r="S1749" t="str">
        <f t="shared" si="83"/>
        <v>Dec</v>
      </c>
      <c r="T1749" s="9">
        <f>VLOOKUP(O1749, Annual_Summary!A:B, 2, 0)</f>
        <v>0.2858955987717503</v>
      </c>
    </row>
    <row r="1750" spans="1:20" x14ac:dyDescent="0.3">
      <c r="A1750" s="1">
        <v>46014</v>
      </c>
      <c r="B1750" t="s">
        <v>15</v>
      </c>
      <c r="C1750" s="3">
        <v>1580.9</v>
      </c>
      <c r="D1750" s="3">
        <v>1580.9</v>
      </c>
      <c r="E1750" s="3">
        <v>1568.1</v>
      </c>
      <c r="F1750" s="3">
        <v>1575.4</v>
      </c>
      <c r="G1750" s="3">
        <v>1569</v>
      </c>
      <c r="H1750" s="3">
        <v>1570.7</v>
      </c>
      <c r="I1750" s="3">
        <v>1573.01</v>
      </c>
      <c r="J1750" s="3">
        <v>1581.3</v>
      </c>
      <c r="K1750" s="3">
        <v>1114.8499999999999</v>
      </c>
      <c r="L1750" s="2">
        <v>7506564</v>
      </c>
      <c r="M1750" s="2">
        <v>11807916323.5</v>
      </c>
      <c r="N1750" s="2">
        <v>179265</v>
      </c>
      <c r="O1750" t="s">
        <v>23</v>
      </c>
      <c r="P1750" s="8">
        <f t="shared" si="81"/>
        <v>-5.5</v>
      </c>
      <c r="Q1750" t="s">
        <v>41</v>
      </c>
      <c r="R1750">
        <f t="shared" si="82"/>
        <v>12</v>
      </c>
      <c r="S1750" t="str">
        <f t="shared" si="83"/>
        <v>Dec</v>
      </c>
      <c r="T1750" s="9">
        <f>VLOOKUP(O1750, Annual_Summary!A:B, 2, 0)</f>
        <v>0.2858955987717503</v>
      </c>
    </row>
    <row r="1751" spans="1:20" x14ac:dyDescent="0.3">
      <c r="A1751" s="1">
        <v>46013</v>
      </c>
      <c r="B1751" t="s">
        <v>15</v>
      </c>
      <c r="C1751" s="3">
        <v>1573.5</v>
      </c>
      <c r="D1751" s="3">
        <v>1577.5</v>
      </c>
      <c r="E1751" s="3">
        <v>1565.3</v>
      </c>
      <c r="F1751" s="3">
        <v>1565.1</v>
      </c>
      <c r="G1751" s="3">
        <v>1577</v>
      </c>
      <c r="H1751" s="3">
        <v>1575.4</v>
      </c>
      <c r="I1751" s="3">
        <v>1571.96</v>
      </c>
      <c r="J1751" s="3">
        <v>1581.3</v>
      </c>
      <c r="K1751" s="3">
        <v>1114.8499999999999</v>
      </c>
      <c r="L1751" s="2">
        <v>10184852</v>
      </c>
      <c r="M1751" s="2">
        <v>16010206159.5</v>
      </c>
      <c r="N1751" s="2">
        <v>371017</v>
      </c>
      <c r="O1751" t="s">
        <v>23</v>
      </c>
      <c r="P1751" s="8">
        <f t="shared" si="81"/>
        <v>-8.4000000000000909</v>
      </c>
      <c r="Q1751" t="s">
        <v>41</v>
      </c>
      <c r="R1751">
        <f t="shared" si="82"/>
        <v>12</v>
      </c>
      <c r="S1751" t="str">
        <f t="shared" si="83"/>
        <v>Dec</v>
      </c>
      <c r="T1751" s="9">
        <f>VLOOKUP(O1751, Annual_Summary!A:B, 2, 0)</f>
        <v>0.2858955987717503</v>
      </c>
    </row>
    <row r="1752" spans="1:20" x14ac:dyDescent="0.3">
      <c r="A1752" s="1">
        <v>46010</v>
      </c>
      <c r="B1752" t="s">
        <v>15</v>
      </c>
      <c r="C1752" s="3">
        <v>1554.4</v>
      </c>
      <c r="D1752" s="3">
        <v>1574.2</v>
      </c>
      <c r="E1752" s="3">
        <v>1551</v>
      </c>
      <c r="F1752" s="3">
        <v>1544.4</v>
      </c>
      <c r="G1752" s="3">
        <v>1564.9</v>
      </c>
      <c r="H1752" s="3">
        <v>1565.1</v>
      </c>
      <c r="I1752" s="3">
        <v>1566.6</v>
      </c>
      <c r="J1752" s="3">
        <v>1581.3</v>
      </c>
      <c r="K1752" s="3">
        <v>1114.8499999999999</v>
      </c>
      <c r="L1752" s="2">
        <v>13937275</v>
      </c>
      <c r="M1752" s="2">
        <v>21834130206.799999</v>
      </c>
      <c r="N1752" s="2">
        <v>279233</v>
      </c>
      <c r="O1752" t="s">
        <v>23</v>
      </c>
      <c r="P1752" s="8">
        <f t="shared" si="81"/>
        <v>-10</v>
      </c>
      <c r="Q1752" t="s">
        <v>41</v>
      </c>
      <c r="R1752">
        <f t="shared" si="82"/>
        <v>12</v>
      </c>
      <c r="S1752" t="str">
        <f t="shared" si="83"/>
        <v>Dec</v>
      </c>
      <c r="T1752" s="9">
        <f>VLOOKUP(O1752, Annual_Summary!A:B, 2, 0)</f>
        <v>0.2858955987717503</v>
      </c>
    </row>
    <row r="1753" spans="1:20" x14ac:dyDescent="0.3">
      <c r="A1753" s="1">
        <v>46009</v>
      </c>
      <c r="B1753" t="s">
        <v>15</v>
      </c>
      <c r="C1753" s="3">
        <v>1535.2</v>
      </c>
      <c r="D1753" s="3">
        <v>1551.5</v>
      </c>
      <c r="E1753" s="3">
        <v>1535.2</v>
      </c>
      <c r="F1753" s="3">
        <v>1544.4</v>
      </c>
      <c r="G1753" s="3">
        <v>1543.5</v>
      </c>
      <c r="H1753" s="3">
        <v>1544.4</v>
      </c>
      <c r="I1753" s="3">
        <v>1545.3</v>
      </c>
      <c r="J1753" s="3">
        <v>1581.3</v>
      </c>
      <c r="K1753" s="3">
        <v>1114.8499999999999</v>
      </c>
      <c r="L1753" s="2">
        <v>6580829</v>
      </c>
      <c r="M1753" s="2">
        <v>10169353778</v>
      </c>
      <c r="N1753" s="2">
        <v>175814</v>
      </c>
      <c r="O1753" t="s">
        <v>23</v>
      </c>
      <c r="P1753" s="8">
        <f t="shared" si="81"/>
        <v>9.2000000000000455</v>
      </c>
      <c r="Q1753" t="s">
        <v>41</v>
      </c>
      <c r="R1753">
        <f t="shared" si="82"/>
        <v>12</v>
      </c>
      <c r="S1753" t="str">
        <f t="shared" si="83"/>
        <v>Dec</v>
      </c>
      <c r="T1753" s="9">
        <f>VLOOKUP(O1753, Annual_Summary!A:B, 2, 0)</f>
        <v>0.2858955987717503</v>
      </c>
    </row>
    <row r="1754" spans="1:20" x14ac:dyDescent="0.3">
      <c r="A1754" s="1">
        <v>46008</v>
      </c>
      <c r="B1754" t="s">
        <v>15</v>
      </c>
      <c r="C1754" s="3">
        <v>1550</v>
      </c>
      <c r="D1754" s="3">
        <v>1550</v>
      </c>
      <c r="E1754" s="3">
        <v>1539.3</v>
      </c>
      <c r="F1754" s="3">
        <v>1542.3</v>
      </c>
      <c r="G1754" s="3">
        <v>1545.1</v>
      </c>
      <c r="H1754" s="3">
        <v>1544.4</v>
      </c>
      <c r="I1754" s="3">
        <v>1544.14</v>
      </c>
      <c r="J1754" s="3">
        <v>1581.3</v>
      </c>
      <c r="K1754" s="3">
        <v>1114.8499999999999</v>
      </c>
      <c r="L1754" s="2">
        <v>7116649</v>
      </c>
      <c r="M1754" s="2">
        <v>10989103491.9</v>
      </c>
      <c r="N1754" s="2">
        <v>176852</v>
      </c>
      <c r="O1754" t="s">
        <v>23</v>
      </c>
      <c r="P1754" s="8">
        <f t="shared" si="81"/>
        <v>-7.7000000000000455</v>
      </c>
      <c r="Q1754" t="s">
        <v>41</v>
      </c>
      <c r="R1754">
        <f t="shared" si="82"/>
        <v>12</v>
      </c>
      <c r="S1754" t="str">
        <f t="shared" si="83"/>
        <v>Dec</v>
      </c>
      <c r="T1754" s="9">
        <f>VLOOKUP(O1754, Annual_Summary!A:B, 2, 0)</f>
        <v>0.2858955987717503</v>
      </c>
    </row>
    <row r="1755" spans="1:20" x14ac:dyDescent="0.3">
      <c r="A1755" s="1">
        <v>46007</v>
      </c>
      <c r="B1755" t="s">
        <v>15</v>
      </c>
      <c r="C1755" s="3">
        <v>1545</v>
      </c>
      <c r="D1755" s="3">
        <v>1551.7</v>
      </c>
      <c r="E1755" s="3">
        <v>1538.8</v>
      </c>
      <c r="F1755" s="3">
        <v>1556.2</v>
      </c>
      <c r="G1755" s="3">
        <v>1540.7</v>
      </c>
      <c r="H1755" s="3">
        <v>1542.3</v>
      </c>
      <c r="I1755" s="3">
        <v>1544.3</v>
      </c>
      <c r="J1755" s="3">
        <v>1581.3</v>
      </c>
      <c r="K1755" s="3">
        <v>1114.8499999999999</v>
      </c>
      <c r="L1755" s="2">
        <v>11731856</v>
      </c>
      <c r="M1755" s="2">
        <v>18117538818.099998</v>
      </c>
      <c r="N1755" s="2">
        <v>246980</v>
      </c>
      <c r="O1755" t="s">
        <v>23</v>
      </c>
      <c r="P1755" s="8">
        <f t="shared" si="81"/>
        <v>11.200000000000045</v>
      </c>
      <c r="Q1755" t="s">
        <v>41</v>
      </c>
      <c r="R1755">
        <f t="shared" si="82"/>
        <v>12</v>
      </c>
      <c r="S1755" t="str">
        <f t="shared" si="83"/>
        <v>Dec</v>
      </c>
      <c r="T1755" s="9">
        <f>VLOOKUP(O1755, Annual_Summary!A:B, 2, 0)</f>
        <v>0.2858955987717503</v>
      </c>
    </row>
    <row r="1756" spans="1:20" x14ac:dyDescent="0.3">
      <c r="A1756" s="1">
        <v>46006</v>
      </c>
      <c r="B1756" t="s">
        <v>15</v>
      </c>
      <c r="C1756" s="3">
        <v>1551.2</v>
      </c>
      <c r="D1756" s="3">
        <v>1558.6</v>
      </c>
      <c r="E1756" s="3">
        <v>1546.5</v>
      </c>
      <c r="F1756" s="3">
        <v>1556.5</v>
      </c>
      <c r="G1756" s="3">
        <v>1557</v>
      </c>
      <c r="H1756" s="3">
        <v>1556.2</v>
      </c>
      <c r="I1756" s="3">
        <v>1553.69</v>
      </c>
      <c r="J1756" s="3">
        <v>1581.3</v>
      </c>
      <c r="K1756" s="3">
        <v>1114.8499999999999</v>
      </c>
      <c r="L1756" s="2">
        <v>5774543</v>
      </c>
      <c r="M1756" s="2">
        <v>8971836560.7000008</v>
      </c>
      <c r="N1756" s="2">
        <v>185872</v>
      </c>
      <c r="O1756" t="s">
        <v>23</v>
      </c>
      <c r="P1756" s="8">
        <f t="shared" si="81"/>
        <v>5.2999999999999545</v>
      </c>
      <c r="Q1756" t="s">
        <v>41</v>
      </c>
      <c r="R1756">
        <f t="shared" si="82"/>
        <v>12</v>
      </c>
      <c r="S1756" t="str">
        <f t="shared" si="83"/>
        <v>Dec</v>
      </c>
      <c r="T1756" s="9">
        <f>VLOOKUP(O1756, Annual_Summary!A:B, 2, 0)</f>
        <v>0.2858955987717503</v>
      </c>
    </row>
    <row r="1757" spans="1:20" x14ac:dyDescent="0.3">
      <c r="A1757" s="1">
        <v>46003</v>
      </c>
      <c r="B1757" t="s">
        <v>15</v>
      </c>
      <c r="C1757" s="3">
        <v>1550.8</v>
      </c>
      <c r="D1757" s="3">
        <v>1559.8</v>
      </c>
      <c r="E1757" s="3">
        <v>1546.1</v>
      </c>
      <c r="F1757" s="3">
        <v>1545</v>
      </c>
      <c r="G1757" s="3">
        <v>1554.3</v>
      </c>
      <c r="H1757" s="3">
        <v>1556.5</v>
      </c>
      <c r="I1757" s="3">
        <v>1555.21</v>
      </c>
      <c r="J1757" s="3">
        <v>1581.3</v>
      </c>
      <c r="K1757" s="3">
        <v>1114.8499999999999</v>
      </c>
      <c r="L1757" s="2">
        <v>5106655</v>
      </c>
      <c r="M1757" s="2">
        <v>7941940758.5</v>
      </c>
      <c r="N1757" s="2">
        <v>139702</v>
      </c>
      <c r="O1757" t="s">
        <v>23</v>
      </c>
      <c r="P1757" s="8">
        <f t="shared" si="81"/>
        <v>-5.7999999999999545</v>
      </c>
      <c r="Q1757" t="s">
        <v>41</v>
      </c>
      <c r="R1757">
        <f t="shared" si="82"/>
        <v>12</v>
      </c>
      <c r="S1757" t="str">
        <f t="shared" si="83"/>
        <v>Dec</v>
      </c>
      <c r="T1757" s="9">
        <f>VLOOKUP(O1757, Annual_Summary!A:B, 2, 0)</f>
        <v>0.2858955987717503</v>
      </c>
    </row>
    <row r="1758" spans="1:20" x14ac:dyDescent="0.3">
      <c r="A1758" s="1">
        <v>46002</v>
      </c>
      <c r="B1758" t="s">
        <v>15</v>
      </c>
      <c r="C1758" s="3">
        <v>1536.9</v>
      </c>
      <c r="D1758" s="3">
        <v>1550</v>
      </c>
      <c r="E1758" s="3">
        <v>1524</v>
      </c>
      <c r="F1758" s="3">
        <v>1536.9</v>
      </c>
      <c r="G1758" s="3">
        <v>1543</v>
      </c>
      <c r="H1758" s="3">
        <v>1545</v>
      </c>
      <c r="I1758" s="3">
        <v>1540.61</v>
      </c>
      <c r="J1758" s="3">
        <v>1581.3</v>
      </c>
      <c r="K1758" s="3">
        <v>1114.8499999999999</v>
      </c>
      <c r="L1758" s="2">
        <v>4706197</v>
      </c>
      <c r="M1758" s="2">
        <v>7250428118.3999996</v>
      </c>
      <c r="N1758" s="2">
        <v>168155</v>
      </c>
      <c r="O1758" t="s">
        <v>23</v>
      </c>
      <c r="P1758" s="8">
        <f t="shared" si="81"/>
        <v>0</v>
      </c>
      <c r="Q1758" t="s">
        <v>41</v>
      </c>
      <c r="R1758">
        <f t="shared" si="82"/>
        <v>12</v>
      </c>
      <c r="S1758" t="str">
        <f t="shared" si="83"/>
        <v>Dec</v>
      </c>
      <c r="T1758" s="9">
        <f>VLOOKUP(O1758, Annual_Summary!A:B, 2, 0)</f>
        <v>0.2858955987717503</v>
      </c>
    </row>
    <row r="1759" spans="1:20" x14ac:dyDescent="0.3">
      <c r="A1759" s="1">
        <v>46001</v>
      </c>
      <c r="B1759" t="s">
        <v>15</v>
      </c>
      <c r="C1759" s="3">
        <v>1534</v>
      </c>
      <c r="D1759" s="3">
        <v>1547.5</v>
      </c>
      <c r="E1759" s="3">
        <v>1531.4</v>
      </c>
      <c r="F1759" s="3">
        <v>1529.4</v>
      </c>
      <c r="G1759" s="3">
        <v>1533.5</v>
      </c>
      <c r="H1759" s="3">
        <v>1536.9</v>
      </c>
      <c r="I1759" s="3">
        <v>1539.72</v>
      </c>
      <c r="J1759" s="3">
        <v>1581.3</v>
      </c>
      <c r="K1759" s="3">
        <v>1114.8499999999999</v>
      </c>
      <c r="L1759" s="2">
        <v>7991629</v>
      </c>
      <c r="M1759" s="2">
        <v>12304893787.5</v>
      </c>
      <c r="N1759" s="2">
        <v>202989</v>
      </c>
      <c r="O1759" t="s">
        <v>23</v>
      </c>
      <c r="P1759" s="8">
        <f t="shared" si="81"/>
        <v>-4.5999999999999091</v>
      </c>
      <c r="Q1759" t="s">
        <v>41</v>
      </c>
      <c r="R1759">
        <f t="shared" si="82"/>
        <v>12</v>
      </c>
      <c r="S1759" t="str">
        <f t="shared" si="83"/>
        <v>Dec</v>
      </c>
      <c r="T1759" s="9">
        <f>VLOOKUP(O1759, Annual_Summary!A:B, 2, 0)</f>
        <v>0.2858955987717503</v>
      </c>
    </row>
    <row r="1760" spans="1:20" x14ac:dyDescent="0.3">
      <c r="A1760" s="1">
        <v>46000</v>
      </c>
      <c r="B1760" t="s">
        <v>15</v>
      </c>
      <c r="C1760" s="3">
        <v>1540.3</v>
      </c>
      <c r="D1760" s="3">
        <v>1542.5</v>
      </c>
      <c r="E1760" s="3">
        <v>1520.1</v>
      </c>
      <c r="F1760" s="3">
        <v>1543</v>
      </c>
      <c r="G1760" s="3">
        <v>1532.4</v>
      </c>
      <c r="H1760" s="3">
        <v>1529.4</v>
      </c>
      <c r="I1760" s="3">
        <v>1530</v>
      </c>
      <c r="J1760" s="3">
        <v>1581.3</v>
      </c>
      <c r="K1760" s="3">
        <v>1114.8499999999999</v>
      </c>
      <c r="L1760" s="2">
        <v>11503971</v>
      </c>
      <c r="M1760" s="2">
        <v>17601083501.200001</v>
      </c>
      <c r="N1760" s="2">
        <v>205129</v>
      </c>
      <c r="O1760" t="s">
        <v>23</v>
      </c>
      <c r="P1760" s="8">
        <f t="shared" si="81"/>
        <v>2.7000000000000455</v>
      </c>
      <c r="Q1760" t="s">
        <v>41</v>
      </c>
      <c r="R1760">
        <f t="shared" si="82"/>
        <v>12</v>
      </c>
      <c r="S1760" t="str">
        <f t="shared" si="83"/>
        <v>Dec</v>
      </c>
      <c r="T1760" s="9">
        <f>VLOOKUP(O1760, Annual_Summary!A:B, 2, 0)</f>
        <v>0.2858955987717503</v>
      </c>
    </row>
    <row r="1761" spans="1:20" x14ac:dyDescent="0.3">
      <c r="A1761" s="1">
        <v>45999</v>
      </c>
      <c r="B1761" t="s">
        <v>15</v>
      </c>
      <c r="C1761" s="3">
        <v>1539.2</v>
      </c>
      <c r="D1761" s="3">
        <v>1551</v>
      </c>
      <c r="E1761" s="3">
        <v>1535</v>
      </c>
      <c r="F1761" s="3">
        <v>1540.6</v>
      </c>
      <c r="G1761" s="3">
        <v>1539.9</v>
      </c>
      <c r="H1761" s="3">
        <v>1543</v>
      </c>
      <c r="I1761" s="3">
        <v>1540.71</v>
      </c>
      <c r="J1761" s="3">
        <v>1581.3</v>
      </c>
      <c r="K1761" s="3">
        <v>1114.8499999999999</v>
      </c>
      <c r="L1761" s="2">
        <v>11301491</v>
      </c>
      <c r="M1761" s="2">
        <v>17412309977.700001</v>
      </c>
      <c r="N1761" s="2">
        <v>182756</v>
      </c>
      <c r="O1761" t="s">
        <v>23</v>
      </c>
      <c r="P1761" s="8">
        <f t="shared" si="81"/>
        <v>1.3999999999998636</v>
      </c>
      <c r="Q1761" t="s">
        <v>41</v>
      </c>
      <c r="R1761">
        <f t="shared" si="82"/>
        <v>12</v>
      </c>
      <c r="S1761" t="str">
        <f t="shared" si="83"/>
        <v>Dec</v>
      </c>
      <c r="T1761" s="9">
        <f>VLOOKUP(O1761, Annual_Summary!A:B, 2, 0)</f>
        <v>0.2858955987717503</v>
      </c>
    </row>
    <row r="1762" spans="1:20" x14ac:dyDescent="0.3">
      <c r="A1762" s="1">
        <v>45996</v>
      </c>
      <c r="B1762" t="s">
        <v>15</v>
      </c>
      <c r="C1762" s="3">
        <v>1530.4</v>
      </c>
      <c r="D1762" s="3">
        <v>1545.8</v>
      </c>
      <c r="E1762" s="3">
        <v>1520.6</v>
      </c>
      <c r="F1762" s="3">
        <v>1535.6</v>
      </c>
      <c r="G1762" s="3">
        <v>1544.6</v>
      </c>
      <c r="H1762" s="3">
        <v>1540.6</v>
      </c>
      <c r="I1762" s="3">
        <v>1534.8</v>
      </c>
      <c r="J1762" s="3">
        <v>1581.3</v>
      </c>
      <c r="K1762" s="3">
        <v>1114.8499999999999</v>
      </c>
      <c r="L1762" s="2">
        <v>10183266</v>
      </c>
      <c r="M1762" s="2">
        <v>15629290582.5</v>
      </c>
      <c r="N1762" s="2">
        <v>181528</v>
      </c>
      <c r="O1762" t="s">
        <v>23</v>
      </c>
      <c r="P1762" s="8">
        <f t="shared" si="81"/>
        <v>5.1999999999998181</v>
      </c>
      <c r="Q1762" t="s">
        <v>41</v>
      </c>
      <c r="R1762">
        <f t="shared" si="82"/>
        <v>12</v>
      </c>
      <c r="S1762" t="str">
        <f t="shared" si="83"/>
        <v>Dec</v>
      </c>
      <c r="T1762" s="9">
        <f>VLOOKUP(O1762, Annual_Summary!A:B, 2, 0)</f>
        <v>0.2858955987717503</v>
      </c>
    </row>
    <row r="1763" spans="1:20" x14ac:dyDescent="0.3">
      <c r="A1763" s="1">
        <v>45995</v>
      </c>
      <c r="B1763" t="s">
        <v>15</v>
      </c>
      <c r="C1763" s="3">
        <v>1536</v>
      </c>
      <c r="D1763" s="3">
        <v>1560.5</v>
      </c>
      <c r="E1763" s="3">
        <v>1517.6</v>
      </c>
      <c r="F1763" s="3">
        <v>1538.8</v>
      </c>
      <c r="G1763" s="3">
        <v>1525.3</v>
      </c>
      <c r="H1763" s="3">
        <v>1535.6</v>
      </c>
      <c r="I1763" s="3">
        <v>1543.73</v>
      </c>
      <c r="J1763" s="3">
        <v>1581.3</v>
      </c>
      <c r="K1763" s="3">
        <v>1114.8499999999999</v>
      </c>
      <c r="L1763" s="2">
        <v>11867930</v>
      </c>
      <c r="M1763" s="2">
        <v>18320833054.599998</v>
      </c>
      <c r="N1763" s="2">
        <v>203260</v>
      </c>
      <c r="O1763" t="s">
        <v>23</v>
      </c>
      <c r="P1763" s="8">
        <f t="shared" si="81"/>
        <v>2.7999999999999545</v>
      </c>
      <c r="Q1763" t="s">
        <v>41</v>
      </c>
      <c r="R1763">
        <f t="shared" si="82"/>
        <v>12</v>
      </c>
      <c r="S1763" t="str">
        <f t="shared" si="83"/>
        <v>Dec</v>
      </c>
      <c r="T1763" s="9">
        <f>VLOOKUP(O1763, Annual_Summary!A:B, 2, 0)</f>
        <v>0.2858955987717503</v>
      </c>
    </row>
    <row r="1764" spans="1:20" x14ac:dyDescent="0.3">
      <c r="A1764" s="1">
        <v>45994</v>
      </c>
      <c r="B1764" t="s">
        <v>15</v>
      </c>
      <c r="C1764" s="3">
        <v>1545.2</v>
      </c>
      <c r="D1764" s="3">
        <v>1552.4</v>
      </c>
      <c r="E1764" s="3">
        <v>1533</v>
      </c>
      <c r="F1764" s="3">
        <v>1546.3</v>
      </c>
      <c r="G1764" s="3">
        <v>1539.1</v>
      </c>
      <c r="H1764" s="3">
        <v>1538.8</v>
      </c>
      <c r="I1764" s="3">
        <v>1539.45</v>
      </c>
      <c r="J1764" s="3">
        <v>1581.3</v>
      </c>
      <c r="K1764" s="3">
        <v>1114.8499999999999</v>
      </c>
      <c r="L1764" s="2">
        <v>6090883</v>
      </c>
      <c r="M1764" s="2">
        <v>9376593978.8999996</v>
      </c>
      <c r="N1764" s="2">
        <v>156721</v>
      </c>
      <c r="O1764" t="s">
        <v>23</v>
      </c>
      <c r="P1764" s="8">
        <f t="shared" si="81"/>
        <v>1.0999999999999091</v>
      </c>
      <c r="Q1764" t="s">
        <v>41</v>
      </c>
      <c r="R1764">
        <f t="shared" si="82"/>
        <v>12</v>
      </c>
      <c r="S1764" t="str">
        <f t="shared" si="83"/>
        <v>Dec</v>
      </c>
      <c r="T1764" s="9">
        <f>VLOOKUP(O1764, Annual_Summary!A:B, 2, 0)</f>
        <v>0.2858955987717503</v>
      </c>
    </row>
    <row r="1765" spans="1:20" x14ac:dyDescent="0.3">
      <c r="A1765" s="1">
        <v>45993</v>
      </c>
      <c r="B1765" t="s">
        <v>15</v>
      </c>
      <c r="C1765" s="3">
        <v>1561.1</v>
      </c>
      <c r="D1765" s="3">
        <v>1567.5</v>
      </c>
      <c r="E1765" s="3">
        <v>1542</v>
      </c>
      <c r="F1765" s="3">
        <v>1566.1</v>
      </c>
      <c r="G1765" s="3">
        <v>1548.3</v>
      </c>
      <c r="H1765" s="3">
        <v>1546.3</v>
      </c>
      <c r="I1765" s="3">
        <v>1550.62</v>
      </c>
      <c r="J1765" s="3">
        <v>1581.3</v>
      </c>
      <c r="K1765" s="3">
        <v>1114.8499999999999</v>
      </c>
      <c r="L1765" s="2">
        <v>11389150</v>
      </c>
      <c r="M1765" s="2">
        <v>17660297036.299999</v>
      </c>
      <c r="N1765" s="2">
        <v>323713</v>
      </c>
      <c r="O1765" t="s">
        <v>23</v>
      </c>
      <c r="P1765" s="8">
        <f t="shared" si="81"/>
        <v>5</v>
      </c>
      <c r="Q1765" t="s">
        <v>41</v>
      </c>
      <c r="R1765">
        <f t="shared" si="82"/>
        <v>12</v>
      </c>
      <c r="S1765" t="str">
        <f t="shared" si="83"/>
        <v>Dec</v>
      </c>
      <c r="T1765" s="9">
        <f>VLOOKUP(O1765, Annual_Summary!A:B, 2, 0)</f>
        <v>0.2858955987717503</v>
      </c>
    </row>
    <row r="1766" spans="1:20" x14ac:dyDescent="0.3">
      <c r="A1766" s="1">
        <v>45992</v>
      </c>
      <c r="B1766" t="s">
        <v>15</v>
      </c>
      <c r="C1766" s="3">
        <v>1575</v>
      </c>
      <c r="D1766" s="3">
        <v>1577.5</v>
      </c>
      <c r="E1766" s="3">
        <v>1563.6</v>
      </c>
      <c r="F1766" s="3">
        <v>1567.5</v>
      </c>
      <c r="G1766" s="3">
        <v>1566.5</v>
      </c>
      <c r="H1766" s="3">
        <v>1566.1</v>
      </c>
      <c r="I1766" s="3">
        <v>1571.31</v>
      </c>
      <c r="J1766" s="3">
        <v>1581.3</v>
      </c>
      <c r="K1766" s="3">
        <v>1114.8499999999999</v>
      </c>
      <c r="L1766" s="2">
        <v>8920233</v>
      </c>
      <c r="M1766" s="2">
        <v>14016486649.5</v>
      </c>
      <c r="N1766" s="2">
        <v>292601</v>
      </c>
      <c r="O1766" t="s">
        <v>23</v>
      </c>
      <c r="P1766" s="8">
        <f t="shared" si="81"/>
        <v>-7.5</v>
      </c>
      <c r="Q1766" t="s">
        <v>41</v>
      </c>
      <c r="R1766">
        <f t="shared" si="82"/>
        <v>12</v>
      </c>
      <c r="S1766" t="str">
        <f t="shared" si="83"/>
        <v>Dec</v>
      </c>
      <c r="T1766" s="9">
        <f>VLOOKUP(O1766, Annual_Summary!A:B, 2, 0)</f>
        <v>0.2858955987717503</v>
      </c>
    </row>
    <row r="1767" spans="1:20" x14ac:dyDescent="0.3">
      <c r="A1767" s="1">
        <v>45989</v>
      </c>
      <c r="B1767" t="s">
        <v>15</v>
      </c>
      <c r="C1767" s="3">
        <v>1568</v>
      </c>
      <c r="D1767" s="3">
        <v>1581.3</v>
      </c>
      <c r="E1767" s="3">
        <v>1563</v>
      </c>
      <c r="F1767" s="3">
        <v>1563.4</v>
      </c>
      <c r="G1767" s="3">
        <v>1569</v>
      </c>
      <c r="H1767" s="3">
        <v>1567.5</v>
      </c>
      <c r="I1767" s="3">
        <v>1571.94</v>
      </c>
      <c r="J1767" s="3">
        <v>1581.3</v>
      </c>
      <c r="K1767" s="3">
        <v>1114.8499999999999</v>
      </c>
      <c r="L1767" s="2">
        <v>8959508</v>
      </c>
      <c r="M1767" s="2">
        <v>14083838960.4</v>
      </c>
      <c r="N1767" s="2">
        <v>229373</v>
      </c>
      <c r="O1767" t="s">
        <v>23</v>
      </c>
      <c r="P1767" s="8">
        <f t="shared" si="81"/>
        <v>-4.5999999999999091</v>
      </c>
      <c r="Q1767" t="s">
        <v>41</v>
      </c>
      <c r="R1767">
        <f t="shared" si="82"/>
        <v>11</v>
      </c>
      <c r="S1767" t="str">
        <f t="shared" si="83"/>
        <v>Nov</v>
      </c>
      <c r="T1767" s="9">
        <f>VLOOKUP(O1767, Annual_Summary!A:B, 2, 0)</f>
        <v>0.2858955987717503</v>
      </c>
    </row>
    <row r="1768" spans="1:20" x14ac:dyDescent="0.3">
      <c r="A1768" s="1">
        <v>45988</v>
      </c>
      <c r="B1768" t="s">
        <v>15</v>
      </c>
      <c r="C1768" s="3">
        <v>1575</v>
      </c>
      <c r="D1768" s="3">
        <v>1575.5</v>
      </c>
      <c r="E1768" s="3">
        <v>1556</v>
      </c>
      <c r="F1768" s="3">
        <v>1569.9</v>
      </c>
      <c r="G1768" s="3">
        <v>1564.8</v>
      </c>
      <c r="H1768" s="3">
        <v>1563.4</v>
      </c>
      <c r="I1768" s="3">
        <v>1563.68</v>
      </c>
      <c r="J1768" s="3">
        <v>1575.5</v>
      </c>
      <c r="K1768" s="3">
        <v>1114.8499999999999</v>
      </c>
      <c r="L1768" s="2">
        <v>9794643</v>
      </c>
      <c r="M1768" s="2">
        <v>15315704900.9</v>
      </c>
      <c r="N1768" s="2">
        <v>278929</v>
      </c>
      <c r="O1768" t="s">
        <v>23</v>
      </c>
      <c r="P1768" s="8">
        <f t="shared" si="81"/>
        <v>-5.0999999999999091</v>
      </c>
      <c r="Q1768" t="s">
        <v>41</v>
      </c>
      <c r="R1768">
        <f t="shared" si="82"/>
        <v>11</v>
      </c>
      <c r="S1768" t="str">
        <f t="shared" si="83"/>
        <v>Nov</v>
      </c>
      <c r="T1768" s="9">
        <f>VLOOKUP(O1768, Annual_Summary!A:B, 2, 0)</f>
        <v>0.2858955987717503</v>
      </c>
    </row>
    <row r="1769" spans="1:20" x14ac:dyDescent="0.3">
      <c r="A1769" s="1">
        <v>45987</v>
      </c>
      <c r="B1769" t="s">
        <v>15</v>
      </c>
      <c r="C1769" s="3">
        <v>1542.3</v>
      </c>
      <c r="D1769" s="3">
        <v>1571.6</v>
      </c>
      <c r="E1769" s="3">
        <v>1540.5</v>
      </c>
      <c r="F1769" s="3">
        <v>1539.7</v>
      </c>
      <c r="G1769" s="3">
        <v>1569.6</v>
      </c>
      <c r="H1769" s="3">
        <v>1569.9</v>
      </c>
      <c r="I1769" s="3">
        <v>1562.98</v>
      </c>
      <c r="J1769" s="3">
        <v>1571.6</v>
      </c>
      <c r="K1769" s="3">
        <v>1114.8499999999999</v>
      </c>
      <c r="L1769" s="2">
        <v>14054299</v>
      </c>
      <c r="M1769" s="2">
        <v>21966588733.900002</v>
      </c>
      <c r="N1769" s="2">
        <v>285274</v>
      </c>
      <c r="O1769" t="s">
        <v>23</v>
      </c>
      <c r="P1769" s="8">
        <f t="shared" si="81"/>
        <v>-2.5999999999999091</v>
      </c>
      <c r="Q1769" t="s">
        <v>41</v>
      </c>
      <c r="R1769">
        <f t="shared" si="82"/>
        <v>11</v>
      </c>
      <c r="S1769" t="str">
        <f t="shared" si="83"/>
        <v>Nov</v>
      </c>
      <c r="T1769" s="9">
        <f>VLOOKUP(O1769, Annual_Summary!A:B, 2, 0)</f>
        <v>0.2858955987717503</v>
      </c>
    </row>
    <row r="1770" spans="1:20" x14ac:dyDescent="0.3">
      <c r="A1770" s="1">
        <v>45986</v>
      </c>
      <c r="B1770" t="s">
        <v>15</v>
      </c>
      <c r="C1770" s="3">
        <v>1535.9</v>
      </c>
      <c r="D1770" s="3">
        <v>1559.6</v>
      </c>
      <c r="E1770" s="3">
        <v>1525.1</v>
      </c>
      <c r="F1770" s="3">
        <v>1535.9</v>
      </c>
      <c r="G1770" s="3">
        <v>1540</v>
      </c>
      <c r="H1770" s="3">
        <v>1539.7</v>
      </c>
      <c r="I1770" s="3">
        <v>1546.34</v>
      </c>
      <c r="J1770" s="3">
        <v>1559.6</v>
      </c>
      <c r="K1770" s="3">
        <v>1114.8499999999999</v>
      </c>
      <c r="L1770" s="2">
        <v>15033482</v>
      </c>
      <c r="M1770" s="2">
        <v>23246909829.700001</v>
      </c>
      <c r="N1770" s="2">
        <v>299805</v>
      </c>
      <c r="O1770" t="s">
        <v>23</v>
      </c>
      <c r="P1770" s="8">
        <f t="shared" si="81"/>
        <v>0</v>
      </c>
      <c r="Q1770" t="s">
        <v>41</v>
      </c>
      <c r="R1770">
        <f t="shared" si="82"/>
        <v>11</v>
      </c>
      <c r="S1770" t="str">
        <f t="shared" si="83"/>
        <v>Nov</v>
      </c>
      <c r="T1770" s="9">
        <f>VLOOKUP(O1770, Annual_Summary!A:B, 2, 0)</f>
        <v>0.2858955987717503</v>
      </c>
    </row>
    <row r="1771" spans="1:20" x14ac:dyDescent="0.3">
      <c r="A1771" s="1">
        <v>45985</v>
      </c>
      <c r="B1771" t="s">
        <v>15</v>
      </c>
      <c r="C1771" s="3">
        <v>1550</v>
      </c>
      <c r="D1771" s="3">
        <v>1550</v>
      </c>
      <c r="E1771" s="3">
        <v>1531.8</v>
      </c>
      <c r="F1771" s="3">
        <v>1546.6</v>
      </c>
      <c r="G1771" s="3">
        <v>1534.9</v>
      </c>
      <c r="H1771" s="3">
        <v>1535.9</v>
      </c>
      <c r="I1771" s="3">
        <v>1537.26</v>
      </c>
      <c r="J1771" s="3">
        <v>1557.8</v>
      </c>
      <c r="K1771" s="3">
        <v>1114.8499999999999</v>
      </c>
      <c r="L1771" s="2">
        <v>18433951</v>
      </c>
      <c r="M1771" s="2">
        <v>28337841303.400002</v>
      </c>
      <c r="N1771" s="2">
        <v>198313</v>
      </c>
      <c r="O1771" t="s">
        <v>23</v>
      </c>
      <c r="P1771" s="8">
        <f t="shared" si="81"/>
        <v>-3.4000000000000909</v>
      </c>
      <c r="Q1771" t="s">
        <v>41</v>
      </c>
      <c r="R1771">
        <f t="shared" si="82"/>
        <v>11</v>
      </c>
      <c r="S1771" t="str">
        <f t="shared" si="83"/>
        <v>Nov</v>
      </c>
      <c r="T1771" s="9">
        <f>VLOOKUP(O1771, Annual_Summary!A:B, 2, 0)</f>
        <v>0.2858955987717503</v>
      </c>
    </row>
    <row r="1772" spans="1:20" x14ac:dyDescent="0.3">
      <c r="A1772" s="1">
        <v>45982</v>
      </c>
      <c r="B1772" t="s">
        <v>15</v>
      </c>
      <c r="C1772" s="3">
        <v>1541</v>
      </c>
      <c r="D1772" s="3">
        <v>1557.8</v>
      </c>
      <c r="E1772" s="3">
        <v>1540.1</v>
      </c>
      <c r="F1772" s="3">
        <v>1549.1</v>
      </c>
      <c r="G1772" s="3">
        <v>1543.7</v>
      </c>
      <c r="H1772" s="3">
        <v>1546.6</v>
      </c>
      <c r="I1772" s="3">
        <v>1549.35</v>
      </c>
      <c r="J1772" s="3">
        <v>1557.8</v>
      </c>
      <c r="K1772" s="3">
        <v>1114.8499999999999</v>
      </c>
      <c r="L1772" s="2">
        <v>9615271</v>
      </c>
      <c r="M1772" s="2">
        <v>14897385970.299999</v>
      </c>
      <c r="N1772" s="2">
        <v>240250</v>
      </c>
      <c r="O1772" t="s">
        <v>23</v>
      </c>
      <c r="P1772" s="8">
        <f t="shared" si="81"/>
        <v>8.0999999999999091</v>
      </c>
      <c r="Q1772" t="s">
        <v>41</v>
      </c>
      <c r="R1772">
        <f t="shared" si="82"/>
        <v>11</v>
      </c>
      <c r="S1772" t="str">
        <f t="shared" si="83"/>
        <v>Nov</v>
      </c>
      <c r="T1772" s="9">
        <f>VLOOKUP(O1772, Annual_Summary!A:B, 2, 0)</f>
        <v>0.2858955987717503</v>
      </c>
    </row>
    <row r="1773" spans="1:20" x14ac:dyDescent="0.3">
      <c r="A1773" s="1">
        <v>45981</v>
      </c>
      <c r="B1773" t="s">
        <v>15</v>
      </c>
      <c r="C1773" s="3">
        <v>1530</v>
      </c>
      <c r="D1773" s="3">
        <v>1550.9</v>
      </c>
      <c r="E1773" s="3">
        <v>1526.7</v>
      </c>
      <c r="F1773" s="3">
        <v>1518.9</v>
      </c>
      <c r="G1773" s="3">
        <v>1549.5</v>
      </c>
      <c r="H1773" s="3">
        <v>1549.1</v>
      </c>
      <c r="I1773" s="3">
        <v>1543.57</v>
      </c>
      <c r="J1773" s="3">
        <v>1551</v>
      </c>
      <c r="K1773" s="3">
        <v>1114.8499999999999</v>
      </c>
      <c r="L1773" s="2">
        <v>18171724</v>
      </c>
      <c r="M1773" s="2">
        <v>28049306041.5</v>
      </c>
      <c r="N1773" s="2">
        <v>246552</v>
      </c>
      <c r="O1773" t="s">
        <v>23</v>
      </c>
      <c r="P1773" s="8">
        <f t="shared" si="81"/>
        <v>-11.099999999999909</v>
      </c>
      <c r="Q1773" t="s">
        <v>41</v>
      </c>
      <c r="R1773">
        <f t="shared" si="82"/>
        <v>11</v>
      </c>
      <c r="S1773" t="str">
        <f t="shared" si="83"/>
        <v>Nov</v>
      </c>
      <c r="T1773" s="9">
        <f>VLOOKUP(O1773, Annual_Summary!A:B, 2, 0)</f>
        <v>0.2858955987717503</v>
      </c>
    </row>
    <row r="1774" spans="1:20" x14ac:dyDescent="0.3">
      <c r="A1774" s="1">
        <v>45980</v>
      </c>
      <c r="B1774" t="s">
        <v>15</v>
      </c>
      <c r="C1774" s="3">
        <v>1517.4</v>
      </c>
      <c r="D1774" s="3">
        <v>1522.3</v>
      </c>
      <c r="E1774" s="3">
        <v>1512</v>
      </c>
      <c r="F1774" s="3">
        <v>1519.4</v>
      </c>
      <c r="G1774" s="3">
        <v>1519</v>
      </c>
      <c r="H1774" s="3">
        <v>1518.9</v>
      </c>
      <c r="I1774" s="3">
        <v>1518.64</v>
      </c>
      <c r="J1774" s="3">
        <v>1551</v>
      </c>
      <c r="K1774" s="3">
        <v>1114.8499999999999</v>
      </c>
      <c r="L1774" s="2">
        <v>5692366</v>
      </c>
      <c r="M1774" s="2">
        <v>8644640452.7000008</v>
      </c>
      <c r="N1774" s="2">
        <v>131481</v>
      </c>
      <c r="O1774" t="s">
        <v>23</v>
      </c>
      <c r="P1774" s="8">
        <f t="shared" si="81"/>
        <v>2</v>
      </c>
      <c r="Q1774" t="s">
        <v>41</v>
      </c>
      <c r="R1774">
        <f t="shared" si="82"/>
        <v>11</v>
      </c>
      <c r="S1774" t="str">
        <f t="shared" si="83"/>
        <v>Nov</v>
      </c>
      <c r="T1774" s="9">
        <f>VLOOKUP(O1774, Annual_Summary!A:B, 2, 0)</f>
        <v>0.2858955987717503</v>
      </c>
    </row>
    <row r="1775" spans="1:20" x14ac:dyDescent="0.3">
      <c r="A1775" s="1">
        <v>45979</v>
      </c>
      <c r="B1775" t="s">
        <v>15</v>
      </c>
      <c r="C1775" s="3">
        <v>1521.7</v>
      </c>
      <c r="D1775" s="3">
        <v>1527.8</v>
      </c>
      <c r="E1775" s="3">
        <v>1510.5</v>
      </c>
      <c r="F1775" s="3">
        <v>1518.3</v>
      </c>
      <c r="G1775" s="3">
        <v>1520</v>
      </c>
      <c r="H1775" s="3">
        <v>1519.4</v>
      </c>
      <c r="I1775" s="3">
        <v>1520.18</v>
      </c>
      <c r="J1775" s="3">
        <v>1551</v>
      </c>
      <c r="K1775" s="3">
        <v>1114.8499999999999</v>
      </c>
      <c r="L1775" s="2">
        <v>11045042</v>
      </c>
      <c r="M1775" s="2">
        <v>16790505249.5</v>
      </c>
      <c r="N1775" s="2">
        <v>165850</v>
      </c>
      <c r="O1775" t="s">
        <v>23</v>
      </c>
      <c r="P1775" s="8">
        <f t="shared" si="81"/>
        <v>-3.4000000000000909</v>
      </c>
      <c r="Q1775" t="s">
        <v>41</v>
      </c>
      <c r="R1775">
        <f t="shared" si="82"/>
        <v>11</v>
      </c>
      <c r="S1775" t="str">
        <f t="shared" si="83"/>
        <v>Nov</v>
      </c>
      <c r="T1775" s="9">
        <f>VLOOKUP(O1775, Annual_Summary!A:B, 2, 0)</f>
        <v>0.2858955987717503</v>
      </c>
    </row>
    <row r="1776" spans="1:20" x14ac:dyDescent="0.3">
      <c r="A1776" s="1">
        <v>45978</v>
      </c>
      <c r="B1776" t="s">
        <v>15</v>
      </c>
      <c r="C1776" s="3">
        <v>1520.9</v>
      </c>
      <c r="D1776" s="3">
        <v>1523.7</v>
      </c>
      <c r="E1776" s="3">
        <v>1511.5</v>
      </c>
      <c r="F1776" s="3">
        <v>1518.9</v>
      </c>
      <c r="G1776" s="3">
        <v>1518</v>
      </c>
      <c r="H1776" s="3">
        <v>1518.3</v>
      </c>
      <c r="I1776" s="3">
        <v>1516.89</v>
      </c>
      <c r="J1776" s="3">
        <v>1551</v>
      </c>
      <c r="K1776" s="3">
        <v>1114.8499999999999</v>
      </c>
      <c r="L1776" s="2">
        <v>5871416</v>
      </c>
      <c r="M1776" s="2">
        <v>8906294222.2999992</v>
      </c>
      <c r="N1776" s="2">
        <v>123473</v>
      </c>
      <c r="O1776" t="s">
        <v>23</v>
      </c>
      <c r="P1776" s="8">
        <f t="shared" si="81"/>
        <v>-2</v>
      </c>
      <c r="Q1776" t="s">
        <v>41</v>
      </c>
      <c r="R1776">
        <f t="shared" si="82"/>
        <v>11</v>
      </c>
      <c r="S1776" t="str">
        <f t="shared" si="83"/>
        <v>Nov</v>
      </c>
      <c r="T1776" s="9">
        <f>VLOOKUP(O1776, Annual_Summary!A:B, 2, 0)</f>
        <v>0.2858955987717503</v>
      </c>
    </row>
    <row r="1777" spans="1:20" x14ac:dyDescent="0.3">
      <c r="A1777" s="1">
        <v>45975</v>
      </c>
      <c r="B1777" t="s">
        <v>15</v>
      </c>
      <c r="C1777" s="3">
        <v>1505.5</v>
      </c>
      <c r="D1777" s="3">
        <v>1520.9</v>
      </c>
      <c r="E1777" s="3">
        <v>1505.5</v>
      </c>
      <c r="F1777" s="3">
        <v>1510.9</v>
      </c>
      <c r="G1777" s="3">
        <v>1518.2</v>
      </c>
      <c r="H1777" s="3">
        <v>1518.9</v>
      </c>
      <c r="I1777" s="3">
        <v>1516.51</v>
      </c>
      <c r="J1777" s="3">
        <v>1551</v>
      </c>
      <c r="K1777" s="3">
        <v>1114.8499999999999</v>
      </c>
      <c r="L1777" s="2">
        <v>7682823</v>
      </c>
      <c r="M1777" s="2">
        <v>11651084505.299999</v>
      </c>
      <c r="N1777" s="2">
        <v>194941</v>
      </c>
      <c r="O1777" t="s">
        <v>23</v>
      </c>
      <c r="P1777" s="8">
        <f t="shared" si="81"/>
        <v>5.4000000000000909</v>
      </c>
      <c r="Q1777" t="s">
        <v>41</v>
      </c>
      <c r="R1777">
        <f t="shared" si="82"/>
        <v>11</v>
      </c>
      <c r="S1777" t="str">
        <f t="shared" si="83"/>
        <v>Nov</v>
      </c>
      <c r="T1777" s="9">
        <f>VLOOKUP(O1777, Annual_Summary!A:B, 2, 0)</f>
        <v>0.2858955987717503</v>
      </c>
    </row>
    <row r="1778" spans="1:20" x14ac:dyDescent="0.3">
      <c r="A1778" s="1">
        <v>45974</v>
      </c>
      <c r="B1778" t="s">
        <v>15</v>
      </c>
      <c r="C1778" s="3">
        <v>1515</v>
      </c>
      <c r="D1778" s="3">
        <v>1522.1</v>
      </c>
      <c r="E1778" s="3">
        <v>1506.8</v>
      </c>
      <c r="F1778" s="3">
        <v>1511.5</v>
      </c>
      <c r="G1778" s="3">
        <v>1512.1</v>
      </c>
      <c r="H1778" s="3">
        <v>1510.9</v>
      </c>
      <c r="I1778" s="3">
        <v>1514.35</v>
      </c>
      <c r="J1778" s="3">
        <v>1551</v>
      </c>
      <c r="K1778" s="3">
        <v>1114.8499999999999</v>
      </c>
      <c r="L1778" s="2">
        <v>7196443</v>
      </c>
      <c r="M1778" s="2">
        <v>10897956389.700001</v>
      </c>
      <c r="N1778" s="2">
        <v>209774</v>
      </c>
      <c r="O1778" t="s">
        <v>23</v>
      </c>
      <c r="P1778" s="8">
        <f t="shared" si="81"/>
        <v>-3.5</v>
      </c>
      <c r="Q1778" t="s">
        <v>41</v>
      </c>
      <c r="R1778">
        <f t="shared" si="82"/>
        <v>11</v>
      </c>
      <c r="S1778" t="str">
        <f t="shared" si="83"/>
        <v>Nov</v>
      </c>
      <c r="T1778" s="9">
        <f>VLOOKUP(O1778, Annual_Summary!A:B, 2, 0)</f>
        <v>0.2858955987717503</v>
      </c>
    </row>
    <row r="1779" spans="1:20" x14ac:dyDescent="0.3">
      <c r="A1779" s="1">
        <v>45973</v>
      </c>
      <c r="B1779" t="s">
        <v>15</v>
      </c>
      <c r="C1779" s="3">
        <v>1505</v>
      </c>
      <c r="D1779" s="3">
        <v>1524.7</v>
      </c>
      <c r="E1779" s="3">
        <v>1500</v>
      </c>
      <c r="F1779" s="3">
        <v>1493.4</v>
      </c>
      <c r="G1779" s="3">
        <v>1511.8</v>
      </c>
      <c r="H1779" s="3">
        <v>1511.5</v>
      </c>
      <c r="I1779" s="3">
        <v>1515</v>
      </c>
      <c r="J1779" s="3">
        <v>1551</v>
      </c>
      <c r="K1779" s="3">
        <v>1114.8499999999999</v>
      </c>
      <c r="L1779" s="2">
        <v>12384459</v>
      </c>
      <c r="M1779" s="2">
        <v>18762517172.200001</v>
      </c>
      <c r="N1779" s="2">
        <v>252417</v>
      </c>
      <c r="O1779" t="s">
        <v>23</v>
      </c>
      <c r="P1779" s="8">
        <f t="shared" si="81"/>
        <v>-11.599999999999909</v>
      </c>
      <c r="Q1779" t="s">
        <v>41</v>
      </c>
      <c r="R1779">
        <f t="shared" si="82"/>
        <v>11</v>
      </c>
      <c r="S1779" t="str">
        <f t="shared" si="83"/>
        <v>Nov</v>
      </c>
      <c r="T1779" s="9">
        <f>VLOOKUP(O1779, Annual_Summary!A:B, 2, 0)</f>
        <v>0.2858955987717503</v>
      </c>
    </row>
    <row r="1780" spans="1:20" x14ac:dyDescent="0.3">
      <c r="A1780" s="1">
        <v>45972</v>
      </c>
      <c r="B1780" t="s">
        <v>15</v>
      </c>
      <c r="C1780" s="3">
        <v>1497</v>
      </c>
      <c r="D1780" s="3">
        <v>1498.8</v>
      </c>
      <c r="E1780" s="3">
        <v>1480.2</v>
      </c>
      <c r="F1780" s="3">
        <v>1489.3</v>
      </c>
      <c r="G1780" s="3">
        <v>1493.8</v>
      </c>
      <c r="H1780" s="3">
        <v>1493.4</v>
      </c>
      <c r="I1780" s="3">
        <v>1489.58</v>
      </c>
      <c r="J1780" s="3">
        <v>1551</v>
      </c>
      <c r="K1780" s="3">
        <v>1114.8499999999999</v>
      </c>
      <c r="L1780" s="2">
        <v>7127506</v>
      </c>
      <c r="M1780" s="2">
        <v>10616976771.799999</v>
      </c>
      <c r="N1780" s="2">
        <v>149607</v>
      </c>
      <c r="O1780" t="s">
        <v>23</v>
      </c>
      <c r="P1780" s="8">
        <f t="shared" si="81"/>
        <v>-7.7000000000000455</v>
      </c>
      <c r="Q1780" t="s">
        <v>41</v>
      </c>
      <c r="R1780">
        <f t="shared" si="82"/>
        <v>11</v>
      </c>
      <c r="S1780" t="str">
        <f t="shared" si="83"/>
        <v>Nov</v>
      </c>
      <c r="T1780" s="9">
        <f>VLOOKUP(O1780, Annual_Summary!A:B, 2, 0)</f>
        <v>0.2858955987717503</v>
      </c>
    </row>
    <row r="1781" spans="1:20" x14ac:dyDescent="0.3">
      <c r="A1781" s="1">
        <v>45971</v>
      </c>
      <c r="B1781" t="s">
        <v>15</v>
      </c>
      <c r="C1781" s="3">
        <v>1477.9</v>
      </c>
      <c r="D1781" s="3">
        <v>1501</v>
      </c>
      <c r="E1781" s="3">
        <v>1475.5</v>
      </c>
      <c r="F1781" s="3">
        <v>1478</v>
      </c>
      <c r="G1781" s="3">
        <v>1490.1</v>
      </c>
      <c r="H1781" s="3">
        <v>1489.3</v>
      </c>
      <c r="I1781" s="3">
        <v>1492.69</v>
      </c>
      <c r="J1781" s="3">
        <v>1551</v>
      </c>
      <c r="K1781" s="3">
        <v>1114.8499999999999</v>
      </c>
      <c r="L1781" s="2">
        <v>7068438</v>
      </c>
      <c r="M1781" s="2">
        <v>10550978254.299999</v>
      </c>
      <c r="N1781" s="2">
        <v>154602</v>
      </c>
      <c r="O1781" t="s">
        <v>23</v>
      </c>
      <c r="P1781" s="8">
        <f t="shared" si="81"/>
        <v>9.9999999999909051E-2</v>
      </c>
      <c r="Q1781" t="s">
        <v>41</v>
      </c>
      <c r="R1781">
        <f t="shared" si="82"/>
        <v>11</v>
      </c>
      <c r="S1781" t="str">
        <f t="shared" si="83"/>
        <v>Nov</v>
      </c>
      <c r="T1781" s="9">
        <f>VLOOKUP(O1781, Annual_Summary!A:B, 2, 0)</f>
        <v>0.2858955987717503</v>
      </c>
    </row>
    <row r="1782" spans="1:20" x14ac:dyDescent="0.3">
      <c r="A1782" s="1">
        <v>45968</v>
      </c>
      <c r="B1782" t="s">
        <v>15</v>
      </c>
      <c r="C1782" s="3">
        <v>1494.6</v>
      </c>
      <c r="D1782" s="3">
        <v>1498.4</v>
      </c>
      <c r="E1782" s="3">
        <v>1475.9</v>
      </c>
      <c r="F1782" s="3">
        <v>1496.1</v>
      </c>
      <c r="G1782" s="3">
        <v>1480</v>
      </c>
      <c r="H1782" s="3">
        <v>1478</v>
      </c>
      <c r="I1782" s="3">
        <v>1486.71</v>
      </c>
      <c r="J1782" s="3">
        <v>1551</v>
      </c>
      <c r="K1782" s="3">
        <v>1114.8499999999999</v>
      </c>
      <c r="L1782" s="2">
        <v>7821765</v>
      </c>
      <c r="M1782" s="2">
        <v>11628733264.1</v>
      </c>
      <c r="N1782" s="2">
        <v>139608</v>
      </c>
      <c r="O1782" t="s">
        <v>23</v>
      </c>
      <c r="P1782" s="8">
        <f t="shared" si="81"/>
        <v>1.5</v>
      </c>
      <c r="Q1782" t="s">
        <v>41</v>
      </c>
      <c r="R1782">
        <f t="shared" si="82"/>
        <v>11</v>
      </c>
      <c r="S1782" t="str">
        <f t="shared" si="83"/>
        <v>Nov</v>
      </c>
      <c r="T1782" s="9">
        <f>VLOOKUP(O1782, Annual_Summary!A:B, 2, 0)</f>
        <v>0.2858955987717503</v>
      </c>
    </row>
    <row r="1783" spans="1:20" x14ac:dyDescent="0.3">
      <c r="A1783" s="1">
        <v>45967</v>
      </c>
      <c r="B1783" t="s">
        <v>15</v>
      </c>
      <c r="C1783" s="3">
        <v>1484</v>
      </c>
      <c r="D1783" s="3">
        <v>1501.6</v>
      </c>
      <c r="E1783" s="3">
        <v>1476.2</v>
      </c>
      <c r="F1783" s="3">
        <v>1473.1</v>
      </c>
      <c r="G1783" s="3">
        <v>1494.8</v>
      </c>
      <c r="H1783" s="3">
        <v>1496.1</v>
      </c>
      <c r="I1783" s="3">
        <v>1494.08</v>
      </c>
      <c r="J1783" s="3">
        <v>1551</v>
      </c>
      <c r="K1783" s="3">
        <v>1114.8499999999999</v>
      </c>
      <c r="L1783" s="2">
        <v>16772678</v>
      </c>
      <c r="M1783" s="2">
        <v>25059656533.299999</v>
      </c>
      <c r="N1783" s="2">
        <v>269902</v>
      </c>
      <c r="O1783" t="s">
        <v>23</v>
      </c>
      <c r="P1783" s="8">
        <f t="shared" si="81"/>
        <v>-10.900000000000091</v>
      </c>
      <c r="Q1783" t="s">
        <v>41</v>
      </c>
      <c r="R1783">
        <f t="shared" si="82"/>
        <v>11</v>
      </c>
      <c r="S1783" t="str">
        <f t="shared" si="83"/>
        <v>Nov</v>
      </c>
      <c r="T1783" s="9">
        <f>VLOOKUP(O1783, Annual_Summary!A:B, 2, 0)</f>
        <v>0.2858955987717503</v>
      </c>
    </row>
    <row r="1784" spans="1:20" x14ac:dyDescent="0.3">
      <c r="A1784" s="1">
        <v>45965</v>
      </c>
      <c r="B1784" t="s">
        <v>15</v>
      </c>
      <c r="C1784" s="3">
        <v>1483.9</v>
      </c>
      <c r="D1784" s="3">
        <v>1492.8</v>
      </c>
      <c r="E1784" s="3">
        <v>1470.1</v>
      </c>
      <c r="F1784" s="3">
        <v>1484.7</v>
      </c>
      <c r="G1784" s="3">
        <v>1471.1</v>
      </c>
      <c r="H1784" s="3">
        <v>1473.1</v>
      </c>
      <c r="I1784" s="3">
        <v>1480.96</v>
      </c>
      <c r="J1784" s="3">
        <v>1551</v>
      </c>
      <c r="K1784" s="3">
        <v>1114.8499999999999</v>
      </c>
      <c r="L1784" s="2">
        <v>10007806</v>
      </c>
      <c r="M1784" s="2">
        <v>14821144472.700001</v>
      </c>
      <c r="N1784" s="2">
        <v>218103</v>
      </c>
      <c r="O1784" t="s">
        <v>23</v>
      </c>
      <c r="P1784" s="8">
        <f t="shared" si="81"/>
        <v>0.79999999999995453</v>
      </c>
      <c r="Q1784" t="s">
        <v>41</v>
      </c>
      <c r="R1784">
        <f t="shared" si="82"/>
        <v>11</v>
      </c>
      <c r="S1784" t="str">
        <f t="shared" si="83"/>
        <v>Nov</v>
      </c>
      <c r="T1784" s="9">
        <f>VLOOKUP(O1784, Annual_Summary!A:B, 2, 0)</f>
        <v>0.2858955987717503</v>
      </c>
    </row>
    <row r="1785" spans="1:20" x14ac:dyDescent="0.3">
      <c r="A1785" s="1">
        <v>45964</v>
      </c>
      <c r="B1785" t="s">
        <v>15</v>
      </c>
      <c r="C1785" s="3">
        <v>1486</v>
      </c>
      <c r="D1785" s="3">
        <v>1495</v>
      </c>
      <c r="E1785" s="3">
        <v>1479.3</v>
      </c>
      <c r="F1785" s="3">
        <v>1486.4</v>
      </c>
      <c r="G1785" s="3">
        <v>1487.3</v>
      </c>
      <c r="H1785" s="3">
        <v>1484.7</v>
      </c>
      <c r="I1785" s="3">
        <v>1488.29</v>
      </c>
      <c r="J1785" s="3">
        <v>1551</v>
      </c>
      <c r="K1785" s="3">
        <v>1114.8499999999999</v>
      </c>
      <c r="L1785" s="2">
        <v>8452085</v>
      </c>
      <c r="M1785" s="2">
        <v>12579161982.9</v>
      </c>
      <c r="N1785" s="2">
        <v>245664</v>
      </c>
      <c r="O1785" t="s">
        <v>23</v>
      </c>
      <c r="P1785" s="8">
        <f t="shared" si="81"/>
        <v>0.40000000000009095</v>
      </c>
      <c r="Q1785" t="s">
        <v>41</v>
      </c>
      <c r="R1785">
        <f t="shared" si="82"/>
        <v>11</v>
      </c>
      <c r="S1785" t="str">
        <f t="shared" si="83"/>
        <v>Nov</v>
      </c>
      <c r="T1785" s="9">
        <f>VLOOKUP(O1785, Annual_Summary!A:B, 2, 0)</f>
        <v>0.2858955987717503</v>
      </c>
    </row>
    <row r="1786" spans="1:20" x14ac:dyDescent="0.3">
      <c r="A1786" s="1">
        <v>45961</v>
      </c>
      <c r="B1786" t="s">
        <v>15</v>
      </c>
      <c r="C1786" s="3">
        <v>1490.4</v>
      </c>
      <c r="D1786" s="3">
        <v>1497.5</v>
      </c>
      <c r="E1786" s="3">
        <v>1482.3</v>
      </c>
      <c r="F1786" s="3">
        <v>1488.5</v>
      </c>
      <c r="G1786" s="3">
        <v>1487</v>
      </c>
      <c r="H1786" s="3">
        <v>1486.4</v>
      </c>
      <c r="I1786" s="3">
        <v>1487.8</v>
      </c>
      <c r="J1786" s="3">
        <v>1551</v>
      </c>
      <c r="K1786" s="3">
        <v>1114.8499999999999</v>
      </c>
      <c r="L1786" s="2">
        <v>8758053</v>
      </c>
      <c r="M1786" s="2">
        <v>13030257785.299999</v>
      </c>
      <c r="N1786" s="2">
        <v>206898</v>
      </c>
      <c r="O1786" t="s">
        <v>23</v>
      </c>
      <c r="P1786" s="8">
        <f t="shared" si="81"/>
        <v>-1.9000000000000909</v>
      </c>
      <c r="Q1786" t="s">
        <v>41</v>
      </c>
      <c r="R1786">
        <f t="shared" si="82"/>
        <v>10</v>
      </c>
      <c r="S1786" t="str">
        <f t="shared" si="83"/>
        <v>Oct</v>
      </c>
      <c r="T1786" s="9">
        <f>VLOOKUP(O1786, Annual_Summary!A:B, 2, 0)</f>
        <v>0.2858955987717503</v>
      </c>
    </row>
    <row r="1787" spans="1:20" x14ac:dyDescent="0.3">
      <c r="A1787" s="1">
        <v>45960</v>
      </c>
      <c r="B1787" t="s">
        <v>15</v>
      </c>
      <c r="C1787" s="3">
        <v>1500</v>
      </c>
      <c r="D1787" s="3">
        <v>1503.1</v>
      </c>
      <c r="E1787" s="3">
        <v>1484</v>
      </c>
      <c r="F1787" s="3">
        <v>1504.2</v>
      </c>
      <c r="G1787" s="3">
        <v>1489.5</v>
      </c>
      <c r="H1787" s="3">
        <v>1488.5</v>
      </c>
      <c r="I1787" s="3">
        <v>1492.27</v>
      </c>
      <c r="J1787" s="3">
        <v>1551</v>
      </c>
      <c r="K1787" s="3">
        <v>1114.8499999999999</v>
      </c>
      <c r="L1787" s="2">
        <v>9318663</v>
      </c>
      <c r="M1787" s="2">
        <v>13905920959.9</v>
      </c>
      <c r="N1787" s="2">
        <v>276397</v>
      </c>
      <c r="O1787" t="s">
        <v>23</v>
      </c>
      <c r="P1787" s="8">
        <f t="shared" si="81"/>
        <v>4.2000000000000455</v>
      </c>
      <c r="Q1787" t="s">
        <v>41</v>
      </c>
      <c r="R1787">
        <f t="shared" si="82"/>
        <v>10</v>
      </c>
      <c r="S1787" t="str">
        <f t="shared" si="83"/>
        <v>Oct</v>
      </c>
      <c r="T1787" s="9">
        <f>VLOOKUP(O1787, Annual_Summary!A:B, 2, 0)</f>
        <v>0.2858955987717503</v>
      </c>
    </row>
    <row r="1788" spans="1:20" x14ac:dyDescent="0.3">
      <c r="A1788" s="1">
        <v>45959</v>
      </c>
      <c r="B1788" t="s">
        <v>15</v>
      </c>
      <c r="C1788" s="3">
        <v>1490</v>
      </c>
      <c r="D1788" s="3">
        <v>1508.3</v>
      </c>
      <c r="E1788" s="3">
        <v>1488.1</v>
      </c>
      <c r="F1788" s="3">
        <v>1486.9</v>
      </c>
      <c r="G1788" s="3">
        <v>1504</v>
      </c>
      <c r="H1788" s="3">
        <v>1504.2</v>
      </c>
      <c r="I1788" s="3">
        <v>1502.67</v>
      </c>
      <c r="J1788" s="3">
        <v>1551</v>
      </c>
      <c r="K1788" s="3">
        <v>1114.8499999999999</v>
      </c>
      <c r="L1788" s="2">
        <v>11884745</v>
      </c>
      <c r="M1788" s="2">
        <v>17858800582.599998</v>
      </c>
      <c r="N1788" s="2">
        <v>219504</v>
      </c>
      <c r="O1788" t="s">
        <v>23</v>
      </c>
      <c r="P1788" s="8">
        <f t="shared" si="81"/>
        <v>-3.0999999999999091</v>
      </c>
      <c r="Q1788" t="s">
        <v>41</v>
      </c>
      <c r="R1788">
        <f t="shared" si="82"/>
        <v>10</v>
      </c>
      <c r="S1788" t="str">
        <f t="shared" si="83"/>
        <v>Oct</v>
      </c>
      <c r="T1788" s="9">
        <f>VLOOKUP(O1788, Annual_Summary!A:B, 2, 0)</f>
        <v>0.2858955987717503</v>
      </c>
    </row>
    <row r="1789" spans="1:20" x14ac:dyDescent="0.3">
      <c r="A1789" s="1">
        <v>45958</v>
      </c>
      <c r="B1789" t="s">
        <v>15</v>
      </c>
      <c r="C1789" s="3">
        <v>1484.1</v>
      </c>
      <c r="D1789" s="3">
        <v>1492</v>
      </c>
      <c r="E1789" s="3">
        <v>1477.6</v>
      </c>
      <c r="F1789" s="3">
        <v>1484.1</v>
      </c>
      <c r="G1789" s="3">
        <v>1489.7</v>
      </c>
      <c r="H1789" s="3">
        <v>1486.9</v>
      </c>
      <c r="I1789" s="3">
        <v>1484.96</v>
      </c>
      <c r="J1789" s="3">
        <v>1551</v>
      </c>
      <c r="K1789" s="3">
        <v>1114.8499999999999</v>
      </c>
      <c r="L1789" s="2">
        <v>17631577</v>
      </c>
      <c r="M1789" s="2">
        <v>26182248923.900002</v>
      </c>
      <c r="N1789" s="2">
        <v>314894</v>
      </c>
      <c r="O1789" t="s">
        <v>23</v>
      </c>
      <c r="P1789" s="8">
        <f t="shared" si="81"/>
        <v>0</v>
      </c>
      <c r="Q1789" t="s">
        <v>41</v>
      </c>
      <c r="R1789">
        <f t="shared" si="82"/>
        <v>10</v>
      </c>
      <c r="S1789" t="str">
        <f t="shared" si="83"/>
        <v>Oct</v>
      </c>
      <c r="T1789" s="9">
        <f>VLOOKUP(O1789, Annual_Summary!A:B, 2, 0)</f>
        <v>0.2858955987717503</v>
      </c>
    </row>
    <row r="1790" spans="1:20" x14ac:dyDescent="0.3">
      <c r="A1790" s="1">
        <v>45957</v>
      </c>
      <c r="B1790" t="s">
        <v>15</v>
      </c>
      <c r="C1790" s="3">
        <v>1463</v>
      </c>
      <c r="D1790" s="3">
        <v>1485</v>
      </c>
      <c r="E1790" s="3">
        <v>1458</v>
      </c>
      <c r="F1790" s="3">
        <v>1451.6</v>
      </c>
      <c r="G1790" s="3">
        <v>1483.2</v>
      </c>
      <c r="H1790" s="3">
        <v>1484.1</v>
      </c>
      <c r="I1790" s="3">
        <v>1480.24</v>
      </c>
      <c r="J1790" s="3">
        <v>1551</v>
      </c>
      <c r="K1790" s="3">
        <v>1114.8499999999999</v>
      </c>
      <c r="L1790" s="2">
        <v>14113867</v>
      </c>
      <c r="M1790" s="2">
        <v>20891882342.5</v>
      </c>
      <c r="N1790" s="2">
        <v>274839</v>
      </c>
      <c r="O1790" t="s">
        <v>23</v>
      </c>
      <c r="P1790" s="8">
        <f t="shared" si="81"/>
        <v>-11.400000000000091</v>
      </c>
      <c r="Q1790" t="s">
        <v>41</v>
      </c>
      <c r="R1790">
        <f t="shared" si="82"/>
        <v>10</v>
      </c>
      <c r="S1790" t="str">
        <f t="shared" si="83"/>
        <v>Oct</v>
      </c>
      <c r="T1790" s="9">
        <f>VLOOKUP(O1790, Annual_Summary!A:B, 2, 0)</f>
        <v>0.2858955987717503</v>
      </c>
    </row>
    <row r="1791" spans="1:20" x14ac:dyDescent="0.3">
      <c r="A1791" s="1">
        <v>45954</v>
      </c>
      <c r="B1791" t="s">
        <v>15</v>
      </c>
      <c r="C1791" s="3">
        <v>1450</v>
      </c>
      <c r="D1791" s="3">
        <v>1459.8</v>
      </c>
      <c r="E1791" s="3">
        <v>1441</v>
      </c>
      <c r="F1791" s="3">
        <v>1448.4</v>
      </c>
      <c r="G1791" s="3">
        <v>1451.1</v>
      </c>
      <c r="H1791" s="3">
        <v>1451.6</v>
      </c>
      <c r="I1791" s="3">
        <v>1450.25</v>
      </c>
      <c r="J1791" s="3">
        <v>2752</v>
      </c>
      <c r="K1791" s="3">
        <v>1114.8499999999999</v>
      </c>
      <c r="L1791" s="2">
        <v>9700837</v>
      </c>
      <c r="M1791" s="2">
        <v>14068622023.200001</v>
      </c>
      <c r="N1791" s="2">
        <v>221258</v>
      </c>
      <c r="O1791" t="s">
        <v>23</v>
      </c>
      <c r="P1791" s="8">
        <f t="shared" si="81"/>
        <v>-1.5999999999999091</v>
      </c>
      <c r="Q1791" t="s">
        <v>41</v>
      </c>
      <c r="R1791">
        <f t="shared" si="82"/>
        <v>10</v>
      </c>
      <c r="S1791" t="str">
        <f t="shared" si="83"/>
        <v>Oct</v>
      </c>
      <c r="T1791" s="9">
        <f>VLOOKUP(O1791, Annual_Summary!A:B, 2, 0)</f>
        <v>0.2858955987717503</v>
      </c>
    </row>
    <row r="1792" spans="1:20" x14ac:dyDescent="0.3">
      <c r="A1792" s="1">
        <v>45953</v>
      </c>
      <c r="B1792" t="s">
        <v>15</v>
      </c>
      <c r="C1792" s="3">
        <v>1475</v>
      </c>
      <c r="D1792" s="3">
        <v>1482.9</v>
      </c>
      <c r="E1792" s="3">
        <v>1444.6</v>
      </c>
      <c r="F1792" s="3">
        <v>1465.2</v>
      </c>
      <c r="G1792" s="3">
        <v>1448</v>
      </c>
      <c r="H1792" s="3">
        <v>1448.4</v>
      </c>
      <c r="I1792" s="3">
        <v>1464.71</v>
      </c>
      <c r="J1792" s="3">
        <v>2752</v>
      </c>
      <c r="K1792" s="3">
        <v>1114.8499999999999</v>
      </c>
      <c r="L1792" s="2">
        <v>18707090</v>
      </c>
      <c r="M1792" s="2">
        <v>27400374842.5</v>
      </c>
      <c r="N1792" s="2">
        <v>376220</v>
      </c>
      <c r="O1792" t="s">
        <v>23</v>
      </c>
      <c r="P1792" s="8">
        <f t="shared" si="81"/>
        <v>-9.7999999999999545</v>
      </c>
      <c r="Q1792" t="s">
        <v>41</v>
      </c>
      <c r="R1792">
        <f t="shared" si="82"/>
        <v>10</v>
      </c>
      <c r="S1792" t="str">
        <f t="shared" si="83"/>
        <v>Oct</v>
      </c>
      <c r="T1792" s="9">
        <f>VLOOKUP(O1792, Annual_Summary!A:B, 2, 0)</f>
        <v>0.2858955987717503</v>
      </c>
    </row>
    <row r="1793" spans="1:20" x14ac:dyDescent="0.3">
      <c r="A1793" s="1">
        <v>45951</v>
      </c>
      <c r="B1793" t="s">
        <v>15</v>
      </c>
      <c r="C1793" s="3">
        <v>1468</v>
      </c>
      <c r="D1793" s="3">
        <v>1474</v>
      </c>
      <c r="E1793" s="3">
        <v>1460</v>
      </c>
      <c r="F1793" s="3">
        <v>1466.8</v>
      </c>
      <c r="G1793" s="3">
        <v>1461</v>
      </c>
      <c r="H1793" s="3">
        <v>1465.2</v>
      </c>
      <c r="I1793" s="3">
        <v>1467.87</v>
      </c>
      <c r="J1793" s="3">
        <v>2752</v>
      </c>
      <c r="K1793" s="3">
        <v>1114.8499999999999</v>
      </c>
      <c r="L1793" s="2">
        <v>2066169</v>
      </c>
      <c r="M1793" s="2">
        <v>3032861642.8000002</v>
      </c>
      <c r="N1793" s="2">
        <v>86819</v>
      </c>
      <c r="O1793" t="s">
        <v>23</v>
      </c>
      <c r="P1793" s="8">
        <f t="shared" si="81"/>
        <v>-1.2000000000000455</v>
      </c>
      <c r="Q1793" t="s">
        <v>41</v>
      </c>
      <c r="R1793">
        <f t="shared" si="82"/>
        <v>10</v>
      </c>
      <c r="S1793" t="str">
        <f t="shared" si="83"/>
        <v>Oct</v>
      </c>
      <c r="T1793" s="9">
        <f>VLOOKUP(O1793, Annual_Summary!A:B, 2, 0)</f>
        <v>0.2858955987717503</v>
      </c>
    </row>
    <row r="1794" spans="1:20" x14ac:dyDescent="0.3">
      <c r="A1794" s="1">
        <v>45950</v>
      </c>
      <c r="B1794" t="s">
        <v>15</v>
      </c>
      <c r="C1794" s="3">
        <v>1440</v>
      </c>
      <c r="D1794" s="3">
        <v>1473.8</v>
      </c>
      <c r="E1794" s="3">
        <v>1433.3</v>
      </c>
      <c r="F1794" s="3">
        <v>1416.8</v>
      </c>
      <c r="G1794" s="3">
        <v>1467.9</v>
      </c>
      <c r="H1794" s="3">
        <v>1466.8</v>
      </c>
      <c r="I1794" s="3">
        <v>1461.76</v>
      </c>
      <c r="J1794" s="3">
        <v>2752</v>
      </c>
      <c r="K1794" s="3">
        <v>1114.8499999999999</v>
      </c>
      <c r="L1794" s="2">
        <v>24721978</v>
      </c>
      <c r="M1794" s="2">
        <v>36137673257.5</v>
      </c>
      <c r="N1794" s="2">
        <v>512798</v>
      </c>
      <c r="O1794" t="s">
        <v>23</v>
      </c>
      <c r="P1794" s="8">
        <f t="shared" si="81"/>
        <v>-23.200000000000045</v>
      </c>
      <c r="Q1794" t="s">
        <v>41</v>
      </c>
      <c r="R1794">
        <f t="shared" si="82"/>
        <v>10</v>
      </c>
      <c r="S1794" t="str">
        <f t="shared" si="83"/>
        <v>Oct</v>
      </c>
      <c r="T1794" s="9">
        <f>VLOOKUP(O1794, Annual_Summary!A:B, 2, 0)</f>
        <v>0.2858955987717503</v>
      </c>
    </row>
    <row r="1795" spans="1:20" x14ac:dyDescent="0.3">
      <c r="A1795" s="1">
        <v>45947</v>
      </c>
      <c r="B1795" t="s">
        <v>15</v>
      </c>
      <c r="C1795" s="3">
        <v>1401</v>
      </c>
      <c r="D1795" s="3">
        <v>1423.3</v>
      </c>
      <c r="E1795" s="3">
        <v>1399.1</v>
      </c>
      <c r="F1795" s="3">
        <v>1398.3</v>
      </c>
      <c r="G1795" s="3">
        <v>1419.1</v>
      </c>
      <c r="H1795" s="3">
        <v>1416.8</v>
      </c>
      <c r="I1795" s="3">
        <v>1413.78</v>
      </c>
      <c r="J1795" s="3">
        <v>2760.15</v>
      </c>
      <c r="K1795" s="3">
        <v>1114.8499999999999</v>
      </c>
      <c r="L1795" s="2">
        <v>19335561</v>
      </c>
      <c r="M1795" s="2">
        <v>27336205033</v>
      </c>
      <c r="N1795" s="2">
        <v>350761</v>
      </c>
      <c r="O1795" t="s">
        <v>23</v>
      </c>
      <c r="P1795" s="8">
        <f t="shared" ref="P1795:P1858" si="84">F1795-C1795</f>
        <v>-2.7000000000000455</v>
      </c>
      <c r="Q1795" t="s">
        <v>41</v>
      </c>
      <c r="R1795">
        <f t="shared" ref="R1795:R1858" si="85">MONTH(A1795)</f>
        <v>10</v>
      </c>
      <c r="S1795" t="str">
        <f t="shared" ref="S1795:S1858" si="86">TEXT(A1795,"mmm")</f>
        <v>Oct</v>
      </c>
      <c r="T1795" s="9">
        <f>VLOOKUP(O1795, Annual_Summary!A:B, 2, 0)</f>
        <v>0.2858955987717503</v>
      </c>
    </row>
    <row r="1796" spans="1:20" x14ac:dyDescent="0.3">
      <c r="A1796" s="1">
        <v>45946</v>
      </c>
      <c r="B1796" t="s">
        <v>15</v>
      </c>
      <c r="C1796" s="3">
        <v>1375.1</v>
      </c>
      <c r="D1796" s="3">
        <v>1400.5</v>
      </c>
      <c r="E1796" s="3">
        <v>1375</v>
      </c>
      <c r="F1796" s="3">
        <v>1374.3</v>
      </c>
      <c r="G1796" s="3">
        <v>1398.5</v>
      </c>
      <c r="H1796" s="3">
        <v>1398.3</v>
      </c>
      <c r="I1796" s="3">
        <v>1387.2</v>
      </c>
      <c r="J1796" s="3">
        <v>2760.15</v>
      </c>
      <c r="K1796" s="3">
        <v>1114.8499999999999</v>
      </c>
      <c r="L1796" s="2">
        <v>12315932</v>
      </c>
      <c r="M1796" s="2">
        <v>17084636046.799999</v>
      </c>
      <c r="N1796" s="2">
        <v>287913</v>
      </c>
      <c r="O1796" t="s">
        <v>23</v>
      </c>
      <c r="P1796" s="8">
        <f t="shared" si="84"/>
        <v>-0.79999999999995453</v>
      </c>
      <c r="Q1796" t="s">
        <v>41</v>
      </c>
      <c r="R1796">
        <f t="shared" si="85"/>
        <v>10</v>
      </c>
      <c r="S1796" t="str">
        <f t="shared" si="86"/>
        <v>Oct</v>
      </c>
      <c r="T1796" s="9">
        <f>VLOOKUP(O1796, Annual_Summary!A:B, 2, 0)</f>
        <v>0.2858955987717503</v>
      </c>
    </row>
    <row r="1797" spans="1:20" x14ac:dyDescent="0.3">
      <c r="A1797" s="1">
        <v>45945</v>
      </c>
      <c r="B1797" t="s">
        <v>15</v>
      </c>
      <c r="C1797" s="3">
        <v>1383</v>
      </c>
      <c r="D1797" s="3">
        <v>1384</v>
      </c>
      <c r="E1797" s="3">
        <v>1372.7</v>
      </c>
      <c r="F1797" s="3">
        <v>1375.9</v>
      </c>
      <c r="G1797" s="3">
        <v>1374.7</v>
      </c>
      <c r="H1797" s="3">
        <v>1374.3</v>
      </c>
      <c r="I1797" s="3">
        <v>1377.15</v>
      </c>
      <c r="J1797" s="3">
        <v>2760.15</v>
      </c>
      <c r="K1797" s="3">
        <v>1114.8499999999999</v>
      </c>
      <c r="L1797" s="2">
        <v>10882743</v>
      </c>
      <c r="M1797" s="2">
        <v>14987155897.299999</v>
      </c>
      <c r="N1797" s="2">
        <v>239811</v>
      </c>
      <c r="O1797" t="s">
        <v>23</v>
      </c>
      <c r="P1797" s="8">
        <f t="shared" si="84"/>
        <v>-7.0999999999999091</v>
      </c>
      <c r="Q1797" t="s">
        <v>41</v>
      </c>
      <c r="R1797">
        <f t="shared" si="85"/>
        <v>10</v>
      </c>
      <c r="S1797" t="str">
        <f t="shared" si="86"/>
        <v>Oct</v>
      </c>
      <c r="T1797" s="9">
        <f>VLOOKUP(O1797, Annual_Summary!A:B, 2, 0)</f>
        <v>0.2858955987717503</v>
      </c>
    </row>
    <row r="1798" spans="1:20" x14ac:dyDescent="0.3">
      <c r="A1798" s="1">
        <v>45944</v>
      </c>
      <c r="B1798" t="s">
        <v>15</v>
      </c>
      <c r="C1798" s="3">
        <v>1380</v>
      </c>
      <c r="D1798" s="3">
        <v>1388</v>
      </c>
      <c r="E1798" s="3">
        <v>1370.1</v>
      </c>
      <c r="F1798" s="3">
        <v>1375</v>
      </c>
      <c r="G1798" s="3">
        <v>1374.9</v>
      </c>
      <c r="H1798" s="3">
        <v>1375.9</v>
      </c>
      <c r="I1798" s="3">
        <v>1377.47</v>
      </c>
      <c r="J1798" s="3">
        <v>2760.15</v>
      </c>
      <c r="K1798" s="3">
        <v>1114.8499999999999</v>
      </c>
      <c r="L1798" s="2">
        <v>9768174</v>
      </c>
      <c r="M1798" s="2">
        <v>13455395764.799999</v>
      </c>
      <c r="N1798" s="2">
        <v>164937</v>
      </c>
      <c r="O1798" t="s">
        <v>23</v>
      </c>
      <c r="P1798" s="8">
        <f t="shared" si="84"/>
        <v>-5</v>
      </c>
      <c r="Q1798" t="s">
        <v>41</v>
      </c>
      <c r="R1798">
        <f t="shared" si="85"/>
        <v>10</v>
      </c>
      <c r="S1798" t="str">
        <f t="shared" si="86"/>
        <v>Oct</v>
      </c>
      <c r="T1798" s="9">
        <f>VLOOKUP(O1798, Annual_Summary!A:B, 2, 0)</f>
        <v>0.2858955987717503</v>
      </c>
    </row>
    <row r="1799" spans="1:20" x14ac:dyDescent="0.3">
      <c r="A1799" s="1">
        <v>45943</v>
      </c>
      <c r="B1799" t="s">
        <v>15</v>
      </c>
      <c r="C1799" s="3">
        <v>1376.9</v>
      </c>
      <c r="D1799" s="3">
        <v>1377.7</v>
      </c>
      <c r="E1799" s="3">
        <v>1367.8</v>
      </c>
      <c r="F1799" s="3">
        <v>1381.7</v>
      </c>
      <c r="G1799" s="3">
        <v>1376</v>
      </c>
      <c r="H1799" s="3">
        <v>1375</v>
      </c>
      <c r="I1799" s="3">
        <v>1372.7</v>
      </c>
      <c r="J1799" s="3">
        <v>2760.15</v>
      </c>
      <c r="K1799" s="3">
        <v>1114.8499999999999</v>
      </c>
      <c r="L1799" s="2">
        <v>7600682</v>
      </c>
      <c r="M1799" s="2">
        <v>10433492493.5</v>
      </c>
      <c r="N1799" s="2">
        <v>175585</v>
      </c>
      <c r="O1799" t="s">
        <v>23</v>
      </c>
      <c r="P1799" s="8">
        <f t="shared" si="84"/>
        <v>4.7999999999999545</v>
      </c>
      <c r="Q1799" t="s">
        <v>41</v>
      </c>
      <c r="R1799">
        <f t="shared" si="85"/>
        <v>10</v>
      </c>
      <c r="S1799" t="str">
        <f t="shared" si="86"/>
        <v>Oct</v>
      </c>
      <c r="T1799" s="9">
        <f>VLOOKUP(O1799, Annual_Summary!A:B, 2, 0)</f>
        <v>0.2858955987717503</v>
      </c>
    </row>
    <row r="1800" spans="1:20" x14ac:dyDescent="0.3">
      <c r="A1800" s="1">
        <v>45940</v>
      </c>
      <c r="B1800" t="s">
        <v>15</v>
      </c>
      <c r="C1800" s="3">
        <v>1377.8</v>
      </c>
      <c r="D1800" s="3">
        <v>1388</v>
      </c>
      <c r="E1800" s="3">
        <v>1375.1</v>
      </c>
      <c r="F1800" s="3">
        <v>1377.8</v>
      </c>
      <c r="G1800" s="3">
        <v>1380.9</v>
      </c>
      <c r="H1800" s="3">
        <v>1381.7</v>
      </c>
      <c r="I1800" s="3">
        <v>1383.21</v>
      </c>
      <c r="J1800" s="3">
        <v>2802</v>
      </c>
      <c r="K1800" s="3">
        <v>1114.8499999999999</v>
      </c>
      <c r="L1800" s="2">
        <v>6373084</v>
      </c>
      <c r="M1800" s="2">
        <v>8815317323.1000004</v>
      </c>
      <c r="N1800" s="2">
        <v>193985</v>
      </c>
      <c r="O1800" t="s">
        <v>23</v>
      </c>
      <c r="P1800" s="8">
        <f t="shared" si="84"/>
        <v>0</v>
      </c>
      <c r="Q1800" t="s">
        <v>41</v>
      </c>
      <c r="R1800">
        <f t="shared" si="85"/>
        <v>10</v>
      </c>
      <c r="S1800" t="str">
        <f t="shared" si="86"/>
        <v>Oct</v>
      </c>
      <c r="T1800" s="9">
        <f>VLOOKUP(O1800, Annual_Summary!A:B, 2, 0)</f>
        <v>0.2858955987717503</v>
      </c>
    </row>
    <row r="1801" spans="1:20" x14ac:dyDescent="0.3">
      <c r="A1801" s="1">
        <v>45939</v>
      </c>
      <c r="B1801" t="s">
        <v>15</v>
      </c>
      <c r="C1801" s="3">
        <v>1374</v>
      </c>
      <c r="D1801" s="3">
        <v>1380</v>
      </c>
      <c r="E1801" s="3">
        <v>1369.1</v>
      </c>
      <c r="F1801" s="3">
        <v>1367.4</v>
      </c>
      <c r="G1801" s="3">
        <v>1376.5</v>
      </c>
      <c r="H1801" s="3">
        <v>1377.8</v>
      </c>
      <c r="I1801" s="3">
        <v>1376.25</v>
      </c>
      <c r="J1801" s="3">
        <v>2802</v>
      </c>
      <c r="K1801" s="3">
        <v>1114.8499999999999</v>
      </c>
      <c r="L1801" s="2">
        <v>8826633</v>
      </c>
      <c r="M1801" s="2">
        <v>12147669213.5</v>
      </c>
      <c r="N1801" s="2">
        <v>217890</v>
      </c>
      <c r="O1801" t="s">
        <v>23</v>
      </c>
      <c r="P1801" s="8">
        <f t="shared" si="84"/>
        <v>-6.5999999999999091</v>
      </c>
      <c r="Q1801" t="s">
        <v>41</v>
      </c>
      <c r="R1801">
        <f t="shared" si="85"/>
        <v>10</v>
      </c>
      <c r="S1801" t="str">
        <f t="shared" si="86"/>
        <v>Oct</v>
      </c>
      <c r="T1801" s="9">
        <f>VLOOKUP(O1801, Annual_Summary!A:B, 2, 0)</f>
        <v>0.2858955987717503</v>
      </c>
    </row>
    <row r="1802" spans="1:20" x14ac:dyDescent="0.3">
      <c r="A1802" s="1">
        <v>45938</v>
      </c>
      <c r="B1802" t="s">
        <v>15</v>
      </c>
      <c r="C1802" s="3">
        <v>1384.8</v>
      </c>
      <c r="D1802" s="3">
        <v>1389</v>
      </c>
      <c r="E1802" s="3">
        <v>1364.5</v>
      </c>
      <c r="F1802" s="3">
        <v>1384.8</v>
      </c>
      <c r="G1802" s="3">
        <v>1367.3</v>
      </c>
      <c r="H1802" s="3">
        <v>1367.4</v>
      </c>
      <c r="I1802" s="3">
        <v>1371.62</v>
      </c>
      <c r="J1802" s="3">
        <v>2802</v>
      </c>
      <c r="K1802" s="3">
        <v>1114.8499999999999</v>
      </c>
      <c r="L1802" s="2">
        <v>8525081</v>
      </c>
      <c r="M1802" s="2">
        <v>11693212975.1</v>
      </c>
      <c r="N1802" s="2">
        <v>214245</v>
      </c>
      <c r="O1802" t="s">
        <v>23</v>
      </c>
      <c r="P1802" s="8">
        <f t="shared" si="84"/>
        <v>0</v>
      </c>
      <c r="Q1802" t="s">
        <v>41</v>
      </c>
      <c r="R1802">
        <f t="shared" si="85"/>
        <v>10</v>
      </c>
      <c r="S1802" t="str">
        <f t="shared" si="86"/>
        <v>Oct</v>
      </c>
      <c r="T1802" s="9">
        <f>VLOOKUP(O1802, Annual_Summary!A:B, 2, 0)</f>
        <v>0.2858955987717503</v>
      </c>
    </row>
    <row r="1803" spans="1:20" x14ac:dyDescent="0.3">
      <c r="A1803" s="1">
        <v>45937</v>
      </c>
      <c r="B1803" t="s">
        <v>15</v>
      </c>
      <c r="C1803" s="3">
        <v>1376</v>
      </c>
      <c r="D1803" s="3">
        <v>1395.9</v>
      </c>
      <c r="E1803" s="3">
        <v>1375.9</v>
      </c>
      <c r="F1803" s="3">
        <v>1375</v>
      </c>
      <c r="G1803" s="3">
        <v>1384.5</v>
      </c>
      <c r="H1803" s="3">
        <v>1384.8</v>
      </c>
      <c r="I1803" s="3">
        <v>1386.79</v>
      </c>
      <c r="J1803" s="3">
        <v>2802</v>
      </c>
      <c r="K1803" s="3">
        <v>1114.8499999999999</v>
      </c>
      <c r="L1803" s="2">
        <v>11244040</v>
      </c>
      <c r="M1803" s="2">
        <v>15593176402.200001</v>
      </c>
      <c r="N1803" s="2">
        <v>196055</v>
      </c>
      <c r="O1803" t="s">
        <v>23</v>
      </c>
      <c r="P1803" s="8">
        <f t="shared" si="84"/>
        <v>-1</v>
      </c>
      <c r="Q1803" t="s">
        <v>41</v>
      </c>
      <c r="R1803">
        <f t="shared" si="85"/>
        <v>10</v>
      </c>
      <c r="S1803" t="str">
        <f t="shared" si="86"/>
        <v>Oct</v>
      </c>
      <c r="T1803" s="9">
        <f>VLOOKUP(O1803, Annual_Summary!A:B, 2, 0)</f>
        <v>0.2858955987717503</v>
      </c>
    </row>
    <row r="1804" spans="1:20" x14ac:dyDescent="0.3">
      <c r="A1804" s="1">
        <v>45936</v>
      </c>
      <c r="B1804" t="s">
        <v>15</v>
      </c>
      <c r="C1804" s="3">
        <v>1360</v>
      </c>
      <c r="D1804" s="3">
        <v>1377.4</v>
      </c>
      <c r="E1804" s="3">
        <v>1359</v>
      </c>
      <c r="F1804" s="3">
        <v>1363.4</v>
      </c>
      <c r="G1804" s="3">
        <v>1374.9</v>
      </c>
      <c r="H1804" s="3">
        <v>1375</v>
      </c>
      <c r="I1804" s="3">
        <v>1367.85</v>
      </c>
      <c r="J1804" s="3">
        <v>2802</v>
      </c>
      <c r="K1804" s="3">
        <v>1114.8499999999999</v>
      </c>
      <c r="L1804" s="2">
        <v>12396580</v>
      </c>
      <c r="M1804" s="2">
        <v>16956655218.299999</v>
      </c>
      <c r="N1804" s="2">
        <v>184550</v>
      </c>
      <c r="O1804" t="s">
        <v>23</v>
      </c>
      <c r="P1804" s="8">
        <f t="shared" si="84"/>
        <v>3.4000000000000909</v>
      </c>
      <c r="Q1804" t="s">
        <v>41</v>
      </c>
      <c r="R1804">
        <f t="shared" si="85"/>
        <v>10</v>
      </c>
      <c r="S1804" t="str">
        <f t="shared" si="86"/>
        <v>Oct</v>
      </c>
      <c r="T1804" s="9">
        <f>VLOOKUP(O1804, Annual_Summary!A:B, 2, 0)</f>
        <v>0.2858955987717503</v>
      </c>
    </row>
    <row r="1805" spans="1:20" x14ac:dyDescent="0.3">
      <c r="A1805" s="1">
        <v>45933</v>
      </c>
      <c r="B1805" t="s">
        <v>15</v>
      </c>
      <c r="C1805" s="3">
        <v>1363.2</v>
      </c>
      <c r="D1805" s="3">
        <v>1371.6</v>
      </c>
      <c r="E1805" s="3">
        <v>1356.9</v>
      </c>
      <c r="F1805" s="3">
        <v>1368.7</v>
      </c>
      <c r="G1805" s="3">
        <v>1363.3</v>
      </c>
      <c r="H1805" s="3">
        <v>1363.4</v>
      </c>
      <c r="I1805" s="3">
        <v>1362.13</v>
      </c>
      <c r="J1805" s="3">
        <v>3049.95</v>
      </c>
      <c r="K1805" s="3">
        <v>1114.8499999999999</v>
      </c>
      <c r="L1805" s="2">
        <v>12842347</v>
      </c>
      <c r="M1805" s="2">
        <v>17492914973.799999</v>
      </c>
      <c r="N1805" s="2">
        <v>216161</v>
      </c>
      <c r="O1805" t="s">
        <v>23</v>
      </c>
      <c r="P1805" s="8">
        <f t="shared" si="84"/>
        <v>5.5</v>
      </c>
      <c r="Q1805" t="s">
        <v>41</v>
      </c>
      <c r="R1805">
        <f t="shared" si="85"/>
        <v>10</v>
      </c>
      <c r="S1805" t="str">
        <f t="shared" si="86"/>
        <v>Oct</v>
      </c>
      <c r="T1805" s="9">
        <f>VLOOKUP(O1805, Annual_Summary!A:B, 2, 0)</f>
        <v>0.2858955987717503</v>
      </c>
    </row>
    <row r="1806" spans="1:20" x14ac:dyDescent="0.3">
      <c r="A1806" s="1">
        <v>45931</v>
      </c>
      <c r="B1806" t="s">
        <v>15</v>
      </c>
      <c r="C1806" s="3">
        <v>1367</v>
      </c>
      <c r="D1806" s="3">
        <v>1378.6</v>
      </c>
      <c r="E1806" s="3">
        <v>1362.7</v>
      </c>
      <c r="F1806" s="3">
        <v>1364</v>
      </c>
      <c r="G1806" s="3">
        <v>1370</v>
      </c>
      <c r="H1806" s="3">
        <v>1368.7</v>
      </c>
      <c r="I1806" s="3">
        <v>1369.56</v>
      </c>
      <c r="J1806" s="3">
        <v>3049.95</v>
      </c>
      <c r="K1806" s="3">
        <v>1114.8499999999999</v>
      </c>
      <c r="L1806" s="2">
        <v>12045916</v>
      </c>
      <c r="M1806" s="2">
        <v>16497635567.1</v>
      </c>
      <c r="N1806" s="2">
        <v>258017</v>
      </c>
      <c r="O1806" t="s">
        <v>23</v>
      </c>
      <c r="P1806" s="8">
        <f t="shared" si="84"/>
        <v>-3</v>
      </c>
      <c r="Q1806" t="s">
        <v>41</v>
      </c>
      <c r="R1806">
        <f t="shared" si="85"/>
        <v>10</v>
      </c>
      <c r="S1806" t="str">
        <f t="shared" si="86"/>
        <v>Oct</v>
      </c>
      <c r="T1806" s="9">
        <f>VLOOKUP(O1806, Annual_Summary!A:B, 2, 0)</f>
        <v>0.2858955987717503</v>
      </c>
    </row>
    <row r="1807" spans="1:20" x14ac:dyDescent="0.3">
      <c r="A1807" s="1">
        <v>45930</v>
      </c>
      <c r="B1807" t="s">
        <v>15</v>
      </c>
      <c r="C1807" s="3">
        <v>1377.1</v>
      </c>
      <c r="D1807" s="3">
        <v>1377.1</v>
      </c>
      <c r="E1807" s="3">
        <v>1362.8</v>
      </c>
      <c r="F1807" s="3">
        <v>1372.8</v>
      </c>
      <c r="G1807" s="3">
        <v>1364</v>
      </c>
      <c r="H1807" s="3">
        <v>1364</v>
      </c>
      <c r="I1807" s="3">
        <v>1366.52</v>
      </c>
      <c r="J1807" s="3">
        <v>3049.95</v>
      </c>
      <c r="K1807" s="3">
        <v>1114.8499999999999</v>
      </c>
      <c r="L1807" s="2">
        <v>14604684</v>
      </c>
      <c r="M1807" s="2">
        <v>19957582304.900002</v>
      </c>
      <c r="N1807" s="2">
        <v>223375</v>
      </c>
      <c r="O1807" t="s">
        <v>23</v>
      </c>
      <c r="P1807" s="8">
        <f t="shared" si="84"/>
        <v>-4.2999999999999545</v>
      </c>
      <c r="Q1807" t="s">
        <v>41</v>
      </c>
      <c r="R1807">
        <f t="shared" si="85"/>
        <v>9</v>
      </c>
      <c r="S1807" t="str">
        <f t="shared" si="86"/>
        <v>Sep</v>
      </c>
      <c r="T1807" s="9">
        <f>VLOOKUP(O1807, Annual_Summary!A:B, 2, 0)</f>
        <v>0.2858955987717503</v>
      </c>
    </row>
    <row r="1808" spans="1:20" x14ac:dyDescent="0.3">
      <c r="A1808" s="1">
        <v>45929</v>
      </c>
      <c r="B1808" t="s">
        <v>15</v>
      </c>
      <c r="C1808" s="3">
        <v>1381.6</v>
      </c>
      <c r="D1808" s="3">
        <v>1389</v>
      </c>
      <c r="E1808" s="3">
        <v>1368</v>
      </c>
      <c r="F1808" s="3">
        <v>1377.6</v>
      </c>
      <c r="G1808" s="3">
        <v>1376</v>
      </c>
      <c r="H1808" s="3">
        <v>1372.8</v>
      </c>
      <c r="I1808" s="3">
        <v>1375.78</v>
      </c>
      <c r="J1808" s="3">
        <v>3049.95</v>
      </c>
      <c r="K1808" s="3">
        <v>1114.8499999999999</v>
      </c>
      <c r="L1808" s="2">
        <v>14231999</v>
      </c>
      <c r="M1808" s="2">
        <v>19580110793.700001</v>
      </c>
      <c r="N1808" s="2">
        <v>213268</v>
      </c>
      <c r="O1808" t="s">
        <v>23</v>
      </c>
      <c r="P1808" s="8">
        <f t="shared" si="84"/>
        <v>-4</v>
      </c>
      <c r="Q1808" t="s">
        <v>41</v>
      </c>
      <c r="R1808">
        <f t="shared" si="85"/>
        <v>9</v>
      </c>
      <c r="S1808" t="str">
        <f t="shared" si="86"/>
        <v>Sep</v>
      </c>
      <c r="T1808" s="9">
        <f>VLOOKUP(O1808, Annual_Summary!A:B, 2, 0)</f>
        <v>0.2858955987717503</v>
      </c>
    </row>
    <row r="1809" spans="1:20" x14ac:dyDescent="0.3">
      <c r="A1809" s="1">
        <v>45926</v>
      </c>
      <c r="B1809" t="s">
        <v>15</v>
      </c>
      <c r="C1809" s="3">
        <v>1372</v>
      </c>
      <c r="D1809" s="3">
        <v>1382.7</v>
      </c>
      <c r="E1809" s="3">
        <v>1366</v>
      </c>
      <c r="F1809" s="3">
        <v>1372.4</v>
      </c>
      <c r="G1809" s="3">
        <v>1379</v>
      </c>
      <c r="H1809" s="3">
        <v>1377.6</v>
      </c>
      <c r="I1809" s="3">
        <v>1376.37</v>
      </c>
      <c r="J1809" s="3">
        <v>3066.95</v>
      </c>
      <c r="K1809" s="3">
        <v>1114.8499999999999</v>
      </c>
      <c r="L1809" s="2">
        <v>9879109</v>
      </c>
      <c r="M1809" s="2">
        <v>13597342647</v>
      </c>
      <c r="N1809" s="2">
        <v>148644</v>
      </c>
      <c r="O1809" t="s">
        <v>23</v>
      </c>
      <c r="P1809" s="8">
        <f t="shared" si="84"/>
        <v>0.40000000000009095</v>
      </c>
      <c r="Q1809" t="s">
        <v>41</v>
      </c>
      <c r="R1809">
        <f t="shared" si="85"/>
        <v>9</v>
      </c>
      <c r="S1809" t="str">
        <f t="shared" si="86"/>
        <v>Sep</v>
      </c>
      <c r="T1809" s="9">
        <f>VLOOKUP(O1809, Annual_Summary!A:B, 2, 0)</f>
        <v>0.2858955987717503</v>
      </c>
    </row>
    <row r="1810" spans="1:20" x14ac:dyDescent="0.3">
      <c r="A1810" s="1">
        <v>45925</v>
      </c>
      <c r="B1810" t="s">
        <v>15</v>
      </c>
      <c r="C1810" s="3">
        <v>1381.3</v>
      </c>
      <c r="D1810" s="3">
        <v>1384.5</v>
      </c>
      <c r="E1810" s="3">
        <v>1369</v>
      </c>
      <c r="F1810" s="3">
        <v>1383</v>
      </c>
      <c r="G1810" s="3">
        <v>1374.8</v>
      </c>
      <c r="H1810" s="3">
        <v>1372.4</v>
      </c>
      <c r="I1810" s="3">
        <v>1375.53</v>
      </c>
      <c r="J1810" s="3">
        <v>3066.95</v>
      </c>
      <c r="K1810" s="3">
        <v>1114.8499999999999</v>
      </c>
      <c r="L1810" s="2">
        <v>11411143</v>
      </c>
      <c r="M1810" s="2">
        <v>15696373894</v>
      </c>
      <c r="N1810" s="2">
        <v>155102</v>
      </c>
      <c r="O1810" t="s">
        <v>23</v>
      </c>
      <c r="P1810" s="8">
        <f t="shared" si="84"/>
        <v>1.7000000000000455</v>
      </c>
      <c r="Q1810" t="s">
        <v>41</v>
      </c>
      <c r="R1810">
        <f t="shared" si="85"/>
        <v>9</v>
      </c>
      <c r="S1810" t="str">
        <f t="shared" si="86"/>
        <v>Sep</v>
      </c>
      <c r="T1810" s="9">
        <f>VLOOKUP(O1810, Annual_Summary!A:B, 2, 0)</f>
        <v>0.2858955987717503</v>
      </c>
    </row>
    <row r="1811" spans="1:20" x14ac:dyDescent="0.3">
      <c r="A1811" s="1">
        <v>45924</v>
      </c>
      <c r="B1811" t="s">
        <v>15</v>
      </c>
      <c r="C1811" s="3">
        <v>1385.3</v>
      </c>
      <c r="D1811" s="3">
        <v>1396</v>
      </c>
      <c r="E1811" s="3">
        <v>1380.4</v>
      </c>
      <c r="F1811" s="3">
        <v>1389.8</v>
      </c>
      <c r="G1811" s="3">
        <v>1381.1</v>
      </c>
      <c r="H1811" s="3">
        <v>1383</v>
      </c>
      <c r="I1811" s="3">
        <v>1387.32</v>
      </c>
      <c r="J1811" s="3">
        <v>3066.95</v>
      </c>
      <c r="K1811" s="3">
        <v>1114.8499999999999</v>
      </c>
      <c r="L1811" s="2">
        <v>5922759</v>
      </c>
      <c r="M1811" s="2">
        <v>8216778017.5</v>
      </c>
      <c r="N1811" s="2">
        <v>120399</v>
      </c>
      <c r="O1811" t="s">
        <v>23</v>
      </c>
      <c r="P1811" s="8">
        <f t="shared" si="84"/>
        <v>4.5</v>
      </c>
      <c r="Q1811" t="s">
        <v>41</v>
      </c>
      <c r="R1811">
        <f t="shared" si="85"/>
        <v>9</v>
      </c>
      <c r="S1811" t="str">
        <f t="shared" si="86"/>
        <v>Sep</v>
      </c>
      <c r="T1811" s="9">
        <f>VLOOKUP(O1811, Annual_Summary!A:B, 2, 0)</f>
        <v>0.2858955987717503</v>
      </c>
    </row>
    <row r="1812" spans="1:20" x14ac:dyDescent="0.3">
      <c r="A1812" s="1">
        <v>45923</v>
      </c>
      <c r="B1812" t="s">
        <v>15</v>
      </c>
      <c r="C1812" s="3">
        <v>1391</v>
      </c>
      <c r="D1812" s="3">
        <v>1395</v>
      </c>
      <c r="E1812" s="3">
        <v>1376.8</v>
      </c>
      <c r="F1812" s="3">
        <v>1390.6</v>
      </c>
      <c r="G1812" s="3">
        <v>1390.5</v>
      </c>
      <c r="H1812" s="3">
        <v>1389.8</v>
      </c>
      <c r="I1812" s="3">
        <v>1387.57</v>
      </c>
      <c r="J1812" s="3">
        <v>3066.95</v>
      </c>
      <c r="K1812" s="3">
        <v>1114.8499999999999</v>
      </c>
      <c r="L1812" s="2">
        <v>14014702</v>
      </c>
      <c r="M1812" s="2">
        <v>19446355038.700001</v>
      </c>
      <c r="N1812" s="2">
        <v>210931</v>
      </c>
      <c r="O1812" t="s">
        <v>23</v>
      </c>
      <c r="P1812" s="8">
        <f t="shared" si="84"/>
        <v>-0.40000000000009095</v>
      </c>
      <c r="Q1812" t="s">
        <v>41</v>
      </c>
      <c r="R1812">
        <f t="shared" si="85"/>
        <v>9</v>
      </c>
      <c r="S1812" t="str">
        <f t="shared" si="86"/>
        <v>Sep</v>
      </c>
      <c r="T1812" s="9">
        <f>VLOOKUP(O1812, Annual_Summary!A:B, 2, 0)</f>
        <v>0.2858955987717503</v>
      </c>
    </row>
    <row r="1813" spans="1:20" x14ac:dyDescent="0.3">
      <c r="A1813" s="1">
        <v>45922</v>
      </c>
      <c r="B1813" t="s">
        <v>15</v>
      </c>
      <c r="C1813" s="3">
        <v>1403.9</v>
      </c>
      <c r="D1813" s="3">
        <v>1410.7</v>
      </c>
      <c r="E1813" s="3">
        <v>1388</v>
      </c>
      <c r="F1813" s="3">
        <v>1407.4</v>
      </c>
      <c r="G1813" s="3">
        <v>1390.9</v>
      </c>
      <c r="H1813" s="3">
        <v>1390.6</v>
      </c>
      <c r="I1813" s="3">
        <v>1400.91</v>
      </c>
      <c r="J1813" s="3">
        <v>3066.95</v>
      </c>
      <c r="K1813" s="3">
        <v>1114.8499999999999</v>
      </c>
      <c r="L1813" s="2">
        <v>7757970</v>
      </c>
      <c r="M1813" s="2">
        <v>10868228760.6</v>
      </c>
      <c r="N1813" s="2">
        <v>136991</v>
      </c>
      <c r="O1813" t="s">
        <v>23</v>
      </c>
      <c r="P1813" s="8">
        <f t="shared" si="84"/>
        <v>3.5</v>
      </c>
      <c r="Q1813" t="s">
        <v>41</v>
      </c>
      <c r="R1813">
        <f t="shared" si="85"/>
        <v>9</v>
      </c>
      <c r="S1813" t="str">
        <f t="shared" si="86"/>
        <v>Sep</v>
      </c>
      <c r="T1813" s="9">
        <f>VLOOKUP(O1813, Annual_Summary!A:B, 2, 0)</f>
        <v>0.2858955987717503</v>
      </c>
    </row>
    <row r="1814" spans="1:20" x14ac:dyDescent="0.3">
      <c r="A1814" s="1">
        <v>45919</v>
      </c>
      <c r="B1814" t="s">
        <v>15</v>
      </c>
      <c r="C1814" s="3">
        <v>1414.9</v>
      </c>
      <c r="D1814" s="3">
        <v>1417</v>
      </c>
      <c r="E1814" s="3">
        <v>1403.6</v>
      </c>
      <c r="F1814" s="3">
        <v>1415</v>
      </c>
      <c r="G1814" s="3">
        <v>1407.6</v>
      </c>
      <c r="H1814" s="3">
        <v>1407.4</v>
      </c>
      <c r="I1814" s="3">
        <v>1408.43</v>
      </c>
      <c r="J1814" s="3">
        <v>3066.95</v>
      </c>
      <c r="K1814" s="3">
        <v>1114.8499999999999</v>
      </c>
      <c r="L1814" s="2">
        <v>13461373</v>
      </c>
      <c r="M1814" s="2">
        <v>18959342246.099998</v>
      </c>
      <c r="N1814" s="2">
        <v>143644</v>
      </c>
      <c r="O1814" t="s">
        <v>23</v>
      </c>
      <c r="P1814" s="8">
        <f t="shared" si="84"/>
        <v>9.9999999999909051E-2</v>
      </c>
      <c r="Q1814" t="s">
        <v>41</v>
      </c>
      <c r="R1814">
        <f t="shared" si="85"/>
        <v>9</v>
      </c>
      <c r="S1814" t="str">
        <f t="shared" si="86"/>
        <v>Sep</v>
      </c>
      <c r="T1814" s="9">
        <f>VLOOKUP(O1814, Annual_Summary!A:B, 2, 0)</f>
        <v>0.2858955987717503</v>
      </c>
    </row>
    <row r="1815" spans="1:20" x14ac:dyDescent="0.3">
      <c r="A1815" s="1">
        <v>45918</v>
      </c>
      <c r="B1815" t="s">
        <v>15</v>
      </c>
      <c r="C1815" s="3">
        <v>1420.4</v>
      </c>
      <c r="D1815" s="3">
        <v>1422</v>
      </c>
      <c r="E1815" s="3">
        <v>1410.7</v>
      </c>
      <c r="F1815" s="3">
        <v>1413.8</v>
      </c>
      <c r="G1815" s="3">
        <v>1415</v>
      </c>
      <c r="H1815" s="3">
        <v>1415</v>
      </c>
      <c r="I1815" s="3">
        <v>1415.31</v>
      </c>
      <c r="J1815" s="3">
        <v>3066.95</v>
      </c>
      <c r="K1815" s="3">
        <v>1114.8499999999999</v>
      </c>
      <c r="L1815" s="2">
        <v>9332642</v>
      </c>
      <c r="M1815" s="2">
        <v>13208589778.1</v>
      </c>
      <c r="N1815" s="2">
        <v>182559</v>
      </c>
      <c r="O1815" t="s">
        <v>23</v>
      </c>
      <c r="P1815" s="8">
        <f t="shared" si="84"/>
        <v>-6.6000000000001364</v>
      </c>
      <c r="Q1815" t="s">
        <v>41</v>
      </c>
      <c r="R1815">
        <f t="shared" si="85"/>
        <v>9</v>
      </c>
      <c r="S1815" t="str">
        <f t="shared" si="86"/>
        <v>Sep</v>
      </c>
      <c r="T1815" s="9">
        <f>VLOOKUP(O1815, Annual_Summary!A:B, 2, 0)</f>
        <v>0.2858955987717503</v>
      </c>
    </row>
    <row r="1816" spans="1:20" x14ac:dyDescent="0.3">
      <c r="A1816" s="1">
        <v>45917</v>
      </c>
      <c r="B1816" t="s">
        <v>15</v>
      </c>
      <c r="C1816" s="3">
        <v>1407</v>
      </c>
      <c r="D1816" s="3">
        <v>1416.2</v>
      </c>
      <c r="E1816" s="3">
        <v>1406.9</v>
      </c>
      <c r="F1816" s="3">
        <v>1405.3</v>
      </c>
      <c r="G1816" s="3">
        <v>1413</v>
      </c>
      <c r="H1816" s="3">
        <v>1413.8</v>
      </c>
      <c r="I1816" s="3">
        <v>1412.05</v>
      </c>
      <c r="J1816" s="3">
        <v>3066.95</v>
      </c>
      <c r="K1816" s="3">
        <v>1114.8499999999999</v>
      </c>
      <c r="L1816" s="2">
        <v>7519417</v>
      </c>
      <c r="M1816" s="2">
        <v>10617806261</v>
      </c>
      <c r="N1816" s="2">
        <v>189638</v>
      </c>
      <c r="O1816" t="s">
        <v>23</v>
      </c>
      <c r="P1816" s="8">
        <f t="shared" si="84"/>
        <v>-1.7000000000000455</v>
      </c>
      <c r="Q1816" t="s">
        <v>41</v>
      </c>
      <c r="R1816">
        <f t="shared" si="85"/>
        <v>9</v>
      </c>
      <c r="S1816" t="str">
        <f t="shared" si="86"/>
        <v>Sep</v>
      </c>
      <c r="T1816" s="9">
        <f>VLOOKUP(O1816, Annual_Summary!A:B, 2, 0)</f>
        <v>0.2858955987717503</v>
      </c>
    </row>
    <row r="1817" spans="1:20" x14ac:dyDescent="0.3">
      <c r="A1817" s="1">
        <v>45916</v>
      </c>
      <c r="B1817" t="s">
        <v>15</v>
      </c>
      <c r="C1817" s="3">
        <v>1404.7</v>
      </c>
      <c r="D1817" s="3">
        <v>1408</v>
      </c>
      <c r="E1817" s="3">
        <v>1398.2</v>
      </c>
      <c r="F1817" s="3">
        <v>1399.3</v>
      </c>
      <c r="G1817" s="3">
        <v>1405.9</v>
      </c>
      <c r="H1817" s="3">
        <v>1405.3</v>
      </c>
      <c r="I1817" s="3">
        <v>1404</v>
      </c>
      <c r="J1817" s="3">
        <v>3066.95</v>
      </c>
      <c r="K1817" s="3">
        <v>1114.8499999999999</v>
      </c>
      <c r="L1817" s="2">
        <v>8686961</v>
      </c>
      <c r="M1817" s="2">
        <v>12196451860.1</v>
      </c>
      <c r="N1817" s="2">
        <v>170452</v>
      </c>
      <c r="O1817" t="s">
        <v>23</v>
      </c>
      <c r="P1817" s="8">
        <f t="shared" si="84"/>
        <v>-5.4000000000000909</v>
      </c>
      <c r="Q1817" t="s">
        <v>41</v>
      </c>
      <c r="R1817">
        <f t="shared" si="85"/>
        <v>9</v>
      </c>
      <c r="S1817" t="str">
        <f t="shared" si="86"/>
        <v>Sep</v>
      </c>
      <c r="T1817" s="9">
        <f>VLOOKUP(O1817, Annual_Summary!A:B, 2, 0)</f>
        <v>0.2858955987717503</v>
      </c>
    </row>
    <row r="1818" spans="1:20" x14ac:dyDescent="0.3">
      <c r="A1818" s="1">
        <v>45915</v>
      </c>
      <c r="B1818" t="s">
        <v>15</v>
      </c>
      <c r="C1818" s="3">
        <v>1393</v>
      </c>
      <c r="D1818" s="3">
        <v>1400.8</v>
      </c>
      <c r="E1818" s="3">
        <v>1388.6</v>
      </c>
      <c r="F1818" s="3">
        <v>1395</v>
      </c>
      <c r="G1818" s="3">
        <v>1399.3</v>
      </c>
      <c r="H1818" s="3">
        <v>1399.3</v>
      </c>
      <c r="I1818" s="3">
        <v>1395.97</v>
      </c>
      <c r="J1818" s="3">
        <v>3066.95</v>
      </c>
      <c r="K1818" s="3">
        <v>1114.8499999999999</v>
      </c>
      <c r="L1818" s="2">
        <v>5396697</v>
      </c>
      <c r="M1818" s="2">
        <v>7533635758.1999998</v>
      </c>
      <c r="N1818" s="2">
        <v>130728</v>
      </c>
      <c r="O1818" t="s">
        <v>23</v>
      </c>
      <c r="P1818" s="8">
        <f t="shared" si="84"/>
        <v>2</v>
      </c>
      <c r="Q1818" t="s">
        <v>41</v>
      </c>
      <c r="R1818">
        <f t="shared" si="85"/>
        <v>9</v>
      </c>
      <c r="S1818" t="str">
        <f t="shared" si="86"/>
        <v>Sep</v>
      </c>
      <c r="T1818" s="9">
        <f>VLOOKUP(O1818, Annual_Summary!A:B, 2, 0)</f>
        <v>0.2858955987717503</v>
      </c>
    </row>
    <row r="1819" spans="1:20" x14ac:dyDescent="0.3">
      <c r="A1819" s="1">
        <v>45912</v>
      </c>
      <c r="B1819" t="s">
        <v>15</v>
      </c>
      <c r="C1819" s="3">
        <v>1383.3</v>
      </c>
      <c r="D1819" s="3">
        <v>1396.3</v>
      </c>
      <c r="E1819" s="3">
        <v>1380.5</v>
      </c>
      <c r="F1819" s="3">
        <v>1383.3</v>
      </c>
      <c r="G1819" s="3">
        <v>1395</v>
      </c>
      <c r="H1819" s="3">
        <v>1395</v>
      </c>
      <c r="I1819" s="3">
        <v>1392.69</v>
      </c>
      <c r="J1819" s="3">
        <v>3066.95</v>
      </c>
      <c r="K1819" s="3">
        <v>1114.8499999999999</v>
      </c>
      <c r="L1819" s="2">
        <v>7403368</v>
      </c>
      <c r="M1819" s="2">
        <v>10310608459.5</v>
      </c>
      <c r="N1819" s="2">
        <v>156369</v>
      </c>
      <c r="O1819" t="s">
        <v>23</v>
      </c>
      <c r="P1819" s="8">
        <f t="shared" si="84"/>
        <v>0</v>
      </c>
      <c r="Q1819" t="s">
        <v>41</v>
      </c>
      <c r="R1819">
        <f t="shared" si="85"/>
        <v>9</v>
      </c>
      <c r="S1819" t="str">
        <f t="shared" si="86"/>
        <v>Sep</v>
      </c>
      <c r="T1819" s="9">
        <f>VLOOKUP(O1819, Annual_Summary!A:B, 2, 0)</f>
        <v>0.2858955987717503</v>
      </c>
    </row>
    <row r="1820" spans="1:20" x14ac:dyDescent="0.3">
      <c r="A1820" s="1">
        <v>45911</v>
      </c>
      <c r="B1820" t="s">
        <v>15</v>
      </c>
      <c r="C1820" s="3">
        <v>1376</v>
      </c>
      <c r="D1820" s="3">
        <v>1385.5</v>
      </c>
      <c r="E1820" s="3">
        <v>1375</v>
      </c>
      <c r="F1820" s="3">
        <v>1377</v>
      </c>
      <c r="G1820" s="3">
        <v>1382.1</v>
      </c>
      <c r="H1820" s="3">
        <v>1383.3</v>
      </c>
      <c r="I1820" s="3">
        <v>1382.49</v>
      </c>
      <c r="J1820" s="3">
        <v>3066.95</v>
      </c>
      <c r="K1820" s="3">
        <v>1114.8499999999999</v>
      </c>
      <c r="L1820" s="2">
        <v>9766072</v>
      </c>
      <c r="M1820" s="2">
        <v>13501479258.5</v>
      </c>
      <c r="N1820" s="2">
        <v>173431</v>
      </c>
      <c r="O1820" t="s">
        <v>23</v>
      </c>
      <c r="P1820" s="8">
        <f t="shared" si="84"/>
        <v>1</v>
      </c>
      <c r="Q1820" t="s">
        <v>41</v>
      </c>
      <c r="R1820">
        <f t="shared" si="85"/>
        <v>9</v>
      </c>
      <c r="S1820" t="str">
        <f t="shared" si="86"/>
        <v>Sep</v>
      </c>
      <c r="T1820" s="9">
        <f>VLOOKUP(O1820, Annual_Summary!A:B, 2, 0)</f>
        <v>0.2858955987717503</v>
      </c>
    </row>
    <row r="1821" spans="1:20" x14ac:dyDescent="0.3">
      <c r="A1821" s="1">
        <v>45910</v>
      </c>
      <c r="B1821" t="s">
        <v>15</v>
      </c>
      <c r="C1821" s="3">
        <v>1383.9</v>
      </c>
      <c r="D1821" s="3">
        <v>1388.5</v>
      </c>
      <c r="E1821" s="3">
        <v>1374.1</v>
      </c>
      <c r="F1821" s="3">
        <v>1376.2</v>
      </c>
      <c r="G1821" s="3">
        <v>1377.5</v>
      </c>
      <c r="H1821" s="3">
        <v>1377</v>
      </c>
      <c r="I1821" s="3">
        <v>1380.12</v>
      </c>
      <c r="J1821" s="3">
        <v>3066.95</v>
      </c>
      <c r="K1821" s="3">
        <v>1114.8499999999999</v>
      </c>
      <c r="L1821" s="2">
        <v>7790815</v>
      </c>
      <c r="M1821" s="2">
        <v>10752266849.200001</v>
      </c>
      <c r="N1821" s="2">
        <v>222655</v>
      </c>
      <c r="O1821" t="s">
        <v>23</v>
      </c>
      <c r="P1821" s="8">
        <f t="shared" si="84"/>
        <v>-7.7000000000000455</v>
      </c>
      <c r="Q1821" t="s">
        <v>41</v>
      </c>
      <c r="R1821">
        <f t="shared" si="85"/>
        <v>9</v>
      </c>
      <c r="S1821" t="str">
        <f t="shared" si="86"/>
        <v>Sep</v>
      </c>
      <c r="T1821" s="9">
        <f>VLOOKUP(O1821, Annual_Summary!A:B, 2, 0)</f>
        <v>0.2858955987717503</v>
      </c>
    </row>
    <row r="1822" spans="1:20" x14ac:dyDescent="0.3">
      <c r="A1822" s="1">
        <v>45909</v>
      </c>
      <c r="B1822" t="s">
        <v>15</v>
      </c>
      <c r="C1822" s="3">
        <v>1376.6</v>
      </c>
      <c r="D1822" s="3">
        <v>1381.2</v>
      </c>
      <c r="E1822" s="3">
        <v>1368.7</v>
      </c>
      <c r="F1822" s="3">
        <v>1378.5</v>
      </c>
      <c r="G1822" s="3">
        <v>1376.1</v>
      </c>
      <c r="H1822" s="3">
        <v>1376.2</v>
      </c>
      <c r="I1822" s="3">
        <v>1375.44</v>
      </c>
      <c r="J1822" s="3">
        <v>3066.95</v>
      </c>
      <c r="K1822" s="3">
        <v>1114.8499999999999</v>
      </c>
      <c r="L1822" s="2">
        <v>9754452</v>
      </c>
      <c r="M1822" s="2">
        <v>13416675656.700001</v>
      </c>
      <c r="N1822" s="2">
        <v>209637</v>
      </c>
      <c r="O1822" t="s">
        <v>23</v>
      </c>
      <c r="P1822" s="8">
        <f t="shared" si="84"/>
        <v>1.9000000000000909</v>
      </c>
      <c r="Q1822" t="s">
        <v>41</v>
      </c>
      <c r="R1822">
        <f t="shared" si="85"/>
        <v>9</v>
      </c>
      <c r="S1822" t="str">
        <f t="shared" si="86"/>
        <v>Sep</v>
      </c>
      <c r="T1822" s="9">
        <f>VLOOKUP(O1822, Annual_Summary!A:B, 2, 0)</f>
        <v>0.2858955987717503</v>
      </c>
    </row>
    <row r="1823" spans="1:20" x14ac:dyDescent="0.3">
      <c r="A1823" s="1">
        <v>45908</v>
      </c>
      <c r="B1823" t="s">
        <v>15</v>
      </c>
      <c r="C1823" s="3">
        <v>1380</v>
      </c>
      <c r="D1823" s="3">
        <v>1386</v>
      </c>
      <c r="E1823" s="3">
        <v>1372.4</v>
      </c>
      <c r="F1823" s="3">
        <v>1375</v>
      </c>
      <c r="G1823" s="3">
        <v>1378.9</v>
      </c>
      <c r="H1823" s="3">
        <v>1378.5</v>
      </c>
      <c r="I1823" s="3">
        <v>1379.43</v>
      </c>
      <c r="J1823" s="3">
        <v>3066.95</v>
      </c>
      <c r="K1823" s="3">
        <v>1114.8499999999999</v>
      </c>
      <c r="L1823" s="2">
        <v>6986720</v>
      </c>
      <c r="M1823" s="2">
        <v>9637680456.6000004</v>
      </c>
      <c r="N1823" s="2">
        <v>131052</v>
      </c>
      <c r="O1823" t="s">
        <v>23</v>
      </c>
      <c r="P1823" s="8">
        <f t="shared" si="84"/>
        <v>-5</v>
      </c>
      <c r="Q1823" t="s">
        <v>41</v>
      </c>
      <c r="R1823">
        <f t="shared" si="85"/>
        <v>9</v>
      </c>
      <c r="S1823" t="str">
        <f t="shared" si="86"/>
        <v>Sep</v>
      </c>
      <c r="T1823" s="9">
        <f>VLOOKUP(O1823, Annual_Summary!A:B, 2, 0)</f>
        <v>0.2858955987717503</v>
      </c>
    </row>
    <row r="1824" spans="1:20" x14ac:dyDescent="0.3">
      <c r="A1824" s="1">
        <v>45905</v>
      </c>
      <c r="B1824" t="s">
        <v>15</v>
      </c>
      <c r="C1824" s="3">
        <v>1363</v>
      </c>
      <c r="D1824" s="3">
        <v>1381</v>
      </c>
      <c r="E1824" s="3">
        <v>1359.3</v>
      </c>
      <c r="F1824" s="3">
        <v>1359.3</v>
      </c>
      <c r="G1824" s="3">
        <v>1375.7</v>
      </c>
      <c r="H1824" s="3">
        <v>1375</v>
      </c>
      <c r="I1824" s="3">
        <v>1370.36</v>
      </c>
      <c r="J1824" s="3">
        <v>3066.95</v>
      </c>
      <c r="K1824" s="3">
        <v>1114.8499999999999</v>
      </c>
      <c r="L1824" s="2">
        <v>5777575</v>
      </c>
      <c r="M1824" s="2">
        <v>7917373815.6000004</v>
      </c>
      <c r="N1824" s="2">
        <v>142951</v>
      </c>
      <c r="O1824" t="s">
        <v>23</v>
      </c>
      <c r="P1824" s="8">
        <f t="shared" si="84"/>
        <v>-3.7000000000000455</v>
      </c>
      <c r="Q1824" t="s">
        <v>41</v>
      </c>
      <c r="R1824">
        <f t="shared" si="85"/>
        <v>9</v>
      </c>
      <c r="S1824" t="str">
        <f t="shared" si="86"/>
        <v>Sep</v>
      </c>
      <c r="T1824" s="9">
        <f>VLOOKUP(O1824, Annual_Summary!A:B, 2, 0)</f>
        <v>0.2858955987717503</v>
      </c>
    </row>
    <row r="1825" spans="1:20" x14ac:dyDescent="0.3">
      <c r="A1825" s="1">
        <v>45904</v>
      </c>
      <c r="B1825" t="s">
        <v>15</v>
      </c>
      <c r="C1825" s="3">
        <v>1371.8</v>
      </c>
      <c r="D1825" s="3">
        <v>1374</v>
      </c>
      <c r="E1825" s="3">
        <v>1357.1</v>
      </c>
      <c r="F1825" s="3">
        <v>1372.6</v>
      </c>
      <c r="G1825" s="3">
        <v>1359.1</v>
      </c>
      <c r="H1825" s="3">
        <v>1359.3</v>
      </c>
      <c r="I1825" s="3">
        <v>1363.97</v>
      </c>
      <c r="J1825" s="3">
        <v>3066.95</v>
      </c>
      <c r="K1825" s="3">
        <v>1114.8499999999999</v>
      </c>
      <c r="L1825" s="2">
        <v>13223177</v>
      </c>
      <c r="M1825" s="2">
        <v>18035988833.700001</v>
      </c>
      <c r="N1825" s="2">
        <v>200473</v>
      </c>
      <c r="O1825" t="s">
        <v>23</v>
      </c>
      <c r="P1825" s="8">
        <f t="shared" si="84"/>
        <v>0.79999999999995453</v>
      </c>
      <c r="Q1825" t="s">
        <v>41</v>
      </c>
      <c r="R1825">
        <f t="shared" si="85"/>
        <v>9</v>
      </c>
      <c r="S1825" t="str">
        <f t="shared" si="86"/>
        <v>Sep</v>
      </c>
      <c r="T1825" s="9">
        <f>VLOOKUP(O1825, Annual_Summary!A:B, 2, 0)</f>
        <v>0.2858955987717503</v>
      </c>
    </row>
    <row r="1826" spans="1:20" x14ac:dyDescent="0.3">
      <c r="A1826" s="1">
        <v>45903</v>
      </c>
      <c r="B1826" t="s">
        <v>15</v>
      </c>
      <c r="C1826" s="3">
        <v>1369.7</v>
      </c>
      <c r="D1826" s="3">
        <v>1376.5</v>
      </c>
      <c r="E1826" s="3">
        <v>1360.5</v>
      </c>
      <c r="F1826" s="3">
        <v>1366.5</v>
      </c>
      <c r="G1826" s="3">
        <v>1372</v>
      </c>
      <c r="H1826" s="3">
        <v>1372.6</v>
      </c>
      <c r="I1826" s="3">
        <v>1368.85</v>
      </c>
      <c r="J1826" s="3">
        <v>3066.95</v>
      </c>
      <c r="K1826" s="3">
        <v>1114.8499999999999</v>
      </c>
      <c r="L1826" s="2">
        <v>7847563</v>
      </c>
      <c r="M1826" s="2">
        <v>10742161678.4</v>
      </c>
      <c r="N1826" s="2">
        <v>209277</v>
      </c>
      <c r="O1826" t="s">
        <v>23</v>
      </c>
      <c r="P1826" s="8">
        <f t="shared" si="84"/>
        <v>-3.2000000000000455</v>
      </c>
      <c r="Q1826" t="s">
        <v>41</v>
      </c>
      <c r="R1826">
        <f t="shared" si="85"/>
        <v>9</v>
      </c>
      <c r="S1826" t="str">
        <f t="shared" si="86"/>
        <v>Sep</v>
      </c>
      <c r="T1826" s="9">
        <f>VLOOKUP(O1826, Annual_Summary!A:B, 2, 0)</f>
        <v>0.2858955987717503</v>
      </c>
    </row>
    <row r="1827" spans="1:20" x14ac:dyDescent="0.3">
      <c r="A1827" s="1">
        <v>45902</v>
      </c>
      <c r="B1827" t="s">
        <v>15</v>
      </c>
      <c r="C1827" s="3">
        <v>1354.8</v>
      </c>
      <c r="D1827" s="3">
        <v>1384.5</v>
      </c>
      <c r="E1827" s="3">
        <v>1354.5</v>
      </c>
      <c r="F1827" s="3">
        <v>1353.9</v>
      </c>
      <c r="G1827" s="3">
        <v>1367.5</v>
      </c>
      <c r="H1827" s="3">
        <v>1366.5</v>
      </c>
      <c r="I1827" s="3">
        <v>1374.28</v>
      </c>
      <c r="J1827" s="3">
        <v>3066.95</v>
      </c>
      <c r="K1827" s="3">
        <v>1114.8499999999999</v>
      </c>
      <c r="L1827" s="2">
        <v>11517006</v>
      </c>
      <c r="M1827" s="2">
        <v>15827620364.299999</v>
      </c>
      <c r="N1827" s="2">
        <v>235433</v>
      </c>
      <c r="O1827" t="s">
        <v>23</v>
      </c>
      <c r="P1827" s="8">
        <f t="shared" si="84"/>
        <v>-0.89999999999986358</v>
      </c>
      <c r="Q1827" t="s">
        <v>41</v>
      </c>
      <c r="R1827">
        <f t="shared" si="85"/>
        <v>9</v>
      </c>
      <c r="S1827" t="str">
        <f t="shared" si="86"/>
        <v>Sep</v>
      </c>
      <c r="T1827" s="9">
        <f>VLOOKUP(O1827, Annual_Summary!A:B, 2, 0)</f>
        <v>0.2858955987717503</v>
      </c>
    </row>
    <row r="1828" spans="1:20" x14ac:dyDescent="0.3">
      <c r="A1828" s="1">
        <v>45901</v>
      </c>
      <c r="B1828" t="s">
        <v>15</v>
      </c>
      <c r="C1828" s="3">
        <v>1356</v>
      </c>
      <c r="D1828" s="3">
        <v>1363.2</v>
      </c>
      <c r="E1828" s="3">
        <v>1340.6</v>
      </c>
      <c r="F1828" s="3">
        <v>1357.2</v>
      </c>
      <c r="G1828" s="3">
        <v>1355</v>
      </c>
      <c r="H1828" s="3">
        <v>1353.9</v>
      </c>
      <c r="I1828" s="3">
        <v>1353.99</v>
      </c>
      <c r="J1828" s="3">
        <v>3066.95</v>
      </c>
      <c r="K1828" s="3">
        <v>1114.8499999999999</v>
      </c>
      <c r="L1828" s="2">
        <v>11232238</v>
      </c>
      <c r="M1828" s="2">
        <v>15208377268.5</v>
      </c>
      <c r="N1828" s="2">
        <v>249574</v>
      </c>
      <c r="O1828" t="s">
        <v>23</v>
      </c>
      <c r="P1828" s="8">
        <f t="shared" si="84"/>
        <v>1.2000000000000455</v>
      </c>
      <c r="Q1828" t="s">
        <v>41</v>
      </c>
      <c r="R1828">
        <f t="shared" si="85"/>
        <v>9</v>
      </c>
      <c r="S1828" t="str">
        <f t="shared" si="86"/>
        <v>Sep</v>
      </c>
      <c r="T1828" s="9">
        <f>VLOOKUP(O1828, Annual_Summary!A:B, 2, 0)</f>
        <v>0.2858955987717503</v>
      </c>
    </row>
    <row r="1829" spans="1:20" x14ac:dyDescent="0.3">
      <c r="A1829" s="1">
        <v>45898</v>
      </c>
      <c r="B1829" t="s">
        <v>15</v>
      </c>
      <c r="C1829" s="3">
        <v>1381.1</v>
      </c>
      <c r="D1829" s="3">
        <v>1403.5</v>
      </c>
      <c r="E1829" s="3">
        <v>1350</v>
      </c>
      <c r="F1829" s="3">
        <v>1385.9</v>
      </c>
      <c r="G1829" s="3">
        <v>1356</v>
      </c>
      <c r="H1829" s="3">
        <v>1357.2</v>
      </c>
      <c r="I1829" s="3">
        <v>1375.14</v>
      </c>
      <c r="J1829" s="3">
        <v>3079.45</v>
      </c>
      <c r="K1829" s="3">
        <v>1114.8499999999999</v>
      </c>
      <c r="L1829" s="2">
        <v>18758842</v>
      </c>
      <c r="M1829" s="2">
        <v>25796085387.599998</v>
      </c>
      <c r="N1829" s="2">
        <v>348532</v>
      </c>
      <c r="O1829" t="s">
        <v>23</v>
      </c>
      <c r="P1829" s="8">
        <f t="shared" si="84"/>
        <v>4.8000000000001819</v>
      </c>
      <c r="Q1829" t="s">
        <v>41</v>
      </c>
      <c r="R1829">
        <f t="shared" si="85"/>
        <v>8</v>
      </c>
      <c r="S1829" t="str">
        <f t="shared" si="86"/>
        <v>Aug</v>
      </c>
      <c r="T1829" s="9">
        <f>VLOOKUP(O1829, Annual_Summary!A:B, 2, 0)</f>
        <v>0.2858955987717503</v>
      </c>
    </row>
    <row r="1830" spans="1:20" x14ac:dyDescent="0.3">
      <c r="A1830" s="1">
        <v>45897</v>
      </c>
      <c r="B1830" t="s">
        <v>15</v>
      </c>
      <c r="C1830" s="3">
        <v>1389.9</v>
      </c>
      <c r="D1830" s="3">
        <v>1392.2</v>
      </c>
      <c r="E1830" s="3">
        <v>1366.5</v>
      </c>
      <c r="F1830" s="3">
        <v>1384.9</v>
      </c>
      <c r="G1830" s="3">
        <v>1390.9</v>
      </c>
      <c r="H1830" s="3">
        <v>1385.9</v>
      </c>
      <c r="I1830" s="3">
        <v>1380.78</v>
      </c>
      <c r="J1830" s="3">
        <v>3079.45</v>
      </c>
      <c r="K1830" s="3">
        <v>1114.8499999999999</v>
      </c>
      <c r="L1830" s="2">
        <v>13161813</v>
      </c>
      <c r="M1830" s="2">
        <v>18173599832</v>
      </c>
      <c r="N1830" s="2">
        <v>252423</v>
      </c>
      <c r="O1830" t="s">
        <v>23</v>
      </c>
      <c r="P1830" s="8">
        <f t="shared" si="84"/>
        <v>-5</v>
      </c>
      <c r="Q1830" t="s">
        <v>41</v>
      </c>
      <c r="R1830">
        <f t="shared" si="85"/>
        <v>8</v>
      </c>
      <c r="S1830" t="str">
        <f t="shared" si="86"/>
        <v>Aug</v>
      </c>
      <c r="T1830" s="9">
        <f>VLOOKUP(O1830, Annual_Summary!A:B, 2, 0)</f>
        <v>0.2858955987717503</v>
      </c>
    </row>
    <row r="1831" spans="1:20" x14ac:dyDescent="0.3">
      <c r="A1831" s="1">
        <v>45895</v>
      </c>
      <c r="B1831" t="s">
        <v>15</v>
      </c>
      <c r="C1831" s="3">
        <v>1408</v>
      </c>
      <c r="D1831" s="3">
        <v>1410</v>
      </c>
      <c r="E1831" s="3">
        <v>1381.6</v>
      </c>
      <c r="F1831" s="3">
        <v>1412.6</v>
      </c>
      <c r="G1831" s="3">
        <v>1383.8</v>
      </c>
      <c r="H1831" s="3">
        <v>1384.9</v>
      </c>
      <c r="I1831" s="3">
        <v>1390.78</v>
      </c>
      <c r="J1831" s="3">
        <v>3079.45</v>
      </c>
      <c r="K1831" s="3">
        <v>1114.8499999999999</v>
      </c>
      <c r="L1831" s="2">
        <v>12145259</v>
      </c>
      <c r="M1831" s="2">
        <v>16891359345.299999</v>
      </c>
      <c r="N1831" s="2">
        <v>201578</v>
      </c>
      <c r="O1831" t="s">
        <v>23</v>
      </c>
      <c r="P1831" s="8">
        <f t="shared" si="84"/>
        <v>4.5999999999999091</v>
      </c>
      <c r="Q1831" t="s">
        <v>41</v>
      </c>
      <c r="R1831">
        <f t="shared" si="85"/>
        <v>8</v>
      </c>
      <c r="S1831" t="str">
        <f t="shared" si="86"/>
        <v>Aug</v>
      </c>
      <c r="T1831" s="9">
        <f>VLOOKUP(O1831, Annual_Summary!A:B, 2, 0)</f>
        <v>0.2858955987717503</v>
      </c>
    </row>
    <row r="1832" spans="1:20" x14ac:dyDescent="0.3">
      <c r="A1832" s="1">
        <v>45894</v>
      </c>
      <c r="B1832" t="s">
        <v>15</v>
      </c>
      <c r="C1832" s="3">
        <v>1414.7</v>
      </c>
      <c r="D1832" s="3">
        <v>1419.5</v>
      </c>
      <c r="E1832" s="3">
        <v>1405.7</v>
      </c>
      <c r="F1832" s="3">
        <v>1409.2</v>
      </c>
      <c r="G1832" s="3">
        <v>1413.7</v>
      </c>
      <c r="H1832" s="3">
        <v>1412.6</v>
      </c>
      <c r="I1832" s="3">
        <v>1412.48</v>
      </c>
      <c r="J1832" s="3">
        <v>3079.45</v>
      </c>
      <c r="K1832" s="3">
        <v>1114.8499999999999</v>
      </c>
      <c r="L1832" s="2">
        <v>5979407</v>
      </c>
      <c r="M1832" s="2">
        <v>8445789682.3000002</v>
      </c>
      <c r="N1832" s="2">
        <v>184067</v>
      </c>
      <c r="O1832" t="s">
        <v>23</v>
      </c>
      <c r="P1832" s="8">
        <f t="shared" si="84"/>
        <v>-5.5</v>
      </c>
      <c r="Q1832" t="s">
        <v>41</v>
      </c>
      <c r="R1832">
        <f t="shared" si="85"/>
        <v>8</v>
      </c>
      <c r="S1832" t="str">
        <f t="shared" si="86"/>
        <v>Aug</v>
      </c>
      <c r="T1832" s="9">
        <f>VLOOKUP(O1832, Annual_Summary!A:B, 2, 0)</f>
        <v>0.2858955987717503</v>
      </c>
    </row>
    <row r="1833" spans="1:20" x14ac:dyDescent="0.3">
      <c r="A1833" s="1">
        <v>45891</v>
      </c>
      <c r="B1833" t="s">
        <v>15</v>
      </c>
      <c r="C1833" s="3">
        <v>1420</v>
      </c>
      <c r="D1833" s="3">
        <v>1423.4</v>
      </c>
      <c r="E1833" s="3">
        <v>1407.9</v>
      </c>
      <c r="F1833" s="3">
        <v>1424.8</v>
      </c>
      <c r="G1833" s="3">
        <v>1409.9</v>
      </c>
      <c r="H1833" s="3">
        <v>1409.2</v>
      </c>
      <c r="I1833" s="3">
        <v>1414</v>
      </c>
      <c r="J1833" s="3">
        <v>3079.45</v>
      </c>
      <c r="K1833" s="3">
        <v>1114.8499999999999</v>
      </c>
      <c r="L1833" s="2">
        <v>5818868</v>
      </c>
      <c r="M1833" s="2">
        <v>8227876997.3000002</v>
      </c>
      <c r="N1833" s="2">
        <v>137165</v>
      </c>
      <c r="O1833" t="s">
        <v>23</v>
      </c>
      <c r="P1833" s="8">
        <f t="shared" si="84"/>
        <v>4.7999999999999545</v>
      </c>
      <c r="Q1833" t="s">
        <v>41</v>
      </c>
      <c r="R1833">
        <f t="shared" si="85"/>
        <v>8</v>
      </c>
      <c r="S1833" t="str">
        <f t="shared" si="86"/>
        <v>Aug</v>
      </c>
      <c r="T1833" s="9">
        <f>VLOOKUP(O1833, Annual_Summary!A:B, 2, 0)</f>
        <v>0.2858955987717503</v>
      </c>
    </row>
    <row r="1834" spans="1:20" x14ac:dyDescent="0.3">
      <c r="A1834" s="1">
        <v>45890</v>
      </c>
      <c r="B1834" t="s">
        <v>15</v>
      </c>
      <c r="C1834" s="3">
        <v>1425</v>
      </c>
      <c r="D1834" s="3">
        <v>1431.9</v>
      </c>
      <c r="E1834" s="3">
        <v>1420.3</v>
      </c>
      <c r="F1834" s="3">
        <v>1413</v>
      </c>
      <c r="G1834" s="3">
        <v>1424.3</v>
      </c>
      <c r="H1834" s="3">
        <v>1424.8</v>
      </c>
      <c r="I1834" s="3">
        <v>1427.55</v>
      </c>
      <c r="J1834" s="3">
        <v>3079.45</v>
      </c>
      <c r="K1834" s="3">
        <v>1114.8499999999999</v>
      </c>
      <c r="L1834" s="2">
        <v>11021323</v>
      </c>
      <c r="M1834" s="2">
        <v>15733474504.4</v>
      </c>
      <c r="N1834" s="2">
        <v>231863</v>
      </c>
      <c r="O1834" t="s">
        <v>23</v>
      </c>
      <c r="P1834" s="8">
        <f t="shared" si="84"/>
        <v>-12</v>
      </c>
      <c r="Q1834" t="s">
        <v>41</v>
      </c>
      <c r="R1834">
        <f t="shared" si="85"/>
        <v>8</v>
      </c>
      <c r="S1834" t="str">
        <f t="shared" si="86"/>
        <v>Aug</v>
      </c>
      <c r="T1834" s="9">
        <f>VLOOKUP(O1834, Annual_Summary!A:B, 2, 0)</f>
        <v>0.2858955987717503</v>
      </c>
    </row>
    <row r="1835" spans="1:20" x14ac:dyDescent="0.3">
      <c r="A1835" s="1">
        <v>45889</v>
      </c>
      <c r="B1835" t="s">
        <v>15</v>
      </c>
      <c r="C1835" s="3">
        <v>1413</v>
      </c>
      <c r="D1835" s="3">
        <v>1424.9</v>
      </c>
      <c r="E1835" s="3">
        <v>1410</v>
      </c>
      <c r="F1835" s="3">
        <v>1420.1</v>
      </c>
      <c r="G1835" s="3">
        <v>1412</v>
      </c>
      <c r="H1835" s="3">
        <v>1413</v>
      </c>
      <c r="I1835" s="3">
        <v>1418.58</v>
      </c>
      <c r="J1835" s="3">
        <v>3079.45</v>
      </c>
      <c r="K1835" s="3">
        <v>1114.8499999999999</v>
      </c>
      <c r="L1835" s="2">
        <v>8725641</v>
      </c>
      <c r="M1835" s="2">
        <v>12377983949.700001</v>
      </c>
      <c r="N1835" s="2">
        <v>196554</v>
      </c>
      <c r="O1835" t="s">
        <v>23</v>
      </c>
      <c r="P1835" s="8">
        <f t="shared" si="84"/>
        <v>7.0999999999999091</v>
      </c>
      <c r="Q1835" t="s">
        <v>41</v>
      </c>
      <c r="R1835">
        <f t="shared" si="85"/>
        <v>8</v>
      </c>
      <c r="S1835" t="str">
        <f t="shared" si="86"/>
        <v>Aug</v>
      </c>
      <c r="T1835" s="9">
        <f>VLOOKUP(O1835, Annual_Summary!A:B, 2, 0)</f>
        <v>0.2858955987717503</v>
      </c>
    </row>
    <row r="1836" spans="1:20" x14ac:dyDescent="0.3">
      <c r="A1836" s="1">
        <v>45888</v>
      </c>
      <c r="B1836" t="s">
        <v>15</v>
      </c>
      <c r="C1836" s="3">
        <v>1390</v>
      </c>
      <c r="D1836" s="3">
        <v>1421</v>
      </c>
      <c r="E1836" s="3">
        <v>1389.1</v>
      </c>
      <c r="F1836" s="3">
        <v>1381.7</v>
      </c>
      <c r="G1836" s="3">
        <v>1421</v>
      </c>
      <c r="H1836" s="3">
        <v>1420.1</v>
      </c>
      <c r="I1836" s="3">
        <v>1413.6</v>
      </c>
      <c r="J1836" s="3">
        <v>3079.45</v>
      </c>
      <c r="K1836" s="3">
        <v>1114.8499999999999</v>
      </c>
      <c r="L1836" s="2">
        <v>14384719</v>
      </c>
      <c r="M1836" s="2">
        <v>20334296972.400002</v>
      </c>
      <c r="N1836" s="2">
        <v>288664</v>
      </c>
      <c r="O1836" t="s">
        <v>23</v>
      </c>
      <c r="P1836" s="8">
        <f t="shared" si="84"/>
        <v>-8.2999999999999545</v>
      </c>
      <c r="Q1836" t="s">
        <v>41</v>
      </c>
      <c r="R1836">
        <f t="shared" si="85"/>
        <v>8</v>
      </c>
      <c r="S1836" t="str">
        <f t="shared" si="86"/>
        <v>Aug</v>
      </c>
      <c r="T1836" s="9">
        <f>VLOOKUP(O1836, Annual_Summary!A:B, 2, 0)</f>
        <v>0.2858955987717503</v>
      </c>
    </row>
    <row r="1837" spans="1:20" x14ac:dyDescent="0.3">
      <c r="A1837" s="1">
        <v>45887</v>
      </c>
      <c r="B1837" t="s">
        <v>15</v>
      </c>
      <c r="C1837" s="3">
        <v>1390</v>
      </c>
      <c r="D1837" s="3">
        <v>1394.9</v>
      </c>
      <c r="E1837" s="3">
        <v>1377</v>
      </c>
      <c r="F1837" s="3">
        <v>1373.8</v>
      </c>
      <c r="G1837" s="3">
        <v>1382.9</v>
      </c>
      <c r="H1837" s="3">
        <v>1381.7</v>
      </c>
      <c r="I1837" s="3">
        <v>1384.21</v>
      </c>
      <c r="J1837" s="3">
        <v>3079.45</v>
      </c>
      <c r="K1837" s="3">
        <v>1114.8499999999999</v>
      </c>
      <c r="L1837" s="2">
        <v>11785109</v>
      </c>
      <c r="M1837" s="2">
        <v>16313018769.799999</v>
      </c>
      <c r="N1837" s="2">
        <v>319844</v>
      </c>
      <c r="O1837" t="s">
        <v>23</v>
      </c>
      <c r="P1837" s="8">
        <f t="shared" si="84"/>
        <v>-16.200000000000045</v>
      </c>
      <c r="Q1837" t="s">
        <v>41</v>
      </c>
      <c r="R1837">
        <f t="shared" si="85"/>
        <v>8</v>
      </c>
      <c r="S1837" t="str">
        <f t="shared" si="86"/>
        <v>Aug</v>
      </c>
      <c r="T1837" s="9">
        <f>VLOOKUP(O1837, Annual_Summary!A:B, 2, 0)</f>
        <v>0.2858955987717503</v>
      </c>
    </row>
    <row r="1838" spans="1:20" x14ac:dyDescent="0.3">
      <c r="A1838" s="1">
        <v>45883</v>
      </c>
      <c r="B1838" t="s">
        <v>15</v>
      </c>
      <c r="C1838" s="3">
        <v>1377.3</v>
      </c>
      <c r="D1838" s="3">
        <v>1380.7</v>
      </c>
      <c r="E1838" s="3">
        <v>1370.1</v>
      </c>
      <c r="F1838" s="3">
        <v>1382.6</v>
      </c>
      <c r="G1838" s="3">
        <v>1372.9</v>
      </c>
      <c r="H1838" s="3">
        <v>1373.8</v>
      </c>
      <c r="I1838" s="3">
        <v>1375.17</v>
      </c>
      <c r="J1838" s="3">
        <v>3079.45</v>
      </c>
      <c r="K1838" s="3">
        <v>1114.8499999999999</v>
      </c>
      <c r="L1838" s="2">
        <v>7126128</v>
      </c>
      <c r="M1838" s="2">
        <v>9799629519.8999996</v>
      </c>
      <c r="N1838" s="2">
        <v>175588</v>
      </c>
      <c r="O1838" t="s">
        <v>23</v>
      </c>
      <c r="P1838" s="8">
        <f t="shared" si="84"/>
        <v>5.2999999999999545</v>
      </c>
      <c r="Q1838" t="s">
        <v>41</v>
      </c>
      <c r="R1838">
        <f t="shared" si="85"/>
        <v>8</v>
      </c>
      <c r="S1838" t="str">
        <f t="shared" si="86"/>
        <v>Aug</v>
      </c>
      <c r="T1838" s="9">
        <f>VLOOKUP(O1838, Annual_Summary!A:B, 2, 0)</f>
        <v>0.2858955987717503</v>
      </c>
    </row>
    <row r="1839" spans="1:20" x14ac:dyDescent="0.3">
      <c r="A1839" s="1">
        <v>45882</v>
      </c>
      <c r="B1839" t="s">
        <v>15</v>
      </c>
      <c r="C1839" s="3">
        <v>1388</v>
      </c>
      <c r="D1839" s="3">
        <v>1391.8</v>
      </c>
      <c r="E1839" s="3">
        <v>1377.5</v>
      </c>
      <c r="F1839" s="3">
        <v>1380.4</v>
      </c>
      <c r="G1839" s="3">
        <v>1384</v>
      </c>
      <c r="H1839" s="3">
        <v>1382.6</v>
      </c>
      <c r="I1839" s="3">
        <v>1384.19</v>
      </c>
      <c r="J1839" s="3">
        <v>3079.45</v>
      </c>
      <c r="K1839" s="3">
        <v>1114.8499999999999</v>
      </c>
      <c r="L1839" s="2">
        <v>7457021</v>
      </c>
      <c r="M1839" s="2">
        <v>10321969058.700001</v>
      </c>
      <c r="N1839" s="2">
        <v>208576</v>
      </c>
      <c r="O1839" t="s">
        <v>23</v>
      </c>
      <c r="P1839" s="8">
        <f t="shared" si="84"/>
        <v>-7.5999999999999091</v>
      </c>
      <c r="Q1839" t="s">
        <v>41</v>
      </c>
      <c r="R1839">
        <f t="shared" si="85"/>
        <v>8</v>
      </c>
      <c r="S1839" t="str">
        <f t="shared" si="86"/>
        <v>Aug</v>
      </c>
      <c r="T1839" s="9">
        <f>VLOOKUP(O1839, Annual_Summary!A:B, 2, 0)</f>
        <v>0.2858955987717503</v>
      </c>
    </row>
    <row r="1840" spans="1:20" x14ac:dyDescent="0.3">
      <c r="A1840" s="1">
        <v>45881</v>
      </c>
      <c r="B1840" t="s">
        <v>15</v>
      </c>
      <c r="C1840" s="3">
        <v>1381.9</v>
      </c>
      <c r="D1840" s="3">
        <v>1401.9</v>
      </c>
      <c r="E1840" s="3">
        <v>1375.2</v>
      </c>
      <c r="F1840" s="3">
        <v>1386.2</v>
      </c>
      <c r="G1840" s="3">
        <v>1381</v>
      </c>
      <c r="H1840" s="3">
        <v>1380.4</v>
      </c>
      <c r="I1840" s="3">
        <v>1386.76</v>
      </c>
      <c r="J1840" s="3">
        <v>3079.45</v>
      </c>
      <c r="K1840" s="3">
        <v>1114.8499999999999</v>
      </c>
      <c r="L1840" s="2">
        <v>12244664</v>
      </c>
      <c r="M1840" s="2">
        <v>16980368560.1</v>
      </c>
      <c r="N1840" s="2">
        <v>179433</v>
      </c>
      <c r="O1840" t="s">
        <v>23</v>
      </c>
      <c r="P1840" s="8">
        <f t="shared" si="84"/>
        <v>4.2999999999999545</v>
      </c>
      <c r="Q1840" t="s">
        <v>41</v>
      </c>
      <c r="R1840">
        <f t="shared" si="85"/>
        <v>8</v>
      </c>
      <c r="S1840" t="str">
        <f t="shared" si="86"/>
        <v>Aug</v>
      </c>
      <c r="T1840" s="9">
        <f>VLOOKUP(O1840, Annual_Summary!A:B, 2, 0)</f>
        <v>0.2858955987717503</v>
      </c>
    </row>
    <row r="1841" spans="1:20" x14ac:dyDescent="0.3">
      <c r="A1841" s="1">
        <v>45880</v>
      </c>
      <c r="B1841" t="s">
        <v>15</v>
      </c>
      <c r="C1841" s="3">
        <v>1370</v>
      </c>
      <c r="D1841" s="3">
        <v>1388</v>
      </c>
      <c r="E1841" s="3">
        <v>1361.2</v>
      </c>
      <c r="F1841" s="3">
        <v>1367.8</v>
      </c>
      <c r="G1841" s="3">
        <v>1384.6</v>
      </c>
      <c r="H1841" s="3">
        <v>1386.2</v>
      </c>
      <c r="I1841" s="3">
        <v>1375.78</v>
      </c>
      <c r="J1841" s="3">
        <v>3079.45</v>
      </c>
      <c r="K1841" s="3">
        <v>1114.8499999999999</v>
      </c>
      <c r="L1841" s="2">
        <v>9997486</v>
      </c>
      <c r="M1841" s="2">
        <v>13754351256.5</v>
      </c>
      <c r="N1841" s="2">
        <v>226304</v>
      </c>
      <c r="O1841" t="s">
        <v>23</v>
      </c>
      <c r="P1841" s="8">
        <f t="shared" si="84"/>
        <v>-2.2000000000000455</v>
      </c>
      <c r="Q1841" t="s">
        <v>41</v>
      </c>
      <c r="R1841">
        <f t="shared" si="85"/>
        <v>8</v>
      </c>
      <c r="S1841" t="str">
        <f t="shared" si="86"/>
        <v>Aug</v>
      </c>
      <c r="T1841" s="9">
        <f>VLOOKUP(O1841, Annual_Summary!A:B, 2, 0)</f>
        <v>0.2858955987717503</v>
      </c>
    </row>
    <row r="1842" spans="1:20" x14ac:dyDescent="0.3">
      <c r="A1842" s="1">
        <v>45877</v>
      </c>
      <c r="B1842" t="s">
        <v>15</v>
      </c>
      <c r="C1842" s="3">
        <v>1385</v>
      </c>
      <c r="D1842" s="3">
        <v>1397.2</v>
      </c>
      <c r="E1842" s="3">
        <v>1365</v>
      </c>
      <c r="F1842" s="3">
        <v>1389.4</v>
      </c>
      <c r="G1842" s="3">
        <v>1366.2</v>
      </c>
      <c r="H1842" s="3">
        <v>1367.8</v>
      </c>
      <c r="I1842" s="3">
        <v>1374.93</v>
      </c>
      <c r="J1842" s="3">
        <v>3079.45</v>
      </c>
      <c r="K1842" s="3">
        <v>1114.8499999999999</v>
      </c>
      <c r="L1842" s="2">
        <v>8793606</v>
      </c>
      <c r="M1842" s="2">
        <v>12090591567.6</v>
      </c>
      <c r="N1842" s="2">
        <v>208137</v>
      </c>
      <c r="O1842" t="s">
        <v>23</v>
      </c>
      <c r="P1842" s="8">
        <f t="shared" si="84"/>
        <v>4.4000000000000909</v>
      </c>
      <c r="Q1842" t="s">
        <v>41</v>
      </c>
      <c r="R1842">
        <f t="shared" si="85"/>
        <v>8</v>
      </c>
      <c r="S1842" t="str">
        <f t="shared" si="86"/>
        <v>Aug</v>
      </c>
      <c r="T1842" s="9">
        <f>VLOOKUP(O1842, Annual_Summary!A:B, 2, 0)</f>
        <v>0.2858955987717503</v>
      </c>
    </row>
    <row r="1843" spans="1:20" x14ac:dyDescent="0.3">
      <c r="A1843" s="1">
        <v>45876</v>
      </c>
      <c r="B1843" t="s">
        <v>15</v>
      </c>
      <c r="C1843" s="3">
        <v>1387.7</v>
      </c>
      <c r="D1843" s="3">
        <v>1393.7</v>
      </c>
      <c r="E1843" s="3">
        <v>1366</v>
      </c>
      <c r="F1843" s="3">
        <v>1392.8</v>
      </c>
      <c r="G1843" s="3">
        <v>1391</v>
      </c>
      <c r="H1843" s="3">
        <v>1389.4</v>
      </c>
      <c r="I1843" s="3">
        <v>1381.52</v>
      </c>
      <c r="J1843" s="3">
        <v>3079.45</v>
      </c>
      <c r="K1843" s="3">
        <v>1114.8499999999999</v>
      </c>
      <c r="L1843" s="2">
        <v>9976705</v>
      </c>
      <c r="M1843" s="2">
        <v>13783047743.5</v>
      </c>
      <c r="N1843" s="2">
        <v>293767</v>
      </c>
      <c r="O1843" t="s">
        <v>23</v>
      </c>
      <c r="P1843" s="8">
        <f t="shared" si="84"/>
        <v>5.0999999999999091</v>
      </c>
      <c r="Q1843" t="s">
        <v>41</v>
      </c>
      <c r="R1843">
        <f t="shared" si="85"/>
        <v>8</v>
      </c>
      <c r="S1843" t="str">
        <f t="shared" si="86"/>
        <v>Aug</v>
      </c>
      <c r="T1843" s="9">
        <f>VLOOKUP(O1843, Annual_Summary!A:B, 2, 0)</f>
        <v>0.2858955987717503</v>
      </c>
    </row>
    <row r="1844" spans="1:20" x14ac:dyDescent="0.3">
      <c r="A1844" s="1">
        <v>45875</v>
      </c>
      <c r="B1844" t="s">
        <v>15</v>
      </c>
      <c r="C1844" s="3">
        <v>1391.9</v>
      </c>
      <c r="D1844" s="3">
        <v>1395.9</v>
      </c>
      <c r="E1844" s="3">
        <v>1383.3</v>
      </c>
      <c r="F1844" s="3">
        <v>1391.7</v>
      </c>
      <c r="G1844" s="3">
        <v>1393</v>
      </c>
      <c r="H1844" s="3">
        <v>1392.8</v>
      </c>
      <c r="I1844" s="3">
        <v>1390.57</v>
      </c>
      <c r="J1844" s="3">
        <v>3079.45</v>
      </c>
      <c r="K1844" s="3">
        <v>1114.8499999999999</v>
      </c>
      <c r="L1844" s="2">
        <v>5834312</v>
      </c>
      <c r="M1844" s="2">
        <v>8113006686</v>
      </c>
      <c r="N1844" s="2">
        <v>156725</v>
      </c>
      <c r="O1844" t="s">
        <v>23</v>
      </c>
      <c r="P1844" s="8">
        <f t="shared" si="84"/>
        <v>-0.20000000000004547</v>
      </c>
      <c r="Q1844" t="s">
        <v>41</v>
      </c>
      <c r="R1844">
        <f t="shared" si="85"/>
        <v>8</v>
      </c>
      <c r="S1844" t="str">
        <f t="shared" si="86"/>
        <v>Aug</v>
      </c>
      <c r="T1844" s="9">
        <f>VLOOKUP(O1844, Annual_Summary!A:B, 2, 0)</f>
        <v>0.2858955987717503</v>
      </c>
    </row>
    <row r="1845" spans="1:20" x14ac:dyDescent="0.3">
      <c r="A1845" s="1">
        <v>45874</v>
      </c>
      <c r="B1845" t="s">
        <v>15</v>
      </c>
      <c r="C1845" s="3">
        <v>1411</v>
      </c>
      <c r="D1845" s="3">
        <v>1411</v>
      </c>
      <c r="E1845" s="3">
        <v>1388.1</v>
      </c>
      <c r="F1845" s="3">
        <v>1411.5</v>
      </c>
      <c r="G1845" s="3">
        <v>1390</v>
      </c>
      <c r="H1845" s="3">
        <v>1391.7</v>
      </c>
      <c r="I1845" s="3">
        <v>1394.5</v>
      </c>
      <c r="J1845" s="3">
        <v>3079.45</v>
      </c>
      <c r="K1845" s="3">
        <v>1114.8499999999999</v>
      </c>
      <c r="L1845" s="2">
        <v>9315972</v>
      </c>
      <c r="M1845" s="2">
        <v>12991163046.799999</v>
      </c>
      <c r="N1845" s="2">
        <v>238858</v>
      </c>
      <c r="O1845" t="s">
        <v>23</v>
      </c>
      <c r="P1845" s="8">
        <f t="shared" si="84"/>
        <v>0.5</v>
      </c>
      <c r="Q1845" t="s">
        <v>41</v>
      </c>
      <c r="R1845">
        <f t="shared" si="85"/>
        <v>8</v>
      </c>
      <c r="S1845" t="str">
        <f t="shared" si="86"/>
        <v>Aug</v>
      </c>
      <c r="T1845" s="9">
        <f>VLOOKUP(O1845, Annual_Summary!A:B, 2, 0)</f>
        <v>0.2858955987717503</v>
      </c>
    </row>
    <row r="1846" spans="1:20" x14ac:dyDescent="0.3">
      <c r="A1846" s="1">
        <v>45873</v>
      </c>
      <c r="B1846" t="s">
        <v>15</v>
      </c>
      <c r="C1846" s="3">
        <v>1395.1</v>
      </c>
      <c r="D1846" s="3">
        <v>1416.1</v>
      </c>
      <c r="E1846" s="3">
        <v>1391.7</v>
      </c>
      <c r="F1846" s="3">
        <v>1393.7</v>
      </c>
      <c r="G1846" s="3">
        <v>1410.2</v>
      </c>
      <c r="H1846" s="3">
        <v>1411.5</v>
      </c>
      <c r="I1846" s="3">
        <v>1410.61</v>
      </c>
      <c r="J1846" s="3">
        <v>3079.45</v>
      </c>
      <c r="K1846" s="3">
        <v>1114.8499999999999</v>
      </c>
      <c r="L1846" s="2">
        <v>6312820</v>
      </c>
      <c r="M1846" s="2">
        <v>8904907900.6000004</v>
      </c>
      <c r="N1846" s="2">
        <v>188246</v>
      </c>
      <c r="O1846" t="s">
        <v>23</v>
      </c>
      <c r="P1846" s="8">
        <f t="shared" si="84"/>
        <v>-1.3999999999998636</v>
      </c>
      <c r="Q1846" t="s">
        <v>41</v>
      </c>
      <c r="R1846">
        <f t="shared" si="85"/>
        <v>8</v>
      </c>
      <c r="S1846" t="str">
        <f t="shared" si="86"/>
        <v>Aug</v>
      </c>
      <c r="T1846" s="9">
        <f>VLOOKUP(O1846, Annual_Summary!A:B, 2, 0)</f>
        <v>0.2858955987717503</v>
      </c>
    </row>
    <row r="1847" spans="1:20" x14ac:dyDescent="0.3">
      <c r="A1847" s="1">
        <v>45870</v>
      </c>
      <c r="B1847" t="s">
        <v>15</v>
      </c>
      <c r="C1847" s="3">
        <v>1386.9</v>
      </c>
      <c r="D1847" s="3">
        <v>1405.9</v>
      </c>
      <c r="E1847" s="3">
        <v>1384.3</v>
      </c>
      <c r="F1847" s="3">
        <v>1390.2</v>
      </c>
      <c r="G1847" s="3">
        <v>1394.1</v>
      </c>
      <c r="H1847" s="3">
        <v>1393.7</v>
      </c>
      <c r="I1847" s="3">
        <v>1397.47</v>
      </c>
      <c r="J1847" s="3">
        <v>3079.45</v>
      </c>
      <c r="K1847" s="3">
        <v>1114.8499999999999</v>
      </c>
      <c r="L1847" s="2">
        <v>10321171</v>
      </c>
      <c r="M1847" s="2">
        <v>14423488951.799999</v>
      </c>
      <c r="N1847" s="2">
        <v>208431</v>
      </c>
      <c r="O1847" t="s">
        <v>23</v>
      </c>
      <c r="P1847" s="8">
        <f t="shared" si="84"/>
        <v>3.2999999999999545</v>
      </c>
      <c r="Q1847" t="s">
        <v>41</v>
      </c>
      <c r="R1847">
        <f t="shared" si="85"/>
        <v>8</v>
      </c>
      <c r="S1847" t="str">
        <f t="shared" si="86"/>
        <v>Aug</v>
      </c>
      <c r="T1847" s="9">
        <f>VLOOKUP(O1847, Annual_Summary!A:B, 2, 0)</f>
        <v>0.2858955987717503</v>
      </c>
    </row>
    <row r="1848" spans="1:20" x14ac:dyDescent="0.3">
      <c r="A1848" s="1">
        <v>45869</v>
      </c>
      <c r="B1848" t="s">
        <v>15</v>
      </c>
      <c r="C1848" s="3">
        <v>1388.1</v>
      </c>
      <c r="D1848" s="3">
        <v>1402.6</v>
      </c>
      <c r="E1848" s="3">
        <v>1382.2</v>
      </c>
      <c r="F1848" s="3">
        <v>1410.1</v>
      </c>
      <c r="G1848" s="3">
        <v>1390</v>
      </c>
      <c r="H1848" s="3">
        <v>1390.2</v>
      </c>
      <c r="I1848" s="3">
        <v>1392.63</v>
      </c>
      <c r="J1848" s="3">
        <v>3079.45</v>
      </c>
      <c r="K1848" s="3">
        <v>1114.8499999999999</v>
      </c>
      <c r="L1848" s="2">
        <v>17065827</v>
      </c>
      <c r="M1848" s="2">
        <v>23766374015.299999</v>
      </c>
      <c r="N1848" s="2">
        <v>373516</v>
      </c>
      <c r="O1848" t="s">
        <v>23</v>
      </c>
      <c r="P1848" s="8">
        <f t="shared" si="84"/>
        <v>22</v>
      </c>
      <c r="Q1848" t="s">
        <v>41</v>
      </c>
      <c r="R1848">
        <f t="shared" si="85"/>
        <v>7</v>
      </c>
      <c r="S1848" t="str">
        <f t="shared" si="86"/>
        <v>Jul</v>
      </c>
      <c r="T1848" s="9">
        <f>VLOOKUP(O1848, Annual_Summary!A:B, 2, 0)</f>
        <v>0.2858955987717503</v>
      </c>
    </row>
    <row r="1849" spans="1:20" x14ac:dyDescent="0.3">
      <c r="A1849" s="1">
        <v>45868</v>
      </c>
      <c r="B1849" t="s">
        <v>15</v>
      </c>
      <c r="C1849" s="3">
        <v>1418.1</v>
      </c>
      <c r="D1849" s="3">
        <v>1423.3</v>
      </c>
      <c r="E1849" s="3">
        <v>1401.3</v>
      </c>
      <c r="F1849" s="3">
        <v>1417.1</v>
      </c>
      <c r="G1849" s="3">
        <v>1409.7</v>
      </c>
      <c r="H1849" s="3">
        <v>1410.1</v>
      </c>
      <c r="I1849" s="3">
        <v>1411.5</v>
      </c>
      <c r="J1849" s="3">
        <v>3079.45</v>
      </c>
      <c r="K1849" s="3">
        <v>1114.8499999999999</v>
      </c>
      <c r="L1849" s="2">
        <v>7209849</v>
      </c>
      <c r="M1849" s="2">
        <v>10176719970.799999</v>
      </c>
      <c r="N1849" s="2">
        <v>167311</v>
      </c>
      <c r="O1849" t="s">
        <v>23</v>
      </c>
      <c r="P1849" s="8">
        <f t="shared" si="84"/>
        <v>-1</v>
      </c>
      <c r="Q1849" t="s">
        <v>41</v>
      </c>
      <c r="R1849">
        <f t="shared" si="85"/>
        <v>7</v>
      </c>
      <c r="S1849" t="str">
        <f t="shared" si="86"/>
        <v>Jul</v>
      </c>
      <c r="T1849" s="9">
        <f>VLOOKUP(O1849, Annual_Summary!A:B, 2, 0)</f>
        <v>0.2858955987717503</v>
      </c>
    </row>
    <row r="1850" spans="1:20" x14ac:dyDescent="0.3">
      <c r="A1850" s="1">
        <v>45867</v>
      </c>
      <c r="B1850" t="s">
        <v>15</v>
      </c>
      <c r="C1850" s="3">
        <v>1383</v>
      </c>
      <c r="D1850" s="3">
        <v>1420.2</v>
      </c>
      <c r="E1850" s="3">
        <v>1383</v>
      </c>
      <c r="F1850" s="3">
        <v>1387.6</v>
      </c>
      <c r="G1850" s="3">
        <v>1416.6</v>
      </c>
      <c r="H1850" s="3">
        <v>1417.1</v>
      </c>
      <c r="I1850" s="3">
        <v>1402.99</v>
      </c>
      <c r="J1850" s="3">
        <v>3079.45</v>
      </c>
      <c r="K1850" s="3">
        <v>1114.8499999999999</v>
      </c>
      <c r="L1850" s="2">
        <v>10750072</v>
      </c>
      <c r="M1850" s="2">
        <v>15082211933.299999</v>
      </c>
      <c r="N1850" s="2">
        <v>187813</v>
      </c>
      <c r="O1850" t="s">
        <v>23</v>
      </c>
      <c r="P1850" s="8">
        <f t="shared" si="84"/>
        <v>4.5999999999999091</v>
      </c>
      <c r="Q1850" t="s">
        <v>41</v>
      </c>
      <c r="R1850">
        <f t="shared" si="85"/>
        <v>7</v>
      </c>
      <c r="S1850" t="str">
        <f t="shared" si="86"/>
        <v>Jul</v>
      </c>
      <c r="T1850" s="9">
        <f>VLOOKUP(O1850, Annual_Summary!A:B, 2, 0)</f>
        <v>0.2858955987717503</v>
      </c>
    </row>
    <row r="1851" spans="1:20" x14ac:dyDescent="0.3">
      <c r="A1851" s="1">
        <v>45866</v>
      </c>
      <c r="B1851" t="s">
        <v>15</v>
      </c>
      <c r="C1851" s="3">
        <v>1392.3</v>
      </c>
      <c r="D1851" s="3">
        <v>1407.8</v>
      </c>
      <c r="E1851" s="3">
        <v>1385</v>
      </c>
      <c r="F1851" s="3">
        <v>1391.7</v>
      </c>
      <c r="G1851" s="3">
        <v>1387.1</v>
      </c>
      <c r="H1851" s="3">
        <v>1387.6</v>
      </c>
      <c r="I1851" s="3">
        <v>1394.17</v>
      </c>
      <c r="J1851" s="3">
        <v>3079.45</v>
      </c>
      <c r="K1851" s="3">
        <v>1114.8499999999999</v>
      </c>
      <c r="L1851" s="2">
        <v>7748361</v>
      </c>
      <c r="M1851" s="2">
        <v>10802552328.1</v>
      </c>
      <c r="N1851" s="2">
        <v>198421</v>
      </c>
      <c r="O1851" t="s">
        <v>23</v>
      </c>
      <c r="P1851" s="8">
        <f t="shared" si="84"/>
        <v>-0.59999999999990905</v>
      </c>
      <c r="Q1851" t="s">
        <v>41</v>
      </c>
      <c r="R1851">
        <f t="shared" si="85"/>
        <v>7</v>
      </c>
      <c r="S1851" t="str">
        <f t="shared" si="86"/>
        <v>Jul</v>
      </c>
      <c r="T1851" s="9">
        <f>VLOOKUP(O1851, Annual_Summary!A:B, 2, 0)</f>
        <v>0.2858955987717503</v>
      </c>
    </row>
    <row r="1852" spans="1:20" x14ac:dyDescent="0.3">
      <c r="A1852" s="1">
        <v>45863</v>
      </c>
      <c r="B1852" t="s">
        <v>15</v>
      </c>
      <c r="C1852" s="3">
        <v>1398.9</v>
      </c>
      <c r="D1852" s="3">
        <v>1401</v>
      </c>
      <c r="E1852" s="3">
        <v>1384.1</v>
      </c>
      <c r="F1852" s="3">
        <v>1402.9</v>
      </c>
      <c r="G1852" s="3">
        <v>1392.4</v>
      </c>
      <c r="H1852" s="3">
        <v>1391.7</v>
      </c>
      <c r="I1852" s="3">
        <v>1394.22</v>
      </c>
      <c r="J1852" s="3">
        <v>3079.45</v>
      </c>
      <c r="K1852" s="3">
        <v>1114.8499999999999</v>
      </c>
      <c r="L1852" s="2">
        <v>11854722</v>
      </c>
      <c r="M1852" s="2">
        <v>16528044233.5</v>
      </c>
      <c r="N1852" s="2">
        <v>237018</v>
      </c>
      <c r="O1852" t="s">
        <v>23</v>
      </c>
      <c r="P1852" s="8">
        <f t="shared" si="84"/>
        <v>4</v>
      </c>
      <c r="Q1852" t="s">
        <v>41</v>
      </c>
      <c r="R1852">
        <f t="shared" si="85"/>
        <v>7</v>
      </c>
      <c r="S1852" t="str">
        <f t="shared" si="86"/>
        <v>Jul</v>
      </c>
      <c r="T1852" s="9">
        <f>VLOOKUP(O1852, Annual_Summary!A:B, 2, 0)</f>
        <v>0.2858955987717503</v>
      </c>
    </row>
    <row r="1853" spans="1:20" x14ac:dyDescent="0.3">
      <c r="A1853" s="1">
        <v>45862</v>
      </c>
      <c r="B1853" t="s">
        <v>15</v>
      </c>
      <c r="C1853" s="3">
        <v>1419.2</v>
      </c>
      <c r="D1853" s="3">
        <v>1423</v>
      </c>
      <c r="E1853" s="3">
        <v>1396</v>
      </c>
      <c r="F1853" s="3">
        <v>1424.6</v>
      </c>
      <c r="G1853" s="3">
        <v>1402.8</v>
      </c>
      <c r="H1853" s="3">
        <v>1402.9</v>
      </c>
      <c r="I1853" s="3">
        <v>1407.06</v>
      </c>
      <c r="J1853" s="3">
        <v>3079.45</v>
      </c>
      <c r="K1853" s="3">
        <v>1114.8499999999999</v>
      </c>
      <c r="L1853" s="2">
        <v>14740507</v>
      </c>
      <c r="M1853" s="2">
        <v>20740788758.299999</v>
      </c>
      <c r="N1853" s="2">
        <v>314670</v>
      </c>
      <c r="O1853" t="s">
        <v>23</v>
      </c>
      <c r="P1853" s="8">
        <f t="shared" si="84"/>
        <v>5.3999999999998636</v>
      </c>
      <c r="Q1853" t="s">
        <v>41</v>
      </c>
      <c r="R1853">
        <f t="shared" si="85"/>
        <v>7</v>
      </c>
      <c r="S1853" t="str">
        <f t="shared" si="86"/>
        <v>Jul</v>
      </c>
      <c r="T1853" s="9">
        <f>VLOOKUP(O1853, Annual_Summary!A:B, 2, 0)</f>
        <v>0.2858955987717503</v>
      </c>
    </row>
    <row r="1854" spans="1:20" x14ac:dyDescent="0.3">
      <c r="A1854" s="1">
        <v>45861</v>
      </c>
      <c r="B1854" t="s">
        <v>15</v>
      </c>
      <c r="C1854" s="3">
        <v>1426</v>
      </c>
      <c r="D1854" s="3">
        <v>1426</v>
      </c>
      <c r="E1854" s="3">
        <v>1414.4</v>
      </c>
      <c r="F1854" s="3">
        <v>1412.8</v>
      </c>
      <c r="G1854" s="3">
        <v>1425</v>
      </c>
      <c r="H1854" s="3">
        <v>1424.6</v>
      </c>
      <c r="I1854" s="3">
        <v>1421.41</v>
      </c>
      <c r="J1854" s="3">
        <v>3079.45</v>
      </c>
      <c r="K1854" s="3">
        <v>1114.8499999999999</v>
      </c>
      <c r="L1854" s="2">
        <v>8354596</v>
      </c>
      <c r="M1854" s="2">
        <v>11875315134.700001</v>
      </c>
      <c r="N1854" s="2">
        <v>225103</v>
      </c>
      <c r="O1854" t="s">
        <v>23</v>
      </c>
      <c r="P1854" s="8">
        <f t="shared" si="84"/>
        <v>-13.200000000000045</v>
      </c>
      <c r="Q1854" t="s">
        <v>41</v>
      </c>
      <c r="R1854">
        <f t="shared" si="85"/>
        <v>7</v>
      </c>
      <c r="S1854" t="str">
        <f t="shared" si="86"/>
        <v>Jul</v>
      </c>
      <c r="T1854" s="9">
        <f>VLOOKUP(O1854, Annual_Summary!A:B, 2, 0)</f>
        <v>0.2858955987717503</v>
      </c>
    </row>
    <row r="1855" spans="1:20" x14ac:dyDescent="0.3">
      <c r="A1855" s="1">
        <v>45860</v>
      </c>
      <c r="B1855" t="s">
        <v>15</v>
      </c>
      <c r="C1855" s="3">
        <v>1427.4</v>
      </c>
      <c r="D1855" s="3">
        <v>1431.9</v>
      </c>
      <c r="E1855" s="3">
        <v>1410.7</v>
      </c>
      <c r="F1855" s="3">
        <v>1428.6</v>
      </c>
      <c r="G1855" s="3">
        <v>1413.8</v>
      </c>
      <c r="H1855" s="3">
        <v>1412.8</v>
      </c>
      <c r="I1855" s="3">
        <v>1417.05</v>
      </c>
      <c r="J1855" s="3">
        <v>3079.45</v>
      </c>
      <c r="K1855" s="3">
        <v>1114.8499999999999</v>
      </c>
      <c r="L1855" s="2">
        <v>20396320</v>
      </c>
      <c r="M1855" s="2">
        <v>28902700383.400002</v>
      </c>
      <c r="N1855" s="2">
        <v>504145</v>
      </c>
      <c r="O1855" t="s">
        <v>23</v>
      </c>
      <c r="P1855" s="8">
        <f t="shared" si="84"/>
        <v>1.1999999999998181</v>
      </c>
      <c r="Q1855" t="s">
        <v>41</v>
      </c>
      <c r="R1855">
        <f t="shared" si="85"/>
        <v>7</v>
      </c>
      <c r="S1855" t="str">
        <f t="shared" si="86"/>
        <v>Jul</v>
      </c>
      <c r="T1855" s="9">
        <f>VLOOKUP(O1855, Annual_Summary!A:B, 2, 0)</f>
        <v>0.2858955987717503</v>
      </c>
    </row>
    <row r="1856" spans="1:20" x14ac:dyDescent="0.3">
      <c r="A1856" s="1">
        <v>45859</v>
      </c>
      <c r="B1856" t="s">
        <v>15</v>
      </c>
      <c r="C1856" s="3">
        <v>1465</v>
      </c>
      <c r="D1856" s="3">
        <v>1476</v>
      </c>
      <c r="E1856" s="3">
        <v>1423.1</v>
      </c>
      <c r="F1856" s="3">
        <v>1476</v>
      </c>
      <c r="G1856" s="3">
        <v>1428.2</v>
      </c>
      <c r="H1856" s="3">
        <v>1428.6</v>
      </c>
      <c r="I1856" s="3">
        <v>1435.24</v>
      </c>
      <c r="J1856" s="3">
        <v>3079.45</v>
      </c>
      <c r="K1856" s="3">
        <v>1114.8499999999999</v>
      </c>
      <c r="L1856" s="2">
        <v>22442744</v>
      </c>
      <c r="M1856" s="2">
        <v>32210751693.5</v>
      </c>
      <c r="N1856" s="2">
        <v>630358</v>
      </c>
      <c r="O1856" t="s">
        <v>23</v>
      </c>
      <c r="P1856" s="8">
        <f t="shared" si="84"/>
        <v>11</v>
      </c>
      <c r="Q1856" t="s">
        <v>41</v>
      </c>
      <c r="R1856">
        <f t="shared" si="85"/>
        <v>7</v>
      </c>
      <c r="S1856" t="str">
        <f t="shared" si="86"/>
        <v>Jul</v>
      </c>
      <c r="T1856" s="9">
        <f>VLOOKUP(O1856, Annual_Summary!A:B, 2, 0)</f>
        <v>0.2858955987717503</v>
      </c>
    </row>
    <row r="1857" spans="1:20" x14ac:dyDescent="0.3">
      <c r="A1857" s="1">
        <v>45856</v>
      </c>
      <c r="B1857" t="s">
        <v>15</v>
      </c>
      <c r="C1857" s="3">
        <v>1484.8</v>
      </c>
      <c r="D1857" s="3">
        <v>1484.8</v>
      </c>
      <c r="E1857" s="3">
        <v>1469.1</v>
      </c>
      <c r="F1857" s="3">
        <v>1476.4</v>
      </c>
      <c r="G1857" s="3">
        <v>1476</v>
      </c>
      <c r="H1857" s="3">
        <v>1476</v>
      </c>
      <c r="I1857" s="3">
        <v>1475.2</v>
      </c>
      <c r="J1857" s="3">
        <v>3211.7</v>
      </c>
      <c r="K1857" s="3">
        <v>1114.8499999999999</v>
      </c>
      <c r="L1857" s="2">
        <v>10296318</v>
      </c>
      <c r="M1857" s="2">
        <v>15189104342</v>
      </c>
      <c r="N1857" s="2">
        <v>222241</v>
      </c>
      <c r="O1857" t="s">
        <v>23</v>
      </c>
      <c r="P1857" s="8">
        <f t="shared" si="84"/>
        <v>-8.3999999999998636</v>
      </c>
      <c r="Q1857" t="s">
        <v>41</v>
      </c>
      <c r="R1857">
        <f t="shared" si="85"/>
        <v>7</v>
      </c>
      <c r="S1857" t="str">
        <f t="shared" si="86"/>
        <v>Jul</v>
      </c>
      <c r="T1857" s="9">
        <f>VLOOKUP(O1857, Annual_Summary!A:B, 2, 0)</f>
        <v>0.2858955987717503</v>
      </c>
    </row>
    <row r="1858" spans="1:20" x14ac:dyDescent="0.3">
      <c r="A1858" s="1">
        <v>45855</v>
      </c>
      <c r="B1858" t="s">
        <v>15</v>
      </c>
      <c r="C1858" s="3">
        <v>1487.4</v>
      </c>
      <c r="D1858" s="3">
        <v>1489.6</v>
      </c>
      <c r="E1858" s="3">
        <v>1473.9</v>
      </c>
      <c r="F1858" s="3">
        <v>1485.6</v>
      </c>
      <c r="G1858" s="3">
        <v>1478.7</v>
      </c>
      <c r="H1858" s="3">
        <v>1476.4</v>
      </c>
      <c r="I1858" s="3">
        <v>1479.78</v>
      </c>
      <c r="J1858" s="3">
        <v>3211.7</v>
      </c>
      <c r="K1858" s="3">
        <v>1114.8499999999999</v>
      </c>
      <c r="L1858" s="2">
        <v>11854613</v>
      </c>
      <c r="M1858" s="2">
        <v>17542205685.799999</v>
      </c>
      <c r="N1858" s="2">
        <v>189733</v>
      </c>
      <c r="O1858" t="s">
        <v>23</v>
      </c>
      <c r="P1858" s="8">
        <f t="shared" si="84"/>
        <v>-1.8000000000001819</v>
      </c>
      <c r="Q1858" t="s">
        <v>41</v>
      </c>
      <c r="R1858">
        <f t="shared" si="85"/>
        <v>7</v>
      </c>
      <c r="S1858" t="str">
        <f t="shared" si="86"/>
        <v>Jul</v>
      </c>
      <c r="T1858" s="9">
        <f>VLOOKUP(O1858, Annual_Summary!A:B, 2, 0)</f>
        <v>0.2858955987717503</v>
      </c>
    </row>
    <row r="1859" spans="1:20" x14ac:dyDescent="0.3">
      <c r="A1859" s="1">
        <v>45854</v>
      </c>
      <c r="B1859" t="s">
        <v>15</v>
      </c>
      <c r="C1859" s="3">
        <v>1473</v>
      </c>
      <c r="D1859" s="3">
        <v>1491</v>
      </c>
      <c r="E1859" s="3">
        <v>1471.5</v>
      </c>
      <c r="F1859" s="3">
        <v>1485.4</v>
      </c>
      <c r="G1859" s="3">
        <v>1486.2</v>
      </c>
      <c r="H1859" s="3">
        <v>1485.6</v>
      </c>
      <c r="I1859" s="3">
        <v>1481.43</v>
      </c>
      <c r="J1859" s="3">
        <v>3211.7</v>
      </c>
      <c r="K1859" s="3">
        <v>1114.8499999999999</v>
      </c>
      <c r="L1859" s="2">
        <v>10409983</v>
      </c>
      <c r="M1859" s="2">
        <v>15421636574.6</v>
      </c>
      <c r="N1859" s="2">
        <v>191598</v>
      </c>
      <c r="O1859" t="s">
        <v>23</v>
      </c>
      <c r="P1859" s="8">
        <f t="shared" ref="P1859:P1922" si="87">F1859-C1859</f>
        <v>12.400000000000091</v>
      </c>
      <c r="Q1859" t="s">
        <v>41</v>
      </c>
      <c r="R1859">
        <f t="shared" ref="R1859:R1922" si="88">MONTH(A1859)</f>
        <v>7</v>
      </c>
      <c r="S1859" t="str">
        <f t="shared" ref="S1859:S1922" si="89">TEXT(A1859,"mmm")</f>
        <v>Jul</v>
      </c>
      <c r="T1859" s="9">
        <f>VLOOKUP(O1859, Annual_Summary!A:B, 2, 0)</f>
        <v>0.2858955987717503</v>
      </c>
    </row>
    <row r="1860" spans="1:20" x14ac:dyDescent="0.3">
      <c r="A1860" s="1">
        <v>45853</v>
      </c>
      <c r="B1860" t="s">
        <v>15</v>
      </c>
      <c r="C1860" s="3">
        <v>1486.2</v>
      </c>
      <c r="D1860" s="3">
        <v>1496.5</v>
      </c>
      <c r="E1860" s="3">
        <v>1482.4</v>
      </c>
      <c r="F1860" s="3">
        <v>1483.7</v>
      </c>
      <c r="G1860" s="3">
        <v>1488.5</v>
      </c>
      <c r="H1860" s="3">
        <v>1485.4</v>
      </c>
      <c r="I1860" s="3">
        <v>1487.92</v>
      </c>
      <c r="J1860" s="3">
        <v>3211.7</v>
      </c>
      <c r="K1860" s="3">
        <v>1114.8499999999999</v>
      </c>
      <c r="L1860" s="2">
        <v>8132454</v>
      </c>
      <c r="M1860" s="2">
        <v>12100448372.9</v>
      </c>
      <c r="N1860" s="2">
        <v>173756</v>
      </c>
      <c r="O1860" t="s">
        <v>23</v>
      </c>
      <c r="P1860" s="8">
        <f t="shared" si="87"/>
        <v>-2.5</v>
      </c>
      <c r="Q1860" t="s">
        <v>41</v>
      </c>
      <c r="R1860">
        <f t="shared" si="88"/>
        <v>7</v>
      </c>
      <c r="S1860" t="str">
        <f t="shared" si="89"/>
        <v>Jul</v>
      </c>
      <c r="T1860" s="9">
        <f>VLOOKUP(O1860, Annual_Summary!A:B, 2, 0)</f>
        <v>0.2858955987717503</v>
      </c>
    </row>
    <row r="1861" spans="1:20" x14ac:dyDescent="0.3">
      <c r="A1861" s="1">
        <v>45852</v>
      </c>
      <c r="B1861" t="s">
        <v>15</v>
      </c>
      <c r="C1861" s="3">
        <v>1492.2</v>
      </c>
      <c r="D1861" s="3">
        <v>1500</v>
      </c>
      <c r="E1861" s="3">
        <v>1479.1</v>
      </c>
      <c r="F1861" s="3">
        <v>1495.2</v>
      </c>
      <c r="G1861" s="3">
        <v>1486.4</v>
      </c>
      <c r="H1861" s="3">
        <v>1483.7</v>
      </c>
      <c r="I1861" s="3">
        <v>1487.76</v>
      </c>
      <c r="J1861" s="3">
        <v>3211.7</v>
      </c>
      <c r="K1861" s="3">
        <v>1114.8499999999999</v>
      </c>
      <c r="L1861" s="2">
        <v>10311846</v>
      </c>
      <c r="M1861" s="2">
        <v>15341529534.700001</v>
      </c>
      <c r="N1861" s="2">
        <v>186122</v>
      </c>
      <c r="O1861" t="s">
        <v>23</v>
      </c>
      <c r="P1861" s="8">
        <f t="shared" si="87"/>
        <v>3</v>
      </c>
      <c r="Q1861" t="s">
        <v>41</v>
      </c>
      <c r="R1861">
        <f t="shared" si="88"/>
        <v>7</v>
      </c>
      <c r="S1861" t="str">
        <f t="shared" si="89"/>
        <v>Jul</v>
      </c>
      <c r="T1861" s="9">
        <f>VLOOKUP(O1861, Annual_Summary!A:B, 2, 0)</f>
        <v>0.2858955987717503</v>
      </c>
    </row>
    <row r="1862" spans="1:20" x14ac:dyDescent="0.3">
      <c r="A1862" s="1">
        <v>45849</v>
      </c>
      <c r="B1862" t="s">
        <v>15</v>
      </c>
      <c r="C1862" s="3">
        <v>1512</v>
      </c>
      <c r="D1862" s="3">
        <v>1515</v>
      </c>
      <c r="E1862" s="3">
        <v>1490.3</v>
      </c>
      <c r="F1862" s="3">
        <v>1517.2</v>
      </c>
      <c r="G1862" s="3">
        <v>1495</v>
      </c>
      <c r="H1862" s="3">
        <v>1495.2</v>
      </c>
      <c r="I1862" s="3">
        <v>1496.06</v>
      </c>
      <c r="J1862" s="3">
        <v>3217.6</v>
      </c>
      <c r="K1862" s="3">
        <v>1114.8499999999999</v>
      </c>
      <c r="L1862" s="2">
        <v>7234991</v>
      </c>
      <c r="M1862" s="2">
        <v>10823982872.200001</v>
      </c>
      <c r="N1862" s="2">
        <v>178490</v>
      </c>
      <c r="O1862" t="s">
        <v>23</v>
      </c>
      <c r="P1862" s="8">
        <f t="shared" si="87"/>
        <v>5.2000000000000455</v>
      </c>
      <c r="Q1862" t="s">
        <v>41</v>
      </c>
      <c r="R1862">
        <f t="shared" si="88"/>
        <v>7</v>
      </c>
      <c r="S1862" t="str">
        <f t="shared" si="89"/>
        <v>Jul</v>
      </c>
      <c r="T1862" s="9">
        <f>VLOOKUP(O1862, Annual_Summary!A:B, 2, 0)</f>
        <v>0.2858955987717503</v>
      </c>
    </row>
    <row r="1863" spans="1:20" x14ac:dyDescent="0.3">
      <c r="A1863" s="1">
        <v>45848</v>
      </c>
      <c r="B1863" t="s">
        <v>15</v>
      </c>
      <c r="C1863" s="3">
        <v>1519.7</v>
      </c>
      <c r="D1863" s="3">
        <v>1524.7</v>
      </c>
      <c r="E1863" s="3">
        <v>1507.5</v>
      </c>
      <c r="F1863" s="3">
        <v>1519</v>
      </c>
      <c r="G1863" s="3">
        <v>1515.2</v>
      </c>
      <c r="H1863" s="3">
        <v>1517.2</v>
      </c>
      <c r="I1863" s="3">
        <v>1516.2</v>
      </c>
      <c r="J1863" s="3">
        <v>3217.6</v>
      </c>
      <c r="K1863" s="3">
        <v>1114.8499999999999</v>
      </c>
      <c r="L1863" s="2">
        <v>10047129</v>
      </c>
      <c r="M1863" s="2">
        <v>15233458376.4</v>
      </c>
      <c r="N1863" s="2">
        <v>289035</v>
      </c>
      <c r="O1863" t="s">
        <v>23</v>
      </c>
      <c r="P1863" s="8">
        <f t="shared" si="87"/>
        <v>-0.70000000000004547</v>
      </c>
      <c r="Q1863" t="s">
        <v>41</v>
      </c>
      <c r="R1863">
        <f t="shared" si="88"/>
        <v>7</v>
      </c>
      <c r="S1863" t="str">
        <f t="shared" si="89"/>
        <v>Jul</v>
      </c>
      <c r="T1863" s="9">
        <f>VLOOKUP(O1863, Annual_Summary!A:B, 2, 0)</f>
        <v>0.2858955987717503</v>
      </c>
    </row>
    <row r="1864" spans="1:20" x14ac:dyDescent="0.3">
      <c r="A1864" s="1">
        <v>45847</v>
      </c>
      <c r="B1864" t="s">
        <v>15</v>
      </c>
      <c r="C1864" s="3">
        <v>1536.7</v>
      </c>
      <c r="D1864" s="3">
        <v>1551</v>
      </c>
      <c r="E1864" s="3">
        <v>1510.1</v>
      </c>
      <c r="F1864" s="3">
        <v>1537.6</v>
      </c>
      <c r="G1864" s="3">
        <v>1520.5</v>
      </c>
      <c r="H1864" s="3">
        <v>1519</v>
      </c>
      <c r="I1864" s="3">
        <v>1532.97</v>
      </c>
      <c r="J1864" s="3">
        <v>3217.6</v>
      </c>
      <c r="K1864" s="3">
        <v>1114.8499999999999</v>
      </c>
      <c r="L1864" s="2">
        <v>8870660</v>
      </c>
      <c r="M1864" s="2">
        <v>13598441338.6</v>
      </c>
      <c r="N1864" s="2">
        <v>254524</v>
      </c>
      <c r="O1864" t="s">
        <v>23</v>
      </c>
      <c r="P1864" s="8">
        <f t="shared" si="87"/>
        <v>0.89999999999986358</v>
      </c>
      <c r="Q1864" t="s">
        <v>41</v>
      </c>
      <c r="R1864">
        <f t="shared" si="88"/>
        <v>7</v>
      </c>
      <c r="S1864" t="str">
        <f t="shared" si="89"/>
        <v>Jul</v>
      </c>
      <c r="T1864" s="9">
        <f>VLOOKUP(O1864, Annual_Summary!A:B, 2, 0)</f>
        <v>0.2858955987717503</v>
      </c>
    </row>
    <row r="1865" spans="1:20" x14ac:dyDescent="0.3">
      <c r="A1865" s="1">
        <v>45846</v>
      </c>
      <c r="B1865" t="s">
        <v>15</v>
      </c>
      <c r="C1865" s="3">
        <v>1536</v>
      </c>
      <c r="D1865" s="3">
        <v>1544.9</v>
      </c>
      <c r="E1865" s="3">
        <v>1530.2</v>
      </c>
      <c r="F1865" s="3">
        <v>1541.5</v>
      </c>
      <c r="G1865" s="3">
        <v>1538</v>
      </c>
      <c r="H1865" s="3">
        <v>1537.6</v>
      </c>
      <c r="I1865" s="3">
        <v>1536.23</v>
      </c>
      <c r="J1865" s="3">
        <v>3217.6</v>
      </c>
      <c r="K1865" s="3">
        <v>1114.8499999999999</v>
      </c>
      <c r="L1865" s="2">
        <v>7171261</v>
      </c>
      <c r="M1865" s="2">
        <v>11016684351.6</v>
      </c>
      <c r="N1865" s="2">
        <v>191265</v>
      </c>
      <c r="O1865" t="s">
        <v>23</v>
      </c>
      <c r="P1865" s="8">
        <f t="shared" si="87"/>
        <v>5.5</v>
      </c>
      <c r="Q1865" t="s">
        <v>41</v>
      </c>
      <c r="R1865">
        <f t="shared" si="88"/>
        <v>7</v>
      </c>
      <c r="S1865" t="str">
        <f t="shared" si="89"/>
        <v>Jul</v>
      </c>
      <c r="T1865" s="9">
        <f>VLOOKUP(O1865, Annual_Summary!A:B, 2, 0)</f>
        <v>0.2858955987717503</v>
      </c>
    </row>
    <row r="1866" spans="1:20" x14ac:dyDescent="0.3">
      <c r="A1866" s="1">
        <v>45845</v>
      </c>
      <c r="B1866" t="s">
        <v>15</v>
      </c>
      <c r="C1866" s="3">
        <v>1526.6</v>
      </c>
      <c r="D1866" s="3">
        <v>1544.8</v>
      </c>
      <c r="E1866" s="3">
        <v>1525</v>
      </c>
      <c r="F1866" s="3">
        <v>1527.3</v>
      </c>
      <c r="G1866" s="3">
        <v>1540.5</v>
      </c>
      <c r="H1866" s="3">
        <v>1541.5</v>
      </c>
      <c r="I1866" s="3">
        <v>1539.06</v>
      </c>
      <c r="J1866" s="3">
        <v>3217.6</v>
      </c>
      <c r="K1866" s="3">
        <v>1114.8499999999999</v>
      </c>
      <c r="L1866" s="2">
        <v>7251074</v>
      </c>
      <c r="M1866" s="2">
        <v>11159858745.5</v>
      </c>
      <c r="N1866" s="2">
        <v>205134</v>
      </c>
      <c r="O1866" t="s">
        <v>23</v>
      </c>
      <c r="P1866" s="8">
        <f t="shared" si="87"/>
        <v>0.70000000000004547</v>
      </c>
      <c r="Q1866" t="s">
        <v>41</v>
      </c>
      <c r="R1866">
        <f t="shared" si="88"/>
        <v>7</v>
      </c>
      <c r="S1866" t="str">
        <f t="shared" si="89"/>
        <v>Jul</v>
      </c>
      <c r="T1866" s="9">
        <f>VLOOKUP(O1866, Annual_Summary!A:B, 2, 0)</f>
        <v>0.2858955987717503</v>
      </c>
    </row>
    <row r="1867" spans="1:20" x14ac:dyDescent="0.3">
      <c r="A1867" s="1">
        <v>45842</v>
      </c>
      <c r="B1867" t="s">
        <v>15</v>
      </c>
      <c r="C1867" s="3">
        <v>1524</v>
      </c>
      <c r="D1867" s="3">
        <v>1530</v>
      </c>
      <c r="E1867" s="3">
        <v>1517.2</v>
      </c>
      <c r="F1867" s="3">
        <v>1517.8</v>
      </c>
      <c r="G1867" s="3">
        <v>1528.1</v>
      </c>
      <c r="H1867" s="3">
        <v>1527.3</v>
      </c>
      <c r="I1867" s="3">
        <v>1523.57</v>
      </c>
      <c r="J1867" s="3">
        <v>3217.6</v>
      </c>
      <c r="K1867" s="3">
        <v>1114.8499999999999</v>
      </c>
      <c r="L1867" s="2">
        <v>6603501</v>
      </c>
      <c r="M1867" s="2">
        <v>10060908691</v>
      </c>
      <c r="N1867" s="2">
        <v>167255</v>
      </c>
      <c r="O1867" t="s">
        <v>23</v>
      </c>
      <c r="P1867" s="8">
        <f t="shared" si="87"/>
        <v>-6.2000000000000455</v>
      </c>
      <c r="Q1867" t="s">
        <v>41</v>
      </c>
      <c r="R1867">
        <f t="shared" si="88"/>
        <v>7</v>
      </c>
      <c r="S1867" t="str">
        <f t="shared" si="89"/>
        <v>Jul</v>
      </c>
      <c r="T1867" s="9">
        <f>VLOOKUP(O1867, Annual_Summary!A:B, 2, 0)</f>
        <v>0.2858955987717503</v>
      </c>
    </row>
    <row r="1868" spans="1:20" x14ac:dyDescent="0.3">
      <c r="A1868" s="1">
        <v>45841</v>
      </c>
      <c r="B1868" t="s">
        <v>15</v>
      </c>
      <c r="C1868" s="3">
        <v>1520.8</v>
      </c>
      <c r="D1868" s="3">
        <v>1531.9</v>
      </c>
      <c r="E1868" s="3">
        <v>1513</v>
      </c>
      <c r="F1868" s="3">
        <v>1518.8</v>
      </c>
      <c r="G1868" s="3">
        <v>1515</v>
      </c>
      <c r="H1868" s="3">
        <v>1517.8</v>
      </c>
      <c r="I1868" s="3">
        <v>1520.57</v>
      </c>
      <c r="J1868" s="3">
        <v>3217.6</v>
      </c>
      <c r="K1868" s="3">
        <v>1114.8499999999999</v>
      </c>
      <c r="L1868" s="2">
        <v>11283291</v>
      </c>
      <c r="M1868" s="2">
        <v>17156979936.799999</v>
      </c>
      <c r="N1868" s="2">
        <v>258008</v>
      </c>
      <c r="O1868" t="s">
        <v>23</v>
      </c>
      <c r="P1868" s="8">
        <f t="shared" si="87"/>
        <v>-2</v>
      </c>
      <c r="Q1868" t="s">
        <v>41</v>
      </c>
      <c r="R1868">
        <f t="shared" si="88"/>
        <v>7</v>
      </c>
      <c r="S1868" t="str">
        <f t="shared" si="89"/>
        <v>Jul</v>
      </c>
      <c r="T1868" s="9">
        <f>VLOOKUP(O1868, Annual_Summary!A:B, 2, 0)</f>
        <v>0.2858955987717503</v>
      </c>
    </row>
    <row r="1869" spans="1:20" x14ac:dyDescent="0.3">
      <c r="A1869" s="1">
        <v>45840</v>
      </c>
      <c r="B1869" t="s">
        <v>15</v>
      </c>
      <c r="C1869" s="3">
        <v>1528.4</v>
      </c>
      <c r="D1869" s="3">
        <v>1530</v>
      </c>
      <c r="E1869" s="3">
        <v>1508.7</v>
      </c>
      <c r="F1869" s="3">
        <v>1528.4</v>
      </c>
      <c r="G1869" s="3">
        <v>1517.1</v>
      </c>
      <c r="H1869" s="3">
        <v>1518.8</v>
      </c>
      <c r="I1869" s="3">
        <v>1518.29</v>
      </c>
      <c r="J1869" s="3">
        <v>3217.6</v>
      </c>
      <c r="K1869" s="3">
        <v>1114.8499999999999</v>
      </c>
      <c r="L1869" s="2">
        <v>6361002</v>
      </c>
      <c r="M1869" s="2">
        <v>9657844399.3999996</v>
      </c>
      <c r="N1869" s="2">
        <v>183873</v>
      </c>
      <c r="O1869" t="s">
        <v>23</v>
      </c>
      <c r="P1869" s="8">
        <f t="shared" si="87"/>
        <v>0</v>
      </c>
      <c r="Q1869" t="s">
        <v>41</v>
      </c>
      <c r="R1869">
        <f t="shared" si="88"/>
        <v>7</v>
      </c>
      <c r="S1869" t="str">
        <f t="shared" si="89"/>
        <v>Jul</v>
      </c>
      <c r="T1869" s="9">
        <f>VLOOKUP(O1869, Annual_Summary!A:B, 2, 0)</f>
        <v>0.2858955987717503</v>
      </c>
    </row>
    <row r="1870" spans="1:20" x14ac:dyDescent="0.3">
      <c r="A1870" s="1">
        <v>45839</v>
      </c>
      <c r="B1870" t="s">
        <v>15</v>
      </c>
      <c r="C1870" s="3">
        <v>1500.6</v>
      </c>
      <c r="D1870" s="3">
        <v>1531.4</v>
      </c>
      <c r="E1870" s="3">
        <v>1500.1</v>
      </c>
      <c r="F1870" s="3">
        <v>1500.6</v>
      </c>
      <c r="G1870" s="3">
        <v>1526.8</v>
      </c>
      <c r="H1870" s="3">
        <v>1528.4</v>
      </c>
      <c r="I1870" s="3">
        <v>1522.95</v>
      </c>
      <c r="J1870" s="3">
        <v>3217.6</v>
      </c>
      <c r="K1870" s="3">
        <v>1114.8499999999999</v>
      </c>
      <c r="L1870" s="2">
        <v>10368523</v>
      </c>
      <c r="M1870" s="2">
        <v>15790750945.4</v>
      </c>
      <c r="N1870" s="2">
        <v>232573</v>
      </c>
      <c r="O1870" t="s">
        <v>23</v>
      </c>
      <c r="P1870" s="8">
        <f t="shared" si="87"/>
        <v>0</v>
      </c>
      <c r="Q1870" t="s">
        <v>41</v>
      </c>
      <c r="R1870">
        <f t="shared" si="88"/>
        <v>7</v>
      </c>
      <c r="S1870" t="str">
        <f t="shared" si="89"/>
        <v>Jul</v>
      </c>
      <c r="T1870" s="9">
        <f>VLOOKUP(O1870, Annual_Summary!A:B, 2, 0)</f>
        <v>0.2858955987717503</v>
      </c>
    </row>
    <row r="1871" spans="1:20" x14ac:dyDescent="0.3">
      <c r="A1871" s="1">
        <v>45838</v>
      </c>
      <c r="B1871" t="s">
        <v>15</v>
      </c>
      <c r="C1871" s="3">
        <v>1513.8</v>
      </c>
      <c r="D1871" s="3">
        <v>1524.8</v>
      </c>
      <c r="E1871" s="3">
        <v>1496</v>
      </c>
      <c r="F1871" s="3">
        <v>1515.4</v>
      </c>
      <c r="G1871" s="3">
        <v>1499.9</v>
      </c>
      <c r="H1871" s="3">
        <v>1500.6</v>
      </c>
      <c r="I1871" s="3">
        <v>1509.28</v>
      </c>
      <c r="J1871" s="3">
        <v>3217.6</v>
      </c>
      <c r="K1871" s="3">
        <v>1114.8499999999999</v>
      </c>
      <c r="L1871" s="2">
        <v>8409527</v>
      </c>
      <c r="M1871" s="2">
        <v>12692329820.1</v>
      </c>
      <c r="N1871" s="2">
        <v>242195</v>
      </c>
      <c r="O1871" t="s">
        <v>23</v>
      </c>
      <c r="P1871" s="8">
        <f t="shared" si="87"/>
        <v>1.6000000000001364</v>
      </c>
      <c r="Q1871" t="s">
        <v>41</v>
      </c>
      <c r="R1871">
        <f t="shared" si="88"/>
        <v>6</v>
      </c>
      <c r="S1871" t="str">
        <f t="shared" si="89"/>
        <v>Jun</v>
      </c>
      <c r="T1871" s="9">
        <f>VLOOKUP(O1871, Annual_Summary!A:B, 2, 0)</f>
        <v>0.2858955987717503</v>
      </c>
    </row>
    <row r="1872" spans="1:20" x14ac:dyDescent="0.3">
      <c r="A1872" s="1">
        <v>45835</v>
      </c>
      <c r="B1872" t="s">
        <v>15</v>
      </c>
      <c r="C1872" s="3">
        <v>1499.4</v>
      </c>
      <c r="D1872" s="3">
        <v>1522</v>
      </c>
      <c r="E1872" s="3">
        <v>1496.9</v>
      </c>
      <c r="F1872" s="3">
        <v>1495.3</v>
      </c>
      <c r="G1872" s="3">
        <v>1514</v>
      </c>
      <c r="H1872" s="3">
        <v>1515.4</v>
      </c>
      <c r="I1872" s="3">
        <v>1511.99</v>
      </c>
      <c r="J1872" s="3">
        <v>3217.6</v>
      </c>
      <c r="K1872" s="3">
        <v>1114.8499999999999</v>
      </c>
      <c r="L1872" s="2">
        <v>11117052</v>
      </c>
      <c r="M1872" s="2">
        <v>16808908375.4</v>
      </c>
      <c r="N1872" s="2">
        <v>269877</v>
      </c>
      <c r="O1872" t="s">
        <v>23</v>
      </c>
      <c r="P1872" s="8">
        <f t="shared" si="87"/>
        <v>-4.1000000000001364</v>
      </c>
      <c r="Q1872" t="s">
        <v>41</v>
      </c>
      <c r="R1872">
        <f t="shared" si="88"/>
        <v>6</v>
      </c>
      <c r="S1872" t="str">
        <f t="shared" si="89"/>
        <v>Jun</v>
      </c>
      <c r="T1872" s="9">
        <f>VLOOKUP(O1872, Annual_Summary!A:B, 2, 0)</f>
        <v>0.2858955987717503</v>
      </c>
    </row>
    <row r="1873" spans="1:20" x14ac:dyDescent="0.3">
      <c r="A1873" s="1">
        <v>45834</v>
      </c>
      <c r="B1873" t="s">
        <v>15</v>
      </c>
      <c r="C1873" s="3">
        <v>1469.1</v>
      </c>
      <c r="D1873" s="3">
        <v>1498.8</v>
      </c>
      <c r="E1873" s="3">
        <v>1465.1</v>
      </c>
      <c r="F1873" s="3">
        <v>1467.3</v>
      </c>
      <c r="G1873" s="3">
        <v>1495.3</v>
      </c>
      <c r="H1873" s="3">
        <v>1495.3</v>
      </c>
      <c r="I1873" s="3">
        <v>1488.16</v>
      </c>
      <c r="J1873" s="3">
        <v>3217.6</v>
      </c>
      <c r="K1873" s="3">
        <v>1114.8499999999999</v>
      </c>
      <c r="L1873" s="2">
        <v>14657893</v>
      </c>
      <c r="M1873" s="2">
        <v>21813325246.099998</v>
      </c>
      <c r="N1873" s="2">
        <v>247215</v>
      </c>
      <c r="O1873" t="s">
        <v>23</v>
      </c>
      <c r="P1873" s="8">
        <f t="shared" si="87"/>
        <v>-1.7999999999999545</v>
      </c>
      <c r="Q1873" t="s">
        <v>41</v>
      </c>
      <c r="R1873">
        <f t="shared" si="88"/>
        <v>6</v>
      </c>
      <c r="S1873" t="str">
        <f t="shared" si="89"/>
        <v>Jun</v>
      </c>
      <c r="T1873" s="9">
        <f>VLOOKUP(O1873, Annual_Summary!A:B, 2, 0)</f>
        <v>0.2858955987717503</v>
      </c>
    </row>
    <row r="1874" spans="1:20" x14ac:dyDescent="0.3">
      <c r="A1874" s="1">
        <v>45833</v>
      </c>
      <c r="B1874" t="s">
        <v>15</v>
      </c>
      <c r="C1874" s="3">
        <v>1464</v>
      </c>
      <c r="D1874" s="3">
        <v>1472.4</v>
      </c>
      <c r="E1874" s="3">
        <v>1460.5</v>
      </c>
      <c r="F1874" s="3">
        <v>1450.8</v>
      </c>
      <c r="G1874" s="3">
        <v>1467.6</v>
      </c>
      <c r="H1874" s="3">
        <v>1467.3</v>
      </c>
      <c r="I1874" s="3">
        <v>1467.46</v>
      </c>
      <c r="J1874" s="3">
        <v>3217.6</v>
      </c>
      <c r="K1874" s="3">
        <v>1114.8499999999999</v>
      </c>
      <c r="L1874" s="2">
        <v>7525851</v>
      </c>
      <c r="M1874" s="2">
        <v>11043861535.4</v>
      </c>
      <c r="N1874" s="2">
        <v>197720</v>
      </c>
      <c r="O1874" t="s">
        <v>23</v>
      </c>
      <c r="P1874" s="8">
        <f t="shared" si="87"/>
        <v>-13.200000000000045</v>
      </c>
      <c r="Q1874" t="s">
        <v>41</v>
      </c>
      <c r="R1874">
        <f t="shared" si="88"/>
        <v>6</v>
      </c>
      <c r="S1874" t="str">
        <f t="shared" si="89"/>
        <v>Jun</v>
      </c>
      <c r="T1874" s="9">
        <f>VLOOKUP(O1874, Annual_Summary!A:B, 2, 0)</f>
        <v>0.2858955987717503</v>
      </c>
    </row>
    <row r="1875" spans="1:20" x14ac:dyDescent="0.3">
      <c r="A1875" s="1">
        <v>45832</v>
      </c>
      <c r="B1875" t="s">
        <v>15</v>
      </c>
      <c r="C1875" s="3">
        <v>1465</v>
      </c>
      <c r="D1875" s="3">
        <v>1475</v>
      </c>
      <c r="E1875" s="3">
        <v>1443.1</v>
      </c>
      <c r="F1875" s="3">
        <v>1456.8</v>
      </c>
      <c r="G1875" s="3">
        <v>1456.8</v>
      </c>
      <c r="H1875" s="3">
        <v>1450.8</v>
      </c>
      <c r="I1875" s="3">
        <v>1456.68</v>
      </c>
      <c r="J1875" s="3">
        <v>3217.6</v>
      </c>
      <c r="K1875" s="3">
        <v>1114.8499999999999</v>
      </c>
      <c r="L1875" s="2">
        <v>16402744</v>
      </c>
      <c r="M1875" s="2">
        <v>23893522923.200001</v>
      </c>
      <c r="N1875" s="2">
        <v>284313</v>
      </c>
      <c r="O1875" t="s">
        <v>23</v>
      </c>
      <c r="P1875" s="8">
        <f t="shared" si="87"/>
        <v>-8.2000000000000455</v>
      </c>
      <c r="Q1875" t="s">
        <v>41</v>
      </c>
      <c r="R1875">
        <f t="shared" si="88"/>
        <v>6</v>
      </c>
      <c r="S1875" t="str">
        <f t="shared" si="89"/>
        <v>Jun</v>
      </c>
      <c r="T1875" s="9">
        <f>VLOOKUP(O1875, Annual_Summary!A:B, 2, 0)</f>
        <v>0.2858955987717503</v>
      </c>
    </row>
    <row r="1876" spans="1:20" x14ac:dyDescent="0.3">
      <c r="A1876" s="1">
        <v>45831</v>
      </c>
      <c r="B1876" t="s">
        <v>15</v>
      </c>
      <c r="C1876" s="3">
        <v>1453</v>
      </c>
      <c r="D1876" s="3">
        <v>1463.8</v>
      </c>
      <c r="E1876" s="3">
        <v>1442</v>
      </c>
      <c r="F1876" s="3">
        <v>1466.2</v>
      </c>
      <c r="G1876" s="3">
        <v>1456</v>
      </c>
      <c r="H1876" s="3">
        <v>1456.8</v>
      </c>
      <c r="I1876" s="3">
        <v>1453.48</v>
      </c>
      <c r="J1876" s="3">
        <v>3217.6</v>
      </c>
      <c r="K1876" s="3">
        <v>1114.8499999999999</v>
      </c>
      <c r="L1876" s="2">
        <v>5989078</v>
      </c>
      <c r="M1876" s="2">
        <v>8705005211.5</v>
      </c>
      <c r="N1876" s="2">
        <v>226309</v>
      </c>
      <c r="O1876" t="s">
        <v>23</v>
      </c>
      <c r="P1876" s="8">
        <f t="shared" si="87"/>
        <v>13.200000000000045</v>
      </c>
      <c r="Q1876" t="s">
        <v>41</v>
      </c>
      <c r="R1876">
        <f t="shared" si="88"/>
        <v>6</v>
      </c>
      <c r="S1876" t="str">
        <f t="shared" si="89"/>
        <v>Jun</v>
      </c>
      <c r="T1876" s="9">
        <f>VLOOKUP(O1876, Annual_Summary!A:B, 2, 0)</f>
        <v>0.2858955987717503</v>
      </c>
    </row>
    <row r="1877" spans="1:20" x14ac:dyDescent="0.3">
      <c r="A1877" s="1">
        <v>45828</v>
      </c>
      <c r="B1877" t="s">
        <v>15</v>
      </c>
      <c r="C1877" s="3">
        <v>1431</v>
      </c>
      <c r="D1877" s="3">
        <v>1471</v>
      </c>
      <c r="E1877" s="3">
        <v>1428.1</v>
      </c>
      <c r="F1877" s="3">
        <v>1433.3</v>
      </c>
      <c r="G1877" s="3">
        <v>1464.1</v>
      </c>
      <c r="H1877" s="3">
        <v>1466.2</v>
      </c>
      <c r="I1877" s="3">
        <v>1462.68</v>
      </c>
      <c r="J1877" s="3">
        <v>3217.6</v>
      </c>
      <c r="K1877" s="3">
        <v>1114.8499999999999</v>
      </c>
      <c r="L1877" s="2">
        <v>29010635</v>
      </c>
      <c r="M1877" s="2">
        <v>42433300495.599998</v>
      </c>
      <c r="N1877" s="2">
        <v>276278</v>
      </c>
      <c r="O1877" t="s">
        <v>23</v>
      </c>
      <c r="P1877" s="8">
        <f t="shared" si="87"/>
        <v>2.2999999999999545</v>
      </c>
      <c r="Q1877" t="s">
        <v>41</v>
      </c>
      <c r="R1877">
        <f t="shared" si="88"/>
        <v>6</v>
      </c>
      <c r="S1877" t="str">
        <f t="shared" si="89"/>
        <v>Jun</v>
      </c>
      <c r="T1877" s="9">
        <f>VLOOKUP(O1877, Annual_Summary!A:B, 2, 0)</f>
        <v>0.2858955987717503</v>
      </c>
    </row>
    <row r="1878" spans="1:20" x14ac:dyDescent="0.3">
      <c r="A1878" s="1">
        <v>45827</v>
      </c>
      <c r="B1878" t="s">
        <v>15</v>
      </c>
      <c r="C1878" s="3">
        <v>1430.1</v>
      </c>
      <c r="D1878" s="3">
        <v>1439.9</v>
      </c>
      <c r="E1878" s="3">
        <v>1425.7</v>
      </c>
      <c r="F1878" s="3">
        <v>1430.1</v>
      </c>
      <c r="G1878" s="3">
        <v>1428</v>
      </c>
      <c r="H1878" s="3">
        <v>1433.3</v>
      </c>
      <c r="I1878" s="3">
        <v>1433.8</v>
      </c>
      <c r="J1878" s="3">
        <v>3217.6</v>
      </c>
      <c r="K1878" s="3">
        <v>1114.8499999999999</v>
      </c>
      <c r="L1878" s="2">
        <v>10007230</v>
      </c>
      <c r="M1878" s="2">
        <v>14348370217.6</v>
      </c>
      <c r="N1878" s="2">
        <v>179473</v>
      </c>
      <c r="O1878" t="s">
        <v>23</v>
      </c>
      <c r="P1878" s="8">
        <f t="shared" si="87"/>
        <v>0</v>
      </c>
      <c r="Q1878" t="s">
        <v>41</v>
      </c>
      <c r="R1878">
        <f t="shared" si="88"/>
        <v>6</v>
      </c>
      <c r="S1878" t="str">
        <f t="shared" si="89"/>
        <v>Jun</v>
      </c>
      <c r="T1878" s="9">
        <f>VLOOKUP(O1878, Annual_Summary!A:B, 2, 0)</f>
        <v>0.2858955987717503</v>
      </c>
    </row>
    <row r="1879" spans="1:20" x14ac:dyDescent="0.3">
      <c r="A1879" s="1">
        <v>45826</v>
      </c>
      <c r="B1879" t="s">
        <v>15</v>
      </c>
      <c r="C1879" s="3">
        <v>1430</v>
      </c>
      <c r="D1879" s="3">
        <v>1442.8</v>
      </c>
      <c r="E1879" s="3">
        <v>1425.7</v>
      </c>
      <c r="F1879" s="3">
        <v>1431.2</v>
      </c>
      <c r="G1879" s="3">
        <v>1429.7</v>
      </c>
      <c r="H1879" s="3">
        <v>1430.1</v>
      </c>
      <c r="I1879" s="3">
        <v>1431.31</v>
      </c>
      <c r="J1879" s="3">
        <v>3217.6</v>
      </c>
      <c r="K1879" s="3">
        <v>1114.8499999999999</v>
      </c>
      <c r="L1879" s="2">
        <v>6681735</v>
      </c>
      <c r="M1879" s="2">
        <v>9563629434</v>
      </c>
      <c r="N1879" s="2">
        <v>138211</v>
      </c>
      <c r="O1879" t="s">
        <v>23</v>
      </c>
      <c r="P1879" s="8">
        <f t="shared" si="87"/>
        <v>1.2000000000000455</v>
      </c>
      <c r="Q1879" t="s">
        <v>41</v>
      </c>
      <c r="R1879">
        <f t="shared" si="88"/>
        <v>6</v>
      </c>
      <c r="S1879" t="str">
        <f t="shared" si="89"/>
        <v>Jun</v>
      </c>
      <c r="T1879" s="9">
        <f>VLOOKUP(O1879, Annual_Summary!A:B, 2, 0)</f>
        <v>0.2858955987717503</v>
      </c>
    </row>
    <row r="1880" spans="1:20" x14ac:dyDescent="0.3">
      <c r="A1880" s="1">
        <v>45825</v>
      </c>
      <c r="B1880" t="s">
        <v>15</v>
      </c>
      <c r="C1880" s="3">
        <v>1448</v>
      </c>
      <c r="D1880" s="3">
        <v>1448</v>
      </c>
      <c r="E1880" s="3">
        <v>1425.8</v>
      </c>
      <c r="F1880" s="3">
        <v>1437.8</v>
      </c>
      <c r="G1880" s="3">
        <v>1430</v>
      </c>
      <c r="H1880" s="3">
        <v>1431.2</v>
      </c>
      <c r="I1880" s="3">
        <v>1432.15</v>
      </c>
      <c r="J1880" s="3">
        <v>3217.6</v>
      </c>
      <c r="K1880" s="3">
        <v>1114.8499999999999</v>
      </c>
      <c r="L1880" s="2">
        <v>10366599</v>
      </c>
      <c r="M1880" s="2">
        <v>14846517402.4</v>
      </c>
      <c r="N1880" s="2">
        <v>191173</v>
      </c>
      <c r="O1880" t="s">
        <v>23</v>
      </c>
      <c r="P1880" s="8">
        <f t="shared" si="87"/>
        <v>-10.200000000000045</v>
      </c>
      <c r="Q1880" t="s">
        <v>41</v>
      </c>
      <c r="R1880">
        <f t="shared" si="88"/>
        <v>6</v>
      </c>
      <c r="S1880" t="str">
        <f t="shared" si="89"/>
        <v>Jun</v>
      </c>
      <c r="T1880" s="9">
        <f>VLOOKUP(O1880, Annual_Summary!A:B, 2, 0)</f>
        <v>0.2858955987717503</v>
      </c>
    </row>
    <row r="1881" spans="1:20" x14ac:dyDescent="0.3">
      <c r="A1881" s="1">
        <v>45824</v>
      </c>
      <c r="B1881" t="s">
        <v>15</v>
      </c>
      <c r="C1881" s="3">
        <v>1426.9</v>
      </c>
      <c r="D1881" s="3">
        <v>1442.4</v>
      </c>
      <c r="E1881" s="3">
        <v>1424.4</v>
      </c>
      <c r="F1881" s="3">
        <v>1427.9</v>
      </c>
      <c r="G1881" s="3">
        <v>1436.9</v>
      </c>
      <c r="H1881" s="3">
        <v>1437.8</v>
      </c>
      <c r="I1881" s="3">
        <v>1436.42</v>
      </c>
      <c r="J1881" s="3">
        <v>3217.6</v>
      </c>
      <c r="K1881" s="3">
        <v>1114.8499999999999</v>
      </c>
      <c r="L1881" s="2">
        <v>8458093</v>
      </c>
      <c r="M1881" s="2">
        <v>12149412490.700001</v>
      </c>
      <c r="N1881" s="2">
        <v>213623</v>
      </c>
      <c r="O1881" t="s">
        <v>23</v>
      </c>
      <c r="P1881" s="8">
        <f t="shared" si="87"/>
        <v>1</v>
      </c>
      <c r="Q1881" t="s">
        <v>41</v>
      </c>
      <c r="R1881">
        <f t="shared" si="88"/>
        <v>6</v>
      </c>
      <c r="S1881" t="str">
        <f t="shared" si="89"/>
        <v>Jun</v>
      </c>
      <c r="T1881" s="9">
        <f>VLOOKUP(O1881, Annual_Summary!A:B, 2, 0)</f>
        <v>0.2858955987717503</v>
      </c>
    </row>
    <row r="1882" spans="1:20" x14ac:dyDescent="0.3">
      <c r="A1882" s="1">
        <v>45821</v>
      </c>
      <c r="B1882" t="s">
        <v>15</v>
      </c>
      <c r="C1882" s="3">
        <v>1424</v>
      </c>
      <c r="D1882" s="3">
        <v>1435.5</v>
      </c>
      <c r="E1882" s="3">
        <v>1414.3</v>
      </c>
      <c r="F1882" s="3">
        <v>1441.6</v>
      </c>
      <c r="G1882" s="3">
        <v>1427.5</v>
      </c>
      <c r="H1882" s="3">
        <v>1427.9</v>
      </c>
      <c r="I1882" s="3">
        <v>1423.95</v>
      </c>
      <c r="J1882" s="3">
        <v>3217.6</v>
      </c>
      <c r="K1882" s="3">
        <v>1114.8499999999999</v>
      </c>
      <c r="L1882" s="2">
        <v>9757276</v>
      </c>
      <c r="M1882" s="2">
        <v>13893905321.299999</v>
      </c>
      <c r="N1882" s="2">
        <v>202256</v>
      </c>
      <c r="O1882" t="s">
        <v>23</v>
      </c>
      <c r="P1882" s="8">
        <f t="shared" si="87"/>
        <v>17.599999999999909</v>
      </c>
      <c r="Q1882" t="s">
        <v>41</v>
      </c>
      <c r="R1882">
        <f t="shared" si="88"/>
        <v>6</v>
      </c>
      <c r="S1882" t="str">
        <f t="shared" si="89"/>
        <v>Jun</v>
      </c>
      <c r="T1882" s="9">
        <f>VLOOKUP(O1882, Annual_Summary!A:B, 2, 0)</f>
        <v>0.2858955987717503</v>
      </c>
    </row>
    <row r="1883" spans="1:20" x14ac:dyDescent="0.3">
      <c r="A1883" s="1">
        <v>45820</v>
      </c>
      <c r="B1883" t="s">
        <v>15</v>
      </c>
      <c r="C1883" s="3">
        <v>1453.5</v>
      </c>
      <c r="D1883" s="3">
        <v>1457</v>
      </c>
      <c r="E1883" s="3">
        <v>1434.4</v>
      </c>
      <c r="F1883" s="3">
        <v>1448.9</v>
      </c>
      <c r="G1883" s="3">
        <v>1439.5</v>
      </c>
      <c r="H1883" s="3">
        <v>1441.6</v>
      </c>
      <c r="I1883" s="3">
        <v>1444.32</v>
      </c>
      <c r="J1883" s="3">
        <v>3217.6</v>
      </c>
      <c r="K1883" s="3">
        <v>1114.8499999999999</v>
      </c>
      <c r="L1883" s="2">
        <v>8828114</v>
      </c>
      <c r="M1883" s="2">
        <v>12750612321.299999</v>
      </c>
      <c r="N1883" s="2">
        <v>190194</v>
      </c>
      <c r="O1883" t="s">
        <v>23</v>
      </c>
      <c r="P1883" s="8">
        <f t="shared" si="87"/>
        <v>-4.5999999999999091</v>
      </c>
      <c r="Q1883" t="s">
        <v>41</v>
      </c>
      <c r="R1883">
        <f t="shared" si="88"/>
        <v>6</v>
      </c>
      <c r="S1883" t="str">
        <f t="shared" si="89"/>
        <v>Jun</v>
      </c>
      <c r="T1883" s="9">
        <f>VLOOKUP(O1883, Annual_Summary!A:B, 2, 0)</f>
        <v>0.2858955987717503</v>
      </c>
    </row>
    <row r="1884" spans="1:20" x14ac:dyDescent="0.3">
      <c r="A1884" s="1">
        <v>45819</v>
      </c>
      <c r="B1884" t="s">
        <v>15</v>
      </c>
      <c r="C1884" s="3">
        <v>1445.8</v>
      </c>
      <c r="D1884" s="3">
        <v>1468.6</v>
      </c>
      <c r="E1884" s="3">
        <v>1443.1</v>
      </c>
      <c r="F1884" s="3">
        <v>1438.5</v>
      </c>
      <c r="G1884" s="3">
        <v>1448</v>
      </c>
      <c r="H1884" s="3">
        <v>1448.9</v>
      </c>
      <c r="I1884" s="3">
        <v>1456.11</v>
      </c>
      <c r="J1884" s="3">
        <v>3217.6</v>
      </c>
      <c r="K1884" s="3">
        <v>1114.8499999999999</v>
      </c>
      <c r="L1884" s="2">
        <v>8195700</v>
      </c>
      <c r="M1884" s="2">
        <v>11933850942.700001</v>
      </c>
      <c r="N1884" s="2">
        <v>184593</v>
      </c>
      <c r="O1884" t="s">
        <v>23</v>
      </c>
      <c r="P1884" s="8">
        <f t="shared" si="87"/>
        <v>-7.2999999999999545</v>
      </c>
      <c r="Q1884" t="s">
        <v>41</v>
      </c>
      <c r="R1884">
        <f t="shared" si="88"/>
        <v>6</v>
      </c>
      <c r="S1884" t="str">
        <f t="shared" si="89"/>
        <v>Jun</v>
      </c>
      <c r="T1884" s="9">
        <f>VLOOKUP(O1884, Annual_Summary!A:B, 2, 0)</f>
        <v>0.2858955987717503</v>
      </c>
    </row>
    <row r="1885" spans="1:20" x14ac:dyDescent="0.3">
      <c r="A1885" s="1">
        <v>45818</v>
      </c>
      <c r="B1885" t="s">
        <v>15</v>
      </c>
      <c r="C1885" s="3">
        <v>1450</v>
      </c>
      <c r="D1885" s="3">
        <v>1453.9</v>
      </c>
      <c r="E1885" s="3">
        <v>1436</v>
      </c>
      <c r="F1885" s="3">
        <v>1448.8</v>
      </c>
      <c r="G1885" s="3">
        <v>1437.3</v>
      </c>
      <c r="H1885" s="3">
        <v>1438.5</v>
      </c>
      <c r="I1885" s="3">
        <v>1442.59</v>
      </c>
      <c r="J1885" s="3">
        <v>3217.6</v>
      </c>
      <c r="K1885" s="3">
        <v>1114.8499999999999</v>
      </c>
      <c r="L1885" s="2">
        <v>7913181</v>
      </c>
      <c r="M1885" s="2">
        <v>11415476580.5</v>
      </c>
      <c r="N1885" s="2">
        <v>167203</v>
      </c>
      <c r="O1885" t="s">
        <v>23</v>
      </c>
      <c r="P1885" s="8">
        <f t="shared" si="87"/>
        <v>-1.2000000000000455</v>
      </c>
      <c r="Q1885" t="s">
        <v>41</v>
      </c>
      <c r="R1885">
        <f t="shared" si="88"/>
        <v>6</v>
      </c>
      <c r="S1885" t="str">
        <f t="shared" si="89"/>
        <v>Jun</v>
      </c>
      <c r="T1885" s="9">
        <f>VLOOKUP(O1885, Annual_Summary!A:B, 2, 0)</f>
        <v>0.2858955987717503</v>
      </c>
    </row>
    <row r="1886" spans="1:20" x14ac:dyDescent="0.3">
      <c r="A1886" s="1">
        <v>45817</v>
      </c>
      <c r="B1886" t="s">
        <v>15</v>
      </c>
      <c r="C1886" s="3">
        <v>1457</v>
      </c>
      <c r="D1886" s="3">
        <v>1457.5</v>
      </c>
      <c r="E1886" s="3">
        <v>1445.3</v>
      </c>
      <c r="F1886" s="3">
        <v>1443.5</v>
      </c>
      <c r="G1886" s="3">
        <v>1447.2</v>
      </c>
      <c r="H1886" s="3">
        <v>1448.8</v>
      </c>
      <c r="I1886" s="3">
        <v>1449.95</v>
      </c>
      <c r="J1886" s="3">
        <v>3217.6</v>
      </c>
      <c r="K1886" s="3">
        <v>1114.8499999999999</v>
      </c>
      <c r="L1886" s="2">
        <v>7885125</v>
      </c>
      <c r="M1886" s="2">
        <v>11433033631.799999</v>
      </c>
      <c r="N1886" s="2">
        <v>159916</v>
      </c>
      <c r="O1886" t="s">
        <v>23</v>
      </c>
      <c r="P1886" s="8">
        <f t="shared" si="87"/>
        <v>-13.5</v>
      </c>
      <c r="Q1886" t="s">
        <v>41</v>
      </c>
      <c r="R1886">
        <f t="shared" si="88"/>
        <v>6</v>
      </c>
      <c r="S1886" t="str">
        <f t="shared" si="89"/>
        <v>Jun</v>
      </c>
      <c r="T1886" s="9">
        <f>VLOOKUP(O1886, Annual_Summary!A:B, 2, 0)</f>
        <v>0.2858955987717503</v>
      </c>
    </row>
    <row r="1887" spans="1:20" x14ac:dyDescent="0.3">
      <c r="A1887" s="1">
        <v>45814</v>
      </c>
      <c r="B1887" t="s">
        <v>15</v>
      </c>
      <c r="C1887" s="3">
        <v>1441</v>
      </c>
      <c r="D1887" s="3">
        <v>1451.5</v>
      </c>
      <c r="E1887" s="3">
        <v>1437</v>
      </c>
      <c r="F1887" s="3">
        <v>1442.4</v>
      </c>
      <c r="G1887" s="3">
        <v>1443</v>
      </c>
      <c r="H1887" s="3">
        <v>1443.5</v>
      </c>
      <c r="I1887" s="3">
        <v>1444.22</v>
      </c>
      <c r="J1887" s="3">
        <v>3217.6</v>
      </c>
      <c r="K1887" s="3">
        <v>1114.8499999999999</v>
      </c>
      <c r="L1887" s="2">
        <v>8182161</v>
      </c>
      <c r="M1887" s="2">
        <v>11816875426.1</v>
      </c>
      <c r="N1887" s="2">
        <v>179734</v>
      </c>
      <c r="O1887" t="s">
        <v>23</v>
      </c>
      <c r="P1887" s="8">
        <f t="shared" si="87"/>
        <v>1.4000000000000909</v>
      </c>
      <c r="Q1887" t="s">
        <v>41</v>
      </c>
      <c r="R1887">
        <f t="shared" si="88"/>
        <v>6</v>
      </c>
      <c r="S1887" t="str">
        <f t="shared" si="89"/>
        <v>Jun</v>
      </c>
      <c r="T1887" s="9">
        <f>VLOOKUP(O1887, Annual_Summary!A:B, 2, 0)</f>
        <v>0.2858955987717503</v>
      </c>
    </row>
    <row r="1888" spans="1:20" x14ac:dyDescent="0.3">
      <c r="A1888" s="1">
        <v>45813</v>
      </c>
      <c r="B1888" t="s">
        <v>15</v>
      </c>
      <c r="C1888" s="3">
        <v>1428</v>
      </c>
      <c r="D1888" s="3">
        <v>1454.7</v>
      </c>
      <c r="E1888" s="3">
        <v>1423.6</v>
      </c>
      <c r="F1888" s="3">
        <v>1423.5</v>
      </c>
      <c r="G1888" s="3">
        <v>1442.7</v>
      </c>
      <c r="H1888" s="3">
        <v>1442.4</v>
      </c>
      <c r="I1888" s="3">
        <v>1442.72</v>
      </c>
      <c r="J1888" s="3">
        <v>3217.6</v>
      </c>
      <c r="K1888" s="3">
        <v>1114.8499999999999</v>
      </c>
      <c r="L1888" s="2">
        <v>13716817</v>
      </c>
      <c r="M1888" s="2">
        <v>19789468217</v>
      </c>
      <c r="N1888" s="2">
        <v>304069</v>
      </c>
      <c r="O1888" t="s">
        <v>23</v>
      </c>
      <c r="P1888" s="8">
        <f t="shared" si="87"/>
        <v>-4.5</v>
      </c>
      <c r="Q1888" t="s">
        <v>41</v>
      </c>
      <c r="R1888">
        <f t="shared" si="88"/>
        <v>6</v>
      </c>
      <c r="S1888" t="str">
        <f t="shared" si="89"/>
        <v>Jun</v>
      </c>
      <c r="T1888" s="9">
        <f>VLOOKUP(O1888, Annual_Summary!A:B, 2, 0)</f>
        <v>0.2858955987717503</v>
      </c>
    </row>
    <row r="1889" spans="1:20" x14ac:dyDescent="0.3">
      <c r="A1889" s="1">
        <v>45812</v>
      </c>
      <c r="B1889" t="s">
        <v>15</v>
      </c>
      <c r="C1889" s="3">
        <v>1414.7</v>
      </c>
      <c r="D1889" s="3">
        <v>1425.7</v>
      </c>
      <c r="E1889" s="3">
        <v>1406.1</v>
      </c>
      <c r="F1889" s="3">
        <v>1405.5</v>
      </c>
      <c r="G1889" s="3">
        <v>1421</v>
      </c>
      <c r="H1889" s="3">
        <v>1423.5</v>
      </c>
      <c r="I1889" s="3">
        <v>1415.78</v>
      </c>
      <c r="J1889" s="3">
        <v>3217.6</v>
      </c>
      <c r="K1889" s="3">
        <v>1114.8499999999999</v>
      </c>
      <c r="L1889" s="2">
        <v>8126827</v>
      </c>
      <c r="M1889" s="2">
        <v>11505806730.5</v>
      </c>
      <c r="N1889" s="2">
        <v>152064</v>
      </c>
      <c r="O1889" t="s">
        <v>23</v>
      </c>
      <c r="P1889" s="8">
        <f t="shared" si="87"/>
        <v>-9.2000000000000455</v>
      </c>
      <c r="Q1889" t="s">
        <v>41</v>
      </c>
      <c r="R1889">
        <f t="shared" si="88"/>
        <v>6</v>
      </c>
      <c r="S1889" t="str">
        <f t="shared" si="89"/>
        <v>Jun</v>
      </c>
      <c r="T1889" s="9">
        <f>VLOOKUP(O1889, Annual_Summary!A:B, 2, 0)</f>
        <v>0.2858955987717503</v>
      </c>
    </row>
    <row r="1890" spans="1:20" x14ac:dyDescent="0.3">
      <c r="A1890" s="1">
        <v>45811</v>
      </c>
      <c r="B1890" t="s">
        <v>15</v>
      </c>
      <c r="C1890" s="3">
        <v>1422.3</v>
      </c>
      <c r="D1890" s="3">
        <v>1426.5</v>
      </c>
      <c r="E1890" s="3">
        <v>1403.4</v>
      </c>
      <c r="F1890" s="3">
        <v>1413.7</v>
      </c>
      <c r="G1890" s="3">
        <v>1405.4</v>
      </c>
      <c r="H1890" s="3">
        <v>1405.5</v>
      </c>
      <c r="I1890" s="3">
        <v>1412.34</v>
      </c>
      <c r="J1890" s="3">
        <v>3217.6</v>
      </c>
      <c r="K1890" s="3">
        <v>1114.8499999999999</v>
      </c>
      <c r="L1890" s="2">
        <v>11252626</v>
      </c>
      <c r="M1890" s="2">
        <v>15892572174.1</v>
      </c>
      <c r="N1890" s="2">
        <v>230110</v>
      </c>
      <c r="O1890" t="s">
        <v>23</v>
      </c>
      <c r="P1890" s="8">
        <f t="shared" si="87"/>
        <v>-8.5999999999999091</v>
      </c>
      <c r="Q1890" t="s">
        <v>41</v>
      </c>
      <c r="R1890">
        <f t="shared" si="88"/>
        <v>6</v>
      </c>
      <c r="S1890" t="str">
        <f t="shared" si="89"/>
        <v>Jun</v>
      </c>
      <c r="T1890" s="9">
        <f>VLOOKUP(O1890, Annual_Summary!A:B, 2, 0)</f>
        <v>0.2858955987717503</v>
      </c>
    </row>
    <row r="1891" spans="1:20" x14ac:dyDescent="0.3">
      <c r="A1891" s="1">
        <v>45810</v>
      </c>
      <c r="B1891" t="s">
        <v>15</v>
      </c>
      <c r="C1891" s="3">
        <v>1412.1</v>
      </c>
      <c r="D1891" s="3">
        <v>1417.5</v>
      </c>
      <c r="E1891" s="3">
        <v>1395.6</v>
      </c>
      <c r="F1891" s="3">
        <v>1420.9</v>
      </c>
      <c r="G1891" s="3">
        <v>1412.6</v>
      </c>
      <c r="H1891" s="3">
        <v>1413.7</v>
      </c>
      <c r="I1891" s="3">
        <v>1407.75</v>
      </c>
      <c r="J1891" s="3">
        <v>3217.6</v>
      </c>
      <c r="K1891" s="3">
        <v>1114.8499999999999</v>
      </c>
      <c r="L1891" s="2">
        <v>8098668</v>
      </c>
      <c r="M1891" s="2">
        <v>11400864785</v>
      </c>
      <c r="N1891" s="2">
        <v>189977</v>
      </c>
      <c r="O1891" t="s">
        <v>23</v>
      </c>
      <c r="P1891" s="8">
        <f t="shared" si="87"/>
        <v>8.8000000000001819</v>
      </c>
      <c r="Q1891" t="s">
        <v>41</v>
      </c>
      <c r="R1891">
        <f t="shared" si="88"/>
        <v>6</v>
      </c>
      <c r="S1891" t="str">
        <f t="shared" si="89"/>
        <v>Jun</v>
      </c>
      <c r="T1891" s="9">
        <f>VLOOKUP(O1891, Annual_Summary!A:B, 2, 0)</f>
        <v>0.2858955987717503</v>
      </c>
    </row>
    <row r="1892" spans="1:20" x14ac:dyDescent="0.3">
      <c r="A1892" s="1">
        <v>45807</v>
      </c>
      <c r="B1892" t="s">
        <v>15</v>
      </c>
      <c r="C1892" s="3">
        <v>1418</v>
      </c>
      <c r="D1892" s="3">
        <v>1430.6</v>
      </c>
      <c r="E1892" s="3">
        <v>1409.7</v>
      </c>
      <c r="F1892" s="3">
        <v>1417.8</v>
      </c>
      <c r="G1892" s="3">
        <v>1417.9</v>
      </c>
      <c r="H1892" s="3">
        <v>1420.9</v>
      </c>
      <c r="I1892" s="3">
        <v>1419.89</v>
      </c>
      <c r="J1892" s="3">
        <v>3217.6</v>
      </c>
      <c r="K1892" s="3">
        <v>1114.8499999999999</v>
      </c>
      <c r="L1892" s="2">
        <v>13788484</v>
      </c>
      <c r="M1892" s="2">
        <v>19578154095</v>
      </c>
      <c r="N1892" s="2">
        <v>155127</v>
      </c>
      <c r="O1892" t="s">
        <v>23</v>
      </c>
      <c r="P1892" s="8">
        <f t="shared" si="87"/>
        <v>-0.20000000000004547</v>
      </c>
      <c r="Q1892" t="s">
        <v>41</v>
      </c>
      <c r="R1892">
        <f t="shared" si="88"/>
        <v>5</v>
      </c>
      <c r="S1892" t="str">
        <f t="shared" si="89"/>
        <v>May</v>
      </c>
      <c r="T1892" s="9">
        <f>VLOOKUP(O1892, Annual_Summary!A:B, 2, 0)</f>
        <v>0.2858955987717503</v>
      </c>
    </row>
    <row r="1893" spans="1:20" x14ac:dyDescent="0.3">
      <c r="A1893" s="1">
        <v>45806</v>
      </c>
      <c r="B1893" t="s">
        <v>15</v>
      </c>
      <c r="C1893" s="3">
        <v>1412.1</v>
      </c>
      <c r="D1893" s="3">
        <v>1420</v>
      </c>
      <c r="E1893" s="3">
        <v>1408.6</v>
      </c>
      <c r="F1893" s="3">
        <v>1412.9</v>
      </c>
      <c r="G1893" s="3">
        <v>1419.5</v>
      </c>
      <c r="H1893" s="3">
        <v>1417.8</v>
      </c>
      <c r="I1893" s="3">
        <v>1414.72</v>
      </c>
      <c r="J1893" s="3">
        <v>3217.6</v>
      </c>
      <c r="K1893" s="3">
        <v>1114.8499999999999</v>
      </c>
      <c r="L1893" s="2">
        <v>13771917</v>
      </c>
      <c r="M1893" s="2">
        <v>19483424681.599998</v>
      </c>
      <c r="N1893" s="2">
        <v>265116</v>
      </c>
      <c r="O1893" t="s">
        <v>23</v>
      </c>
      <c r="P1893" s="8">
        <f t="shared" si="87"/>
        <v>0.8000000000001819</v>
      </c>
      <c r="Q1893" t="s">
        <v>41</v>
      </c>
      <c r="R1893">
        <f t="shared" si="88"/>
        <v>5</v>
      </c>
      <c r="S1893" t="str">
        <f t="shared" si="89"/>
        <v>May</v>
      </c>
      <c r="T1893" s="9">
        <f>VLOOKUP(O1893, Annual_Summary!A:B, 2, 0)</f>
        <v>0.2858955987717503</v>
      </c>
    </row>
    <row r="1894" spans="1:20" x14ac:dyDescent="0.3">
      <c r="A1894" s="1">
        <v>45805</v>
      </c>
      <c r="B1894" t="s">
        <v>15</v>
      </c>
      <c r="C1894" s="3">
        <v>1420.1</v>
      </c>
      <c r="D1894" s="3">
        <v>1422.6</v>
      </c>
      <c r="E1894" s="3">
        <v>1410.7</v>
      </c>
      <c r="F1894" s="3">
        <v>1422.1</v>
      </c>
      <c r="G1894" s="3">
        <v>1412.8</v>
      </c>
      <c r="H1894" s="3">
        <v>1412.9</v>
      </c>
      <c r="I1894" s="3">
        <v>1414.99</v>
      </c>
      <c r="J1894" s="3">
        <v>3217.6</v>
      </c>
      <c r="K1894" s="3">
        <v>1114.8499999999999</v>
      </c>
      <c r="L1894" s="2">
        <v>5944611</v>
      </c>
      <c r="M1894" s="2">
        <v>8411575745.5</v>
      </c>
      <c r="N1894" s="2">
        <v>169185</v>
      </c>
      <c r="O1894" t="s">
        <v>23</v>
      </c>
      <c r="P1894" s="8">
        <f t="shared" si="87"/>
        <v>2</v>
      </c>
      <c r="Q1894" t="s">
        <v>41</v>
      </c>
      <c r="R1894">
        <f t="shared" si="88"/>
        <v>5</v>
      </c>
      <c r="S1894" t="str">
        <f t="shared" si="89"/>
        <v>May</v>
      </c>
      <c r="T1894" s="9">
        <f>VLOOKUP(O1894, Annual_Summary!A:B, 2, 0)</f>
        <v>0.2858955987717503</v>
      </c>
    </row>
    <row r="1895" spans="1:20" x14ac:dyDescent="0.3">
      <c r="A1895" s="1">
        <v>45804</v>
      </c>
      <c r="B1895" t="s">
        <v>15</v>
      </c>
      <c r="C1895" s="3">
        <v>1426.1</v>
      </c>
      <c r="D1895" s="3">
        <v>1437</v>
      </c>
      <c r="E1895" s="3">
        <v>1413.9</v>
      </c>
      <c r="F1895" s="3">
        <v>1434.8</v>
      </c>
      <c r="G1895" s="3">
        <v>1424.2</v>
      </c>
      <c r="H1895" s="3">
        <v>1422.1</v>
      </c>
      <c r="I1895" s="3">
        <v>1421.81</v>
      </c>
      <c r="J1895" s="3">
        <v>3217.6</v>
      </c>
      <c r="K1895" s="3">
        <v>1114.8499999999999</v>
      </c>
      <c r="L1895" s="2">
        <v>12640414</v>
      </c>
      <c r="M1895" s="2">
        <v>17972211281.700001</v>
      </c>
      <c r="N1895" s="2">
        <v>211047</v>
      </c>
      <c r="O1895" t="s">
        <v>23</v>
      </c>
      <c r="P1895" s="8">
        <f t="shared" si="87"/>
        <v>8.7000000000000455</v>
      </c>
      <c r="Q1895" t="s">
        <v>41</v>
      </c>
      <c r="R1895">
        <f t="shared" si="88"/>
        <v>5</v>
      </c>
      <c r="S1895" t="str">
        <f t="shared" si="89"/>
        <v>May</v>
      </c>
      <c r="T1895" s="9">
        <f>VLOOKUP(O1895, Annual_Summary!A:B, 2, 0)</f>
        <v>0.2858955987717503</v>
      </c>
    </row>
    <row r="1896" spans="1:20" x14ac:dyDescent="0.3">
      <c r="A1896" s="1">
        <v>45803</v>
      </c>
      <c r="B1896" t="s">
        <v>15</v>
      </c>
      <c r="C1896" s="3">
        <v>1432</v>
      </c>
      <c r="D1896" s="3">
        <v>1441</v>
      </c>
      <c r="E1896" s="3">
        <v>1425.1</v>
      </c>
      <c r="F1896" s="3">
        <v>1426.8</v>
      </c>
      <c r="G1896" s="3">
        <v>1435.9</v>
      </c>
      <c r="H1896" s="3">
        <v>1434.8</v>
      </c>
      <c r="I1896" s="3">
        <v>1437.16</v>
      </c>
      <c r="J1896" s="3">
        <v>3217.6</v>
      </c>
      <c r="K1896" s="3">
        <v>1114.8499999999999</v>
      </c>
      <c r="L1896" s="2">
        <v>4842944</v>
      </c>
      <c r="M1896" s="2">
        <v>6960105851.3999996</v>
      </c>
      <c r="N1896" s="2">
        <v>171837</v>
      </c>
      <c r="O1896" t="s">
        <v>23</v>
      </c>
      <c r="P1896" s="8">
        <f t="shared" si="87"/>
        <v>-5.2000000000000455</v>
      </c>
      <c r="Q1896" t="s">
        <v>41</v>
      </c>
      <c r="R1896">
        <f t="shared" si="88"/>
        <v>5</v>
      </c>
      <c r="S1896" t="str">
        <f t="shared" si="89"/>
        <v>May</v>
      </c>
      <c r="T1896" s="9">
        <f>VLOOKUP(O1896, Annual_Summary!A:B, 2, 0)</f>
        <v>0.2858955987717503</v>
      </c>
    </row>
    <row r="1897" spans="1:20" x14ac:dyDescent="0.3">
      <c r="A1897" s="1">
        <v>45800</v>
      </c>
      <c r="B1897" t="s">
        <v>15</v>
      </c>
      <c r="C1897" s="3">
        <v>1406.6</v>
      </c>
      <c r="D1897" s="3">
        <v>1433.8</v>
      </c>
      <c r="E1897" s="3">
        <v>1406.6</v>
      </c>
      <c r="F1897" s="3">
        <v>1409.4</v>
      </c>
      <c r="G1897" s="3">
        <v>1426</v>
      </c>
      <c r="H1897" s="3">
        <v>1426.8</v>
      </c>
      <c r="I1897" s="3">
        <v>1424.63</v>
      </c>
      <c r="J1897" s="3">
        <v>3217.6</v>
      </c>
      <c r="K1897" s="3">
        <v>1114.8499999999999</v>
      </c>
      <c r="L1897" s="2">
        <v>6474883</v>
      </c>
      <c r="M1897" s="2">
        <v>9224312172.6000004</v>
      </c>
      <c r="N1897" s="2">
        <v>135371</v>
      </c>
      <c r="O1897" t="s">
        <v>23</v>
      </c>
      <c r="P1897" s="8">
        <f t="shared" si="87"/>
        <v>2.8000000000001819</v>
      </c>
      <c r="Q1897" t="s">
        <v>41</v>
      </c>
      <c r="R1897">
        <f t="shared" si="88"/>
        <v>5</v>
      </c>
      <c r="S1897" t="str">
        <f t="shared" si="89"/>
        <v>May</v>
      </c>
      <c r="T1897" s="9">
        <f>VLOOKUP(O1897, Annual_Summary!A:B, 2, 0)</f>
        <v>0.2858955987717503</v>
      </c>
    </row>
    <row r="1898" spans="1:20" x14ac:dyDescent="0.3">
      <c r="A1898" s="1">
        <v>45799</v>
      </c>
      <c r="B1898" t="s">
        <v>15</v>
      </c>
      <c r="C1898" s="3">
        <v>1421.2</v>
      </c>
      <c r="D1898" s="3">
        <v>1423.8</v>
      </c>
      <c r="E1898" s="3">
        <v>1396.9</v>
      </c>
      <c r="F1898" s="3">
        <v>1429.2</v>
      </c>
      <c r="G1898" s="3">
        <v>1411.5</v>
      </c>
      <c r="H1898" s="3">
        <v>1409.4</v>
      </c>
      <c r="I1898" s="3">
        <v>1406.85</v>
      </c>
      <c r="J1898" s="3">
        <v>3217.6</v>
      </c>
      <c r="K1898" s="3">
        <v>1114.8499999999999</v>
      </c>
      <c r="L1898" s="2">
        <v>12134466</v>
      </c>
      <c r="M1898" s="2">
        <v>17071402011.9</v>
      </c>
      <c r="N1898" s="2">
        <v>228031</v>
      </c>
      <c r="O1898" t="s">
        <v>23</v>
      </c>
      <c r="P1898" s="8">
        <f t="shared" si="87"/>
        <v>8</v>
      </c>
      <c r="Q1898" t="s">
        <v>41</v>
      </c>
      <c r="R1898">
        <f t="shared" si="88"/>
        <v>5</v>
      </c>
      <c r="S1898" t="str">
        <f t="shared" si="89"/>
        <v>May</v>
      </c>
      <c r="T1898" s="9">
        <f>VLOOKUP(O1898, Annual_Summary!A:B, 2, 0)</f>
        <v>0.2858955987717503</v>
      </c>
    </row>
    <row r="1899" spans="1:20" x14ac:dyDescent="0.3">
      <c r="A1899" s="1">
        <v>45798</v>
      </c>
      <c r="B1899" t="s">
        <v>15</v>
      </c>
      <c r="C1899" s="3">
        <v>1423.9</v>
      </c>
      <c r="D1899" s="3">
        <v>1436.2</v>
      </c>
      <c r="E1899" s="3">
        <v>1418.1</v>
      </c>
      <c r="F1899" s="3">
        <v>1424.6</v>
      </c>
      <c r="G1899" s="3">
        <v>1428.2</v>
      </c>
      <c r="H1899" s="3">
        <v>1429.2</v>
      </c>
      <c r="I1899" s="3">
        <v>1427.75</v>
      </c>
      <c r="J1899" s="3">
        <v>3217.6</v>
      </c>
      <c r="K1899" s="3">
        <v>1114.8499999999999</v>
      </c>
      <c r="L1899" s="2">
        <v>6136364</v>
      </c>
      <c r="M1899" s="2">
        <v>8761209045.8999996</v>
      </c>
      <c r="N1899" s="2">
        <v>232529</v>
      </c>
      <c r="O1899" t="s">
        <v>23</v>
      </c>
      <c r="P1899" s="8">
        <f t="shared" si="87"/>
        <v>0.6999999999998181</v>
      </c>
      <c r="Q1899" t="s">
        <v>41</v>
      </c>
      <c r="R1899">
        <f t="shared" si="88"/>
        <v>5</v>
      </c>
      <c r="S1899" t="str">
        <f t="shared" si="89"/>
        <v>May</v>
      </c>
      <c r="T1899" s="9">
        <f>VLOOKUP(O1899, Annual_Summary!A:B, 2, 0)</f>
        <v>0.2858955987717503</v>
      </c>
    </row>
    <row r="1900" spans="1:20" x14ac:dyDescent="0.3">
      <c r="A1900" s="1">
        <v>45797</v>
      </c>
      <c r="B1900" t="s">
        <v>15</v>
      </c>
      <c r="C1900" s="3">
        <v>1438.2</v>
      </c>
      <c r="D1900" s="3">
        <v>1445</v>
      </c>
      <c r="E1900" s="3">
        <v>1421.8</v>
      </c>
      <c r="F1900" s="3">
        <v>1440.8</v>
      </c>
      <c r="G1900" s="3">
        <v>1424.5</v>
      </c>
      <c r="H1900" s="3">
        <v>1424.6</v>
      </c>
      <c r="I1900" s="3">
        <v>1429.91</v>
      </c>
      <c r="J1900" s="3">
        <v>3217.6</v>
      </c>
      <c r="K1900" s="3">
        <v>1114.8499999999999</v>
      </c>
      <c r="L1900" s="2">
        <v>11270560</v>
      </c>
      <c r="M1900" s="2">
        <v>16115906328.299999</v>
      </c>
      <c r="N1900" s="2">
        <v>182531</v>
      </c>
      <c r="O1900" t="s">
        <v>23</v>
      </c>
      <c r="P1900" s="8">
        <f t="shared" si="87"/>
        <v>2.5999999999999091</v>
      </c>
      <c r="Q1900" t="s">
        <v>41</v>
      </c>
      <c r="R1900">
        <f t="shared" si="88"/>
        <v>5</v>
      </c>
      <c r="S1900" t="str">
        <f t="shared" si="89"/>
        <v>May</v>
      </c>
      <c r="T1900" s="9">
        <f>VLOOKUP(O1900, Annual_Summary!A:B, 2, 0)</f>
        <v>0.2858955987717503</v>
      </c>
    </row>
    <row r="1901" spans="1:20" x14ac:dyDescent="0.3">
      <c r="A1901" s="1">
        <v>45796</v>
      </c>
      <c r="B1901" t="s">
        <v>15</v>
      </c>
      <c r="C1901" s="3">
        <v>1452.1</v>
      </c>
      <c r="D1901" s="3">
        <v>1454.6</v>
      </c>
      <c r="E1901" s="3">
        <v>1438.2</v>
      </c>
      <c r="F1901" s="3">
        <v>1456.4</v>
      </c>
      <c r="G1901" s="3">
        <v>1442.9</v>
      </c>
      <c r="H1901" s="3">
        <v>1440.8</v>
      </c>
      <c r="I1901" s="3">
        <v>1443.67</v>
      </c>
      <c r="J1901" s="3">
        <v>3217.6</v>
      </c>
      <c r="K1901" s="3">
        <v>1114.8499999999999</v>
      </c>
      <c r="L1901" s="2">
        <v>6195791</v>
      </c>
      <c r="M1901" s="2">
        <v>8944705922.2999992</v>
      </c>
      <c r="N1901" s="2">
        <v>144606</v>
      </c>
      <c r="O1901" t="s">
        <v>23</v>
      </c>
      <c r="P1901" s="8">
        <f t="shared" si="87"/>
        <v>4.3000000000001819</v>
      </c>
      <c r="Q1901" t="s">
        <v>41</v>
      </c>
      <c r="R1901">
        <f t="shared" si="88"/>
        <v>5</v>
      </c>
      <c r="S1901" t="str">
        <f t="shared" si="89"/>
        <v>May</v>
      </c>
      <c r="T1901" s="9">
        <f>VLOOKUP(O1901, Annual_Summary!A:B, 2, 0)</f>
        <v>0.2858955987717503</v>
      </c>
    </row>
    <row r="1902" spans="1:20" x14ac:dyDescent="0.3">
      <c r="A1902" s="1">
        <v>45793</v>
      </c>
      <c r="B1902" t="s">
        <v>15</v>
      </c>
      <c r="C1902" s="3">
        <v>1453.2</v>
      </c>
      <c r="D1902" s="3">
        <v>1461</v>
      </c>
      <c r="E1902" s="3">
        <v>1447.3</v>
      </c>
      <c r="F1902" s="3">
        <v>1454.2</v>
      </c>
      <c r="G1902" s="3">
        <v>1454.8</v>
      </c>
      <c r="H1902" s="3">
        <v>1456.4</v>
      </c>
      <c r="I1902" s="3">
        <v>1455.16</v>
      </c>
      <c r="J1902" s="3">
        <v>3217.6</v>
      </c>
      <c r="K1902" s="3">
        <v>1114.8499999999999</v>
      </c>
      <c r="L1902" s="2">
        <v>9036695</v>
      </c>
      <c r="M1902" s="2">
        <v>13149797875.4</v>
      </c>
      <c r="N1902" s="2">
        <v>196322</v>
      </c>
      <c r="O1902" t="s">
        <v>23</v>
      </c>
      <c r="P1902" s="8">
        <f t="shared" si="87"/>
        <v>1</v>
      </c>
      <c r="Q1902" t="s">
        <v>41</v>
      </c>
      <c r="R1902">
        <f t="shared" si="88"/>
        <v>5</v>
      </c>
      <c r="S1902" t="str">
        <f t="shared" si="89"/>
        <v>May</v>
      </c>
      <c r="T1902" s="9">
        <f>VLOOKUP(O1902, Annual_Summary!A:B, 2, 0)</f>
        <v>0.2858955987717503</v>
      </c>
    </row>
    <row r="1903" spans="1:20" x14ac:dyDescent="0.3">
      <c r="A1903" s="1">
        <v>45792</v>
      </c>
      <c r="B1903" t="s">
        <v>15</v>
      </c>
      <c r="C1903" s="3">
        <v>1425</v>
      </c>
      <c r="D1903" s="3">
        <v>1461.4</v>
      </c>
      <c r="E1903" s="3">
        <v>1412.7</v>
      </c>
      <c r="F1903" s="3">
        <v>1424.4</v>
      </c>
      <c r="G1903" s="3">
        <v>1453</v>
      </c>
      <c r="H1903" s="3">
        <v>1454.2</v>
      </c>
      <c r="I1903" s="3">
        <v>1441.41</v>
      </c>
      <c r="J1903" s="3">
        <v>3217.6</v>
      </c>
      <c r="K1903" s="3">
        <v>1114.8499999999999</v>
      </c>
      <c r="L1903" s="2">
        <v>20177211</v>
      </c>
      <c r="M1903" s="2">
        <v>29083683834.799999</v>
      </c>
      <c r="N1903" s="2">
        <v>314261</v>
      </c>
      <c r="O1903" t="s">
        <v>23</v>
      </c>
      <c r="P1903" s="8">
        <f t="shared" si="87"/>
        <v>-0.59999999999990905</v>
      </c>
      <c r="Q1903" t="s">
        <v>41</v>
      </c>
      <c r="R1903">
        <f t="shared" si="88"/>
        <v>5</v>
      </c>
      <c r="S1903" t="str">
        <f t="shared" si="89"/>
        <v>May</v>
      </c>
      <c r="T1903" s="9">
        <f>VLOOKUP(O1903, Annual_Summary!A:B, 2, 0)</f>
        <v>0.2858955987717503</v>
      </c>
    </row>
    <row r="1904" spans="1:20" x14ac:dyDescent="0.3">
      <c r="A1904" s="1">
        <v>45791</v>
      </c>
      <c r="B1904" t="s">
        <v>15</v>
      </c>
      <c r="C1904" s="3">
        <v>1420</v>
      </c>
      <c r="D1904" s="3">
        <v>1429.9</v>
      </c>
      <c r="E1904" s="3">
        <v>1415.5</v>
      </c>
      <c r="F1904" s="3">
        <v>1415.7</v>
      </c>
      <c r="G1904" s="3">
        <v>1425.2</v>
      </c>
      <c r="H1904" s="3">
        <v>1424.4</v>
      </c>
      <c r="I1904" s="3">
        <v>1423.31</v>
      </c>
      <c r="J1904" s="3">
        <v>3217.6</v>
      </c>
      <c r="K1904" s="3">
        <v>1114.8499999999999</v>
      </c>
      <c r="L1904" s="2">
        <v>5570160</v>
      </c>
      <c r="M1904" s="2">
        <v>7928045614.6999998</v>
      </c>
      <c r="N1904" s="2">
        <v>145014</v>
      </c>
      <c r="O1904" t="s">
        <v>23</v>
      </c>
      <c r="P1904" s="8">
        <f t="shared" si="87"/>
        <v>-4.2999999999999545</v>
      </c>
      <c r="Q1904" t="s">
        <v>41</v>
      </c>
      <c r="R1904">
        <f t="shared" si="88"/>
        <v>5</v>
      </c>
      <c r="S1904" t="str">
        <f t="shared" si="89"/>
        <v>May</v>
      </c>
      <c r="T1904" s="9">
        <f>VLOOKUP(O1904, Annual_Summary!A:B, 2, 0)</f>
        <v>0.2858955987717503</v>
      </c>
    </row>
    <row r="1905" spans="1:20" x14ac:dyDescent="0.3">
      <c r="A1905" s="1">
        <v>45790</v>
      </c>
      <c r="B1905" t="s">
        <v>15</v>
      </c>
      <c r="C1905" s="3">
        <v>1433.5</v>
      </c>
      <c r="D1905" s="3">
        <v>1447.7</v>
      </c>
      <c r="E1905" s="3">
        <v>1412.4</v>
      </c>
      <c r="F1905" s="3">
        <v>1436.5</v>
      </c>
      <c r="G1905" s="3">
        <v>1416.5</v>
      </c>
      <c r="H1905" s="3">
        <v>1415.7</v>
      </c>
      <c r="I1905" s="3">
        <v>1423.23</v>
      </c>
      <c r="J1905" s="3">
        <v>3217.6</v>
      </c>
      <c r="K1905" s="3">
        <v>1114.8499999999999</v>
      </c>
      <c r="L1905" s="2">
        <v>11407896</v>
      </c>
      <c r="M1905" s="2">
        <v>16236102678.9</v>
      </c>
      <c r="N1905" s="2">
        <v>281992</v>
      </c>
      <c r="O1905" t="s">
        <v>23</v>
      </c>
      <c r="P1905" s="8">
        <f t="shared" si="87"/>
        <v>3</v>
      </c>
      <c r="Q1905" t="s">
        <v>41</v>
      </c>
      <c r="R1905">
        <f t="shared" si="88"/>
        <v>5</v>
      </c>
      <c r="S1905" t="str">
        <f t="shared" si="89"/>
        <v>May</v>
      </c>
      <c r="T1905" s="9">
        <f>VLOOKUP(O1905, Annual_Summary!A:B, 2, 0)</f>
        <v>0.2858955987717503</v>
      </c>
    </row>
    <row r="1906" spans="1:20" x14ac:dyDescent="0.3">
      <c r="A1906" s="1">
        <v>45789</v>
      </c>
      <c r="B1906" t="s">
        <v>15</v>
      </c>
      <c r="C1906" s="3">
        <v>1400</v>
      </c>
      <c r="D1906" s="3">
        <v>1439</v>
      </c>
      <c r="E1906" s="3">
        <v>1400</v>
      </c>
      <c r="F1906" s="3">
        <v>1377.2</v>
      </c>
      <c r="G1906" s="3">
        <v>1436.9</v>
      </c>
      <c r="H1906" s="3">
        <v>1436.5</v>
      </c>
      <c r="I1906" s="3">
        <v>1426.35</v>
      </c>
      <c r="J1906" s="3">
        <v>3217.6</v>
      </c>
      <c r="K1906" s="3">
        <v>1114.8499999999999</v>
      </c>
      <c r="L1906" s="2">
        <v>10674081</v>
      </c>
      <c r="M1906" s="2">
        <v>15224970250.5</v>
      </c>
      <c r="N1906" s="2">
        <v>310602</v>
      </c>
      <c r="O1906" t="s">
        <v>23</v>
      </c>
      <c r="P1906" s="8">
        <f t="shared" si="87"/>
        <v>-22.799999999999955</v>
      </c>
      <c r="Q1906" t="s">
        <v>41</v>
      </c>
      <c r="R1906">
        <f t="shared" si="88"/>
        <v>5</v>
      </c>
      <c r="S1906" t="str">
        <f t="shared" si="89"/>
        <v>May</v>
      </c>
      <c r="T1906" s="9">
        <f>VLOOKUP(O1906, Annual_Summary!A:B, 2, 0)</f>
        <v>0.2858955987717503</v>
      </c>
    </row>
    <row r="1907" spans="1:20" x14ac:dyDescent="0.3">
      <c r="A1907" s="1">
        <v>45786</v>
      </c>
      <c r="B1907" t="s">
        <v>15</v>
      </c>
      <c r="C1907" s="3">
        <v>1385.5</v>
      </c>
      <c r="D1907" s="3">
        <v>1394.8</v>
      </c>
      <c r="E1907" s="3">
        <v>1374.5</v>
      </c>
      <c r="F1907" s="3">
        <v>1407</v>
      </c>
      <c r="G1907" s="3">
        <v>1379.5</v>
      </c>
      <c r="H1907" s="3">
        <v>1377.2</v>
      </c>
      <c r="I1907" s="3">
        <v>1382.39</v>
      </c>
      <c r="J1907" s="3">
        <v>3217.6</v>
      </c>
      <c r="K1907" s="3">
        <v>1114.8499999999999</v>
      </c>
      <c r="L1907" s="2">
        <v>13668904</v>
      </c>
      <c r="M1907" s="2">
        <v>18895751340.099998</v>
      </c>
      <c r="N1907" s="2">
        <v>388013</v>
      </c>
      <c r="O1907" t="s">
        <v>23</v>
      </c>
      <c r="P1907" s="8">
        <f t="shared" si="87"/>
        <v>21.5</v>
      </c>
      <c r="Q1907" t="s">
        <v>41</v>
      </c>
      <c r="R1907">
        <f t="shared" si="88"/>
        <v>5</v>
      </c>
      <c r="S1907" t="str">
        <f t="shared" si="89"/>
        <v>May</v>
      </c>
      <c r="T1907" s="9">
        <f>VLOOKUP(O1907, Annual_Summary!A:B, 2, 0)</f>
        <v>0.2858955987717503</v>
      </c>
    </row>
    <row r="1908" spans="1:20" x14ac:dyDescent="0.3">
      <c r="A1908" s="1">
        <v>45785</v>
      </c>
      <c r="B1908" t="s">
        <v>15</v>
      </c>
      <c r="C1908" s="3">
        <v>1404.1</v>
      </c>
      <c r="D1908" s="3">
        <v>1420.8</v>
      </c>
      <c r="E1908" s="3">
        <v>1398</v>
      </c>
      <c r="F1908" s="3">
        <v>1406</v>
      </c>
      <c r="G1908" s="3">
        <v>1398</v>
      </c>
      <c r="H1908" s="3">
        <v>1407</v>
      </c>
      <c r="I1908" s="3">
        <v>1410.51</v>
      </c>
      <c r="J1908" s="3">
        <v>3217.6</v>
      </c>
      <c r="K1908" s="3">
        <v>1114.8499999999999</v>
      </c>
      <c r="L1908" s="2">
        <v>16106175</v>
      </c>
      <c r="M1908" s="2">
        <v>22717878064.299999</v>
      </c>
      <c r="N1908" s="2">
        <v>231342</v>
      </c>
      <c r="O1908" t="s">
        <v>23</v>
      </c>
      <c r="P1908" s="8">
        <f t="shared" si="87"/>
        <v>1.9000000000000909</v>
      </c>
      <c r="Q1908" t="s">
        <v>41</v>
      </c>
      <c r="R1908">
        <f t="shared" si="88"/>
        <v>5</v>
      </c>
      <c r="S1908" t="str">
        <f t="shared" si="89"/>
        <v>May</v>
      </c>
      <c r="T1908" s="9">
        <f>VLOOKUP(O1908, Annual_Summary!A:B, 2, 0)</f>
        <v>0.2858955987717503</v>
      </c>
    </row>
    <row r="1909" spans="1:20" x14ac:dyDescent="0.3">
      <c r="A1909" s="1">
        <v>45784</v>
      </c>
      <c r="B1909" t="s">
        <v>15</v>
      </c>
      <c r="C1909" s="3">
        <v>1420.9</v>
      </c>
      <c r="D1909" s="3">
        <v>1424.4</v>
      </c>
      <c r="E1909" s="3">
        <v>1402.7</v>
      </c>
      <c r="F1909" s="3">
        <v>1420.9</v>
      </c>
      <c r="G1909" s="3">
        <v>1405.9</v>
      </c>
      <c r="H1909" s="3">
        <v>1406</v>
      </c>
      <c r="I1909" s="3">
        <v>1412.79</v>
      </c>
      <c r="J1909" s="3">
        <v>3217.6</v>
      </c>
      <c r="K1909" s="3">
        <v>1114.8499999999999</v>
      </c>
      <c r="L1909" s="2">
        <v>13440169</v>
      </c>
      <c r="M1909" s="2">
        <v>18988126278.299999</v>
      </c>
      <c r="N1909" s="2">
        <v>222903</v>
      </c>
      <c r="O1909" t="s">
        <v>23</v>
      </c>
      <c r="P1909" s="8">
        <f t="shared" si="87"/>
        <v>0</v>
      </c>
      <c r="Q1909" t="s">
        <v>41</v>
      </c>
      <c r="R1909">
        <f t="shared" si="88"/>
        <v>5</v>
      </c>
      <c r="S1909" t="str">
        <f t="shared" si="89"/>
        <v>May</v>
      </c>
      <c r="T1909" s="9">
        <f>VLOOKUP(O1909, Annual_Summary!A:B, 2, 0)</f>
        <v>0.2858955987717503</v>
      </c>
    </row>
    <row r="1910" spans="1:20" x14ac:dyDescent="0.3">
      <c r="A1910" s="1">
        <v>45783</v>
      </c>
      <c r="B1910" t="s">
        <v>15</v>
      </c>
      <c r="C1910" s="3">
        <v>1431</v>
      </c>
      <c r="D1910" s="3">
        <v>1432</v>
      </c>
      <c r="E1910" s="3">
        <v>1410.6</v>
      </c>
      <c r="F1910" s="3">
        <v>1431.3</v>
      </c>
      <c r="G1910" s="3">
        <v>1418</v>
      </c>
      <c r="H1910" s="3">
        <v>1420.9</v>
      </c>
      <c r="I1910" s="3">
        <v>1419.01</v>
      </c>
      <c r="J1910" s="3">
        <v>3217.6</v>
      </c>
      <c r="K1910" s="3">
        <v>1114.8499999999999</v>
      </c>
      <c r="L1910" s="2">
        <v>14084117</v>
      </c>
      <c r="M1910" s="2">
        <v>19985559677.400002</v>
      </c>
      <c r="N1910" s="2">
        <v>226761</v>
      </c>
      <c r="O1910" t="s">
        <v>23</v>
      </c>
      <c r="P1910" s="8">
        <f t="shared" si="87"/>
        <v>0.29999999999995453</v>
      </c>
      <c r="Q1910" t="s">
        <v>41</v>
      </c>
      <c r="R1910">
        <f t="shared" si="88"/>
        <v>5</v>
      </c>
      <c r="S1910" t="str">
        <f t="shared" si="89"/>
        <v>May</v>
      </c>
      <c r="T1910" s="9">
        <f>VLOOKUP(O1910, Annual_Summary!A:B, 2, 0)</f>
        <v>0.2858955987717503</v>
      </c>
    </row>
    <row r="1911" spans="1:20" x14ac:dyDescent="0.3">
      <c r="A1911" s="1">
        <v>45782</v>
      </c>
      <c r="B1911" t="s">
        <v>15</v>
      </c>
      <c r="C1911" s="3">
        <v>1431</v>
      </c>
      <c r="D1911" s="3">
        <v>1439.5</v>
      </c>
      <c r="E1911" s="3">
        <v>1426.9</v>
      </c>
      <c r="F1911" s="3">
        <v>1422.4</v>
      </c>
      <c r="G1911" s="3">
        <v>1430</v>
      </c>
      <c r="H1911" s="3">
        <v>1431.3</v>
      </c>
      <c r="I1911" s="3">
        <v>1432</v>
      </c>
      <c r="J1911" s="3">
        <v>3217.6</v>
      </c>
      <c r="K1911" s="3">
        <v>1114.8499999999999</v>
      </c>
      <c r="L1911" s="2">
        <v>12685649</v>
      </c>
      <c r="M1911" s="2">
        <v>18165843553</v>
      </c>
      <c r="N1911" s="2">
        <v>204503</v>
      </c>
      <c r="O1911" t="s">
        <v>23</v>
      </c>
      <c r="P1911" s="8">
        <f t="shared" si="87"/>
        <v>-8.5999999999999091</v>
      </c>
      <c r="Q1911" t="s">
        <v>41</v>
      </c>
      <c r="R1911">
        <f t="shared" si="88"/>
        <v>5</v>
      </c>
      <c r="S1911" t="str">
        <f t="shared" si="89"/>
        <v>May</v>
      </c>
      <c r="T1911" s="9">
        <f>VLOOKUP(O1911, Annual_Summary!A:B, 2, 0)</f>
        <v>0.2858955987717503</v>
      </c>
    </row>
    <row r="1912" spans="1:20" x14ac:dyDescent="0.3">
      <c r="A1912" s="1">
        <v>45779</v>
      </c>
      <c r="B1912" t="s">
        <v>15</v>
      </c>
      <c r="C1912" s="3">
        <v>1414</v>
      </c>
      <c r="D1912" s="3">
        <v>1426.7</v>
      </c>
      <c r="E1912" s="3">
        <v>1409.1</v>
      </c>
      <c r="F1912" s="3">
        <v>1405</v>
      </c>
      <c r="G1912" s="3">
        <v>1422.5</v>
      </c>
      <c r="H1912" s="3">
        <v>1422.4</v>
      </c>
      <c r="I1912" s="3">
        <v>1419.65</v>
      </c>
      <c r="J1912" s="3">
        <v>3217.6</v>
      </c>
      <c r="K1912" s="3">
        <v>1114.8499999999999</v>
      </c>
      <c r="L1912" s="2">
        <v>17535402</v>
      </c>
      <c r="M1912" s="2">
        <v>24894140200</v>
      </c>
      <c r="N1912" s="2">
        <v>378385</v>
      </c>
      <c r="O1912" t="s">
        <v>23</v>
      </c>
      <c r="P1912" s="8">
        <f t="shared" si="87"/>
        <v>-9</v>
      </c>
      <c r="Q1912" t="s">
        <v>41</v>
      </c>
      <c r="R1912">
        <f t="shared" si="88"/>
        <v>5</v>
      </c>
      <c r="S1912" t="str">
        <f t="shared" si="89"/>
        <v>May</v>
      </c>
      <c r="T1912" s="9">
        <f>VLOOKUP(O1912, Annual_Summary!A:B, 2, 0)</f>
        <v>0.2858955987717503</v>
      </c>
    </row>
    <row r="1913" spans="1:20" x14ac:dyDescent="0.3">
      <c r="A1913" s="1">
        <v>45777</v>
      </c>
      <c r="B1913" t="s">
        <v>15</v>
      </c>
      <c r="C1913" s="3">
        <v>1402</v>
      </c>
      <c r="D1913" s="3">
        <v>1412.4</v>
      </c>
      <c r="E1913" s="3">
        <v>1369</v>
      </c>
      <c r="F1913" s="3">
        <v>1399.7</v>
      </c>
      <c r="G1913" s="3">
        <v>1395</v>
      </c>
      <c r="H1913" s="3">
        <v>1405</v>
      </c>
      <c r="I1913" s="3">
        <v>1404.87</v>
      </c>
      <c r="J1913" s="3">
        <v>3217.6</v>
      </c>
      <c r="K1913" s="3">
        <v>1114.8499999999999</v>
      </c>
      <c r="L1913" s="2">
        <v>25480745</v>
      </c>
      <c r="M1913" s="2">
        <v>35797220282</v>
      </c>
      <c r="N1913" s="2">
        <v>598769</v>
      </c>
      <c r="O1913" t="s">
        <v>23</v>
      </c>
      <c r="P1913" s="8">
        <f t="shared" si="87"/>
        <v>-2.2999999999999545</v>
      </c>
      <c r="Q1913" t="s">
        <v>41</v>
      </c>
      <c r="R1913">
        <f t="shared" si="88"/>
        <v>4</v>
      </c>
      <c r="S1913" t="str">
        <f t="shared" si="89"/>
        <v>Apr</v>
      </c>
      <c r="T1913" s="9">
        <f>VLOOKUP(O1913, Annual_Summary!A:B, 2, 0)</f>
        <v>0.2858955987717503</v>
      </c>
    </row>
    <row r="1914" spans="1:20" x14ac:dyDescent="0.3">
      <c r="A1914" s="1">
        <v>45776</v>
      </c>
      <c r="B1914" t="s">
        <v>15</v>
      </c>
      <c r="C1914" s="3">
        <v>1371</v>
      </c>
      <c r="D1914" s="3">
        <v>1410.9</v>
      </c>
      <c r="E1914" s="3">
        <v>1370</v>
      </c>
      <c r="F1914" s="3">
        <v>1368.8</v>
      </c>
      <c r="G1914" s="3">
        <v>1398.9</v>
      </c>
      <c r="H1914" s="3">
        <v>1399.7</v>
      </c>
      <c r="I1914" s="3">
        <v>1395.77</v>
      </c>
      <c r="J1914" s="3">
        <v>3217.6</v>
      </c>
      <c r="K1914" s="3">
        <v>1114.8499999999999</v>
      </c>
      <c r="L1914" s="2">
        <v>32538970</v>
      </c>
      <c r="M1914" s="2">
        <v>45417061104.5</v>
      </c>
      <c r="N1914" s="2">
        <v>680195</v>
      </c>
      <c r="O1914" t="s">
        <v>23</v>
      </c>
      <c r="P1914" s="8">
        <f t="shared" si="87"/>
        <v>-2.2000000000000455</v>
      </c>
      <c r="Q1914" t="s">
        <v>41</v>
      </c>
      <c r="R1914">
        <f t="shared" si="88"/>
        <v>4</v>
      </c>
      <c r="S1914" t="str">
        <f t="shared" si="89"/>
        <v>Apr</v>
      </c>
      <c r="T1914" s="9">
        <f>VLOOKUP(O1914, Annual_Summary!A:B, 2, 0)</f>
        <v>0.2858955987717503</v>
      </c>
    </row>
    <row r="1915" spans="1:20" x14ac:dyDescent="0.3">
      <c r="A1915" s="1">
        <v>45775</v>
      </c>
      <c r="B1915" t="s">
        <v>15</v>
      </c>
      <c r="C1915" s="3">
        <v>1340</v>
      </c>
      <c r="D1915" s="3">
        <v>1374.6</v>
      </c>
      <c r="E1915" s="3">
        <v>1320.2</v>
      </c>
      <c r="F1915" s="3">
        <v>1300.4000000000001</v>
      </c>
      <c r="G1915" s="3">
        <v>1366.3</v>
      </c>
      <c r="H1915" s="3">
        <v>1368.8</v>
      </c>
      <c r="I1915" s="3">
        <v>1355.02</v>
      </c>
      <c r="J1915" s="3">
        <v>3217.6</v>
      </c>
      <c r="K1915" s="3">
        <v>1114.8499999999999</v>
      </c>
      <c r="L1915" s="2">
        <v>31104496</v>
      </c>
      <c r="M1915" s="2">
        <v>42147123069</v>
      </c>
      <c r="N1915" s="2">
        <v>893347</v>
      </c>
      <c r="O1915" t="s">
        <v>23</v>
      </c>
      <c r="P1915" s="8">
        <f t="shared" si="87"/>
        <v>-39.599999999999909</v>
      </c>
      <c r="Q1915" t="s">
        <v>41</v>
      </c>
      <c r="R1915">
        <f t="shared" si="88"/>
        <v>4</v>
      </c>
      <c r="S1915" t="str">
        <f t="shared" si="89"/>
        <v>Apr</v>
      </c>
      <c r="T1915" s="9">
        <f>VLOOKUP(O1915, Annual_Summary!A:B, 2, 0)</f>
        <v>0.2858955987717503</v>
      </c>
    </row>
    <row r="1916" spans="1:20" x14ac:dyDescent="0.3">
      <c r="A1916" s="1">
        <v>45772</v>
      </c>
      <c r="B1916" t="s">
        <v>15</v>
      </c>
      <c r="C1916" s="3">
        <v>1303.5</v>
      </c>
      <c r="D1916" s="3">
        <v>1325.2</v>
      </c>
      <c r="E1916" s="3">
        <v>1288.0999999999999</v>
      </c>
      <c r="F1916" s="3">
        <v>1301.5999999999999</v>
      </c>
      <c r="G1916" s="3">
        <v>1301</v>
      </c>
      <c r="H1916" s="3">
        <v>1300.4000000000001</v>
      </c>
      <c r="I1916" s="3">
        <v>1303.3</v>
      </c>
      <c r="J1916" s="3">
        <v>3217.6</v>
      </c>
      <c r="K1916" s="3">
        <v>1114.8499999999999</v>
      </c>
      <c r="L1916" s="2">
        <v>14431012</v>
      </c>
      <c r="M1916" s="2">
        <v>18807907514.700001</v>
      </c>
      <c r="N1916" s="2">
        <v>307093</v>
      </c>
      <c r="O1916" t="s">
        <v>23</v>
      </c>
      <c r="P1916" s="8">
        <f t="shared" si="87"/>
        <v>-1.9000000000000909</v>
      </c>
      <c r="Q1916" t="s">
        <v>41</v>
      </c>
      <c r="R1916">
        <f t="shared" si="88"/>
        <v>4</v>
      </c>
      <c r="S1916" t="str">
        <f t="shared" si="89"/>
        <v>Apr</v>
      </c>
      <c r="T1916" s="9">
        <f>VLOOKUP(O1916, Annual_Summary!A:B, 2, 0)</f>
        <v>0.2858955987717503</v>
      </c>
    </row>
    <row r="1917" spans="1:20" x14ac:dyDescent="0.3">
      <c r="A1917" s="1">
        <v>45771</v>
      </c>
      <c r="B1917" t="s">
        <v>15</v>
      </c>
      <c r="C1917" s="3">
        <v>1292.4000000000001</v>
      </c>
      <c r="D1917" s="3">
        <v>1304.5</v>
      </c>
      <c r="E1917" s="3">
        <v>1290.3</v>
      </c>
      <c r="F1917" s="3">
        <v>1300</v>
      </c>
      <c r="G1917" s="3">
        <v>1303.5</v>
      </c>
      <c r="H1917" s="3">
        <v>1301.5999999999999</v>
      </c>
      <c r="I1917" s="3">
        <v>1298.32</v>
      </c>
      <c r="J1917" s="3">
        <v>3217.6</v>
      </c>
      <c r="K1917" s="3">
        <v>1114.8499999999999</v>
      </c>
      <c r="L1917" s="2">
        <v>10468940</v>
      </c>
      <c r="M1917" s="2">
        <v>13592084385</v>
      </c>
      <c r="N1917" s="2">
        <v>181309</v>
      </c>
      <c r="O1917" t="s">
        <v>23</v>
      </c>
      <c r="P1917" s="8">
        <f t="shared" si="87"/>
        <v>7.5999999999999091</v>
      </c>
      <c r="Q1917" t="s">
        <v>41</v>
      </c>
      <c r="R1917">
        <f t="shared" si="88"/>
        <v>4</v>
      </c>
      <c r="S1917" t="str">
        <f t="shared" si="89"/>
        <v>Apr</v>
      </c>
      <c r="T1917" s="9">
        <f>VLOOKUP(O1917, Annual_Summary!A:B, 2, 0)</f>
        <v>0.2858955987717503</v>
      </c>
    </row>
    <row r="1918" spans="1:20" x14ac:dyDescent="0.3">
      <c r="A1918" s="1">
        <v>45770</v>
      </c>
      <c r="B1918" t="s">
        <v>15</v>
      </c>
      <c r="C1918" s="3">
        <v>1297</v>
      </c>
      <c r="D1918" s="3">
        <v>1306</v>
      </c>
      <c r="E1918" s="3">
        <v>1285.4000000000001</v>
      </c>
      <c r="F1918" s="3">
        <v>1291.2</v>
      </c>
      <c r="G1918" s="3">
        <v>1297</v>
      </c>
      <c r="H1918" s="3">
        <v>1300</v>
      </c>
      <c r="I1918" s="3">
        <v>1297.08</v>
      </c>
      <c r="J1918" s="3">
        <v>3217.6</v>
      </c>
      <c r="K1918" s="3">
        <v>1114.8499999999999</v>
      </c>
      <c r="L1918" s="2">
        <v>10480888</v>
      </c>
      <c r="M1918" s="2">
        <v>13594597555</v>
      </c>
      <c r="N1918" s="2">
        <v>232149</v>
      </c>
      <c r="O1918" t="s">
        <v>23</v>
      </c>
      <c r="P1918" s="8">
        <f t="shared" si="87"/>
        <v>-5.7999999999999545</v>
      </c>
      <c r="Q1918" t="s">
        <v>41</v>
      </c>
      <c r="R1918">
        <f t="shared" si="88"/>
        <v>4</v>
      </c>
      <c r="S1918" t="str">
        <f t="shared" si="89"/>
        <v>Apr</v>
      </c>
      <c r="T1918" s="9">
        <f>VLOOKUP(O1918, Annual_Summary!A:B, 2, 0)</f>
        <v>0.2858955987717503</v>
      </c>
    </row>
    <row r="1919" spans="1:20" x14ac:dyDescent="0.3">
      <c r="A1919" s="1">
        <v>45769</v>
      </c>
      <c r="B1919" t="s">
        <v>15</v>
      </c>
      <c r="C1919" s="3">
        <v>1300</v>
      </c>
      <c r="D1919" s="3">
        <v>1303.9000000000001</v>
      </c>
      <c r="E1919" s="3">
        <v>1286.3</v>
      </c>
      <c r="F1919" s="3">
        <v>1295.5</v>
      </c>
      <c r="G1919" s="3">
        <v>1289</v>
      </c>
      <c r="H1919" s="3">
        <v>1291.2</v>
      </c>
      <c r="I1919" s="3">
        <v>1295.99</v>
      </c>
      <c r="J1919" s="3">
        <v>3217.6</v>
      </c>
      <c r="K1919" s="3">
        <v>1114.8499999999999</v>
      </c>
      <c r="L1919" s="2">
        <v>13051707</v>
      </c>
      <c r="M1919" s="2">
        <v>16914900850.299999</v>
      </c>
      <c r="N1919" s="2">
        <v>229331</v>
      </c>
      <c r="O1919" t="s">
        <v>23</v>
      </c>
      <c r="P1919" s="8">
        <f t="shared" si="87"/>
        <v>-4.5</v>
      </c>
      <c r="Q1919" t="s">
        <v>41</v>
      </c>
      <c r="R1919">
        <f t="shared" si="88"/>
        <v>4</v>
      </c>
      <c r="S1919" t="str">
        <f t="shared" si="89"/>
        <v>Apr</v>
      </c>
      <c r="T1919" s="9">
        <f>VLOOKUP(O1919, Annual_Summary!A:B, 2, 0)</f>
        <v>0.2858955987717503</v>
      </c>
    </row>
    <row r="1920" spans="1:20" x14ac:dyDescent="0.3">
      <c r="A1920" s="1">
        <v>45768</v>
      </c>
      <c r="B1920" t="s">
        <v>15</v>
      </c>
      <c r="C1920" s="3">
        <v>1270</v>
      </c>
      <c r="D1920" s="3">
        <v>1300.9000000000001</v>
      </c>
      <c r="E1920" s="3">
        <v>1267</v>
      </c>
      <c r="F1920" s="3">
        <v>1274.5</v>
      </c>
      <c r="G1920" s="3">
        <v>1295.2</v>
      </c>
      <c r="H1920" s="3">
        <v>1295.5</v>
      </c>
      <c r="I1920" s="3">
        <v>1291.47</v>
      </c>
      <c r="J1920" s="3">
        <v>3217.6</v>
      </c>
      <c r="K1920" s="3">
        <v>1114.8499999999999</v>
      </c>
      <c r="L1920" s="2">
        <v>10429964</v>
      </c>
      <c r="M1920" s="2">
        <v>13469949890</v>
      </c>
      <c r="N1920" s="2">
        <v>257857</v>
      </c>
      <c r="O1920" t="s">
        <v>23</v>
      </c>
      <c r="P1920" s="8">
        <f t="shared" si="87"/>
        <v>4.5</v>
      </c>
      <c r="Q1920" t="s">
        <v>41</v>
      </c>
      <c r="R1920">
        <f t="shared" si="88"/>
        <v>4</v>
      </c>
      <c r="S1920" t="str">
        <f t="shared" si="89"/>
        <v>Apr</v>
      </c>
      <c r="T1920" s="9">
        <f>VLOOKUP(O1920, Annual_Summary!A:B, 2, 0)</f>
        <v>0.2858955987717503</v>
      </c>
    </row>
    <row r="1921" spans="1:20" x14ac:dyDescent="0.3">
      <c r="A1921" s="1">
        <v>45764</v>
      </c>
      <c r="B1921" t="s">
        <v>15</v>
      </c>
      <c r="C1921" s="3">
        <v>1240.2</v>
      </c>
      <c r="D1921" s="3">
        <v>1280.2</v>
      </c>
      <c r="E1921" s="3">
        <v>1227.5999999999999</v>
      </c>
      <c r="F1921" s="3">
        <v>1239.3</v>
      </c>
      <c r="G1921" s="3">
        <v>1273</v>
      </c>
      <c r="H1921" s="3">
        <v>1274.5</v>
      </c>
      <c r="I1921" s="3">
        <v>1260.3800000000001</v>
      </c>
      <c r="J1921" s="3">
        <v>3217.6</v>
      </c>
      <c r="K1921" s="3">
        <v>1114.8499999999999</v>
      </c>
      <c r="L1921" s="2">
        <v>15398401</v>
      </c>
      <c r="M1921" s="2">
        <v>19407871411</v>
      </c>
      <c r="N1921" s="2">
        <v>321235</v>
      </c>
      <c r="O1921" t="s">
        <v>23</v>
      </c>
      <c r="P1921" s="8">
        <f t="shared" si="87"/>
        <v>-0.90000000000009095</v>
      </c>
      <c r="Q1921" t="s">
        <v>41</v>
      </c>
      <c r="R1921">
        <f t="shared" si="88"/>
        <v>4</v>
      </c>
      <c r="S1921" t="str">
        <f t="shared" si="89"/>
        <v>Apr</v>
      </c>
      <c r="T1921" s="9">
        <f>VLOOKUP(O1921, Annual_Summary!A:B, 2, 0)</f>
        <v>0.2858955987717503</v>
      </c>
    </row>
    <row r="1922" spans="1:20" x14ac:dyDescent="0.3">
      <c r="A1922" s="1">
        <v>45763</v>
      </c>
      <c r="B1922" t="s">
        <v>15</v>
      </c>
      <c r="C1922" s="3">
        <v>1234.0999999999999</v>
      </c>
      <c r="D1922" s="3">
        <v>1240.9000000000001</v>
      </c>
      <c r="E1922" s="3">
        <v>1229</v>
      </c>
      <c r="F1922" s="3">
        <v>1240.0999999999999</v>
      </c>
      <c r="G1922" s="3">
        <v>1238</v>
      </c>
      <c r="H1922" s="3">
        <v>1239.3</v>
      </c>
      <c r="I1922" s="3">
        <v>1235.6099999999999</v>
      </c>
      <c r="J1922" s="3">
        <v>3217.6</v>
      </c>
      <c r="K1922" s="3">
        <v>1114.8499999999999</v>
      </c>
      <c r="L1922" s="2">
        <v>8248464</v>
      </c>
      <c r="M1922" s="2">
        <v>10191864641.700001</v>
      </c>
      <c r="N1922" s="2">
        <v>164065</v>
      </c>
      <c r="O1922" t="s">
        <v>23</v>
      </c>
      <c r="P1922" s="8">
        <f t="shared" si="87"/>
        <v>6</v>
      </c>
      <c r="Q1922" t="s">
        <v>41</v>
      </c>
      <c r="R1922">
        <f t="shared" si="88"/>
        <v>4</v>
      </c>
      <c r="S1922" t="str">
        <f t="shared" si="89"/>
        <v>Apr</v>
      </c>
      <c r="T1922" s="9">
        <f>VLOOKUP(O1922, Annual_Summary!A:B, 2, 0)</f>
        <v>0.2858955987717503</v>
      </c>
    </row>
    <row r="1923" spans="1:20" x14ac:dyDescent="0.3">
      <c r="A1923" s="1">
        <v>45762</v>
      </c>
      <c r="B1923" t="s">
        <v>15</v>
      </c>
      <c r="C1923" s="3">
        <v>1251</v>
      </c>
      <c r="D1923" s="3">
        <v>1251</v>
      </c>
      <c r="E1923" s="3">
        <v>1237.0999999999999</v>
      </c>
      <c r="F1923" s="3">
        <v>1218.95</v>
      </c>
      <c r="G1923" s="3">
        <v>1239.5999999999999</v>
      </c>
      <c r="H1923" s="3">
        <v>1240.0999999999999</v>
      </c>
      <c r="I1923" s="3">
        <v>1242.83</v>
      </c>
      <c r="J1923" s="3">
        <v>3217.6</v>
      </c>
      <c r="K1923" s="3">
        <v>1114.8499999999999</v>
      </c>
      <c r="L1923" s="2">
        <v>13378535</v>
      </c>
      <c r="M1923" s="2">
        <v>16627177949.1</v>
      </c>
      <c r="N1923" s="2">
        <v>199888</v>
      </c>
      <c r="O1923" t="s">
        <v>23</v>
      </c>
      <c r="P1923" s="8">
        <f t="shared" ref="P1923:P1986" si="90">F1923-C1923</f>
        <v>-32.049999999999955</v>
      </c>
      <c r="Q1923" t="s">
        <v>41</v>
      </c>
      <c r="R1923">
        <f t="shared" ref="R1923:R1986" si="91">MONTH(A1923)</f>
        <v>4</v>
      </c>
      <c r="S1923" t="str">
        <f t="shared" ref="S1923:S1986" si="92">TEXT(A1923,"mmm")</f>
        <v>Apr</v>
      </c>
      <c r="T1923" s="9">
        <f>VLOOKUP(O1923, Annual_Summary!A:B, 2, 0)</f>
        <v>0.2858955987717503</v>
      </c>
    </row>
    <row r="1924" spans="1:20" x14ac:dyDescent="0.3">
      <c r="A1924" s="1">
        <v>45758</v>
      </c>
      <c r="B1924" t="s">
        <v>15</v>
      </c>
      <c r="C1924" s="3">
        <v>1195.1500000000001</v>
      </c>
      <c r="D1924" s="3">
        <v>1222.6500000000001</v>
      </c>
      <c r="E1924" s="3">
        <v>1195.1500000000001</v>
      </c>
      <c r="F1924" s="3">
        <v>1185.3499999999999</v>
      </c>
      <c r="G1924" s="3">
        <v>1220</v>
      </c>
      <c r="H1924" s="3">
        <v>1218.95</v>
      </c>
      <c r="I1924" s="3">
        <v>1214.05</v>
      </c>
      <c r="J1924" s="3">
        <v>3217.6</v>
      </c>
      <c r="K1924" s="3">
        <v>1114.8499999999999</v>
      </c>
      <c r="L1924" s="2">
        <v>11224242</v>
      </c>
      <c r="M1924" s="2">
        <v>13626831085.65</v>
      </c>
      <c r="N1924" s="2">
        <v>187059</v>
      </c>
      <c r="O1924" t="s">
        <v>23</v>
      </c>
      <c r="P1924" s="8">
        <f t="shared" si="90"/>
        <v>-9.8000000000001819</v>
      </c>
      <c r="Q1924" t="s">
        <v>41</v>
      </c>
      <c r="R1924">
        <f t="shared" si="91"/>
        <v>4</v>
      </c>
      <c r="S1924" t="str">
        <f t="shared" si="92"/>
        <v>Apr</v>
      </c>
      <c r="T1924" s="9">
        <f>VLOOKUP(O1924, Annual_Summary!A:B, 2, 0)</f>
        <v>0.2858955987717503</v>
      </c>
    </row>
    <row r="1925" spans="1:20" x14ac:dyDescent="0.3">
      <c r="A1925" s="1">
        <v>45756</v>
      </c>
      <c r="B1925" t="s">
        <v>15</v>
      </c>
      <c r="C1925" s="3">
        <v>1169.5</v>
      </c>
      <c r="D1925" s="3">
        <v>1189.8</v>
      </c>
      <c r="E1925" s="3">
        <v>1168</v>
      </c>
      <c r="F1925" s="3">
        <v>1182.2</v>
      </c>
      <c r="G1925" s="3">
        <v>1187.5</v>
      </c>
      <c r="H1925" s="3">
        <v>1185.3499999999999</v>
      </c>
      <c r="I1925" s="3">
        <v>1183.08</v>
      </c>
      <c r="J1925" s="3">
        <v>3217.6</v>
      </c>
      <c r="K1925" s="3">
        <v>1114.8499999999999</v>
      </c>
      <c r="L1925" s="2">
        <v>10223104</v>
      </c>
      <c r="M1925" s="2">
        <v>12094749463.200001</v>
      </c>
      <c r="N1925" s="2">
        <v>193325</v>
      </c>
      <c r="O1925" t="s">
        <v>23</v>
      </c>
      <c r="P1925" s="8">
        <f t="shared" si="90"/>
        <v>12.700000000000045</v>
      </c>
      <c r="Q1925" t="s">
        <v>41</v>
      </c>
      <c r="R1925">
        <f t="shared" si="91"/>
        <v>4</v>
      </c>
      <c r="S1925" t="str">
        <f t="shared" si="92"/>
        <v>Apr</v>
      </c>
      <c r="T1925" s="9">
        <f>VLOOKUP(O1925, Annual_Summary!A:B, 2, 0)</f>
        <v>0.2858955987717503</v>
      </c>
    </row>
    <row r="1926" spans="1:20" x14ac:dyDescent="0.3">
      <c r="A1926" s="1">
        <v>45755</v>
      </c>
      <c r="B1926" t="s">
        <v>15</v>
      </c>
      <c r="C1926" s="3">
        <v>1172</v>
      </c>
      <c r="D1926" s="3">
        <v>1196.5999999999999</v>
      </c>
      <c r="E1926" s="3">
        <v>1163.3</v>
      </c>
      <c r="F1926" s="3">
        <v>1165.7</v>
      </c>
      <c r="G1926" s="3">
        <v>1181.05</v>
      </c>
      <c r="H1926" s="3">
        <v>1182.2</v>
      </c>
      <c r="I1926" s="3">
        <v>1179.5</v>
      </c>
      <c r="J1926" s="3">
        <v>3217.6</v>
      </c>
      <c r="K1926" s="3">
        <v>1114.8499999999999</v>
      </c>
      <c r="L1926" s="2">
        <v>19555040</v>
      </c>
      <c r="M1926" s="2">
        <v>23065209423</v>
      </c>
      <c r="N1926" s="2">
        <v>314171</v>
      </c>
      <c r="O1926" t="s">
        <v>23</v>
      </c>
      <c r="P1926" s="8">
        <f t="shared" si="90"/>
        <v>-6.2999999999999545</v>
      </c>
      <c r="Q1926" t="s">
        <v>41</v>
      </c>
      <c r="R1926">
        <f t="shared" si="91"/>
        <v>4</v>
      </c>
      <c r="S1926" t="str">
        <f t="shared" si="92"/>
        <v>Apr</v>
      </c>
      <c r="T1926" s="9">
        <f>VLOOKUP(O1926, Annual_Summary!A:B, 2, 0)</f>
        <v>0.2858955987717503</v>
      </c>
    </row>
    <row r="1927" spans="1:20" x14ac:dyDescent="0.3">
      <c r="A1927" s="1">
        <v>45754</v>
      </c>
      <c r="B1927" t="s">
        <v>15</v>
      </c>
      <c r="C1927" s="3">
        <v>1132.2</v>
      </c>
      <c r="D1927" s="3">
        <v>1171.25</v>
      </c>
      <c r="E1927" s="3">
        <v>1114.8499999999999</v>
      </c>
      <c r="F1927" s="3">
        <v>1204.7</v>
      </c>
      <c r="G1927" s="3">
        <v>1171.25</v>
      </c>
      <c r="H1927" s="3">
        <v>1165.7</v>
      </c>
      <c r="I1927" s="3">
        <v>1150.54</v>
      </c>
      <c r="J1927" s="3">
        <v>3217.6</v>
      </c>
      <c r="K1927" s="3">
        <v>1114.8499999999999</v>
      </c>
      <c r="L1927" s="2">
        <v>22156106</v>
      </c>
      <c r="M1927" s="2">
        <v>25491501838.900002</v>
      </c>
      <c r="N1927" s="2">
        <v>677564</v>
      </c>
      <c r="O1927" t="s">
        <v>23</v>
      </c>
      <c r="P1927" s="8">
        <f t="shared" si="90"/>
        <v>72.5</v>
      </c>
      <c r="Q1927" t="s">
        <v>41</v>
      </c>
      <c r="R1927">
        <f t="shared" si="91"/>
        <v>4</v>
      </c>
      <c r="S1927" t="str">
        <f t="shared" si="92"/>
        <v>Apr</v>
      </c>
      <c r="T1927" s="9">
        <f>VLOOKUP(O1927, Annual_Summary!A:B, 2, 0)</f>
        <v>0.2858955987717503</v>
      </c>
    </row>
    <row r="1928" spans="1:20" x14ac:dyDescent="0.3">
      <c r="A1928" s="1">
        <v>45751</v>
      </c>
      <c r="B1928" t="s">
        <v>15</v>
      </c>
      <c r="C1928" s="3">
        <v>1241.0999999999999</v>
      </c>
      <c r="D1928" s="3">
        <v>1245.45</v>
      </c>
      <c r="E1928" s="3">
        <v>1193.1500000000001</v>
      </c>
      <c r="F1928" s="3">
        <v>1248.7</v>
      </c>
      <c r="G1928" s="3">
        <v>1205.9000000000001</v>
      </c>
      <c r="H1928" s="3">
        <v>1204.7</v>
      </c>
      <c r="I1928" s="3">
        <v>1206.6199999999999</v>
      </c>
      <c r="J1928" s="3">
        <v>3217.6</v>
      </c>
      <c r="K1928" s="3">
        <v>1156</v>
      </c>
      <c r="L1928" s="2">
        <v>17908652</v>
      </c>
      <c r="M1928" s="2">
        <v>21608977995.099998</v>
      </c>
      <c r="N1928" s="2">
        <v>542347</v>
      </c>
      <c r="O1928" t="s">
        <v>23</v>
      </c>
      <c r="P1928" s="8">
        <f t="shared" si="90"/>
        <v>7.6000000000001364</v>
      </c>
      <c r="Q1928" t="s">
        <v>41</v>
      </c>
      <c r="R1928">
        <f t="shared" si="91"/>
        <v>4</v>
      </c>
      <c r="S1928" t="str">
        <f t="shared" si="92"/>
        <v>Apr</v>
      </c>
      <c r="T1928" s="9">
        <f>VLOOKUP(O1928, Annual_Summary!A:B, 2, 0)</f>
        <v>0.2858955987717503</v>
      </c>
    </row>
    <row r="1929" spans="1:20" x14ac:dyDescent="0.3">
      <c r="A1929" s="1">
        <v>45750</v>
      </c>
      <c r="B1929" t="s">
        <v>15</v>
      </c>
      <c r="C1929" s="3">
        <v>1233.05</v>
      </c>
      <c r="D1929" s="3">
        <v>1251.8</v>
      </c>
      <c r="E1929" s="3">
        <v>1233.05</v>
      </c>
      <c r="F1929" s="3">
        <v>1251.1500000000001</v>
      </c>
      <c r="G1929" s="3">
        <v>1248.5</v>
      </c>
      <c r="H1929" s="3">
        <v>1248.7</v>
      </c>
      <c r="I1929" s="3">
        <v>1246.31</v>
      </c>
      <c r="J1929" s="3">
        <v>3217.6</v>
      </c>
      <c r="K1929" s="3">
        <v>1156</v>
      </c>
      <c r="L1929" s="2">
        <v>7434366</v>
      </c>
      <c r="M1929" s="2">
        <v>9265530670.8500004</v>
      </c>
      <c r="N1929" s="2">
        <v>146316</v>
      </c>
      <c r="O1929" t="s">
        <v>23</v>
      </c>
      <c r="P1929" s="8">
        <f t="shared" si="90"/>
        <v>18.100000000000136</v>
      </c>
      <c r="Q1929" t="s">
        <v>41</v>
      </c>
      <c r="R1929">
        <f t="shared" si="91"/>
        <v>4</v>
      </c>
      <c r="S1929" t="str">
        <f t="shared" si="92"/>
        <v>Apr</v>
      </c>
      <c r="T1929" s="9">
        <f>VLOOKUP(O1929, Annual_Summary!A:B, 2, 0)</f>
        <v>0.2858955987717503</v>
      </c>
    </row>
    <row r="1930" spans="1:20" x14ac:dyDescent="0.3">
      <c r="A1930" s="1">
        <v>45749</v>
      </c>
      <c r="B1930" t="s">
        <v>15</v>
      </c>
      <c r="C1930" s="3">
        <v>1247.55</v>
      </c>
      <c r="D1930" s="3">
        <v>1255.55</v>
      </c>
      <c r="E1930" s="3">
        <v>1243.9000000000001</v>
      </c>
      <c r="F1930" s="3">
        <v>1252.5999999999999</v>
      </c>
      <c r="G1930" s="3">
        <v>1252</v>
      </c>
      <c r="H1930" s="3">
        <v>1251.1500000000001</v>
      </c>
      <c r="I1930" s="3">
        <v>1251.04</v>
      </c>
      <c r="J1930" s="3">
        <v>3217.6</v>
      </c>
      <c r="K1930" s="3">
        <v>1156</v>
      </c>
      <c r="L1930" s="2">
        <v>10142590</v>
      </c>
      <c r="M1930" s="2">
        <v>12688802512.15</v>
      </c>
      <c r="N1930" s="2">
        <v>177979</v>
      </c>
      <c r="O1930" t="s">
        <v>23</v>
      </c>
      <c r="P1930" s="8">
        <f t="shared" si="90"/>
        <v>5.0499999999999545</v>
      </c>
      <c r="Q1930" t="s">
        <v>41</v>
      </c>
      <c r="R1930">
        <f t="shared" si="91"/>
        <v>4</v>
      </c>
      <c r="S1930" t="str">
        <f t="shared" si="92"/>
        <v>Apr</v>
      </c>
      <c r="T1930" s="9">
        <f>VLOOKUP(O1930, Annual_Summary!A:B, 2, 0)</f>
        <v>0.2858955987717503</v>
      </c>
    </row>
    <row r="1931" spans="1:20" x14ac:dyDescent="0.3">
      <c r="A1931" s="1">
        <v>45748</v>
      </c>
      <c r="B1931" t="s">
        <v>15</v>
      </c>
      <c r="C1931" s="3">
        <v>1264.5999999999999</v>
      </c>
      <c r="D1931" s="3">
        <v>1277.9000000000001</v>
      </c>
      <c r="E1931" s="3">
        <v>1249.3</v>
      </c>
      <c r="F1931" s="3">
        <v>1275.0999999999999</v>
      </c>
      <c r="G1931" s="3">
        <v>1254</v>
      </c>
      <c r="H1931" s="3">
        <v>1252.5999999999999</v>
      </c>
      <c r="I1931" s="3">
        <v>1260.72</v>
      </c>
      <c r="J1931" s="3">
        <v>3217.6</v>
      </c>
      <c r="K1931" s="3">
        <v>1156</v>
      </c>
      <c r="L1931" s="2">
        <v>12099648</v>
      </c>
      <c r="M1931" s="2">
        <v>15254261046.799999</v>
      </c>
      <c r="N1931" s="2">
        <v>260862</v>
      </c>
      <c r="O1931" t="s">
        <v>23</v>
      </c>
      <c r="P1931" s="8">
        <f t="shared" si="90"/>
        <v>10.5</v>
      </c>
      <c r="Q1931" t="s">
        <v>41</v>
      </c>
      <c r="R1931">
        <f t="shared" si="91"/>
        <v>4</v>
      </c>
      <c r="S1931" t="str">
        <f t="shared" si="92"/>
        <v>Apr</v>
      </c>
      <c r="T1931" s="9">
        <f>VLOOKUP(O1931, Annual_Summary!A:B, 2, 0)</f>
        <v>0.2858955987717503</v>
      </c>
    </row>
    <row r="1932" spans="1:20" x14ac:dyDescent="0.3">
      <c r="A1932" s="1">
        <v>45744</v>
      </c>
      <c r="B1932" t="s">
        <v>15</v>
      </c>
      <c r="C1932" s="3">
        <v>1280</v>
      </c>
      <c r="D1932" s="3">
        <v>1295.75</v>
      </c>
      <c r="E1932" s="3">
        <v>1269</v>
      </c>
      <c r="F1932" s="3">
        <v>1278.2</v>
      </c>
      <c r="G1932" s="3">
        <v>1274</v>
      </c>
      <c r="H1932" s="3">
        <v>1275.0999999999999</v>
      </c>
      <c r="I1932" s="3">
        <v>1278.1500000000001</v>
      </c>
      <c r="J1932" s="3">
        <v>3217.6</v>
      </c>
      <c r="K1932" s="3">
        <v>1156</v>
      </c>
      <c r="L1932" s="2">
        <v>18147129</v>
      </c>
      <c r="M1932" s="2">
        <v>23194774030.900002</v>
      </c>
      <c r="N1932" s="2">
        <v>265113</v>
      </c>
      <c r="O1932" t="s">
        <v>23</v>
      </c>
      <c r="P1932" s="8">
        <f t="shared" si="90"/>
        <v>-1.7999999999999545</v>
      </c>
      <c r="Q1932" t="s">
        <v>41</v>
      </c>
      <c r="R1932">
        <f t="shared" si="91"/>
        <v>3</v>
      </c>
      <c r="S1932" t="str">
        <f t="shared" si="92"/>
        <v>Mar</v>
      </c>
      <c r="T1932" s="9">
        <f>VLOOKUP(O1932, Annual_Summary!A:B, 2, 0)</f>
        <v>0.2858955987717503</v>
      </c>
    </row>
    <row r="1933" spans="1:20" x14ac:dyDescent="0.3">
      <c r="A1933" s="1">
        <v>45743</v>
      </c>
      <c r="B1933" t="s">
        <v>15</v>
      </c>
      <c r="C1933" s="3">
        <v>1278.1500000000001</v>
      </c>
      <c r="D1933" s="3">
        <v>1285</v>
      </c>
      <c r="E1933" s="3">
        <v>1271.3</v>
      </c>
      <c r="F1933" s="3">
        <v>1273.05</v>
      </c>
      <c r="G1933" s="3">
        <v>1280</v>
      </c>
      <c r="H1933" s="3">
        <v>1278.2</v>
      </c>
      <c r="I1933" s="3">
        <v>1278.9000000000001</v>
      </c>
      <c r="J1933" s="3">
        <v>3217.6</v>
      </c>
      <c r="K1933" s="3">
        <v>1156</v>
      </c>
      <c r="L1933" s="2">
        <v>15028056</v>
      </c>
      <c r="M1933" s="2">
        <v>19219399902.900002</v>
      </c>
      <c r="N1933" s="2">
        <v>224828</v>
      </c>
      <c r="O1933" t="s">
        <v>23</v>
      </c>
      <c r="P1933" s="8">
        <f t="shared" si="90"/>
        <v>-5.1000000000001364</v>
      </c>
      <c r="Q1933" t="s">
        <v>41</v>
      </c>
      <c r="R1933">
        <f t="shared" si="91"/>
        <v>3</v>
      </c>
      <c r="S1933" t="str">
        <f t="shared" si="92"/>
        <v>Mar</v>
      </c>
      <c r="T1933" s="9">
        <f>VLOOKUP(O1933, Annual_Summary!A:B, 2, 0)</f>
        <v>0.2858955987717503</v>
      </c>
    </row>
    <row r="1934" spans="1:20" x14ac:dyDescent="0.3">
      <c r="A1934" s="1">
        <v>45742</v>
      </c>
      <c r="B1934" t="s">
        <v>15</v>
      </c>
      <c r="C1934" s="3">
        <v>1291</v>
      </c>
      <c r="D1934" s="3">
        <v>1293.8</v>
      </c>
      <c r="E1934" s="3">
        <v>1268.75</v>
      </c>
      <c r="F1934" s="3">
        <v>1285.45</v>
      </c>
      <c r="G1934" s="3">
        <v>1270.9000000000001</v>
      </c>
      <c r="H1934" s="3">
        <v>1273.05</v>
      </c>
      <c r="I1934" s="3">
        <v>1279.04</v>
      </c>
      <c r="J1934" s="3">
        <v>3217.6</v>
      </c>
      <c r="K1934" s="3">
        <v>1156</v>
      </c>
      <c r="L1934" s="2">
        <v>12074747</v>
      </c>
      <c r="M1934" s="2">
        <v>15444062345.35</v>
      </c>
      <c r="N1934" s="2">
        <v>292138</v>
      </c>
      <c r="O1934" t="s">
        <v>23</v>
      </c>
      <c r="P1934" s="8">
        <f t="shared" si="90"/>
        <v>-5.5499999999999545</v>
      </c>
      <c r="Q1934" t="s">
        <v>41</v>
      </c>
      <c r="R1934">
        <f t="shared" si="91"/>
        <v>3</v>
      </c>
      <c r="S1934" t="str">
        <f t="shared" si="92"/>
        <v>Mar</v>
      </c>
      <c r="T1934" s="9">
        <f>VLOOKUP(O1934, Annual_Summary!A:B, 2, 0)</f>
        <v>0.2858955987717503</v>
      </c>
    </row>
    <row r="1935" spans="1:20" x14ac:dyDescent="0.3">
      <c r="A1935" s="1">
        <v>45741</v>
      </c>
      <c r="B1935" t="s">
        <v>15</v>
      </c>
      <c r="C1935" s="3">
        <v>1307.7</v>
      </c>
      <c r="D1935" s="3">
        <v>1307.7</v>
      </c>
      <c r="E1935" s="3">
        <v>1282.5999999999999</v>
      </c>
      <c r="F1935" s="3">
        <v>1302.0999999999999</v>
      </c>
      <c r="G1935" s="3">
        <v>1285.25</v>
      </c>
      <c r="H1935" s="3">
        <v>1285.45</v>
      </c>
      <c r="I1935" s="3">
        <v>1290.6300000000001</v>
      </c>
      <c r="J1935" s="3">
        <v>3217.6</v>
      </c>
      <c r="K1935" s="3">
        <v>1156</v>
      </c>
      <c r="L1935" s="2">
        <v>13713899</v>
      </c>
      <c r="M1935" s="2">
        <v>17699568389.849998</v>
      </c>
      <c r="N1935" s="2">
        <v>271251</v>
      </c>
      <c r="O1935" t="s">
        <v>23</v>
      </c>
      <c r="P1935" s="8">
        <f t="shared" si="90"/>
        <v>-5.6000000000001364</v>
      </c>
      <c r="Q1935" t="s">
        <v>41</v>
      </c>
      <c r="R1935">
        <f t="shared" si="91"/>
        <v>3</v>
      </c>
      <c r="S1935" t="str">
        <f t="shared" si="92"/>
        <v>Mar</v>
      </c>
      <c r="T1935" s="9">
        <f>VLOOKUP(O1935, Annual_Summary!A:B, 2, 0)</f>
        <v>0.2858955987717503</v>
      </c>
    </row>
    <row r="1936" spans="1:20" x14ac:dyDescent="0.3">
      <c r="A1936" s="1">
        <v>45740</v>
      </c>
      <c r="B1936" t="s">
        <v>15</v>
      </c>
      <c r="C1936" s="3">
        <v>1291</v>
      </c>
      <c r="D1936" s="3">
        <v>1306</v>
      </c>
      <c r="E1936" s="3">
        <v>1284.25</v>
      </c>
      <c r="F1936" s="3">
        <v>1276.3499999999999</v>
      </c>
      <c r="G1936" s="3">
        <v>1302.6500000000001</v>
      </c>
      <c r="H1936" s="3">
        <v>1302.0999999999999</v>
      </c>
      <c r="I1936" s="3">
        <v>1297.3800000000001</v>
      </c>
      <c r="J1936" s="3">
        <v>3217.6</v>
      </c>
      <c r="K1936" s="3">
        <v>1156</v>
      </c>
      <c r="L1936" s="2">
        <v>20299319</v>
      </c>
      <c r="M1936" s="2">
        <v>26335901171.150002</v>
      </c>
      <c r="N1936" s="2">
        <v>347056</v>
      </c>
      <c r="O1936" t="s">
        <v>23</v>
      </c>
      <c r="P1936" s="8">
        <f t="shared" si="90"/>
        <v>-14.650000000000091</v>
      </c>
      <c r="Q1936" t="s">
        <v>41</v>
      </c>
      <c r="R1936">
        <f t="shared" si="91"/>
        <v>3</v>
      </c>
      <c r="S1936" t="str">
        <f t="shared" si="92"/>
        <v>Mar</v>
      </c>
      <c r="T1936" s="9">
        <f>VLOOKUP(O1936, Annual_Summary!A:B, 2, 0)</f>
        <v>0.2858955987717503</v>
      </c>
    </row>
    <row r="1937" spans="1:20" x14ac:dyDescent="0.3">
      <c r="A1937" s="1">
        <v>45737</v>
      </c>
      <c r="B1937" t="s">
        <v>15</v>
      </c>
      <c r="C1937" s="3">
        <v>1275</v>
      </c>
      <c r="D1937" s="3">
        <v>1281</v>
      </c>
      <c r="E1937" s="3">
        <v>1270.0999999999999</v>
      </c>
      <c r="F1937" s="3">
        <v>1269.1500000000001</v>
      </c>
      <c r="G1937" s="3">
        <v>1277.5</v>
      </c>
      <c r="H1937" s="3">
        <v>1276.3499999999999</v>
      </c>
      <c r="I1937" s="3">
        <v>1276.3399999999999</v>
      </c>
      <c r="J1937" s="3">
        <v>3217.6</v>
      </c>
      <c r="K1937" s="3">
        <v>1156</v>
      </c>
      <c r="L1937" s="2">
        <v>21780769</v>
      </c>
      <c r="M1937" s="2">
        <v>27799653516.400002</v>
      </c>
      <c r="N1937" s="2">
        <v>230001</v>
      </c>
      <c r="O1937" t="s">
        <v>23</v>
      </c>
      <c r="P1937" s="8">
        <f t="shared" si="90"/>
        <v>-5.8499999999999091</v>
      </c>
      <c r="Q1937" t="s">
        <v>41</v>
      </c>
      <c r="R1937">
        <f t="shared" si="91"/>
        <v>3</v>
      </c>
      <c r="S1937" t="str">
        <f t="shared" si="92"/>
        <v>Mar</v>
      </c>
      <c r="T1937" s="9">
        <f>VLOOKUP(O1937, Annual_Summary!A:B, 2, 0)</f>
        <v>0.2858955987717503</v>
      </c>
    </row>
    <row r="1938" spans="1:20" x14ac:dyDescent="0.3">
      <c r="A1938" s="1">
        <v>45736</v>
      </c>
      <c r="B1938" t="s">
        <v>15</v>
      </c>
      <c r="C1938" s="3">
        <v>1251.8499999999999</v>
      </c>
      <c r="D1938" s="3">
        <v>1273</v>
      </c>
      <c r="E1938" s="3">
        <v>1250.05</v>
      </c>
      <c r="F1938" s="3">
        <v>1247.1500000000001</v>
      </c>
      <c r="G1938" s="3">
        <v>1268.2</v>
      </c>
      <c r="H1938" s="3">
        <v>1269.1500000000001</v>
      </c>
      <c r="I1938" s="3">
        <v>1262.54</v>
      </c>
      <c r="J1938" s="3">
        <v>3217.6</v>
      </c>
      <c r="K1938" s="3">
        <v>1156</v>
      </c>
      <c r="L1938" s="2">
        <v>15971477</v>
      </c>
      <c r="M1938" s="2">
        <v>20164561988.349998</v>
      </c>
      <c r="N1938" s="2">
        <v>219527</v>
      </c>
      <c r="O1938" t="s">
        <v>23</v>
      </c>
      <c r="P1938" s="8">
        <f t="shared" si="90"/>
        <v>-4.6999999999998181</v>
      </c>
      <c r="Q1938" t="s">
        <v>41</v>
      </c>
      <c r="R1938">
        <f t="shared" si="91"/>
        <v>3</v>
      </c>
      <c r="S1938" t="str">
        <f t="shared" si="92"/>
        <v>Mar</v>
      </c>
      <c r="T1938" s="9">
        <f>VLOOKUP(O1938, Annual_Summary!A:B, 2, 0)</f>
        <v>0.2858955987717503</v>
      </c>
    </row>
    <row r="1939" spans="1:20" x14ac:dyDescent="0.3">
      <c r="A1939" s="1">
        <v>45735</v>
      </c>
      <c r="B1939" t="s">
        <v>15</v>
      </c>
      <c r="C1939" s="3">
        <v>1241.05</v>
      </c>
      <c r="D1939" s="3">
        <v>1253.25</v>
      </c>
      <c r="E1939" s="3">
        <v>1238.8</v>
      </c>
      <c r="F1939" s="3">
        <v>1238.8</v>
      </c>
      <c r="G1939" s="3">
        <v>1248</v>
      </c>
      <c r="H1939" s="3">
        <v>1247.1500000000001</v>
      </c>
      <c r="I1939" s="3">
        <v>1247.22</v>
      </c>
      <c r="J1939" s="3">
        <v>3217.6</v>
      </c>
      <c r="K1939" s="3">
        <v>1156</v>
      </c>
      <c r="L1939" s="2">
        <v>16162399</v>
      </c>
      <c r="M1939" s="2">
        <v>20158006340.599998</v>
      </c>
      <c r="N1939" s="2">
        <v>217782</v>
      </c>
      <c r="O1939" t="s">
        <v>23</v>
      </c>
      <c r="P1939" s="8">
        <f t="shared" si="90"/>
        <v>-2.25</v>
      </c>
      <c r="Q1939" t="s">
        <v>41</v>
      </c>
      <c r="R1939">
        <f t="shared" si="91"/>
        <v>3</v>
      </c>
      <c r="S1939" t="str">
        <f t="shared" si="92"/>
        <v>Mar</v>
      </c>
      <c r="T1939" s="9">
        <f>VLOOKUP(O1939, Annual_Summary!A:B, 2, 0)</f>
        <v>0.2858955987717503</v>
      </c>
    </row>
    <row r="1940" spans="1:20" x14ac:dyDescent="0.3">
      <c r="A1940" s="1">
        <v>45734</v>
      </c>
      <c r="B1940" t="s">
        <v>15</v>
      </c>
      <c r="C1940" s="3">
        <v>1244.7</v>
      </c>
      <c r="D1940" s="3">
        <v>1248.3499999999999</v>
      </c>
      <c r="E1940" s="3">
        <v>1235</v>
      </c>
      <c r="F1940" s="3">
        <v>1238.8499999999999</v>
      </c>
      <c r="G1940" s="3">
        <v>1239.95</v>
      </c>
      <c r="H1940" s="3">
        <v>1238.8</v>
      </c>
      <c r="I1940" s="3">
        <v>1238.98</v>
      </c>
      <c r="J1940" s="3">
        <v>3217.6</v>
      </c>
      <c r="K1940" s="3">
        <v>1156</v>
      </c>
      <c r="L1940" s="2">
        <v>15745877</v>
      </c>
      <c r="M1940" s="2">
        <v>19508893454.650002</v>
      </c>
      <c r="N1940" s="2">
        <v>312315</v>
      </c>
      <c r="O1940" t="s">
        <v>23</v>
      </c>
      <c r="P1940" s="8">
        <f t="shared" si="90"/>
        <v>-5.8500000000001364</v>
      </c>
      <c r="Q1940" t="s">
        <v>41</v>
      </c>
      <c r="R1940">
        <f t="shared" si="91"/>
        <v>3</v>
      </c>
      <c r="S1940" t="str">
        <f t="shared" si="92"/>
        <v>Mar</v>
      </c>
      <c r="T1940" s="9">
        <f>VLOOKUP(O1940, Annual_Summary!A:B, 2, 0)</f>
        <v>0.2858955987717503</v>
      </c>
    </row>
    <row r="1941" spans="1:20" x14ac:dyDescent="0.3">
      <c r="A1941" s="1">
        <v>45733</v>
      </c>
      <c r="B1941" t="s">
        <v>15</v>
      </c>
      <c r="C1941" s="3">
        <v>1242.1500000000001</v>
      </c>
      <c r="D1941" s="3">
        <v>1257.4000000000001</v>
      </c>
      <c r="E1941" s="3">
        <v>1233.0999999999999</v>
      </c>
      <c r="F1941" s="3">
        <v>1247.9000000000001</v>
      </c>
      <c r="G1941" s="3">
        <v>1241.55</v>
      </c>
      <c r="H1941" s="3">
        <v>1238.8499999999999</v>
      </c>
      <c r="I1941" s="3">
        <v>1239.76</v>
      </c>
      <c r="J1941" s="3">
        <v>3217.6</v>
      </c>
      <c r="K1941" s="3">
        <v>1156</v>
      </c>
      <c r="L1941" s="2">
        <v>16640952</v>
      </c>
      <c r="M1941" s="2">
        <v>20630843725.150002</v>
      </c>
      <c r="N1941" s="2">
        <v>269824</v>
      </c>
      <c r="O1941" t="s">
        <v>23</v>
      </c>
      <c r="P1941" s="8">
        <f t="shared" si="90"/>
        <v>5.75</v>
      </c>
      <c r="Q1941" t="s">
        <v>41</v>
      </c>
      <c r="R1941">
        <f t="shared" si="91"/>
        <v>3</v>
      </c>
      <c r="S1941" t="str">
        <f t="shared" si="92"/>
        <v>Mar</v>
      </c>
      <c r="T1941" s="9">
        <f>VLOOKUP(O1941, Annual_Summary!A:B, 2, 0)</f>
        <v>0.2858955987717503</v>
      </c>
    </row>
    <row r="1942" spans="1:20" x14ac:dyDescent="0.3">
      <c r="A1942" s="1">
        <v>45729</v>
      </c>
      <c r="B1942" t="s">
        <v>15</v>
      </c>
      <c r="C1942" s="3">
        <v>1260.05</v>
      </c>
      <c r="D1942" s="3">
        <v>1264.1500000000001</v>
      </c>
      <c r="E1942" s="3">
        <v>1243.8499999999999</v>
      </c>
      <c r="F1942" s="3">
        <v>1257.05</v>
      </c>
      <c r="G1942" s="3">
        <v>1246.6500000000001</v>
      </c>
      <c r="H1942" s="3">
        <v>1247.9000000000001</v>
      </c>
      <c r="I1942" s="3">
        <v>1254.23</v>
      </c>
      <c r="J1942" s="3">
        <v>3217.6</v>
      </c>
      <c r="K1942" s="3">
        <v>1156</v>
      </c>
      <c r="L1942" s="2">
        <v>9505270</v>
      </c>
      <c r="M1942" s="2">
        <v>11921766653.799999</v>
      </c>
      <c r="N1942" s="2">
        <v>194588</v>
      </c>
      <c r="O1942" t="s">
        <v>23</v>
      </c>
      <c r="P1942" s="8">
        <f t="shared" si="90"/>
        <v>-3</v>
      </c>
      <c r="Q1942" t="s">
        <v>41</v>
      </c>
      <c r="R1942">
        <f t="shared" si="91"/>
        <v>3</v>
      </c>
      <c r="S1942" t="str">
        <f t="shared" si="92"/>
        <v>Mar</v>
      </c>
      <c r="T1942" s="9">
        <f>VLOOKUP(O1942, Annual_Summary!A:B, 2, 0)</f>
        <v>0.2858955987717503</v>
      </c>
    </row>
    <row r="1943" spans="1:20" x14ac:dyDescent="0.3">
      <c r="A1943" s="1">
        <v>45728</v>
      </c>
      <c r="B1943" t="s">
        <v>15</v>
      </c>
      <c r="C1943" s="3">
        <v>1258</v>
      </c>
      <c r="D1943" s="3">
        <v>1263</v>
      </c>
      <c r="E1943" s="3">
        <v>1244</v>
      </c>
      <c r="F1943" s="3">
        <v>1247.3</v>
      </c>
      <c r="G1943" s="3">
        <v>1255.95</v>
      </c>
      <c r="H1943" s="3">
        <v>1257.05</v>
      </c>
      <c r="I1943" s="3">
        <v>1252.97</v>
      </c>
      <c r="J1943" s="3">
        <v>3217.6</v>
      </c>
      <c r="K1943" s="3">
        <v>1156</v>
      </c>
      <c r="L1943" s="2">
        <v>11977555</v>
      </c>
      <c r="M1943" s="2">
        <v>15007514668.9</v>
      </c>
      <c r="N1943" s="2">
        <v>161536</v>
      </c>
      <c r="O1943" t="s">
        <v>23</v>
      </c>
      <c r="P1943" s="8">
        <f t="shared" si="90"/>
        <v>-10.700000000000045</v>
      </c>
      <c r="Q1943" t="s">
        <v>41</v>
      </c>
      <c r="R1943">
        <f t="shared" si="91"/>
        <v>3</v>
      </c>
      <c r="S1943" t="str">
        <f t="shared" si="92"/>
        <v>Mar</v>
      </c>
      <c r="T1943" s="9">
        <f>VLOOKUP(O1943, Annual_Summary!A:B, 2, 0)</f>
        <v>0.2858955987717503</v>
      </c>
    </row>
    <row r="1944" spans="1:20" x14ac:dyDescent="0.3">
      <c r="A1944" s="1">
        <v>45727</v>
      </c>
      <c r="B1944" t="s">
        <v>15</v>
      </c>
      <c r="C1944" s="3">
        <v>1240</v>
      </c>
      <c r="D1944" s="3">
        <v>1249.5</v>
      </c>
      <c r="E1944" s="3">
        <v>1229.75</v>
      </c>
      <c r="F1944" s="3">
        <v>1238.4000000000001</v>
      </c>
      <c r="G1944" s="3">
        <v>1247.25</v>
      </c>
      <c r="H1944" s="3">
        <v>1247.3</v>
      </c>
      <c r="I1944" s="3">
        <v>1241.71</v>
      </c>
      <c r="J1944" s="3">
        <v>3217.6</v>
      </c>
      <c r="K1944" s="3">
        <v>1156</v>
      </c>
      <c r="L1944" s="2">
        <v>10089838</v>
      </c>
      <c r="M1944" s="2">
        <v>12528623904.200001</v>
      </c>
      <c r="N1944" s="2">
        <v>155065</v>
      </c>
      <c r="O1944" t="s">
        <v>23</v>
      </c>
      <c r="P1944" s="8">
        <f t="shared" si="90"/>
        <v>-1.5999999999999091</v>
      </c>
      <c r="Q1944" t="s">
        <v>41</v>
      </c>
      <c r="R1944">
        <f t="shared" si="91"/>
        <v>3</v>
      </c>
      <c r="S1944" t="str">
        <f t="shared" si="92"/>
        <v>Mar</v>
      </c>
      <c r="T1944" s="9">
        <f>VLOOKUP(O1944, Annual_Summary!A:B, 2, 0)</f>
        <v>0.2858955987717503</v>
      </c>
    </row>
    <row r="1945" spans="1:20" x14ac:dyDescent="0.3">
      <c r="A1945" s="1">
        <v>45726</v>
      </c>
      <c r="B1945" t="s">
        <v>15</v>
      </c>
      <c r="C1945" s="3">
        <v>1245</v>
      </c>
      <c r="D1945" s="3">
        <v>1258</v>
      </c>
      <c r="E1945" s="3">
        <v>1235.4000000000001</v>
      </c>
      <c r="F1945" s="3">
        <v>1249.8</v>
      </c>
      <c r="G1945" s="3">
        <v>1237.7</v>
      </c>
      <c r="H1945" s="3">
        <v>1238.4000000000001</v>
      </c>
      <c r="I1945" s="3">
        <v>1245.8499999999999</v>
      </c>
      <c r="J1945" s="3">
        <v>3217.6</v>
      </c>
      <c r="K1945" s="3">
        <v>1156</v>
      </c>
      <c r="L1945" s="2">
        <v>11931051</v>
      </c>
      <c r="M1945" s="2">
        <v>14864340065.65</v>
      </c>
      <c r="N1945" s="2">
        <v>288299</v>
      </c>
      <c r="O1945" t="s">
        <v>23</v>
      </c>
      <c r="P1945" s="8">
        <f t="shared" si="90"/>
        <v>4.7999999999999545</v>
      </c>
      <c r="Q1945" t="s">
        <v>41</v>
      </c>
      <c r="R1945">
        <f t="shared" si="91"/>
        <v>3</v>
      </c>
      <c r="S1945" t="str">
        <f t="shared" si="92"/>
        <v>Mar</v>
      </c>
      <c r="T1945" s="9">
        <f>VLOOKUP(O1945, Annual_Summary!A:B, 2, 0)</f>
        <v>0.2858955987717503</v>
      </c>
    </row>
    <row r="1946" spans="1:20" x14ac:dyDescent="0.3">
      <c r="A1946" s="1">
        <v>45723</v>
      </c>
      <c r="B1946" t="s">
        <v>15</v>
      </c>
      <c r="C1946" s="3">
        <v>1216</v>
      </c>
      <c r="D1946" s="3">
        <v>1254.8</v>
      </c>
      <c r="E1946" s="3">
        <v>1212</v>
      </c>
      <c r="F1946" s="3">
        <v>1209.5999999999999</v>
      </c>
      <c r="G1946" s="3">
        <v>1246.4000000000001</v>
      </c>
      <c r="H1946" s="3">
        <v>1249.8</v>
      </c>
      <c r="I1946" s="3">
        <v>1243.95</v>
      </c>
      <c r="J1946" s="3">
        <v>3217.6</v>
      </c>
      <c r="K1946" s="3">
        <v>1156</v>
      </c>
      <c r="L1946" s="2">
        <v>16474965</v>
      </c>
      <c r="M1946" s="2">
        <v>20494065096.799999</v>
      </c>
      <c r="N1946" s="2">
        <v>424924</v>
      </c>
      <c r="O1946" t="s">
        <v>23</v>
      </c>
      <c r="P1946" s="8">
        <f t="shared" si="90"/>
        <v>-6.4000000000000909</v>
      </c>
      <c r="Q1946" t="s">
        <v>41</v>
      </c>
      <c r="R1946">
        <f t="shared" si="91"/>
        <v>3</v>
      </c>
      <c r="S1946" t="str">
        <f t="shared" si="92"/>
        <v>Mar</v>
      </c>
      <c r="T1946" s="9">
        <f>VLOOKUP(O1946, Annual_Summary!A:B, 2, 0)</f>
        <v>0.2858955987717503</v>
      </c>
    </row>
    <row r="1947" spans="1:20" x14ac:dyDescent="0.3">
      <c r="A1947" s="1">
        <v>45722</v>
      </c>
      <c r="B1947" t="s">
        <v>15</v>
      </c>
      <c r="C1947" s="3">
        <v>1197</v>
      </c>
      <c r="D1947" s="3">
        <v>1213.95</v>
      </c>
      <c r="E1947" s="3">
        <v>1185.1500000000001</v>
      </c>
      <c r="F1947" s="3">
        <v>1175.5999999999999</v>
      </c>
      <c r="G1947" s="3">
        <v>1211.5</v>
      </c>
      <c r="H1947" s="3">
        <v>1209.5999999999999</v>
      </c>
      <c r="I1947" s="3">
        <v>1199.05</v>
      </c>
      <c r="J1947" s="3">
        <v>3217.6</v>
      </c>
      <c r="K1947" s="3">
        <v>1156</v>
      </c>
      <c r="L1947" s="2">
        <v>14468014</v>
      </c>
      <c r="M1947" s="2">
        <v>17347917723.200001</v>
      </c>
      <c r="N1947" s="2">
        <v>250467</v>
      </c>
      <c r="O1947" t="s">
        <v>23</v>
      </c>
      <c r="P1947" s="8">
        <f t="shared" si="90"/>
        <v>-21.400000000000091</v>
      </c>
      <c r="Q1947" t="s">
        <v>41</v>
      </c>
      <c r="R1947">
        <f t="shared" si="91"/>
        <v>3</v>
      </c>
      <c r="S1947" t="str">
        <f t="shared" si="92"/>
        <v>Mar</v>
      </c>
      <c r="T1947" s="9">
        <f>VLOOKUP(O1947, Annual_Summary!A:B, 2, 0)</f>
        <v>0.2858955987717503</v>
      </c>
    </row>
    <row r="1948" spans="1:20" x14ac:dyDescent="0.3">
      <c r="A1948" s="1">
        <v>45721</v>
      </c>
      <c r="B1948" t="s">
        <v>15</v>
      </c>
      <c r="C1948" s="3">
        <v>1161</v>
      </c>
      <c r="D1948" s="3">
        <v>1183</v>
      </c>
      <c r="E1948" s="3">
        <v>1157</v>
      </c>
      <c r="F1948" s="3">
        <v>1161.9000000000001</v>
      </c>
      <c r="G1948" s="3">
        <v>1177.1500000000001</v>
      </c>
      <c r="H1948" s="3">
        <v>1175.5999999999999</v>
      </c>
      <c r="I1948" s="3">
        <v>1173.4000000000001</v>
      </c>
      <c r="J1948" s="3">
        <v>3217.6</v>
      </c>
      <c r="K1948" s="3">
        <v>1156</v>
      </c>
      <c r="L1948" s="2">
        <v>8664095</v>
      </c>
      <c r="M1948" s="2">
        <v>10166451492.549999</v>
      </c>
      <c r="N1948" s="2">
        <v>196774</v>
      </c>
      <c r="O1948" t="s">
        <v>23</v>
      </c>
      <c r="P1948" s="8">
        <f t="shared" si="90"/>
        <v>0.90000000000009095</v>
      </c>
      <c r="Q1948" t="s">
        <v>41</v>
      </c>
      <c r="R1948">
        <f t="shared" si="91"/>
        <v>3</v>
      </c>
      <c r="S1948" t="str">
        <f t="shared" si="92"/>
        <v>Mar</v>
      </c>
      <c r="T1948" s="9">
        <f>VLOOKUP(O1948, Annual_Summary!A:B, 2, 0)</f>
        <v>0.2858955987717503</v>
      </c>
    </row>
    <row r="1949" spans="1:20" x14ac:dyDescent="0.3">
      <c r="A1949" s="1">
        <v>45720</v>
      </c>
      <c r="B1949" t="s">
        <v>15</v>
      </c>
      <c r="C1949" s="3">
        <v>1162.2</v>
      </c>
      <c r="D1949" s="3">
        <v>1174</v>
      </c>
      <c r="E1949" s="3">
        <v>1159.55</v>
      </c>
      <c r="F1949" s="3">
        <v>1171.25</v>
      </c>
      <c r="G1949" s="3">
        <v>1160.45</v>
      </c>
      <c r="H1949" s="3">
        <v>1161.9000000000001</v>
      </c>
      <c r="I1949" s="3">
        <v>1164.92</v>
      </c>
      <c r="J1949" s="3">
        <v>3217.6</v>
      </c>
      <c r="K1949" s="3">
        <v>1156</v>
      </c>
      <c r="L1949" s="2">
        <v>11377373</v>
      </c>
      <c r="M1949" s="2">
        <v>13253711939.15</v>
      </c>
      <c r="N1949" s="2">
        <v>275459</v>
      </c>
      <c r="O1949" t="s">
        <v>23</v>
      </c>
      <c r="P1949" s="8">
        <f t="shared" si="90"/>
        <v>9.0499999999999545</v>
      </c>
      <c r="Q1949" t="s">
        <v>41</v>
      </c>
      <c r="R1949">
        <f t="shared" si="91"/>
        <v>3</v>
      </c>
      <c r="S1949" t="str">
        <f t="shared" si="92"/>
        <v>Mar</v>
      </c>
      <c r="T1949" s="9">
        <f>VLOOKUP(O1949, Annual_Summary!A:B, 2, 0)</f>
        <v>0.2858955987717503</v>
      </c>
    </row>
    <row r="1950" spans="1:20" x14ac:dyDescent="0.3">
      <c r="A1950" s="1">
        <v>45719</v>
      </c>
      <c r="B1950" t="s">
        <v>15</v>
      </c>
      <c r="C1950" s="3">
        <v>1204</v>
      </c>
      <c r="D1950" s="3">
        <v>1206.45</v>
      </c>
      <c r="E1950" s="3">
        <v>1156</v>
      </c>
      <c r="F1950" s="3">
        <v>1200.0999999999999</v>
      </c>
      <c r="G1950" s="3">
        <v>1174</v>
      </c>
      <c r="H1950" s="3">
        <v>1171.25</v>
      </c>
      <c r="I1950" s="3">
        <v>1168.57</v>
      </c>
      <c r="J1950" s="3">
        <v>3217.6</v>
      </c>
      <c r="K1950" s="3">
        <v>1156</v>
      </c>
      <c r="L1950" s="2">
        <v>17944938</v>
      </c>
      <c r="M1950" s="2">
        <v>20969945818.549999</v>
      </c>
      <c r="N1950" s="2">
        <v>682013</v>
      </c>
      <c r="O1950" t="s">
        <v>23</v>
      </c>
      <c r="P1950" s="8">
        <f t="shared" si="90"/>
        <v>-3.9000000000000909</v>
      </c>
      <c r="Q1950" t="s">
        <v>41</v>
      </c>
      <c r="R1950">
        <f t="shared" si="91"/>
        <v>3</v>
      </c>
      <c r="S1950" t="str">
        <f t="shared" si="92"/>
        <v>Mar</v>
      </c>
      <c r="T1950" s="9">
        <f>VLOOKUP(O1950, Annual_Summary!A:B, 2, 0)</f>
        <v>0.2858955987717503</v>
      </c>
    </row>
    <row r="1951" spans="1:20" x14ac:dyDescent="0.3">
      <c r="A1951" s="1">
        <v>45716</v>
      </c>
      <c r="B1951" t="s">
        <v>15</v>
      </c>
      <c r="C1951" s="3">
        <v>1202</v>
      </c>
      <c r="D1951" s="3">
        <v>1217.3499999999999</v>
      </c>
      <c r="E1951" s="3">
        <v>1193.3</v>
      </c>
      <c r="F1951" s="3">
        <v>1207.0999999999999</v>
      </c>
      <c r="G1951" s="3">
        <v>1198</v>
      </c>
      <c r="H1951" s="3">
        <v>1200.0999999999999</v>
      </c>
      <c r="I1951" s="3">
        <v>1205.6199999999999</v>
      </c>
      <c r="J1951" s="3">
        <v>3217.6</v>
      </c>
      <c r="K1951" s="3">
        <v>1193.3</v>
      </c>
      <c r="L1951" s="2">
        <v>23007298</v>
      </c>
      <c r="M1951" s="2">
        <v>27738125737.599998</v>
      </c>
      <c r="N1951" s="2">
        <v>355378</v>
      </c>
      <c r="O1951" t="s">
        <v>23</v>
      </c>
      <c r="P1951" s="8">
        <f t="shared" si="90"/>
        <v>5.0999999999999091</v>
      </c>
      <c r="Q1951" t="s">
        <v>41</v>
      </c>
      <c r="R1951">
        <f t="shared" si="91"/>
        <v>2</v>
      </c>
      <c r="S1951" t="str">
        <f t="shared" si="92"/>
        <v>Feb</v>
      </c>
      <c r="T1951" s="9">
        <f>VLOOKUP(O1951, Annual_Summary!A:B, 2, 0)</f>
        <v>0.2858955987717503</v>
      </c>
    </row>
    <row r="1952" spans="1:20" x14ac:dyDescent="0.3">
      <c r="A1952" s="1">
        <v>45715</v>
      </c>
      <c r="B1952" t="s">
        <v>15</v>
      </c>
      <c r="C1952" s="3">
        <v>1212.8</v>
      </c>
      <c r="D1952" s="3">
        <v>1215</v>
      </c>
      <c r="E1952" s="3">
        <v>1200.6500000000001</v>
      </c>
      <c r="F1952" s="3">
        <v>1204</v>
      </c>
      <c r="G1952" s="3">
        <v>1208</v>
      </c>
      <c r="H1952" s="3">
        <v>1207.0999999999999</v>
      </c>
      <c r="I1952" s="3">
        <v>1206.31</v>
      </c>
      <c r="J1952" s="3">
        <v>3217.6</v>
      </c>
      <c r="K1952" s="3">
        <v>1193.3499999999999</v>
      </c>
      <c r="L1952" s="2">
        <v>11509215</v>
      </c>
      <c r="M1952" s="2">
        <v>13883637029.450001</v>
      </c>
      <c r="N1952" s="2">
        <v>236188</v>
      </c>
      <c r="O1952" t="s">
        <v>23</v>
      </c>
      <c r="P1952" s="8">
        <f t="shared" si="90"/>
        <v>-8.7999999999999545</v>
      </c>
      <c r="Q1952" t="s">
        <v>41</v>
      </c>
      <c r="R1952">
        <f t="shared" si="91"/>
        <v>2</v>
      </c>
      <c r="S1952" t="str">
        <f t="shared" si="92"/>
        <v>Feb</v>
      </c>
      <c r="T1952" s="9">
        <f>VLOOKUP(O1952, Annual_Summary!A:B, 2, 0)</f>
        <v>0.2858955987717503</v>
      </c>
    </row>
    <row r="1953" spans="1:20" x14ac:dyDescent="0.3">
      <c r="A1953" s="1">
        <v>45713</v>
      </c>
      <c r="B1953" t="s">
        <v>15</v>
      </c>
      <c r="C1953" s="3">
        <v>1211</v>
      </c>
      <c r="D1953" s="3">
        <v>1221</v>
      </c>
      <c r="E1953" s="3">
        <v>1201.5</v>
      </c>
      <c r="F1953" s="3">
        <v>1214.55</v>
      </c>
      <c r="G1953" s="3">
        <v>1202</v>
      </c>
      <c r="H1953" s="3">
        <v>1204</v>
      </c>
      <c r="I1953" s="3">
        <v>1209.5999999999999</v>
      </c>
      <c r="J1953" s="3">
        <v>3217.6</v>
      </c>
      <c r="K1953" s="3">
        <v>1193.3499999999999</v>
      </c>
      <c r="L1953" s="2">
        <v>11552182</v>
      </c>
      <c r="M1953" s="2">
        <v>13973492939.799999</v>
      </c>
      <c r="N1953" s="2">
        <v>213192</v>
      </c>
      <c r="O1953" t="s">
        <v>23</v>
      </c>
      <c r="P1953" s="8">
        <f t="shared" si="90"/>
        <v>3.5499999999999545</v>
      </c>
      <c r="Q1953" t="s">
        <v>41</v>
      </c>
      <c r="R1953">
        <f t="shared" si="91"/>
        <v>2</v>
      </c>
      <c r="S1953" t="str">
        <f t="shared" si="92"/>
        <v>Feb</v>
      </c>
      <c r="T1953" s="9">
        <f>VLOOKUP(O1953, Annual_Summary!A:B, 2, 0)</f>
        <v>0.2858955987717503</v>
      </c>
    </row>
    <row r="1954" spans="1:20" x14ac:dyDescent="0.3">
      <c r="A1954" s="1">
        <v>45712</v>
      </c>
      <c r="B1954" t="s">
        <v>15</v>
      </c>
      <c r="C1954" s="3">
        <v>1216.55</v>
      </c>
      <c r="D1954" s="3">
        <v>1223.25</v>
      </c>
      <c r="E1954" s="3">
        <v>1210.5</v>
      </c>
      <c r="F1954" s="3">
        <v>1228.1500000000001</v>
      </c>
      <c r="G1954" s="3">
        <v>1215</v>
      </c>
      <c r="H1954" s="3">
        <v>1214.55</v>
      </c>
      <c r="I1954" s="3">
        <v>1215.9000000000001</v>
      </c>
      <c r="J1954" s="3">
        <v>3217.6</v>
      </c>
      <c r="K1954" s="3">
        <v>1193.3499999999999</v>
      </c>
      <c r="L1954" s="2">
        <v>7172498</v>
      </c>
      <c r="M1954" s="2">
        <v>8721021715.3500004</v>
      </c>
      <c r="N1954" s="2">
        <v>200264</v>
      </c>
      <c r="O1954" t="s">
        <v>23</v>
      </c>
      <c r="P1954" s="8">
        <f t="shared" si="90"/>
        <v>11.600000000000136</v>
      </c>
      <c r="Q1954" t="s">
        <v>41</v>
      </c>
      <c r="R1954">
        <f t="shared" si="91"/>
        <v>2</v>
      </c>
      <c r="S1954" t="str">
        <f t="shared" si="92"/>
        <v>Feb</v>
      </c>
      <c r="T1954" s="9">
        <f>VLOOKUP(O1954, Annual_Summary!A:B, 2, 0)</f>
        <v>0.2858955987717503</v>
      </c>
    </row>
    <row r="1955" spans="1:20" x14ac:dyDescent="0.3">
      <c r="A1955" s="1">
        <v>45709</v>
      </c>
      <c r="B1955" t="s">
        <v>15</v>
      </c>
      <c r="C1955" s="3">
        <v>1228.7</v>
      </c>
      <c r="D1955" s="3">
        <v>1240</v>
      </c>
      <c r="E1955" s="3">
        <v>1222.1500000000001</v>
      </c>
      <c r="F1955" s="3">
        <v>1233</v>
      </c>
      <c r="G1955" s="3">
        <v>1226.9000000000001</v>
      </c>
      <c r="H1955" s="3">
        <v>1228.1500000000001</v>
      </c>
      <c r="I1955" s="3">
        <v>1231.3699999999999</v>
      </c>
      <c r="J1955" s="3">
        <v>3217.6</v>
      </c>
      <c r="K1955" s="3">
        <v>1193.3499999999999</v>
      </c>
      <c r="L1955" s="2">
        <v>6904025</v>
      </c>
      <c r="M1955" s="2">
        <v>8501382497.6999998</v>
      </c>
      <c r="N1955" s="2">
        <v>213824</v>
      </c>
      <c r="O1955" t="s">
        <v>23</v>
      </c>
      <c r="P1955" s="8">
        <f t="shared" si="90"/>
        <v>4.2999999999999545</v>
      </c>
      <c r="Q1955" t="s">
        <v>41</v>
      </c>
      <c r="R1955">
        <f t="shared" si="91"/>
        <v>2</v>
      </c>
      <c r="S1955" t="str">
        <f t="shared" si="92"/>
        <v>Feb</v>
      </c>
      <c r="T1955" s="9">
        <f>VLOOKUP(O1955, Annual_Summary!A:B, 2, 0)</f>
        <v>0.2858955987717503</v>
      </c>
    </row>
    <row r="1956" spans="1:20" x14ac:dyDescent="0.3">
      <c r="A1956" s="1">
        <v>45708</v>
      </c>
      <c r="B1956" t="s">
        <v>15</v>
      </c>
      <c r="C1956" s="3">
        <v>1223.95</v>
      </c>
      <c r="D1956" s="3">
        <v>1239.3499999999999</v>
      </c>
      <c r="E1956" s="3">
        <v>1222</v>
      </c>
      <c r="F1956" s="3">
        <v>1227.45</v>
      </c>
      <c r="G1956" s="3">
        <v>1232</v>
      </c>
      <c r="H1956" s="3">
        <v>1233</v>
      </c>
      <c r="I1956" s="3">
        <v>1233.94</v>
      </c>
      <c r="J1956" s="3">
        <v>3217.6</v>
      </c>
      <c r="K1956" s="3">
        <v>1193.3499999999999</v>
      </c>
      <c r="L1956" s="2">
        <v>7795582</v>
      </c>
      <c r="M1956" s="2">
        <v>9619277166.5</v>
      </c>
      <c r="N1956" s="2">
        <v>162561</v>
      </c>
      <c r="O1956" t="s">
        <v>23</v>
      </c>
      <c r="P1956" s="8">
        <f t="shared" si="90"/>
        <v>3.5</v>
      </c>
      <c r="Q1956" t="s">
        <v>41</v>
      </c>
      <c r="R1956">
        <f t="shared" si="91"/>
        <v>2</v>
      </c>
      <c r="S1956" t="str">
        <f t="shared" si="92"/>
        <v>Feb</v>
      </c>
      <c r="T1956" s="9">
        <f>VLOOKUP(O1956, Annual_Summary!A:B, 2, 0)</f>
        <v>0.2858955987717503</v>
      </c>
    </row>
    <row r="1957" spans="1:20" x14ac:dyDescent="0.3">
      <c r="A1957" s="1">
        <v>45707</v>
      </c>
      <c r="B1957" t="s">
        <v>15</v>
      </c>
      <c r="C1957" s="3">
        <v>1219.5</v>
      </c>
      <c r="D1957" s="3">
        <v>1232.75</v>
      </c>
      <c r="E1957" s="3">
        <v>1217.55</v>
      </c>
      <c r="F1957" s="3">
        <v>1225.4000000000001</v>
      </c>
      <c r="G1957" s="3">
        <v>1226.3</v>
      </c>
      <c r="H1957" s="3">
        <v>1227.45</v>
      </c>
      <c r="I1957" s="3">
        <v>1226.67</v>
      </c>
      <c r="J1957" s="3">
        <v>3217.6</v>
      </c>
      <c r="K1957" s="3">
        <v>1193.3499999999999</v>
      </c>
      <c r="L1957" s="2">
        <v>6217338</v>
      </c>
      <c r="M1957" s="2">
        <v>7626601753.25</v>
      </c>
      <c r="N1957" s="2">
        <v>178165</v>
      </c>
      <c r="O1957" t="s">
        <v>23</v>
      </c>
      <c r="P1957" s="8">
        <f t="shared" si="90"/>
        <v>5.9000000000000909</v>
      </c>
      <c r="Q1957" t="s">
        <v>41</v>
      </c>
      <c r="R1957">
        <f t="shared" si="91"/>
        <v>2</v>
      </c>
      <c r="S1957" t="str">
        <f t="shared" si="92"/>
        <v>Feb</v>
      </c>
      <c r="T1957" s="9">
        <f>VLOOKUP(O1957, Annual_Summary!A:B, 2, 0)</f>
        <v>0.2858955987717503</v>
      </c>
    </row>
    <row r="1958" spans="1:20" x14ac:dyDescent="0.3">
      <c r="A1958" s="1">
        <v>45706</v>
      </c>
      <c r="B1958" t="s">
        <v>15</v>
      </c>
      <c r="C1958" s="3">
        <v>1224.8499999999999</v>
      </c>
      <c r="D1958" s="3">
        <v>1229.9000000000001</v>
      </c>
      <c r="E1958" s="3">
        <v>1216.0999999999999</v>
      </c>
      <c r="F1958" s="3">
        <v>1224.9000000000001</v>
      </c>
      <c r="G1958" s="3">
        <v>1223.95</v>
      </c>
      <c r="H1958" s="3">
        <v>1225.4000000000001</v>
      </c>
      <c r="I1958" s="3">
        <v>1223.94</v>
      </c>
      <c r="J1958" s="3">
        <v>3217.6</v>
      </c>
      <c r="K1958" s="3">
        <v>1193.3499999999999</v>
      </c>
      <c r="L1958" s="2">
        <v>6673250</v>
      </c>
      <c r="M1958" s="2">
        <v>8167661853.9499998</v>
      </c>
      <c r="N1958" s="2">
        <v>181273</v>
      </c>
      <c r="O1958" t="s">
        <v>23</v>
      </c>
      <c r="P1958" s="8">
        <f t="shared" si="90"/>
        <v>5.0000000000181899E-2</v>
      </c>
      <c r="Q1958" t="s">
        <v>41</v>
      </c>
      <c r="R1958">
        <f t="shared" si="91"/>
        <v>2</v>
      </c>
      <c r="S1958" t="str">
        <f t="shared" si="92"/>
        <v>Feb</v>
      </c>
      <c r="T1958" s="9">
        <f>VLOOKUP(O1958, Annual_Summary!A:B, 2, 0)</f>
        <v>0.2858955987717503</v>
      </c>
    </row>
    <row r="1959" spans="1:20" x14ac:dyDescent="0.3">
      <c r="A1959" s="1">
        <v>45705</v>
      </c>
      <c r="B1959" t="s">
        <v>15</v>
      </c>
      <c r="C1959" s="3">
        <v>1211.0999999999999</v>
      </c>
      <c r="D1959" s="3">
        <v>1227.5</v>
      </c>
      <c r="E1959" s="3">
        <v>1204.5</v>
      </c>
      <c r="F1959" s="3">
        <v>1217.25</v>
      </c>
      <c r="G1959" s="3">
        <v>1225.45</v>
      </c>
      <c r="H1959" s="3">
        <v>1224.9000000000001</v>
      </c>
      <c r="I1959" s="3">
        <v>1219.6199999999999</v>
      </c>
      <c r="J1959" s="3">
        <v>3217.6</v>
      </c>
      <c r="K1959" s="3">
        <v>1193.3499999999999</v>
      </c>
      <c r="L1959" s="2">
        <v>8166683</v>
      </c>
      <c r="M1959" s="2">
        <v>9960241446.8500004</v>
      </c>
      <c r="N1959" s="2">
        <v>220670</v>
      </c>
      <c r="O1959" t="s">
        <v>23</v>
      </c>
      <c r="P1959" s="8">
        <f t="shared" si="90"/>
        <v>6.1500000000000909</v>
      </c>
      <c r="Q1959" t="s">
        <v>41</v>
      </c>
      <c r="R1959">
        <f t="shared" si="91"/>
        <v>2</v>
      </c>
      <c r="S1959" t="str">
        <f t="shared" si="92"/>
        <v>Feb</v>
      </c>
      <c r="T1959" s="9">
        <f>VLOOKUP(O1959, Annual_Summary!A:B, 2, 0)</f>
        <v>0.2858955987717503</v>
      </c>
    </row>
    <row r="1960" spans="1:20" x14ac:dyDescent="0.3">
      <c r="A1960" s="1">
        <v>45702</v>
      </c>
      <c r="B1960" t="s">
        <v>15</v>
      </c>
      <c r="C1960" s="3">
        <v>1219</v>
      </c>
      <c r="D1960" s="3">
        <v>1224</v>
      </c>
      <c r="E1960" s="3">
        <v>1205.45</v>
      </c>
      <c r="F1960" s="3">
        <v>1216.0999999999999</v>
      </c>
      <c r="G1960" s="3">
        <v>1214.75</v>
      </c>
      <c r="H1960" s="3">
        <v>1217.25</v>
      </c>
      <c r="I1960" s="3">
        <v>1215.0999999999999</v>
      </c>
      <c r="J1960" s="3">
        <v>3217.6</v>
      </c>
      <c r="K1960" s="3">
        <v>1193.3499999999999</v>
      </c>
      <c r="L1960" s="2">
        <v>10298145</v>
      </c>
      <c r="M1960" s="2">
        <v>12513277266.75</v>
      </c>
      <c r="N1960" s="2">
        <v>202314</v>
      </c>
      <c r="O1960" t="s">
        <v>23</v>
      </c>
      <c r="P1960" s="8">
        <f t="shared" si="90"/>
        <v>-2.9000000000000909</v>
      </c>
      <c r="Q1960" t="s">
        <v>41</v>
      </c>
      <c r="R1960">
        <f t="shared" si="91"/>
        <v>2</v>
      </c>
      <c r="S1960" t="str">
        <f t="shared" si="92"/>
        <v>Feb</v>
      </c>
      <c r="T1960" s="9">
        <f>VLOOKUP(O1960, Annual_Summary!A:B, 2, 0)</f>
        <v>0.2858955987717503</v>
      </c>
    </row>
    <row r="1961" spans="1:20" x14ac:dyDescent="0.3">
      <c r="A1961" s="1">
        <v>45701</v>
      </c>
      <c r="B1961" t="s">
        <v>15</v>
      </c>
      <c r="C1961" s="3">
        <v>1217.05</v>
      </c>
      <c r="D1961" s="3">
        <v>1228</v>
      </c>
      <c r="E1961" s="3">
        <v>1212</v>
      </c>
      <c r="F1961" s="3">
        <v>1216.55</v>
      </c>
      <c r="G1961" s="3">
        <v>1216.2</v>
      </c>
      <c r="H1961" s="3">
        <v>1216.0999999999999</v>
      </c>
      <c r="I1961" s="3">
        <v>1219.5999999999999</v>
      </c>
      <c r="J1961" s="3">
        <v>3217.6</v>
      </c>
      <c r="K1961" s="3">
        <v>1193.3499999999999</v>
      </c>
      <c r="L1961" s="2">
        <v>8511216</v>
      </c>
      <c r="M1961" s="2">
        <v>10380276762.25</v>
      </c>
      <c r="N1961" s="2">
        <v>266249</v>
      </c>
      <c r="O1961" t="s">
        <v>23</v>
      </c>
      <c r="P1961" s="8">
        <f t="shared" si="90"/>
        <v>-0.5</v>
      </c>
      <c r="Q1961" t="s">
        <v>41</v>
      </c>
      <c r="R1961">
        <f t="shared" si="91"/>
        <v>2</v>
      </c>
      <c r="S1961" t="str">
        <f t="shared" si="92"/>
        <v>Feb</v>
      </c>
      <c r="T1961" s="9">
        <f>VLOOKUP(O1961, Annual_Summary!A:B, 2, 0)</f>
        <v>0.2858955987717503</v>
      </c>
    </row>
    <row r="1962" spans="1:20" x14ac:dyDescent="0.3">
      <c r="A1962" s="1">
        <v>45700</v>
      </c>
      <c r="B1962" t="s">
        <v>15</v>
      </c>
      <c r="C1962" s="3">
        <v>1219.45</v>
      </c>
      <c r="D1962" s="3">
        <v>1226.9000000000001</v>
      </c>
      <c r="E1962" s="3">
        <v>1193.3499999999999</v>
      </c>
      <c r="F1962" s="3">
        <v>1234.8499999999999</v>
      </c>
      <c r="G1962" s="3">
        <v>1217.05</v>
      </c>
      <c r="H1962" s="3">
        <v>1216.55</v>
      </c>
      <c r="I1962" s="3">
        <v>1211.3900000000001</v>
      </c>
      <c r="J1962" s="3">
        <v>3217.6</v>
      </c>
      <c r="K1962" s="3">
        <v>1193.3499999999999</v>
      </c>
      <c r="L1962" s="2">
        <v>21131654</v>
      </c>
      <c r="M1962" s="2">
        <v>25598619531.25</v>
      </c>
      <c r="N1962" s="2">
        <v>404276</v>
      </c>
      <c r="O1962" t="s">
        <v>23</v>
      </c>
      <c r="P1962" s="8">
        <f t="shared" si="90"/>
        <v>15.399999999999864</v>
      </c>
      <c r="Q1962" t="s">
        <v>41</v>
      </c>
      <c r="R1962">
        <f t="shared" si="91"/>
        <v>2</v>
      </c>
      <c r="S1962" t="str">
        <f t="shared" si="92"/>
        <v>Feb</v>
      </c>
      <c r="T1962" s="9">
        <f>VLOOKUP(O1962, Annual_Summary!A:B, 2, 0)</f>
        <v>0.2858955987717503</v>
      </c>
    </row>
    <row r="1963" spans="1:20" x14ac:dyDescent="0.3">
      <c r="A1963" s="1">
        <v>45699</v>
      </c>
      <c r="B1963" t="s">
        <v>15</v>
      </c>
      <c r="C1963" s="3">
        <v>1264.55</v>
      </c>
      <c r="D1963" s="3">
        <v>1264.55</v>
      </c>
      <c r="E1963" s="3">
        <v>1230.0999999999999</v>
      </c>
      <c r="F1963" s="3">
        <v>1253.6500000000001</v>
      </c>
      <c r="G1963" s="3">
        <v>1237.55</v>
      </c>
      <c r="H1963" s="3">
        <v>1234.8499999999999</v>
      </c>
      <c r="I1963" s="3">
        <v>1244.26</v>
      </c>
      <c r="J1963" s="3">
        <v>3217.6</v>
      </c>
      <c r="K1963" s="3">
        <v>1201.5</v>
      </c>
      <c r="L1963" s="2">
        <v>8859714</v>
      </c>
      <c r="M1963" s="2">
        <v>11023757522.950001</v>
      </c>
      <c r="N1963" s="2">
        <v>240683</v>
      </c>
      <c r="O1963" t="s">
        <v>23</v>
      </c>
      <c r="P1963" s="8">
        <f t="shared" si="90"/>
        <v>-10.899999999999864</v>
      </c>
      <c r="Q1963" t="s">
        <v>41</v>
      </c>
      <c r="R1963">
        <f t="shared" si="91"/>
        <v>2</v>
      </c>
      <c r="S1963" t="str">
        <f t="shared" si="92"/>
        <v>Feb</v>
      </c>
      <c r="T1963" s="9">
        <f>VLOOKUP(O1963, Annual_Summary!A:B, 2, 0)</f>
        <v>0.2858955987717503</v>
      </c>
    </row>
    <row r="1964" spans="1:20" x14ac:dyDescent="0.3">
      <c r="A1964" s="1">
        <v>45698</v>
      </c>
      <c r="B1964" t="s">
        <v>15</v>
      </c>
      <c r="C1964" s="3">
        <v>1264.5</v>
      </c>
      <c r="D1964" s="3">
        <v>1266.5</v>
      </c>
      <c r="E1964" s="3">
        <v>1245.55</v>
      </c>
      <c r="F1964" s="3">
        <v>1266.7</v>
      </c>
      <c r="G1964" s="3">
        <v>1254.6500000000001</v>
      </c>
      <c r="H1964" s="3">
        <v>1253.6500000000001</v>
      </c>
      <c r="I1964" s="3">
        <v>1251.52</v>
      </c>
      <c r="J1964" s="3">
        <v>3217.6</v>
      </c>
      <c r="K1964" s="3">
        <v>1201.5</v>
      </c>
      <c r="L1964" s="2">
        <v>6970972</v>
      </c>
      <c r="M1964" s="2">
        <v>8724286360.5499992</v>
      </c>
      <c r="N1964" s="2">
        <v>173316</v>
      </c>
      <c r="O1964" t="s">
        <v>23</v>
      </c>
      <c r="P1964" s="8">
        <f t="shared" si="90"/>
        <v>2.2000000000000455</v>
      </c>
      <c r="Q1964" t="s">
        <v>41</v>
      </c>
      <c r="R1964">
        <f t="shared" si="91"/>
        <v>2</v>
      </c>
      <c r="S1964" t="str">
        <f t="shared" si="92"/>
        <v>Feb</v>
      </c>
      <c r="T1964" s="9">
        <f>VLOOKUP(O1964, Annual_Summary!A:B, 2, 0)</f>
        <v>0.2858955987717503</v>
      </c>
    </row>
    <row r="1965" spans="1:20" x14ac:dyDescent="0.3">
      <c r="A1965" s="1">
        <v>45695</v>
      </c>
      <c r="B1965" t="s">
        <v>15</v>
      </c>
      <c r="C1965" s="3">
        <v>1276.1500000000001</v>
      </c>
      <c r="D1965" s="3">
        <v>1283.7</v>
      </c>
      <c r="E1965" s="3">
        <v>1262</v>
      </c>
      <c r="F1965" s="3">
        <v>1281.55</v>
      </c>
      <c r="G1965" s="3">
        <v>1266.5</v>
      </c>
      <c r="H1965" s="3">
        <v>1266.7</v>
      </c>
      <c r="I1965" s="3">
        <v>1270.98</v>
      </c>
      <c r="J1965" s="3">
        <v>3217.6</v>
      </c>
      <c r="K1965" s="3">
        <v>1201.5</v>
      </c>
      <c r="L1965" s="2">
        <v>8764283</v>
      </c>
      <c r="M1965" s="2">
        <v>11139240963.049999</v>
      </c>
      <c r="N1965" s="2">
        <v>174531</v>
      </c>
      <c r="O1965" t="s">
        <v>23</v>
      </c>
      <c r="P1965" s="8">
        <f t="shared" si="90"/>
        <v>5.3999999999998636</v>
      </c>
      <c r="Q1965" t="s">
        <v>41</v>
      </c>
      <c r="R1965">
        <f t="shared" si="91"/>
        <v>2</v>
      </c>
      <c r="S1965" t="str">
        <f t="shared" si="92"/>
        <v>Feb</v>
      </c>
      <c r="T1965" s="9">
        <f>VLOOKUP(O1965, Annual_Summary!A:B, 2, 0)</f>
        <v>0.2858955987717503</v>
      </c>
    </row>
    <row r="1966" spans="1:20" x14ac:dyDescent="0.3">
      <c r="A1966" s="1">
        <v>45694</v>
      </c>
      <c r="B1966" t="s">
        <v>15</v>
      </c>
      <c r="C1966" s="3">
        <v>1273.7</v>
      </c>
      <c r="D1966" s="3">
        <v>1288</v>
      </c>
      <c r="E1966" s="3">
        <v>1270.3499999999999</v>
      </c>
      <c r="F1966" s="3">
        <v>1278.2</v>
      </c>
      <c r="G1966" s="3">
        <v>1283</v>
      </c>
      <c r="H1966" s="3">
        <v>1281.55</v>
      </c>
      <c r="I1966" s="3">
        <v>1279.27</v>
      </c>
      <c r="J1966" s="3">
        <v>3217.6</v>
      </c>
      <c r="K1966" s="3">
        <v>1201.5</v>
      </c>
      <c r="L1966" s="2">
        <v>9956001</v>
      </c>
      <c r="M1966" s="2">
        <v>12736385821.450001</v>
      </c>
      <c r="N1966" s="2">
        <v>217888</v>
      </c>
      <c r="O1966" t="s">
        <v>23</v>
      </c>
      <c r="P1966" s="8">
        <f t="shared" si="90"/>
        <v>4.5</v>
      </c>
      <c r="Q1966" t="s">
        <v>41</v>
      </c>
      <c r="R1966">
        <f t="shared" si="91"/>
        <v>2</v>
      </c>
      <c r="S1966" t="str">
        <f t="shared" si="92"/>
        <v>Feb</v>
      </c>
      <c r="T1966" s="9">
        <f>VLOOKUP(O1966, Annual_Summary!A:B, 2, 0)</f>
        <v>0.2858955987717503</v>
      </c>
    </row>
    <row r="1967" spans="1:20" x14ac:dyDescent="0.3">
      <c r="A1967" s="1">
        <v>45693</v>
      </c>
      <c r="B1967" t="s">
        <v>15</v>
      </c>
      <c r="C1967" s="3">
        <v>1282.6500000000001</v>
      </c>
      <c r="D1967" s="3">
        <v>1290.5</v>
      </c>
      <c r="E1967" s="3">
        <v>1276.7</v>
      </c>
      <c r="F1967" s="3">
        <v>1285.2</v>
      </c>
      <c r="G1967" s="3">
        <v>1278.5</v>
      </c>
      <c r="H1967" s="3">
        <v>1278.2</v>
      </c>
      <c r="I1967" s="3">
        <v>1281.97</v>
      </c>
      <c r="J1967" s="3">
        <v>3217.6</v>
      </c>
      <c r="K1967" s="3">
        <v>1201.5</v>
      </c>
      <c r="L1967" s="2">
        <v>10112028</v>
      </c>
      <c r="M1967" s="2">
        <v>12963336513.049999</v>
      </c>
      <c r="N1967" s="2">
        <v>219550</v>
      </c>
      <c r="O1967" t="s">
        <v>23</v>
      </c>
      <c r="P1967" s="8">
        <f t="shared" si="90"/>
        <v>2.5499999999999545</v>
      </c>
      <c r="Q1967" t="s">
        <v>41</v>
      </c>
      <c r="R1967">
        <f t="shared" si="91"/>
        <v>2</v>
      </c>
      <c r="S1967" t="str">
        <f t="shared" si="92"/>
        <v>Feb</v>
      </c>
      <c r="T1967" s="9">
        <f>VLOOKUP(O1967, Annual_Summary!A:B, 2, 0)</f>
        <v>0.2858955987717503</v>
      </c>
    </row>
    <row r="1968" spans="1:20" x14ac:dyDescent="0.3">
      <c r="A1968" s="1">
        <v>45692</v>
      </c>
      <c r="B1968" t="s">
        <v>15</v>
      </c>
      <c r="C1968" s="3">
        <v>1248.05</v>
      </c>
      <c r="D1968" s="3">
        <v>1288.8</v>
      </c>
      <c r="E1968" s="3">
        <v>1246.5999999999999</v>
      </c>
      <c r="F1968" s="3">
        <v>1245.9000000000001</v>
      </c>
      <c r="G1968" s="3">
        <v>1282.9000000000001</v>
      </c>
      <c r="H1968" s="3">
        <v>1285.2</v>
      </c>
      <c r="I1968" s="3">
        <v>1273.6500000000001</v>
      </c>
      <c r="J1968" s="3">
        <v>3217.6</v>
      </c>
      <c r="K1968" s="3">
        <v>1201.5</v>
      </c>
      <c r="L1968" s="2">
        <v>16691069</v>
      </c>
      <c r="M1968" s="2">
        <v>21258496964.75</v>
      </c>
      <c r="N1968" s="2">
        <v>323415</v>
      </c>
      <c r="O1968" t="s">
        <v>23</v>
      </c>
      <c r="P1968" s="8">
        <f t="shared" si="90"/>
        <v>-2.1499999999998636</v>
      </c>
      <c r="Q1968" t="s">
        <v>41</v>
      </c>
      <c r="R1968">
        <f t="shared" si="91"/>
        <v>2</v>
      </c>
      <c r="S1968" t="str">
        <f t="shared" si="92"/>
        <v>Feb</v>
      </c>
      <c r="T1968" s="9">
        <f>VLOOKUP(O1968, Annual_Summary!A:B, 2, 0)</f>
        <v>0.2858955987717503</v>
      </c>
    </row>
    <row r="1969" spans="1:20" x14ac:dyDescent="0.3">
      <c r="A1969" s="1">
        <v>45691</v>
      </c>
      <c r="B1969" t="s">
        <v>15</v>
      </c>
      <c r="C1969" s="3">
        <v>1251</v>
      </c>
      <c r="D1969" s="3">
        <v>1256</v>
      </c>
      <c r="E1969" s="3">
        <v>1237.55</v>
      </c>
      <c r="F1969" s="3">
        <v>1264.5999999999999</v>
      </c>
      <c r="G1969" s="3">
        <v>1247</v>
      </c>
      <c r="H1969" s="3">
        <v>1245.9000000000001</v>
      </c>
      <c r="I1969" s="3">
        <v>1247.1400000000001</v>
      </c>
      <c r="J1969" s="3">
        <v>3217.6</v>
      </c>
      <c r="K1969" s="3">
        <v>1201.5</v>
      </c>
      <c r="L1969" s="2">
        <v>9252345</v>
      </c>
      <c r="M1969" s="2">
        <v>11538963041</v>
      </c>
      <c r="N1969" s="2">
        <v>268425</v>
      </c>
      <c r="O1969" t="s">
        <v>23</v>
      </c>
      <c r="P1969" s="8">
        <f t="shared" si="90"/>
        <v>13.599999999999909</v>
      </c>
      <c r="Q1969" t="s">
        <v>41</v>
      </c>
      <c r="R1969">
        <f t="shared" si="91"/>
        <v>2</v>
      </c>
      <c r="S1969" t="str">
        <f t="shared" si="92"/>
        <v>Feb</v>
      </c>
      <c r="T1969" s="9">
        <f>VLOOKUP(O1969, Annual_Summary!A:B, 2, 0)</f>
        <v>0.2858955987717503</v>
      </c>
    </row>
    <row r="1970" spans="1:20" x14ac:dyDescent="0.3">
      <c r="A1970" s="1">
        <v>45689</v>
      </c>
      <c r="B1970" t="s">
        <v>15</v>
      </c>
      <c r="C1970" s="3">
        <v>1265.0999999999999</v>
      </c>
      <c r="D1970" s="3">
        <v>1270.55</v>
      </c>
      <c r="E1970" s="3">
        <v>1241</v>
      </c>
      <c r="F1970" s="3">
        <v>1265.0999999999999</v>
      </c>
      <c r="G1970" s="3">
        <v>1264</v>
      </c>
      <c r="H1970" s="3">
        <v>1264.5999999999999</v>
      </c>
      <c r="I1970" s="3">
        <v>1260.42</v>
      </c>
      <c r="J1970" s="3">
        <v>3217.6</v>
      </c>
      <c r="K1970" s="3">
        <v>1201.5</v>
      </c>
      <c r="L1970" s="2">
        <v>7118453</v>
      </c>
      <c r="M1970" s="2">
        <v>8972248877.3500004</v>
      </c>
      <c r="N1970" s="2">
        <v>143258</v>
      </c>
      <c r="O1970" t="s">
        <v>23</v>
      </c>
      <c r="P1970" s="8">
        <f t="shared" si="90"/>
        <v>0</v>
      </c>
      <c r="Q1970" t="s">
        <v>41</v>
      </c>
      <c r="R1970">
        <f t="shared" si="91"/>
        <v>2</v>
      </c>
      <c r="S1970" t="str">
        <f t="shared" si="92"/>
        <v>Feb</v>
      </c>
      <c r="T1970" s="9">
        <f>VLOOKUP(O1970, Annual_Summary!A:B, 2, 0)</f>
        <v>0.2858955987717503</v>
      </c>
    </row>
    <row r="1971" spans="1:20" x14ac:dyDescent="0.3">
      <c r="A1971" s="1">
        <v>45688</v>
      </c>
      <c r="B1971" t="s">
        <v>15</v>
      </c>
      <c r="C1971" s="3">
        <v>1255.8499999999999</v>
      </c>
      <c r="D1971" s="3">
        <v>1267</v>
      </c>
      <c r="E1971" s="3">
        <v>1249</v>
      </c>
      <c r="F1971" s="3">
        <v>1253.05</v>
      </c>
      <c r="G1971" s="3">
        <v>1266</v>
      </c>
      <c r="H1971" s="3">
        <v>1265.0999999999999</v>
      </c>
      <c r="I1971" s="3">
        <v>1261.32</v>
      </c>
      <c r="J1971" s="3">
        <v>3217.6</v>
      </c>
      <c r="K1971" s="3">
        <v>1201.5</v>
      </c>
      <c r="L1971" s="2">
        <v>6584612</v>
      </c>
      <c r="M1971" s="2">
        <v>8305291978.4499998</v>
      </c>
      <c r="N1971" s="2">
        <v>169481</v>
      </c>
      <c r="O1971" t="s">
        <v>23</v>
      </c>
      <c r="P1971" s="8">
        <f t="shared" si="90"/>
        <v>-2.7999999999999545</v>
      </c>
      <c r="Q1971" t="s">
        <v>41</v>
      </c>
      <c r="R1971">
        <f t="shared" si="91"/>
        <v>1</v>
      </c>
      <c r="S1971" t="str">
        <f t="shared" si="92"/>
        <v>Jan</v>
      </c>
      <c r="T1971" s="9">
        <f>VLOOKUP(O1971, Annual_Summary!A:B, 2, 0)</f>
        <v>0.2858955987717503</v>
      </c>
    </row>
    <row r="1972" spans="1:20" x14ac:dyDescent="0.3">
      <c r="A1972" s="1">
        <v>45687</v>
      </c>
      <c r="B1972" t="s">
        <v>15</v>
      </c>
      <c r="C1972" s="3">
        <v>1235.55</v>
      </c>
      <c r="D1972" s="3">
        <v>1257</v>
      </c>
      <c r="E1972" s="3">
        <v>1232.4000000000001</v>
      </c>
      <c r="F1972" s="3">
        <v>1235.5</v>
      </c>
      <c r="G1972" s="3">
        <v>1253.1500000000001</v>
      </c>
      <c r="H1972" s="3">
        <v>1253.05</v>
      </c>
      <c r="I1972" s="3">
        <v>1249.1500000000001</v>
      </c>
      <c r="J1972" s="3">
        <v>3217.6</v>
      </c>
      <c r="K1972" s="3">
        <v>1201.5</v>
      </c>
      <c r="L1972" s="2">
        <v>9269259</v>
      </c>
      <c r="M1972" s="2">
        <v>11578693152.950001</v>
      </c>
      <c r="N1972" s="2">
        <v>227871</v>
      </c>
      <c r="O1972" t="s">
        <v>23</v>
      </c>
      <c r="P1972" s="8">
        <f t="shared" si="90"/>
        <v>-4.9999999999954525E-2</v>
      </c>
      <c r="Q1972" t="s">
        <v>41</v>
      </c>
      <c r="R1972">
        <f t="shared" si="91"/>
        <v>1</v>
      </c>
      <c r="S1972" t="str">
        <f t="shared" si="92"/>
        <v>Jan</v>
      </c>
      <c r="T1972" s="9">
        <f>VLOOKUP(O1972, Annual_Summary!A:B, 2, 0)</f>
        <v>0.2858955987717503</v>
      </c>
    </row>
    <row r="1973" spans="1:20" x14ac:dyDescent="0.3">
      <c r="A1973" s="1">
        <v>45686</v>
      </c>
      <c r="B1973" t="s">
        <v>15</v>
      </c>
      <c r="C1973" s="3">
        <v>1236</v>
      </c>
      <c r="D1973" s="3">
        <v>1242.75</v>
      </c>
      <c r="E1973" s="3">
        <v>1228.05</v>
      </c>
      <c r="F1973" s="3">
        <v>1234.4000000000001</v>
      </c>
      <c r="G1973" s="3">
        <v>1237.25</v>
      </c>
      <c r="H1973" s="3">
        <v>1235.5</v>
      </c>
      <c r="I1973" s="3">
        <v>1236.6600000000001</v>
      </c>
      <c r="J1973" s="3">
        <v>3217.6</v>
      </c>
      <c r="K1973" s="3">
        <v>1201.5</v>
      </c>
      <c r="L1973" s="2">
        <v>5928156</v>
      </c>
      <c r="M1973" s="2">
        <v>7331119895.8000002</v>
      </c>
      <c r="N1973" s="2">
        <v>167073</v>
      </c>
      <c r="O1973" t="s">
        <v>23</v>
      </c>
      <c r="P1973" s="8">
        <f t="shared" si="90"/>
        <v>-1.5999999999999091</v>
      </c>
      <c r="Q1973" t="s">
        <v>41</v>
      </c>
      <c r="R1973">
        <f t="shared" si="91"/>
        <v>1</v>
      </c>
      <c r="S1973" t="str">
        <f t="shared" si="92"/>
        <v>Jan</v>
      </c>
      <c r="T1973" s="9">
        <f>VLOOKUP(O1973, Annual_Summary!A:B, 2, 0)</f>
        <v>0.2858955987717503</v>
      </c>
    </row>
    <row r="1974" spans="1:20" x14ac:dyDescent="0.3">
      <c r="A1974" s="1">
        <v>45685</v>
      </c>
      <c r="B1974" t="s">
        <v>15</v>
      </c>
      <c r="C1974" s="3">
        <v>1238</v>
      </c>
      <c r="D1974" s="3">
        <v>1244.75</v>
      </c>
      <c r="E1974" s="3">
        <v>1218.5</v>
      </c>
      <c r="F1974" s="3">
        <v>1229.3499999999999</v>
      </c>
      <c r="G1974" s="3">
        <v>1235</v>
      </c>
      <c r="H1974" s="3">
        <v>1234.4000000000001</v>
      </c>
      <c r="I1974" s="3">
        <v>1232.6500000000001</v>
      </c>
      <c r="J1974" s="3">
        <v>3217.6</v>
      </c>
      <c r="K1974" s="3">
        <v>1201.5</v>
      </c>
      <c r="L1974" s="2">
        <v>10568025</v>
      </c>
      <c r="M1974" s="2">
        <v>13026673067.35</v>
      </c>
      <c r="N1974" s="2">
        <v>286863</v>
      </c>
      <c r="O1974" t="s">
        <v>23</v>
      </c>
      <c r="P1974" s="8">
        <f t="shared" si="90"/>
        <v>-8.6500000000000909</v>
      </c>
      <c r="Q1974" t="s">
        <v>41</v>
      </c>
      <c r="R1974">
        <f t="shared" si="91"/>
        <v>1</v>
      </c>
      <c r="S1974" t="str">
        <f t="shared" si="92"/>
        <v>Jan</v>
      </c>
      <c r="T1974" s="9">
        <f>VLOOKUP(O1974, Annual_Summary!A:B, 2, 0)</f>
        <v>0.2858955987717503</v>
      </c>
    </row>
    <row r="1975" spans="1:20" x14ac:dyDescent="0.3">
      <c r="A1975" s="1">
        <v>45684</v>
      </c>
      <c r="B1975" t="s">
        <v>15</v>
      </c>
      <c r="C1975" s="3">
        <v>1239.0999999999999</v>
      </c>
      <c r="D1975" s="3">
        <v>1240.45</v>
      </c>
      <c r="E1975" s="3">
        <v>1220</v>
      </c>
      <c r="F1975" s="3">
        <v>1246.3</v>
      </c>
      <c r="G1975" s="3">
        <v>1229</v>
      </c>
      <c r="H1975" s="3">
        <v>1229.3499999999999</v>
      </c>
      <c r="I1975" s="3">
        <v>1229.3499999999999</v>
      </c>
      <c r="J1975" s="3">
        <v>3217.6</v>
      </c>
      <c r="K1975" s="3">
        <v>1201.5</v>
      </c>
      <c r="L1975" s="2">
        <v>9536019</v>
      </c>
      <c r="M1975" s="2">
        <v>11723127883.65</v>
      </c>
      <c r="N1975" s="2">
        <v>368025</v>
      </c>
      <c r="O1975" t="s">
        <v>23</v>
      </c>
      <c r="P1975" s="8">
        <f t="shared" si="90"/>
        <v>7.2000000000000455</v>
      </c>
      <c r="Q1975" t="s">
        <v>41</v>
      </c>
      <c r="R1975">
        <f t="shared" si="91"/>
        <v>1</v>
      </c>
      <c r="S1975" t="str">
        <f t="shared" si="92"/>
        <v>Jan</v>
      </c>
      <c r="T1975" s="9">
        <f>VLOOKUP(O1975, Annual_Summary!A:B, 2, 0)</f>
        <v>0.2858955987717503</v>
      </c>
    </row>
    <row r="1976" spans="1:20" x14ac:dyDescent="0.3">
      <c r="A1976" s="1">
        <v>45681</v>
      </c>
      <c r="B1976" t="s">
        <v>15</v>
      </c>
      <c r="C1976" s="3">
        <v>1266</v>
      </c>
      <c r="D1976" s="3">
        <v>1273</v>
      </c>
      <c r="E1976" s="3">
        <v>1243.5</v>
      </c>
      <c r="F1976" s="3">
        <v>1263.6500000000001</v>
      </c>
      <c r="G1976" s="3">
        <v>1244.45</v>
      </c>
      <c r="H1976" s="3">
        <v>1246.3</v>
      </c>
      <c r="I1976" s="3">
        <v>1252.27</v>
      </c>
      <c r="J1976" s="3">
        <v>3217.6</v>
      </c>
      <c r="K1976" s="3">
        <v>1201.5</v>
      </c>
      <c r="L1976" s="2">
        <v>14235970</v>
      </c>
      <c r="M1976" s="2">
        <v>17827272395</v>
      </c>
      <c r="N1976" s="2">
        <v>263461</v>
      </c>
      <c r="O1976" t="s">
        <v>23</v>
      </c>
      <c r="P1976" s="8">
        <f t="shared" si="90"/>
        <v>-2.3499999999999091</v>
      </c>
      <c r="Q1976" t="s">
        <v>41</v>
      </c>
      <c r="R1976">
        <f t="shared" si="91"/>
        <v>1</v>
      </c>
      <c r="S1976" t="str">
        <f t="shared" si="92"/>
        <v>Jan</v>
      </c>
      <c r="T1976" s="9">
        <f>VLOOKUP(O1976, Annual_Summary!A:B, 2, 0)</f>
        <v>0.2858955987717503</v>
      </c>
    </row>
    <row r="1977" spans="1:20" x14ac:dyDescent="0.3">
      <c r="A1977" s="1">
        <v>45680</v>
      </c>
      <c r="B1977" t="s">
        <v>15</v>
      </c>
      <c r="C1977" s="3">
        <v>1270</v>
      </c>
      <c r="D1977" s="3">
        <v>1277.3499999999999</v>
      </c>
      <c r="E1977" s="3">
        <v>1261.5999999999999</v>
      </c>
      <c r="F1977" s="3">
        <v>1277.0999999999999</v>
      </c>
      <c r="G1977" s="3">
        <v>1264.9000000000001</v>
      </c>
      <c r="H1977" s="3">
        <v>1263.6500000000001</v>
      </c>
      <c r="I1977" s="3">
        <v>1267.52</v>
      </c>
      <c r="J1977" s="3">
        <v>3217.6</v>
      </c>
      <c r="K1977" s="3">
        <v>1201.5</v>
      </c>
      <c r="L1977" s="2">
        <v>8720682</v>
      </c>
      <c r="M1977" s="2">
        <v>11053624692.799999</v>
      </c>
      <c r="N1977" s="2">
        <v>188421</v>
      </c>
      <c r="O1977" t="s">
        <v>23</v>
      </c>
      <c r="P1977" s="8">
        <f t="shared" si="90"/>
        <v>7.0999999999999091</v>
      </c>
      <c r="Q1977" t="s">
        <v>41</v>
      </c>
      <c r="R1977">
        <f t="shared" si="91"/>
        <v>1</v>
      </c>
      <c r="S1977" t="str">
        <f t="shared" si="92"/>
        <v>Jan</v>
      </c>
      <c r="T1977" s="9">
        <f>VLOOKUP(O1977, Annual_Summary!A:B, 2, 0)</f>
        <v>0.2858955987717503</v>
      </c>
    </row>
    <row r="1978" spans="1:20" x14ac:dyDescent="0.3">
      <c r="A1978" s="1">
        <v>45679</v>
      </c>
      <c r="B1978" t="s">
        <v>15</v>
      </c>
      <c r="C1978" s="3">
        <v>1278.3</v>
      </c>
      <c r="D1978" s="3">
        <v>1282.9000000000001</v>
      </c>
      <c r="E1978" s="3">
        <v>1268.7</v>
      </c>
      <c r="F1978" s="3">
        <v>1273.7</v>
      </c>
      <c r="G1978" s="3">
        <v>1278</v>
      </c>
      <c r="H1978" s="3">
        <v>1277.0999999999999</v>
      </c>
      <c r="I1978" s="3">
        <v>1276.0899999999999</v>
      </c>
      <c r="J1978" s="3">
        <v>3217.6</v>
      </c>
      <c r="K1978" s="3">
        <v>1201.5</v>
      </c>
      <c r="L1978" s="2">
        <v>10273590</v>
      </c>
      <c r="M1978" s="2">
        <v>13110004094.65</v>
      </c>
      <c r="N1978" s="2">
        <v>239816</v>
      </c>
      <c r="O1978" t="s">
        <v>23</v>
      </c>
      <c r="P1978" s="8">
        <f t="shared" si="90"/>
        <v>-4.5999999999999091</v>
      </c>
      <c r="Q1978" t="s">
        <v>41</v>
      </c>
      <c r="R1978">
        <f t="shared" si="91"/>
        <v>1</v>
      </c>
      <c r="S1978" t="str">
        <f t="shared" si="92"/>
        <v>Jan</v>
      </c>
      <c r="T1978" s="9">
        <f>VLOOKUP(O1978, Annual_Summary!A:B, 2, 0)</f>
        <v>0.2858955987717503</v>
      </c>
    </row>
    <row r="1979" spans="1:20" x14ac:dyDescent="0.3">
      <c r="A1979" s="1">
        <v>45678</v>
      </c>
      <c r="B1979" t="s">
        <v>15</v>
      </c>
      <c r="C1979" s="3">
        <v>1310.5</v>
      </c>
      <c r="D1979" s="3">
        <v>1313</v>
      </c>
      <c r="E1979" s="3">
        <v>1270.2</v>
      </c>
      <c r="F1979" s="3">
        <v>1305.45</v>
      </c>
      <c r="G1979" s="3">
        <v>1277.5999999999999</v>
      </c>
      <c r="H1979" s="3">
        <v>1273.7</v>
      </c>
      <c r="I1979" s="3">
        <v>1284.79</v>
      </c>
      <c r="J1979" s="3">
        <v>3217.6</v>
      </c>
      <c r="K1979" s="3">
        <v>1201.5</v>
      </c>
      <c r="L1979" s="2">
        <v>14562976</v>
      </c>
      <c r="M1979" s="2">
        <v>18710366859.099998</v>
      </c>
      <c r="N1979" s="2">
        <v>325783</v>
      </c>
      <c r="O1979" t="s">
        <v>23</v>
      </c>
      <c r="P1979" s="8">
        <f t="shared" si="90"/>
        <v>-5.0499999999999545</v>
      </c>
      <c r="Q1979" t="s">
        <v>41</v>
      </c>
      <c r="R1979">
        <f t="shared" si="91"/>
        <v>1</v>
      </c>
      <c r="S1979" t="str">
        <f t="shared" si="92"/>
        <v>Jan</v>
      </c>
      <c r="T1979" s="9">
        <f>VLOOKUP(O1979, Annual_Summary!A:B, 2, 0)</f>
        <v>0.2858955987717503</v>
      </c>
    </row>
    <row r="1980" spans="1:20" x14ac:dyDescent="0.3">
      <c r="A1980" s="1">
        <v>45677</v>
      </c>
      <c r="B1980" t="s">
        <v>15</v>
      </c>
      <c r="C1980" s="3">
        <v>1316</v>
      </c>
      <c r="D1980" s="3">
        <v>1316</v>
      </c>
      <c r="E1980" s="3">
        <v>1300.25</v>
      </c>
      <c r="F1980" s="3">
        <v>1302.3499999999999</v>
      </c>
      <c r="G1980" s="3">
        <v>1304</v>
      </c>
      <c r="H1980" s="3">
        <v>1305.45</v>
      </c>
      <c r="I1980" s="3">
        <v>1307.82</v>
      </c>
      <c r="J1980" s="3">
        <v>3217.6</v>
      </c>
      <c r="K1980" s="3">
        <v>1201.5</v>
      </c>
      <c r="L1980" s="2">
        <v>14040244</v>
      </c>
      <c r="M1980" s="2">
        <v>18362047246.700001</v>
      </c>
      <c r="N1980" s="2">
        <v>280553</v>
      </c>
      <c r="O1980" t="s">
        <v>23</v>
      </c>
      <c r="P1980" s="8">
        <f t="shared" si="90"/>
        <v>-13.650000000000091</v>
      </c>
      <c r="Q1980" t="s">
        <v>41</v>
      </c>
      <c r="R1980">
        <f t="shared" si="91"/>
        <v>1</v>
      </c>
      <c r="S1980" t="str">
        <f t="shared" si="92"/>
        <v>Jan</v>
      </c>
      <c r="T1980" s="9">
        <f>VLOOKUP(O1980, Annual_Summary!A:B, 2, 0)</f>
        <v>0.2858955987717503</v>
      </c>
    </row>
    <row r="1981" spans="1:20" x14ac:dyDescent="0.3">
      <c r="A1981" s="1">
        <v>45674</v>
      </c>
      <c r="B1981" t="s">
        <v>15</v>
      </c>
      <c r="C1981" s="3">
        <v>1322.25</v>
      </c>
      <c r="D1981" s="3">
        <v>1326</v>
      </c>
      <c r="E1981" s="3">
        <v>1285</v>
      </c>
      <c r="F1981" s="3">
        <v>1266.45</v>
      </c>
      <c r="G1981" s="3">
        <v>1300</v>
      </c>
      <c r="H1981" s="3">
        <v>1302.3499999999999</v>
      </c>
      <c r="I1981" s="3">
        <v>1300.8</v>
      </c>
      <c r="J1981" s="3">
        <v>3217.6</v>
      </c>
      <c r="K1981" s="3">
        <v>1201.5</v>
      </c>
      <c r="L1981" s="2">
        <v>29366277</v>
      </c>
      <c r="M1981" s="2">
        <v>38199728794.400002</v>
      </c>
      <c r="N1981" s="2">
        <v>594018</v>
      </c>
      <c r="O1981" t="s">
        <v>23</v>
      </c>
      <c r="P1981" s="8">
        <f t="shared" si="90"/>
        <v>-55.799999999999955</v>
      </c>
      <c r="Q1981" t="s">
        <v>41</v>
      </c>
      <c r="R1981">
        <f t="shared" si="91"/>
        <v>1</v>
      </c>
      <c r="S1981" t="str">
        <f t="shared" si="92"/>
        <v>Jan</v>
      </c>
      <c r="T1981" s="9">
        <f>VLOOKUP(O1981, Annual_Summary!A:B, 2, 0)</f>
        <v>0.2858955987717503</v>
      </c>
    </row>
    <row r="1982" spans="1:20" x14ac:dyDescent="0.3">
      <c r="A1982" s="1">
        <v>45673</v>
      </c>
      <c r="B1982" t="s">
        <v>15</v>
      </c>
      <c r="C1982" s="3">
        <v>1258.9000000000001</v>
      </c>
      <c r="D1982" s="3">
        <v>1275</v>
      </c>
      <c r="E1982" s="3">
        <v>1251.3</v>
      </c>
      <c r="F1982" s="3">
        <v>1252.2</v>
      </c>
      <c r="G1982" s="3">
        <v>1275</v>
      </c>
      <c r="H1982" s="3">
        <v>1266.45</v>
      </c>
      <c r="I1982" s="3">
        <v>1262.8599999999999</v>
      </c>
      <c r="J1982" s="3">
        <v>3217.6</v>
      </c>
      <c r="K1982" s="3">
        <v>1201.5</v>
      </c>
      <c r="L1982" s="2">
        <v>14117603</v>
      </c>
      <c r="M1982" s="2">
        <v>17828486685.900002</v>
      </c>
      <c r="N1982" s="2">
        <v>207451</v>
      </c>
      <c r="O1982" t="s">
        <v>23</v>
      </c>
      <c r="P1982" s="8">
        <f t="shared" si="90"/>
        <v>-6.7000000000000455</v>
      </c>
      <c r="Q1982" t="s">
        <v>41</v>
      </c>
      <c r="R1982">
        <f t="shared" si="91"/>
        <v>1</v>
      </c>
      <c r="S1982" t="str">
        <f t="shared" si="92"/>
        <v>Jan</v>
      </c>
      <c r="T1982" s="9">
        <f>VLOOKUP(O1982, Annual_Summary!A:B, 2, 0)</f>
        <v>0.2858955987717503</v>
      </c>
    </row>
    <row r="1983" spans="1:20" x14ac:dyDescent="0.3">
      <c r="A1983" s="1">
        <v>45672</v>
      </c>
      <c r="B1983" t="s">
        <v>15</v>
      </c>
      <c r="C1983" s="3">
        <v>1244.95</v>
      </c>
      <c r="D1983" s="3">
        <v>1257</v>
      </c>
      <c r="E1983" s="3">
        <v>1241.8499999999999</v>
      </c>
      <c r="F1983" s="3">
        <v>1238.75</v>
      </c>
      <c r="G1983" s="3">
        <v>1252</v>
      </c>
      <c r="H1983" s="3">
        <v>1252.2</v>
      </c>
      <c r="I1983" s="3">
        <v>1250.1099999999999</v>
      </c>
      <c r="J1983" s="3">
        <v>3217.6</v>
      </c>
      <c r="K1983" s="3">
        <v>1201.5</v>
      </c>
      <c r="L1983" s="2">
        <v>9578856</v>
      </c>
      <c r="M1983" s="2">
        <v>11974600753.049999</v>
      </c>
      <c r="N1983" s="2">
        <v>220174</v>
      </c>
      <c r="O1983" t="s">
        <v>23</v>
      </c>
      <c r="P1983" s="8">
        <f t="shared" si="90"/>
        <v>-6.2000000000000455</v>
      </c>
      <c r="Q1983" t="s">
        <v>41</v>
      </c>
      <c r="R1983">
        <f t="shared" si="91"/>
        <v>1</v>
      </c>
      <c r="S1983" t="str">
        <f t="shared" si="92"/>
        <v>Jan</v>
      </c>
      <c r="T1983" s="9">
        <f>VLOOKUP(O1983, Annual_Summary!A:B, 2, 0)</f>
        <v>0.2858955987717503</v>
      </c>
    </row>
    <row r="1984" spans="1:20" x14ac:dyDescent="0.3">
      <c r="A1984" s="1">
        <v>45671</v>
      </c>
      <c r="B1984" t="s">
        <v>15</v>
      </c>
      <c r="C1984" s="3">
        <v>1244.0999999999999</v>
      </c>
      <c r="D1984" s="3">
        <v>1253.3499999999999</v>
      </c>
      <c r="E1984" s="3">
        <v>1227.25</v>
      </c>
      <c r="F1984" s="3">
        <v>1239.8499999999999</v>
      </c>
      <c r="G1984" s="3">
        <v>1239</v>
      </c>
      <c r="H1984" s="3">
        <v>1238.75</v>
      </c>
      <c r="I1984" s="3">
        <v>1236.46</v>
      </c>
      <c r="J1984" s="3">
        <v>3217.6</v>
      </c>
      <c r="K1984" s="3">
        <v>1201.5</v>
      </c>
      <c r="L1984" s="2">
        <v>13095266</v>
      </c>
      <c r="M1984" s="2">
        <v>16191765836.200001</v>
      </c>
      <c r="N1984" s="2">
        <v>278977</v>
      </c>
      <c r="O1984" t="s">
        <v>23</v>
      </c>
      <c r="P1984" s="8">
        <f t="shared" si="90"/>
        <v>-4.25</v>
      </c>
      <c r="Q1984" t="s">
        <v>41</v>
      </c>
      <c r="R1984">
        <f t="shared" si="91"/>
        <v>1</v>
      </c>
      <c r="S1984" t="str">
        <f t="shared" si="92"/>
        <v>Jan</v>
      </c>
      <c r="T1984" s="9">
        <f>VLOOKUP(O1984, Annual_Summary!A:B, 2, 0)</f>
        <v>0.2858955987717503</v>
      </c>
    </row>
    <row r="1985" spans="1:20" x14ac:dyDescent="0.3">
      <c r="A1985" s="1">
        <v>45670</v>
      </c>
      <c r="B1985" t="s">
        <v>15</v>
      </c>
      <c r="C1985" s="3">
        <v>1230</v>
      </c>
      <c r="D1985" s="3">
        <v>1245.25</v>
      </c>
      <c r="E1985" s="3">
        <v>1226.4000000000001</v>
      </c>
      <c r="F1985" s="3">
        <v>1241.9000000000001</v>
      </c>
      <c r="G1985" s="3">
        <v>1240.75</v>
      </c>
      <c r="H1985" s="3">
        <v>1239.8499999999999</v>
      </c>
      <c r="I1985" s="3">
        <v>1238.0999999999999</v>
      </c>
      <c r="J1985" s="3">
        <v>3217.6</v>
      </c>
      <c r="K1985" s="3">
        <v>1201.5</v>
      </c>
      <c r="L1985" s="2">
        <v>13764861</v>
      </c>
      <c r="M1985" s="2">
        <v>17042274859.85</v>
      </c>
      <c r="N1985" s="2">
        <v>398257</v>
      </c>
      <c r="O1985" t="s">
        <v>23</v>
      </c>
      <c r="P1985" s="8">
        <f t="shared" si="90"/>
        <v>11.900000000000091</v>
      </c>
      <c r="Q1985" t="s">
        <v>41</v>
      </c>
      <c r="R1985">
        <f t="shared" si="91"/>
        <v>1</v>
      </c>
      <c r="S1985" t="str">
        <f t="shared" si="92"/>
        <v>Jan</v>
      </c>
      <c r="T1985" s="9">
        <f>VLOOKUP(O1985, Annual_Summary!A:B, 2, 0)</f>
        <v>0.2858955987717503</v>
      </c>
    </row>
    <row r="1986" spans="1:20" x14ac:dyDescent="0.3">
      <c r="A1986" s="1">
        <v>45667</v>
      </c>
      <c r="B1986" t="s">
        <v>15</v>
      </c>
      <c r="C1986" s="3">
        <v>1253.8499999999999</v>
      </c>
      <c r="D1986" s="3">
        <v>1256.75</v>
      </c>
      <c r="E1986" s="3">
        <v>1236</v>
      </c>
      <c r="F1986" s="3">
        <v>1254.75</v>
      </c>
      <c r="G1986" s="3">
        <v>1245.55</v>
      </c>
      <c r="H1986" s="3">
        <v>1241.9000000000001</v>
      </c>
      <c r="I1986" s="3">
        <v>1245.97</v>
      </c>
      <c r="J1986" s="3">
        <v>3217.6</v>
      </c>
      <c r="K1986" s="3">
        <v>1201.5</v>
      </c>
      <c r="L1986" s="2">
        <v>8120332</v>
      </c>
      <c r="M1986" s="2">
        <v>10117685547.700001</v>
      </c>
      <c r="N1986" s="2">
        <v>340024</v>
      </c>
      <c r="O1986" t="s">
        <v>23</v>
      </c>
      <c r="P1986" s="8">
        <f t="shared" si="90"/>
        <v>0.90000000000009095</v>
      </c>
      <c r="Q1986" t="s">
        <v>41</v>
      </c>
      <c r="R1986">
        <f t="shared" si="91"/>
        <v>1</v>
      </c>
      <c r="S1986" t="str">
        <f t="shared" si="92"/>
        <v>Jan</v>
      </c>
      <c r="T1986" s="9">
        <f>VLOOKUP(O1986, Annual_Summary!A:B, 2, 0)</f>
        <v>0.2858955987717503</v>
      </c>
    </row>
    <row r="1987" spans="1:20" x14ac:dyDescent="0.3">
      <c r="A1987" s="1">
        <v>45666</v>
      </c>
      <c r="B1987" t="s">
        <v>15</v>
      </c>
      <c r="C1987" s="3">
        <v>1267</v>
      </c>
      <c r="D1987" s="3">
        <v>1269.75</v>
      </c>
      <c r="E1987" s="3">
        <v>1248.05</v>
      </c>
      <c r="F1987" s="3">
        <v>1265.5</v>
      </c>
      <c r="G1987" s="3">
        <v>1256.8</v>
      </c>
      <c r="H1987" s="3">
        <v>1254.75</v>
      </c>
      <c r="I1987" s="3">
        <v>1257.46</v>
      </c>
      <c r="J1987" s="3">
        <v>3217.6</v>
      </c>
      <c r="K1987" s="3">
        <v>1201.5</v>
      </c>
      <c r="L1987" s="2">
        <v>12794704</v>
      </c>
      <c r="M1987" s="2">
        <v>16088882554.200001</v>
      </c>
      <c r="N1987" s="2">
        <v>390501</v>
      </c>
      <c r="O1987" t="s">
        <v>23</v>
      </c>
      <c r="P1987" s="8">
        <f t="shared" ref="P1987:P2050" si="93">F1987-C1987</f>
        <v>-1.5</v>
      </c>
      <c r="Q1987" t="s">
        <v>41</v>
      </c>
      <c r="R1987">
        <f t="shared" ref="R1987:R2050" si="94">MONTH(A1987)</f>
        <v>1</v>
      </c>
      <c r="S1987" t="str">
        <f t="shared" ref="S1987:S2050" si="95">TEXT(A1987,"mmm")</f>
        <v>Jan</v>
      </c>
      <c r="T1987" s="9">
        <f>VLOOKUP(O1987, Annual_Summary!A:B, 2, 0)</f>
        <v>0.2858955987717503</v>
      </c>
    </row>
    <row r="1988" spans="1:20" x14ac:dyDescent="0.3">
      <c r="A1988" s="1">
        <v>45665</v>
      </c>
      <c r="B1988" t="s">
        <v>15</v>
      </c>
      <c r="C1988" s="3">
        <v>1249</v>
      </c>
      <c r="D1988" s="3">
        <v>1271.05</v>
      </c>
      <c r="E1988" s="3">
        <v>1245.3499999999999</v>
      </c>
      <c r="F1988" s="3">
        <v>1240.8499999999999</v>
      </c>
      <c r="G1988" s="3">
        <v>1261.3499999999999</v>
      </c>
      <c r="H1988" s="3">
        <v>1265.5</v>
      </c>
      <c r="I1988" s="3">
        <v>1263.24</v>
      </c>
      <c r="J1988" s="3">
        <v>3217.6</v>
      </c>
      <c r="K1988" s="3">
        <v>1201.5</v>
      </c>
      <c r="L1988" s="2">
        <v>19346579</v>
      </c>
      <c r="M1988" s="2">
        <v>24439345120.549999</v>
      </c>
      <c r="N1988" s="2">
        <v>531488</v>
      </c>
      <c r="O1988" t="s">
        <v>23</v>
      </c>
      <c r="P1988" s="8">
        <f t="shared" si="93"/>
        <v>-8.1500000000000909</v>
      </c>
      <c r="Q1988" t="s">
        <v>41</v>
      </c>
      <c r="R1988">
        <f t="shared" si="94"/>
        <v>1</v>
      </c>
      <c r="S1988" t="str">
        <f t="shared" si="95"/>
        <v>Jan</v>
      </c>
      <c r="T1988" s="9">
        <f>VLOOKUP(O1988, Annual_Summary!A:B, 2, 0)</f>
        <v>0.2858955987717503</v>
      </c>
    </row>
    <row r="1989" spans="1:20" x14ac:dyDescent="0.3">
      <c r="A1989" s="1">
        <v>45664</v>
      </c>
      <c r="B1989" t="s">
        <v>15</v>
      </c>
      <c r="C1989" s="3">
        <v>1222</v>
      </c>
      <c r="D1989" s="3">
        <v>1244.5</v>
      </c>
      <c r="E1989" s="3">
        <v>1221.25</v>
      </c>
      <c r="F1989" s="3">
        <v>1218</v>
      </c>
      <c r="G1989" s="3">
        <v>1239.95</v>
      </c>
      <c r="H1989" s="3">
        <v>1240.8499999999999</v>
      </c>
      <c r="I1989" s="3">
        <v>1237.6300000000001</v>
      </c>
      <c r="J1989" s="3">
        <v>3217.6</v>
      </c>
      <c r="K1989" s="3">
        <v>1201.5</v>
      </c>
      <c r="L1989" s="2">
        <v>10070505</v>
      </c>
      <c r="M1989" s="2">
        <v>12463597633.450001</v>
      </c>
      <c r="N1989" s="2">
        <v>216620</v>
      </c>
      <c r="O1989" t="s">
        <v>23</v>
      </c>
      <c r="P1989" s="8">
        <f t="shared" si="93"/>
        <v>-4</v>
      </c>
      <c r="Q1989" t="s">
        <v>41</v>
      </c>
      <c r="R1989">
        <f t="shared" si="94"/>
        <v>1</v>
      </c>
      <c r="S1989" t="str">
        <f t="shared" si="95"/>
        <v>Jan</v>
      </c>
      <c r="T1989" s="9">
        <f>VLOOKUP(O1989, Annual_Summary!A:B, 2, 0)</f>
        <v>0.2858955987717503</v>
      </c>
    </row>
    <row r="1990" spans="1:20" x14ac:dyDescent="0.3">
      <c r="A1990" s="1">
        <v>45663</v>
      </c>
      <c r="B1990" t="s">
        <v>15</v>
      </c>
      <c r="C1990" s="3">
        <v>1253.95</v>
      </c>
      <c r="D1990" s="3">
        <v>1262</v>
      </c>
      <c r="E1990" s="3">
        <v>1215</v>
      </c>
      <c r="F1990" s="3">
        <v>1251.1500000000001</v>
      </c>
      <c r="G1990" s="3">
        <v>1216.25</v>
      </c>
      <c r="H1990" s="3">
        <v>1218</v>
      </c>
      <c r="I1990" s="3">
        <v>1235.67</v>
      </c>
      <c r="J1990" s="3">
        <v>3217.6</v>
      </c>
      <c r="K1990" s="3">
        <v>1201.5</v>
      </c>
      <c r="L1990" s="2">
        <v>14816766</v>
      </c>
      <c r="M1990" s="2">
        <v>18308652263.950001</v>
      </c>
      <c r="N1990" s="2">
        <v>317843</v>
      </c>
      <c r="O1990" t="s">
        <v>23</v>
      </c>
      <c r="P1990" s="8">
        <f t="shared" si="93"/>
        <v>-2.7999999999999545</v>
      </c>
      <c r="Q1990" t="s">
        <v>41</v>
      </c>
      <c r="R1990">
        <f t="shared" si="94"/>
        <v>1</v>
      </c>
      <c r="S1990" t="str">
        <f t="shared" si="95"/>
        <v>Jan</v>
      </c>
      <c r="T1990" s="9">
        <f>VLOOKUP(O1990, Annual_Summary!A:B, 2, 0)</f>
        <v>0.2858955987717503</v>
      </c>
    </row>
    <row r="1991" spans="1:20" x14ac:dyDescent="0.3">
      <c r="A1991" s="1">
        <v>45660</v>
      </c>
      <c r="B1991" t="s">
        <v>15</v>
      </c>
      <c r="C1991" s="3">
        <v>1243.9000000000001</v>
      </c>
      <c r="D1991" s="3">
        <v>1262.05</v>
      </c>
      <c r="E1991" s="3">
        <v>1235.5</v>
      </c>
      <c r="F1991" s="3">
        <v>1241.8</v>
      </c>
      <c r="G1991" s="3">
        <v>1249.8499999999999</v>
      </c>
      <c r="H1991" s="3">
        <v>1251.1500000000001</v>
      </c>
      <c r="I1991" s="3">
        <v>1250.3399999999999</v>
      </c>
      <c r="J1991" s="3">
        <v>3217.6</v>
      </c>
      <c r="K1991" s="3">
        <v>1201.5</v>
      </c>
      <c r="L1991" s="2">
        <v>15521102</v>
      </c>
      <c r="M1991" s="2">
        <v>19406715598.75</v>
      </c>
      <c r="N1991" s="2">
        <v>277290</v>
      </c>
      <c r="O1991" t="s">
        <v>23</v>
      </c>
      <c r="P1991" s="8">
        <f t="shared" si="93"/>
        <v>-2.1000000000001364</v>
      </c>
      <c r="Q1991" t="s">
        <v>41</v>
      </c>
      <c r="R1991">
        <f t="shared" si="94"/>
        <v>1</v>
      </c>
      <c r="S1991" t="str">
        <f t="shared" si="95"/>
        <v>Jan</v>
      </c>
      <c r="T1991" s="9">
        <f>VLOOKUP(O1991, Annual_Summary!A:B, 2, 0)</f>
        <v>0.2858955987717503</v>
      </c>
    </row>
    <row r="1992" spans="1:20" x14ac:dyDescent="0.3">
      <c r="A1992" s="1">
        <v>45659</v>
      </c>
      <c r="B1992" t="s">
        <v>15</v>
      </c>
      <c r="C1992" s="3">
        <v>1221.25</v>
      </c>
      <c r="D1992" s="3">
        <v>1244.45</v>
      </c>
      <c r="E1992" s="3">
        <v>1220</v>
      </c>
      <c r="F1992" s="3">
        <v>1221.25</v>
      </c>
      <c r="G1992" s="3">
        <v>1240.55</v>
      </c>
      <c r="H1992" s="3">
        <v>1241.8</v>
      </c>
      <c r="I1992" s="3">
        <v>1234.32</v>
      </c>
      <c r="J1992" s="3">
        <v>3217.6</v>
      </c>
      <c r="K1992" s="3">
        <v>1201.5</v>
      </c>
      <c r="L1992" s="2">
        <v>15486276</v>
      </c>
      <c r="M1992" s="2">
        <v>19115027208.349998</v>
      </c>
      <c r="N1992" s="2">
        <v>271108</v>
      </c>
      <c r="O1992" t="s">
        <v>23</v>
      </c>
      <c r="P1992" s="8">
        <f t="shared" si="93"/>
        <v>0</v>
      </c>
      <c r="Q1992" t="s">
        <v>41</v>
      </c>
      <c r="R1992">
        <f t="shared" si="94"/>
        <v>1</v>
      </c>
      <c r="S1992" t="str">
        <f t="shared" si="95"/>
        <v>Jan</v>
      </c>
      <c r="T1992" s="9">
        <f>VLOOKUP(O1992, Annual_Summary!A:B, 2, 0)</f>
        <v>0.2858955987717503</v>
      </c>
    </row>
    <row r="1993" spans="1:20" x14ac:dyDescent="0.3">
      <c r="A1993" s="1">
        <v>45658</v>
      </c>
      <c r="B1993" t="s">
        <v>15</v>
      </c>
      <c r="C1993" s="3">
        <v>1214.8499999999999</v>
      </c>
      <c r="D1993" s="3">
        <v>1226.3</v>
      </c>
      <c r="E1993" s="3">
        <v>1211.5999999999999</v>
      </c>
      <c r="F1993" s="3">
        <v>1215.45</v>
      </c>
      <c r="G1993" s="3">
        <v>1222.75</v>
      </c>
      <c r="H1993" s="3">
        <v>1221.25</v>
      </c>
      <c r="I1993" s="3">
        <v>1221.01</v>
      </c>
      <c r="J1993" s="3">
        <v>3217.6</v>
      </c>
      <c r="K1993" s="3">
        <v>1201.5</v>
      </c>
      <c r="L1993" s="2">
        <v>5892590</v>
      </c>
      <c r="M1993" s="2">
        <v>7194899836.4499998</v>
      </c>
      <c r="N1993" s="2">
        <v>138528</v>
      </c>
      <c r="O1993" t="s">
        <v>23</v>
      </c>
      <c r="P1993" s="8">
        <f t="shared" si="93"/>
        <v>0.60000000000013642</v>
      </c>
      <c r="Q1993" t="s">
        <v>41</v>
      </c>
      <c r="R1993">
        <f t="shared" si="94"/>
        <v>1</v>
      </c>
      <c r="S1993" t="str">
        <f t="shared" si="95"/>
        <v>Jan</v>
      </c>
      <c r="T1993" s="9">
        <f>VLOOKUP(O1993, Annual_Summary!A:B, 2, 0)</f>
        <v>0.2858955987717503</v>
      </c>
    </row>
    <row r="1994" spans="1:20" x14ac:dyDescent="0.3">
      <c r="A1994" s="1">
        <v>46022</v>
      </c>
      <c r="B1994" t="s">
        <v>15</v>
      </c>
      <c r="C1994" s="3">
        <v>975.25</v>
      </c>
      <c r="D1994" s="3">
        <v>985.65</v>
      </c>
      <c r="E1994" s="3">
        <v>973.5</v>
      </c>
      <c r="F1994" s="3">
        <v>973.45</v>
      </c>
      <c r="G1994" s="3">
        <v>982.4</v>
      </c>
      <c r="H1994" s="3">
        <v>982.2</v>
      </c>
      <c r="I1994" s="3">
        <v>982</v>
      </c>
      <c r="J1994" s="3">
        <v>999</v>
      </c>
      <c r="K1994" s="3">
        <v>680</v>
      </c>
      <c r="L1994" s="2">
        <v>5807630</v>
      </c>
      <c r="M1994" s="2">
        <v>5703085644.8500004</v>
      </c>
      <c r="N1994" s="2">
        <v>109225</v>
      </c>
      <c r="O1994" t="s">
        <v>24</v>
      </c>
      <c r="P1994" s="8">
        <f t="shared" si="93"/>
        <v>-1.7999999999999545</v>
      </c>
      <c r="Q1994" t="s">
        <v>39</v>
      </c>
      <c r="R1994">
        <f t="shared" si="94"/>
        <v>12</v>
      </c>
      <c r="S1994" t="str">
        <f t="shared" si="95"/>
        <v>Dec</v>
      </c>
      <c r="T1994" s="9">
        <f>VLOOKUP(O1994, Annual_Summary!A:B, 2, 0)</f>
        <v>0.23827534039334342</v>
      </c>
    </row>
    <row r="1995" spans="1:20" x14ac:dyDescent="0.3">
      <c r="A1995" s="1">
        <v>46021</v>
      </c>
      <c r="B1995" t="s">
        <v>15</v>
      </c>
      <c r="C1995" s="3">
        <v>963</v>
      </c>
      <c r="D1995" s="3">
        <v>976.2</v>
      </c>
      <c r="E1995" s="3">
        <v>959.5</v>
      </c>
      <c r="F1995" s="3">
        <v>965.05</v>
      </c>
      <c r="G1995" s="3">
        <v>973.1</v>
      </c>
      <c r="H1995" s="3">
        <v>973.45</v>
      </c>
      <c r="I1995" s="3">
        <v>971.99</v>
      </c>
      <c r="J1995" s="3">
        <v>999</v>
      </c>
      <c r="K1995" s="3">
        <v>680</v>
      </c>
      <c r="L1995" s="2">
        <v>15030644</v>
      </c>
      <c r="M1995" s="2">
        <v>14609677358.799999</v>
      </c>
      <c r="N1995" s="2">
        <v>221265</v>
      </c>
      <c r="O1995" t="s">
        <v>24</v>
      </c>
      <c r="P1995" s="8">
        <f t="shared" si="93"/>
        <v>2.0499999999999545</v>
      </c>
      <c r="Q1995" t="s">
        <v>39</v>
      </c>
      <c r="R1995">
        <f t="shared" si="94"/>
        <v>12</v>
      </c>
      <c r="S1995" t="str">
        <f t="shared" si="95"/>
        <v>Dec</v>
      </c>
      <c r="T1995" s="9">
        <f>VLOOKUP(O1995, Annual_Summary!A:B, 2, 0)</f>
        <v>0.23827534039334342</v>
      </c>
    </row>
    <row r="1996" spans="1:20" x14ac:dyDescent="0.3">
      <c r="A1996" s="1">
        <v>46020</v>
      </c>
      <c r="B1996" t="s">
        <v>15</v>
      </c>
      <c r="C1996" s="3">
        <v>966.9</v>
      </c>
      <c r="D1996" s="3">
        <v>968.9</v>
      </c>
      <c r="E1996" s="3">
        <v>961.45</v>
      </c>
      <c r="F1996" s="3">
        <v>966.3</v>
      </c>
      <c r="G1996" s="3">
        <v>965.7</v>
      </c>
      <c r="H1996" s="3">
        <v>965.05</v>
      </c>
      <c r="I1996" s="3">
        <v>965.03</v>
      </c>
      <c r="J1996" s="3">
        <v>999</v>
      </c>
      <c r="K1996" s="3">
        <v>680</v>
      </c>
      <c r="L1996" s="2">
        <v>5267233</v>
      </c>
      <c r="M1996" s="2">
        <v>5083023420.6999998</v>
      </c>
      <c r="N1996" s="2">
        <v>143589</v>
      </c>
      <c r="O1996" t="s">
        <v>24</v>
      </c>
      <c r="P1996" s="8">
        <f t="shared" si="93"/>
        <v>-0.60000000000002274</v>
      </c>
      <c r="Q1996" t="s">
        <v>39</v>
      </c>
      <c r="R1996">
        <f t="shared" si="94"/>
        <v>12</v>
      </c>
      <c r="S1996" t="str">
        <f t="shared" si="95"/>
        <v>Dec</v>
      </c>
      <c r="T1996" s="9">
        <f>VLOOKUP(O1996, Annual_Summary!A:B, 2, 0)</f>
        <v>0.23827534039334342</v>
      </c>
    </row>
    <row r="1997" spans="1:20" x14ac:dyDescent="0.3">
      <c r="A1997" s="1">
        <v>46017</v>
      </c>
      <c r="B1997" t="s">
        <v>15</v>
      </c>
      <c r="C1997" s="3">
        <v>968.95</v>
      </c>
      <c r="D1997" s="3">
        <v>971</v>
      </c>
      <c r="E1997" s="3">
        <v>964.75</v>
      </c>
      <c r="F1997" s="3">
        <v>968.95</v>
      </c>
      <c r="G1997" s="3">
        <v>966.5</v>
      </c>
      <c r="H1997" s="3">
        <v>966.3</v>
      </c>
      <c r="I1997" s="3">
        <v>967.5</v>
      </c>
      <c r="J1997" s="3">
        <v>999</v>
      </c>
      <c r="K1997" s="3">
        <v>680</v>
      </c>
      <c r="L1997" s="2">
        <v>3286321</v>
      </c>
      <c r="M1997" s="2">
        <v>3179513466.1999998</v>
      </c>
      <c r="N1997" s="2">
        <v>101940</v>
      </c>
      <c r="O1997" t="s">
        <v>24</v>
      </c>
      <c r="P1997" s="8">
        <f t="shared" si="93"/>
        <v>0</v>
      </c>
      <c r="Q1997" t="s">
        <v>39</v>
      </c>
      <c r="R1997">
        <f t="shared" si="94"/>
        <v>12</v>
      </c>
      <c r="S1997" t="str">
        <f t="shared" si="95"/>
        <v>Dec</v>
      </c>
      <c r="T1997" s="9">
        <f>VLOOKUP(O1997, Annual_Summary!A:B, 2, 0)</f>
        <v>0.23827534039334342</v>
      </c>
    </row>
    <row r="1998" spans="1:20" x14ac:dyDescent="0.3">
      <c r="A1998" s="1">
        <v>46015</v>
      </c>
      <c r="B1998" t="s">
        <v>15</v>
      </c>
      <c r="C1998" s="3">
        <v>973.2</v>
      </c>
      <c r="D1998" s="3">
        <v>977.3</v>
      </c>
      <c r="E1998" s="3">
        <v>967.5</v>
      </c>
      <c r="F1998" s="3">
        <v>971.9</v>
      </c>
      <c r="G1998" s="3">
        <v>968.85</v>
      </c>
      <c r="H1998" s="3">
        <v>968.95</v>
      </c>
      <c r="I1998" s="3">
        <v>972.14</v>
      </c>
      <c r="J1998" s="3">
        <v>999</v>
      </c>
      <c r="K1998" s="3">
        <v>680</v>
      </c>
      <c r="L1998" s="2">
        <v>4105643</v>
      </c>
      <c r="M1998" s="2">
        <v>3991279807.9000001</v>
      </c>
      <c r="N1998" s="2">
        <v>127471</v>
      </c>
      <c r="O1998" t="s">
        <v>24</v>
      </c>
      <c r="P1998" s="8">
        <f t="shared" si="93"/>
        <v>-1.3000000000000682</v>
      </c>
      <c r="Q1998" t="s">
        <v>39</v>
      </c>
      <c r="R1998">
        <f t="shared" si="94"/>
        <v>12</v>
      </c>
      <c r="S1998" t="str">
        <f t="shared" si="95"/>
        <v>Dec</v>
      </c>
      <c r="T1998" s="9">
        <f>VLOOKUP(O1998, Annual_Summary!A:B, 2, 0)</f>
        <v>0.23827534039334342</v>
      </c>
    </row>
    <row r="1999" spans="1:20" x14ac:dyDescent="0.3">
      <c r="A1999" s="1">
        <v>46014</v>
      </c>
      <c r="B1999" t="s">
        <v>15</v>
      </c>
      <c r="C1999" s="3">
        <v>976.3</v>
      </c>
      <c r="D1999" s="3">
        <v>977.55</v>
      </c>
      <c r="E1999" s="3">
        <v>970.7</v>
      </c>
      <c r="F1999" s="3">
        <v>974.3</v>
      </c>
      <c r="G1999" s="3">
        <v>971.25</v>
      </c>
      <c r="H1999" s="3">
        <v>971.9</v>
      </c>
      <c r="I1999" s="3">
        <v>973.41</v>
      </c>
      <c r="J1999" s="3">
        <v>999</v>
      </c>
      <c r="K1999" s="3">
        <v>680</v>
      </c>
      <c r="L1999" s="2">
        <v>5123287</v>
      </c>
      <c r="M1999" s="2">
        <v>4987059431.5500002</v>
      </c>
      <c r="N1999" s="2">
        <v>142849</v>
      </c>
      <c r="O1999" t="s">
        <v>24</v>
      </c>
      <c r="P1999" s="8">
        <f t="shared" si="93"/>
        <v>-2</v>
      </c>
      <c r="Q1999" t="s">
        <v>39</v>
      </c>
      <c r="R1999">
        <f t="shared" si="94"/>
        <v>12</v>
      </c>
      <c r="S1999" t="str">
        <f t="shared" si="95"/>
        <v>Dec</v>
      </c>
      <c r="T1999" s="9">
        <f>VLOOKUP(O1999, Annual_Summary!A:B, 2, 0)</f>
        <v>0.23827534039334342</v>
      </c>
    </row>
    <row r="2000" spans="1:20" x14ac:dyDescent="0.3">
      <c r="A2000" s="1">
        <v>46013</v>
      </c>
      <c r="B2000" t="s">
        <v>15</v>
      </c>
      <c r="C2000" s="3">
        <v>981.1</v>
      </c>
      <c r="D2000" s="3">
        <v>983</v>
      </c>
      <c r="E2000" s="3">
        <v>972.55</v>
      </c>
      <c r="F2000" s="3">
        <v>980.3</v>
      </c>
      <c r="G2000" s="3">
        <v>974.5</v>
      </c>
      <c r="H2000" s="3">
        <v>974.3</v>
      </c>
      <c r="I2000" s="3">
        <v>975.83</v>
      </c>
      <c r="J2000" s="3">
        <v>999</v>
      </c>
      <c r="K2000" s="3">
        <v>680</v>
      </c>
      <c r="L2000" s="2">
        <v>5959037</v>
      </c>
      <c r="M2000" s="2">
        <v>5815017507.75</v>
      </c>
      <c r="N2000" s="2">
        <v>172900</v>
      </c>
      <c r="O2000" t="s">
        <v>24</v>
      </c>
      <c r="P2000" s="8">
        <f t="shared" si="93"/>
        <v>-0.80000000000006821</v>
      </c>
      <c r="Q2000" t="s">
        <v>39</v>
      </c>
      <c r="R2000">
        <f t="shared" si="94"/>
        <v>12</v>
      </c>
      <c r="S2000" t="str">
        <f t="shared" si="95"/>
        <v>Dec</v>
      </c>
      <c r="T2000" s="9">
        <f>VLOOKUP(O2000, Annual_Summary!A:B, 2, 0)</f>
        <v>0.23827534039334342</v>
      </c>
    </row>
    <row r="2001" spans="1:20" x14ac:dyDescent="0.3">
      <c r="A2001" s="1">
        <v>46010</v>
      </c>
      <c r="B2001" t="s">
        <v>15</v>
      </c>
      <c r="C2001" s="3">
        <v>979.95</v>
      </c>
      <c r="D2001" s="3">
        <v>982</v>
      </c>
      <c r="E2001" s="3">
        <v>977.05</v>
      </c>
      <c r="F2001" s="3">
        <v>977.55</v>
      </c>
      <c r="G2001" s="3">
        <v>980</v>
      </c>
      <c r="H2001" s="3">
        <v>980.3</v>
      </c>
      <c r="I2001" s="3">
        <v>979.9</v>
      </c>
      <c r="J2001" s="3">
        <v>999</v>
      </c>
      <c r="K2001" s="3">
        <v>680</v>
      </c>
      <c r="L2001" s="2">
        <v>5376584</v>
      </c>
      <c r="M2001" s="2">
        <v>5268518860</v>
      </c>
      <c r="N2001" s="2">
        <v>105980</v>
      </c>
      <c r="O2001" t="s">
        <v>24</v>
      </c>
      <c r="P2001" s="8">
        <f t="shared" si="93"/>
        <v>-2.4000000000000909</v>
      </c>
      <c r="Q2001" t="s">
        <v>39</v>
      </c>
      <c r="R2001">
        <f t="shared" si="94"/>
        <v>12</v>
      </c>
      <c r="S2001" t="str">
        <f t="shared" si="95"/>
        <v>Dec</v>
      </c>
      <c r="T2001" s="9">
        <f>VLOOKUP(O2001, Annual_Summary!A:B, 2, 0)</f>
        <v>0.23827534039334342</v>
      </c>
    </row>
    <row r="2002" spans="1:20" x14ac:dyDescent="0.3">
      <c r="A2002" s="1">
        <v>46009</v>
      </c>
      <c r="B2002" t="s">
        <v>15</v>
      </c>
      <c r="C2002" s="3">
        <v>977.9</v>
      </c>
      <c r="D2002" s="3">
        <v>981.45</v>
      </c>
      <c r="E2002" s="3">
        <v>973.5</v>
      </c>
      <c r="F2002" s="3">
        <v>975.85</v>
      </c>
      <c r="G2002" s="3">
        <v>976.5</v>
      </c>
      <c r="H2002" s="3">
        <v>977.55</v>
      </c>
      <c r="I2002" s="3">
        <v>977.85</v>
      </c>
      <c r="J2002" s="3">
        <v>999</v>
      </c>
      <c r="K2002" s="3">
        <v>680</v>
      </c>
      <c r="L2002" s="2">
        <v>4926879</v>
      </c>
      <c r="M2002" s="2">
        <v>4817742809.1499996</v>
      </c>
      <c r="N2002" s="2">
        <v>123255</v>
      </c>
      <c r="O2002" t="s">
        <v>24</v>
      </c>
      <c r="P2002" s="8">
        <f t="shared" si="93"/>
        <v>-2.0499999999999545</v>
      </c>
      <c r="Q2002" t="s">
        <v>39</v>
      </c>
      <c r="R2002">
        <f t="shared" si="94"/>
        <v>12</v>
      </c>
      <c r="S2002" t="str">
        <f t="shared" si="95"/>
        <v>Dec</v>
      </c>
      <c r="T2002" s="9">
        <f>VLOOKUP(O2002, Annual_Summary!A:B, 2, 0)</f>
        <v>0.23827534039334342</v>
      </c>
    </row>
    <row r="2003" spans="1:20" x14ac:dyDescent="0.3">
      <c r="A2003" s="1">
        <v>46008</v>
      </c>
      <c r="B2003" t="s">
        <v>15</v>
      </c>
      <c r="C2003" s="3">
        <v>965.55</v>
      </c>
      <c r="D2003" s="3">
        <v>978.5</v>
      </c>
      <c r="E2003" s="3">
        <v>964.3</v>
      </c>
      <c r="F2003" s="3">
        <v>961.15</v>
      </c>
      <c r="G2003" s="3">
        <v>976.35</v>
      </c>
      <c r="H2003" s="3">
        <v>975.85</v>
      </c>
      <c r="I2003" s="3">
        <v>974.78</v>
      </c>
      <c r="J2003" s="3">
        <v>999</v>
      </c>
      <c r="K2003" s="3">
        <v>680</v>
      </c>
      <c r="L2003" s="2">
        <v>8013382</v>
      </c>
      <c r="M2003" s="2">
        <v>7811301076.0500002</v>
      </c>
      <c r="N2003" s="2">
        <v>157698</v>
      </c>
      <c r="O2003" t="s">
        <v>24</v>
      </c>
      <c r="P2003" s="8">
        <f t="shared" si="93"/>
        <v>-4.3999999999999773</v>
      </c>
      <c r="Q2003" t="s">
        <v>39</v>
      </c>
      <c r="R2003">
        <f t="shared" si="94"/>
        <v>12</v>
      </c>
      <c r="S2003" t="str">
        <f t="shared" si="95"/>
        <v>Dec</v>
      </c>
      <c r="T2003" s="9">
        <f>VLOOKUP(O2003, Annual_Summary!A:B, 2, 0)</f>
        <v>0.23827534039334342</v>
      </c>
    </row>
    <row r="2004" spans="1:20" x14ac:dyDescent="0.3">
      <c r="A2004" s="1">
        <v>46007</v>
      </c>
      <c r="B2004" t="s">
        <v>15</v>
      </c>
      <c r="C2004" s="3">
        <v>966.05</v>
      </c>
      <c r="D2004" s="3">
        <v>969</v>
      </c>
      <c r="E2004" s="3">
        <v>958.05</v>
      </c>
      <c r="F2004" s="3">
        <v>967.25</v>
      </c>
      <c r="G2004" s="3">
        <v>960</v>
      </c>
      <c r="H2004" s="3">
        <v>961.15</v>
      </c>
      <c r="I2004" s="3">
        <v>963.41</v>
      </c>
      <c r="J2004" s="3">
        <v>999</v>
      </c>
      <c r="K2004" s="3">
        <v>680</v>
      </c>
      <c r="L2004" s="2">
        <v>4764786</v>
      </c>
      <c r="M2004" s="2">
        <v>4590446166.5</v>
      </c>
      <c r="N2004" s="2">
        <v>161741</v>
      </c>
      <c r="O2004" t="s">
        <v>24</v>
      </c>
      <c r="P2004" s="8">
        <f t="shared" si="93"/>
        <v>1.2000000000000455</v>
      </c>
      <c r="Q2004" t="s">
        <v>39</v>
      </c>
      <c r="R2004">
        <f t="shared" si="94"/>
        <v>12</v>
      </c>
      <c r="S2004" t="str">
        <f t="shared" si="95"/>
        <v>Dec</v>
      </c>
      <c r="T2004" s="9">
        <f>VLOOKUP(O2004, Annual_Summary!A:B, 2, 0)</f>
        <v>0.23827534039334342</v>
      </c>
    </row>
    <row r="2005" spans="1:20" x14ac:dyDescent="0.3">
      <c r="A2005" s="1">
        <v>46006</v>
      </c>
      <c r="B2005" t="s">
        <v>15</v>
      </c>
      <c r="C2005" s="3">
        <v>957.25</v>
      </c>
      <c r="D2005" s="3">
        <v>968.85</v>
      </c>
      <c r="E2005" s="3">
        <v>957.25</v>
      </c>
      <c r="F2005" s="3">
        <v>963.15</v>
      </c>
      <c r="G2005" s="3">
        <v>966.1</v>
      </c>
      <c r="H2005" s="3">
        <v>967.25</v>
      </c>
      <c r="I2005" s="3">
        <v>964.79</v>
      </c>
      <c r="J2005" s="3">
        <v>999</v>
      </c>
      <c r="K2005" s="3">
        <v>680</v>
      </c>
      <c r="L2005" s="2">
        <v>4416952</v>
      </c>
      <c r="M2005" s="2">
        <v>4261435766.5999999</v>
      </c>
      <c r="N2005" s="2">
        <v>136982</v>
      </c>
      <c r="O2005" t="s">
        <v>24</v>
      </c>
      <c r="P2005" s="8">
        <f t="shared" si="93"/>
        <v>5.8999999999999773</v>
      </c>
      <c r="Q2005" t="s">
        <v>39</v>
      </c>
      <c r="R2005">
        <f t="shared" si="94"/>
        <v>12</v>
      </c>
      <c r="S2005" t="str">
        <f t="shared" si="95"/>
        <v>Dec</v>
      </c>
      <c r="T2005" s="9">
        <f>VLOOKUP(O2005, Annual_Summary!A:B, 2, 0)</f>
        <v>0.23827534039334342</v>
      </c>
    </row>
    <row r="2006" spans="1:20" x14ac:dyDescent="0.3">
      <c r="A2006" s="1">
        <v>46003</v>
      </c>
      <c r="B2006" t="s">
        <v>15</v>
      </c>
      <c r="C2006" s="3">
        <v>966</v>
      </c>
      <c r="D2006" s="3">
        <v>967</v>
      </c>
      <c r="E2006" s="3">
        <v>958</v>
      </c>
      <c r="F2006" s="3">
        <v>963.25</v>
      </c>
      <c r="G2006" s="3">
        <v>962.6</v>
      </c>
      <c r="H2006" s="3">
        <v>963.15</v>
      </c>
      <c r="I2006" s="3">
        <v>961.54</v>
      </c>
      <c r="J2006" s="3">
        <v>999</v>
      </c>
      <c r="K2006" s="3">
        <v>680</v>
      </c>
      <c r="L2006" s="2">
        <v>5681930</v>
      </c>
      <c r="M2006" s="2">
        <v>5463420185.1000004</v>
      </c>
      <c r="N2006" s="2">
        <v>129140</v>
      </c>
      <c r="O2006" t="s">
        <v>24</v>
      </c>
      <c r="P2006" s="8">
        <f t="shared" si="93"/>
        <v>-2.75</v>
      </c>
      <c r="Q2006" t="s">
        <v>39</v>
      </c>
      <c r="R2006">
        <f t="shared" si="94"/>
        <v>12</v>
      </c>
      <c r="S2006" t="str">
        <f t="shared" si="95"/>
        <v>Dec</v>
      </c>
      <c r="T2006" s="9">
        <f>VLOOKUP(O2006, Annual_Summary!A:B, 2, 0)</f>
        <v>0.23827534039334342</v>
      </c>
    </row>
    <row r="2007" spans="1:20" x14ac:dyDescent="0.3">
      <c r="A2007" s="1">
        <v>46002</v>
      </c>
      <c r="B2007" t="s">
        <v>15</v>
      </c>
      <c r="C2007" s="3">
        <v>962.1</v>
      </c>
      <c r="D2007" s="3">
        <v>966.5</v>
      </c>
      <c r="E2007" s="3">
        <v>958.45</v>
      </c>
      <c r="F2007" s="3">
        <v>959.75</v>
      </c>
      <c r="G2007" s="3">
        <v>962.6</v>
      </c>
      <c r="H2007" s="3">
        <v>963.25</v>
      </c>
      <c r="I2007" s="3">
        <v>962.82</v>
      </c>
      <c r="J2007" s="3">
        <v>999</v>
      </c>
      <c r="K2007" s="3">
        <v>680</v>
      </c>
      <c r="L2007" s="2">
        <v>5979035</v>
      </c>
      <c r="M2007" s="2">
        <v>5756726765.5</v>
      </c>
      <c r="N2007" s="2">
        <v>154525</v>
      </c>
      <c r="O2007" t="s">
        <v>24</v>
      </c>
      <c r="P2007" s="8">
        <f t="shared" si="93"/>
        <v>-2.3500000000000227</v>
      </c>
      <c r="Q2007" t="s">
        <v>39</v>
      </c>
      <c r="R2007">
        <f t="shared" si="94"/>
        <v>12</v>
      </c>
      <c r="S2007" t="str">
        <f t="shared" si="95"/>
        <v>Dec</v>
      </c>
      <c r="T2007" s="9">
        <f>VLOOKUP(O2007, Annual_Summary!A:B, 2, 0)</f>
        <v>0.23827534039334342</v>
      </c>
    </row>
    <row r="2008" spans="1:20" x14ac:dyDescent="0.3">
      <c r="A2008" s="1">
        <v>46001</v>
      </c>
      <c r="B2008" t="s">
        <v>15</v>
      </c>
      <c r="C2008" s="3">
        <v>960.1</v>
      </c>
      <c r="D2008" s="3">
        <v>963.95</v>
      </c>
      <c r="E2008" s="3">
        <v>955.25</v>
      </c>
      <c r="F2008" s="3">
        <v>959.35</v>
      </c>
      <c r="G2008" s="3">
        <v>958</v>
      </c>
      <c r="H2008" s="3">
        <v>959.75</v>
      </c>
      <c r="I2008" s="3">
        <v>958.76</v>
      </c>
      <c r="J2008" s="3">
        <v>999</v>
      </c>
      <c r="K2008" s="3">
        <v>680</v>
      </c>
      <c r="L2008" s="2">
        <v>6989178</v>
      </c>
      <c r="M2008" s="2">
        <v>6700963054.3500004</v>
      </c>
      <c r="N2008" s="2">
        <v>130262</v>
      </c>
      <c r="O2008" t="s">
        <v>24</v>
      </c>
      <c r="P2008" s="8">
        <f t="shared" si="93"/>
        <v>-0.75</v>
      </c>
      <c r="Q2008" t="s">
        <v>39</v>
      </c>
      <c r="R2008">
        <f t="shared" si="94"/>
        <v>12</v>
      </c>
      <c r="S2008" t="str">
        <f t="shared" si="95"/>
        <v>Dec</v>
      </c>
      <c r="T2008" s="9">
        <f>VLOOKUP(O2008, Annual_Summary!A:B, 2, 0)</f>
        <v>0.23827534039334342</v>
      </c>
    </row>
    <row r="2009" spans="1:20" x14ac:dyDescent="0.3">
      <c r="A2009" s="1">
        <v>46000</v>
      </c>
      <c r="B2009" t="s">
        <v>15</v>
      </c>
      <c r="C2009" s="3">
        <v>954.8</v>
      </c>
      <c r="D2009" s="3">
        <v>964</v>
      </c>
      <c r="E2009" s="3">
        <v>950.45</v>
      </c>
      <c r="F2009" s="3">
        <v>956.4</v>
      </c>
      <c r="G2009" s="3">
        <v>960.5</v>
      </c>
      <c r="H2009" s="3">
        <v>959.35</v>
      </c>
      <c r="I2009" s="3">
        <v>959.08</v>
      </c>
      <c r="J2009" s="3">
        <v>999</v>
      </c>
      <c r="K2009" s="3">
        <v>680</v>
      </c>
      <c r="L2009" s="2">
        <v>9580294</v>
      </c>
      <c r="M2009" s="2">
        <v>9188300245.9500008</v>
      </c>
      <c r="N2009" s="2">
        <v>196017</v>
      </c>
      <c r="O2009" t="s">
        <v>24</v>
      </c>
      <c r="P2009" s="8">
        <f t="shared" si="93"/>
        <v>1.6000000000000227</v>
      </c>
      <c r="Q2009" t="s">
        <v>39</v>
      </c>
      <c r="R2009">
        <f t="shared" si="94"/>
        <v>12</v>
      </c>
      <c r="S2009" t="str">
        <f t="shared" si="95"/>
        <v>Dec</v>
      </c>
      <c r="T2009" s="9">
        <f>VLOOKUP(O2009, Annual_Summary!A:B, 2, 0)</f>
        <v>0.23827534039334342</v>
      </c>
    </row>
    <row r="2010" spans="1:20" x14ac:dyDescent="0.3">
      <c r="A2010" s="1">
        <v>45999</v>
      </c>
      <c r="B2010" t="s">
        <v>15</v>
      </c>
      <c r="C2010" s="3">
        <v>970.85</v>
      </c>
      <c r="D2010" s="3">
        <v>972.5</v>
      </c>
      <c r="E2010" s="3">
        <v>951.7</v>
      </c>
      <c r="F2010" s="3">
        <v>971.5</v>
      </c>
      <c r="G2010" s="3">
        <v>955.4</v>
      </c>
      <c r="H2010" s="3">
        <v>956.4</v>
      </c>
      <c r="I2010" s="3">
        <v>957.71</v>
      </c>
      <c r="J2010" s="3">
        <v>999</v>
      </c>
      <c r="K2010" s="3">
        <v>680</v>
      </c>
      <c r="L2010" s="2">
        <v>15386438</v>
      </c>
      <c r="M2010" s="2">
        <v>14735761731.15</v>
      </c>
      <c r="N2010" s="2">
        <v>201129</v>
      </c>
      <c r="O2010" t="s">
        <v>24</v>
      </c>
      <c r="P2010" s="8">
        <f t="shared" si="93"/>
        <v>0.64999999999997726</v>
      </c>
      <c r="Q2010" t="s">
        <v>39</v>
      </c>
      <c r="R2010">
        <f t="shared" si="94"/>
        <v>12</v>
      </c>
      <c r="S2010" t="str">
        <f t="shared" si="95"/>
        <v>Dec</v>
      </c>
      <c r="T2010" s="9">
        <f>VLOOKUP(O2010, Annual_Summary!A:B, 2, 0)</f>
        <v>0.23827534039334342</v>
      </c>
    </row>
    <row r="2011" spans="1:20" x14ac:dyDescent="0.3">
      <c r="A2011" s="1">
        <v>45996</v>
      </c>
      <c r="B2011" t="s">
        <v>15</v>
      </c>
      <c r="C2011" s="3">
        <v>948.85</v>
      </c>
      <c r="D2011" s="3">
        <v>973.3</v>
      </c>
      <c r="E2011" s="3">
        <v>946.7</v>
      </c>
      <c r="F2011" s="3">
        <v>948.1</v>
      </c>
      <c r="G2011" s="3">
        <v>971.7</v>
      </c>
      <c r="H2011" s="3">
        <v>971.5</v>
      </c>
      <c r="I2011" s="3">
        <v>961.57</v>
      </c>
      <c r="J2011" s="3">
        <v>999</v>
      </c>
      <c r="K2011" s="3">
        <v>680</v>
      </c>
      <c r="L2011" s="2">
        <v>17347847</v>
      </c>
      <c r="M2011" s="2">
        <v>16681238338.6</v>
      </c>
      <c r="N2011" s="2">
        <v>190193</v>
      </c>
      <c r="O2011" t="s">
        <v>24</v>
      </c>
      <c r="P2011" s="8">
        <f t="shared" si="93"/>
        <v>-0.75</v>
      </c>
      <c r="Q2011" t="s">
        <v>39</v>
      </c>
      <c r="R2011">
        <f t="shared" si="94"/>
        <v>12</v>
      </c>
      <c r="S2011" t="str">
        <f t="shared" si="95"/>
        <v>Dec</v>
      </c>
      <c r="T2011" s="9">
        <f>VLOOKUP(O2011, Annual_Summary!A:B, 2, 0)</f>
        <v>0.23827534039334342</v>
      </c>
    </row>
    <row r="2012" spans="1:20" x14ac:dyDescent="0.3">
      <c r="A2012" s="1">
        <v>45995</v>
      </c>
      <c r="B2012" t="s">
        <v>15</v>
      </c>
      <c r="C2012" s="3">
        <v>951.05</v>
      </c>
      <c r="D2012" s="3">
        <v>952.55</v>
      </c>
      <c r="E2012" s="3">
        <v>944.45</v>
      </c>
      <c r="F2012" s="3">
        <v>951.05</v>
      </c>
      <c r="G2012" s="3">
        <v>948.8</v>
      </c>
      <c r="H2012" s="3">
        <v>948.1</v>
      </c>
      <c r="I2012" s="3">
        <v>947.46</v>
      </c>
      <c r="J2012" s="3">
        <v>999</v>
      </c>
      <c r="K2012" s="3">
        <v>680</v>
      </c>
      <c r="L2012" s="2">
        <v>13622724</v>
      </c>
      <c r="M2012" s="2">
        <v>12907004315.15</v>
      </c>
      <c r="N2012" s="2">
        <v>272677</v>
      </c>
      <c r="O2012" t="s">
        <v>24</v>
      </c>
      <c r="P2012" s="8">
        <f t="shared" si="93"/>
        <v>0</v>
      </c>
      <c r="Q2012" t="s">
        <v>39</v>
      </c>
      <c r="R2012">
        <f t="shared" si="94"/>
        <v>12</v>
      </c>
      <c r="S2012" t="str">
        <f t="shared" si="95"/>
        <v>Dec</v>
      </c>
      <c r="T2012" s="9">
        <f>VLOOKUP(O2012, Annual_Summary!A:B, 2, 0)</f>
        <v>0.23827534039334342</v>
      </c>
    </row>
    <row r="2013" spans="1:20" x14ac:dyDescent="0.3">
      <c r="A2013" s="1">
        <v>45994</v>
      </c>
      <c r="B2013" t="s">
        <v>15</v>
      </c>
      <c r="C2013" s="3">
        <v>970.45</v>
      </c>
      <c r="D2013" s="3">
        <v>972.55</v>
      </c>
      <c r="E2013" s="3">
        <v>947.55</v>
      </c>
      <c r="F2013" s="3">
        <v>967.3</v>
      </c>
      <c r="G2013" s="3">
        <v>950.8</v>
      </c>
      <c r="H2013" s="3">
        <v>951.05</v>
      </c>
      <c r="I2013" s="3">
        <v>952.61</v>
      </c>
      <c r="J2013" s="3">
        <v>999</v>
      </c>
      <c r="K2013" s="3">
        <v>680</v>
      </c>
      <c r="L2013" s="2">
        <v>14051968</v>
      </c>
      <c r="M2013" s="2">
        <v>13385990295.85</v>
      </c>
      <c r="N2013" s="2">
        <v>233255</v>
      </c>
      <c r="O2013" t="s">
        <v>24</v>
      </c>
      <c r="P2013" s="8">
        <f t="shared" si="93"/>
        <v>-3.1500000000000909</v>
      </c>
      <c r="Q2013" t="s">
        <v>39</v>
      </c>
      <c r="R2013">
        <f t="shared" si="94"/>
        <v>12</v>
      </c>
      <c r="S2013" t="str">
        <f t="shared" si="95"/>
        <v>Dec</v>
      </c>
      <c r="T2013" s="9">
        <f>VLOOKUP(O2013, Annual_Summary!A:B, 2, 0)</f>
        <v>0.23827534039334342</v>
      </c>
    </row>
    <row r="2014" spans="1:20" x14ac:dyDescent="0.3">
      <c r="A2014" s="1">
        <v>45993</v>
      </c>
      <c r="B2014" t="s">
        <v>15</v>
      </c>
      <c r="C2014" s="3">
        <v>976</v>
      </c>
      <c r="D2014" s="3">
        <v>980.45</v>
      </c>
      <c r="E2014" s="3">
        <v>964.9</v>
      </c>
      <c r="F2014" s="3">
        <v>973.1</v>
      </c>
      <c r="G2014" s="3">
        <v>969.9</v>
      </c>
      <c r="H2014" s="3">
        <v>967.3</v>
      </c>
      <c r="I2014" s="3">
        <v>973.23</v>
      </c>
      <c r="J2014" s="3">
        <v>999</v>
      </c>
      <c r="K2014" s="3">
        <v>680</v>
      </c>
      <c r="L2014" s="2">
        <v>13444314</v>
      </c>
      <c r="M2014" s="2">
        <v>13084353756.450001</v>
      </c>
      <c r="N2014" s="2">
        <v>177697</v>
      </c>
      <c r="O2014" t="s">
        <v>24</v>
      </c>
      <c r="P2014" s="8">
        <f t="shared" si="93"/>
        <v>-2.8999999999999773</v>
      </c>
      <c r="Q2014" t="s">
        <v>39</v>
      </c>
      <c r="R2014">
        <f t="shared" si="94"/>
        <v>12</v>
      </c>
      <c r="S2014" t="str">
        <f t="shared" si="95"/>
        <v>Dec</v>
      </c>
      <c r="T2014" s="9">
        <f>VLOOKUP(O2014, Annual_Summary!A:B, 2, 0)</f>
        <v>0.23827534039334342</v>
      </c>
    </row>
    <row r="2015" spans="1:20" x14ac:dyDescent="0.3">
      <c r="A2015" s="1">
        <v>45992</v>
      </c>
      <c r="B2015" t="s">
        <v>15</v>
      </c>
      <c r="C2015" s="3">
        <v>985.45</v>
      </c>
      <c r="D2015" s="3">
        <v>991.2</v>
      </c>
      <c r="E2015" s="3">
        <v>969.85</v>
      </c>
      <c r="F2015" s="3">
        <v>979</v>
      </c>
      <c r="G2015" s="3">
        <v>972.6</v>
      </c>
      <c r="H2015" s="3">
        <v>973.1</v>
      </c>
      <c r="I2015" s="3">
        <v>979.16</v>
      </c>
      <c r="J2015" s="3">
        <v>999</v>
      </c>
      <c r="K2015" s="3">
        <v>680</v>
      </c>
      <c r="L2015" s="2">
        <v>8808306</v>
      </c>
      <c r="M2015" s="2">
        <v>8624752864.4500008</v>
      </c>
      <c r="N2015" s="2">
        <v>237856</v>
      </c>
      <c r="O2015" t="s">
        <v>24</v>
      </c>
      <c r="P2015" s="8">
        <f t="shared" si="93"/>
        <v>-6.4500000000000455</v>
      </c>
      <c r="Q2015" t="s">
        <v>39</v>
      </c>
      <c r="R2015">
        <f t="shared" si="94"/>
        <v>12</v>
      </c>
      <c r="S2015" t="str">
        <f t="shared" si="95"/>
        <v>Dec</v>
      </c>
      <c r="T2015" s="9">
        <f>VLOOKUP(O2015, Annual_Summary!A:B, 2, 0)</f>
        <v>0.23827534039334342</v>
      </c>
    </row>
    <row r="2016" spans="1:20" x14ac:dyDescent="0.3">
      <c r="A2016" s="1">
        <v>45989</v>
      </c>
      <c r="B2016" t="s">
        <v>15</v>
      </c>
      <c r="C2016" s="3">
        <v>976.8</v>
      </c>
      <c r="D2016" s="3">
        <v>983</v>
      </c>
      <c r="E2016" s="3">
        <v>973.05</v>
      </c>
      <c r="F2016" s="3">
        <v>972.85</v>
      </c>
      <c r="G2016" s="3">
        <v>976.35</v>
      </c>
      <c r="H2016" s="3">
        <v>979</v>
      </c>
      <c r="I2016" s="3">
        <v>978.89</v>
      </c>
      <c r="J2016" s="3">
        <v>999</v>
      </c>
      <c r="K2016" s="3">
        <v>680</v>
      </c>
      <c r="L2016" s="2">
        <v>8117842</v>
      </c>
      <c r="M2016" s="2">
        <v>7946440355</v>
      </c>
      <c r="N2016" s="2">
        <v>150394</v>
      </c>
      <c r="O2016" t="s">
        <v>24</v>
      </c>
      <c r="P2016" s="8">
        <f t="shared" si="93"/>
        <v>-3.9499999999999318</v>
      </c>
      <c r="Q2016" t="s">
        <v>39</v>
      </c>
      <c r="R2016">
        <f t="shared" si="94"/>
        <v>11</v>
      </c>
      <c r="S2016" t="str">
        <f t="shared" si="95"/>
        <v>Nov</v>
      </c>
      <c r="T2016" s="9">
        <f>VLOOKUP(O2016, Annual_Summary!A:B, 2, 0)</f>
        <v>0.23827534039334342</v>
      </c>
    </row>
    <row r="2017" spans="1:20" x14ac:dyDescent="0.3">
      <c r="A2017" s="1">
        <v>45988</v>
      </c>
      <c r="B2017" t="s">
        <v>15</v>
      </c>
      <c r="C2017" s="3">
        <v>986.7</v>
      </c>
      <c r="D2017" s="3">
        <v>988.55</v>
      </c>
      <c r="E2017" s="3">
        <v>968.9</v>
      </c>
      <c r="F2017" s="3">
        <v>983.9</v>
      </c>
      <c r="G2017" s="3">
        <v>973</v>
      </c>
      <c r="H2017" s="3">
        <v>972.85</v>
      </c>
      <c r="I2017" s="3">
        <v>975.62</v>
      </c>
      <c r="J2017" s="3">
        <v>999</v>
      </c>
      <c r="K2017" s="3">
        <v>680</v>
      </c>
      <c r="L2017" s="2">
        <v>11909168</v>
      </c>
      <c r="M2017" s="2">
        <v>11618805034.200001</v>
      </c>
      <c r="N2017" s="2">
        <v>174267</v>
      </c>
      <c r="O2017" t="s">
        <v>24</v>
      </c>
      <c r="P2017" s="8">
        <f t="shared" si="93"/>
        <v>-2.8000000000000682</v>
      </c>
      <c r="Q2017" t="s">
        <v>39</v>
      </c>
      <c r="R2017">
        <f t="shared" si="94"/>
        <v>11</v>
      </c>
      <c r="S2017" t="str">
        <f t="shared" si="95"/>
        <v>Nov</v>
      </c>
      <c r="T2017" s="9">
        <f>VLOOKUP(O2017, Annual_Summary!A:B, 2, 0)</f>
        <v>0.23827534039334342</v>
      </c>
    </row>
    <row r="2018" spans="1:20" x14ac:dyDescent="0.3">
      <c r="A2018" s="1">
        <v>45987</v>
      </c>
      <c r="B2018" t="s">
        <v>15</v>
      </c>
      <c r="C2018" s="3">
        <v>986.6</v>
      </c>
      <c r="D2018" s="3">
        <v>999</v>
      </c>
      <c r="E2018" s="3">
        <v>982.15</v>
      </c>
      <c r="F2018" s="3">
        <v>983.6</v>
      </c>
      <c r="G2018" s="3">
        <v>983.05</v>
      </c>
      <c r="H2018" s="3">
        <v>983.9</v>
      </c>
      <c r="I2018" s="3">
        <v>989.4</v>
      </c>
      <c r="J2018" s="3">
        <v>999</v>
      </c>
      <c r="K2018" s="3">
        <v>680</v>
      </c>
      <c r="L2018" s="2">
        <v>13943490</v>
      </c>
      <c r="M2018" s="2">
        <v>13795695016.85</v>
      </c>
      <c r="N2018" s="2">
        <v>178538</v>
      </c>
      <c r="O2018" t="s">
        <v>24</v>
      </c>
      <c r="P2018" s="8">
        <f t="shared" si="93"/>
        <v>-3</v>
      </c>
      <c r="Q2018" t="s">
        <v>39</v>
      </c>
      <c r="R2018">
        <f t="shared" si="94"/>
        <v>11</v>
      </c>
      <c r="S2018" t="str">
        <f t="shared" si="95"/>
        <v>Nov</v>
      </c>
      <c r="T2018" s="9">
        <f>VLOOKUP(O2018, Annual_Summary!A:B, 2, 0)</f>
        <v>0.23827534039334342</v>
      </c>
    </row>
    <row r="2019" spans="1:20" x14ac:dyDescent="0.3">
      <c r="A2019" s="1">
        <v>45986</v>
      </c>
      <c r="B2019" t="s">
        <v>15</v>
      </c>
      <c r="C2019" s="3">
        <v>975.55</v>
      </c>
      <c r="D2019" s="3">
        <v>988.95</v>
      </c>
      <c r="E2019" s="3">
        <v>971.35</v>
      </c>
      <c r="F2019" s="3">
        <v>970.6</v>
      </c>
      <c r="G2019" s="3">
        <v>983.5</v>
      </c>
      <c r="H2019" s="3">
        <v>983.6</v>
      </c>
      <c r="I2019" s="3">
        <v>983.32</v>
      </c>
      <c r="J2019" s="3">
        <v>988.95</v>
      </c>
      <c r="K2019" s="3">
        <v>680</v>
      </c>
      <c r="L2019" s="2">
        <v>9140201</v>
      </c>
      <c r="M2019" s="2">
        <v>8987762034.8999996</v>
      </c>
      <c r="N2019" s="2">
        <v>207975</v>
      </c>
      <c r="O2019" t="s">
        <v>24</v>
      </c>
      <c r="P2019" s="8">
        <f t="shared" si="93"/>
        <v>-4.9499999999999318</v>
      </c>
      <c r="Q2019" t="s">
        <v>39</v>
      </c>
      <c r="R2019">
        <f t="shared" si="94"/>
        <v>11</v>
      </c>
      <c r="S2019" t="str">
        <f t="shared" si="95"/>
        <v>Nov</v>
      </c>
      <c r="T2019" s="9">
        <f>VLOOKUP(O2019, Annual_Summary!A:B, 2, 0)</f>
        <v>0.23827534039334342</v>
      </c>
    </row>
    <row r="2020" spans="1:20" x14ac:dyDescent="0.3">
      <c r="A2020" s="1">
        <v>45985</v>
      </c>
      <c r="B2020" t="s">
        <v>15</v>
      </c>
      <c r="C2020" s="3">
        <v>975.55</v>
      </c>
      <c r="D2020" s="3">
        <v>977.7</v>
      </c>
      <c r="E2020" s="3">
        <v>968.05</v>
      </c>
      <c r="F2020" s="3">
        <v>972.6</v>
      </c>
      <c r="G2020" s="3">
        <v>969.7</v>
      </c>
      <c r="H2020" s="3">
        <v>970.6</v>
      </c>
      <c r="I2020" s="3">
        <v>972.3</v>
      </c>
      <c r="J2020" s="3">
        <v>986.6</v>
      </c>
      <c r="K2020" s="3">
        <v>680</v>
      </c>
      <c r="L2020" s="2">
        <v>9901946</v>
      </c>
      <c r="M2020" s="2">
        <v>9627696202.3999996</v>
      </c>
      <c r="N2020" s="2">
        <v>112062</v>
      </c>
      <c r="O2020" t="s">
        <v>24</v>
      </c>
      <c r="P2020" s="8">
        <f t="shared" si="93"/>
        <v>-2.9499999999999318</v>
      </c>
      <c r="Q2020" t="s">
        <v>39</v>
      </c>
      <c r="R2020">
        <f t="shared" si="94"/>
        <v>11</v>
      </c>
      <c r="S2020" t="str">
        <f t="shared" si="95"/>
        <v>Nov</v>
      </c>
      <c r="T2020" s="9">
        <f>VLOOKUP(O2020, Annual_Summary!A:B, 2, 0)</f>
        <v>0.23827534039334342</v>
      </c>
    </row>
    <row r="2021" spans="1:20" x14ac:dyDescent="0.3">
      <c r="A2021" s="1">
        <v>45982</v>
      </c>
      <c r="B2021" t="s">
        <v>15</v>
      </c>
      <c r="C2021" s="3">
        <v>979.7</v>
      </c>
      <c r="D2021" s="3">
        <v>980.6</v>
      </c>
      <c r="E2021" s="3">
        <v>971.05</v>
      </c>
      <c r="F2021" s="3">
        <v>981.55</v>
      </c>
      <c r="G2021" s="3">
        <v>972.45</v>
      </c>
      <c r="H2021" s="3">
        <v>972.6</v>
      </c>
      <c r="I2021" s="3">
        <v>975.11</v>
      </c>
      <c r="J2021" s="3">
        <v>986.6</v>
      </c>
      <c r="K2021" s="3">
        <v>680</v>
      </c>
      <c r="L2021" s="2">
        <v>5377241</v>
      </c>
      <c r="M2021" s="2">
        <v>5243409986.1499996</v>
      </c>
      <c r="N2021" s="2">
        <v>113553</v>
      </c>
      <c r="O2021" t="s">
        <v>24</v>
      </c>
      <c r="P2021" s="8">
        <f t="shared" si="93"/>
        <v>1.8499999999999091</v>
      </c>
      <c r="Q2021" t="s">
        <v>39</v>
      </c>
      <c r="R2021">
        <f t="shared" si="94"/>
        <v>11</v>
      </c>
      <c r="S2021" t="str">
        <f t="shared" si="95"/>
        <v>Nov</v>
      </c>
      <c r="T2021" s="9">
        <f>VLOOKUP(O2021, Annual_Summary!A:B, 2, 0)</f>
        <v>0.23827534039334342</v>
      </c>
    </row>
    <row r="2022" spans="1:20" x14ac:dyDescent="0.3">
      <c r="A2022" s="1">
        <v>45981</v>
      </c>
      <c r="B2022" t="s">
        <v>15</v>
      </c>
      <c r="C2022" s="3">
        <v>986</v>
      </c>
      <c r="D2022" s="3">
        <v>986.6</v>
      </c>
      <c r="E2022" s="3">
        <v>979.35</v>
      </c>
      <c r="F2022" s="3">
        <v>982.75</v>
      </c>
      <c r="G2022" s="3">
        <v>981.05</v>
      </c>
      <c r="H2022" s="3">
        <v>981.55</v>
      </c>
      <c r="I2022" s="3">
        <v>982.12</v>
      </c>
      <c r="J2022" s="3">
        <v>986.6</v>
      </c>
      <c r="K2022" s="3">
        <v>680</v>
      </c>
      <c r="L2022" s="2">
        <v>6440857</v>
      </c>
      <c r="M2022" s="2">
        <v>6325685464.1000004</v>
      </c>
      <c r="N2022" s="2">
        <v>139178</v>
      </c>
      <c r="O2022" t="s">
        <v>24</v>
      </c>
      <c r="P2022" s="8">
        <f t="shared" si="93"/>
        <v>-3.25</v>
      </c>
      <c r="Q2022" t="s">
        <v>39</v>
      </c>
      <c r="R2022">
        <f t="shared" si="94"/>
        <v>11</v>
      </c>
      <c r="S2022" t="str">
        <f t="shared" si="95"/>
        <v>Nov</v>
      </c>
      <c r="T2022" s="9">
        <f>VLOOKUP(O2022, Annual_Summary!A:B, 2, 0)</f>
        <v>0.23827534039334342</v>
      </c>
    </row>
    <row r="2023" spans="1:20" x14ac:dyDescent="0.3">
      <c r="A2023" s="1">
        <v>45980</v>
      </c>
      <c r="B2023" t="s">
        <v>15</v>
      </c>
      <c r="C2023" s="3">
        <v>972.45</v>
      </c>
      <c r="D2023" s="3">
        <v>984.45</v>
      </c>
      <c r="E2023" s="3">
        <v>968.8</v>
      </c>
      <c r="F2023" s="3">
        <v>972.45</v>
      </c>
      <c r="G2023" s="3">
        <v>980.5</v>
      </c>
      <c r="H2023" s="3">
        <v>982.75</v>
      </c>
      <c r="I2023" s="3">
        <v>979.31</v>
      </c>
      <c r="J2023" s="3">
        <v>984.45</v>
      </c>
      <c r="K2023" s="3">
        <v>680</v>
      </c>
      <c r="L2023" s="2">
        <v>8291226</v>
      </c>
      <c r="M2023" s="2">
        <v>8119687856.8000002</v>
      </c>
      <c r="N2023" s="2">
        <v>142097</v>
      </c>
      <c r="O2023" t="s">
        <v>24</v>
      </c>
      <c r="P2023" s="8">
        <f t="shared" si="93"/>
        <v>0</v>
      </c>
      <c r="Q2023" t="s">
        <v>39</v>
      </c>
      <c r="R2023">
        <f t="shared" si="94"/>
        <v>11</v>
      </c>
      <c r="S2023" t="str">
        <f t="shared" si="95"/>
        <v>Nov</v>
      </c>
      <c r="T2023" s="9">
        <f>VLOOKUP(O2023, Annual_Summary!A:B, 2, 0)</f>
        <v>0.23827534039334342</v>
      </c>
    </row>
    <row r="2024" spans="1:20" x14ac:dyDescent="0.3">
      <c r="A2024" s="1">
        <v>45979</v>
      </c>
      <c r="B2024" t="s">
        <v>15</v>
      </c>
      <c r="C2024" s="3">
        <v>975.6</v>
      </c>
      <c r="D2024" s="3">
        <v>976.7</v>
      </c>
      <c r="E2024" s="3">
        <v>968.85</v>
      </c>
      <c r="F2024" s="3">
        <v>973.35</v>
      </c>
      <c r="G2024" s="3">
        <v>971.3</v>
      </c>
      <c r="H2024" s="3">
        <v>972.45</v>
      </c>
      <c r="I2024" s="3">
        <v>972.74</v>
      </c>
      <c r="J2024" s="3">
        <v>976.7</v>
      </c>
      <c r="K2024" s="3">
        <v>680</v>
      </c>
      <c r="L2024" s="2">
        <v>6594686</v>
      </c>
      <c r="M2024" s="2">
        <v>6414942374.6499996</v>
      </c>
      <c r="N2024" s="2">
        <v>107945</v>
      </c>
      <c r="O2024" t="s">
        <v>24</v>
      </c>
      <c r="P2024" s="8">
        <f t="shared" si="93"/>
        <v>-2.25</v>
      </c>
      <c r="Q2024" t="s">
        <v>39</v>
      </c>
      <c r="R2024">
        <f t="shared" si="94"/>
        <v>11</v>
      </c>
      <c r="S2024" t="str">
        <f t="shared" si="95"/>
        <v>Nov</v>
      </c>
      <c r="T2024" s="9">
        <f>VLOOKUP(O2024, Annual_Summary!A:B, 2, 0)</f>
        <v>0.23827534039334342</v>
      </c>
    </row>
    <row r="2025" spans="1:20" x14ac:dyDescent="0.3">
      <c r="A2025" s="1">
        <v>45978</v>
      </c>
      <c r="B2025" t="s">
        <v>15</v>
      </c>
      <c r="C2025" s="3">
        <v>971</v>
      </c>
      <c r="D2025" s="3">
        <v>976</v>
      </c>
      <c r="E2025" s="3">
        <v>968.5</v>
      </c>
      <c r="F2025" s="3">
        <v>967.85</v>
      </c>
      <c r="G2025" s="3">
        <v>973</v>
      </c>
      <c r="H2025" s="3">
        <v>973.35</v>
      </c>
      <c r="I2025" s="3">
        <v>973.09</v>
      </c>
      <c r="J2025" s="3">
        <v>976</v>
      </c>
      <c r="K2025" s="3">
        <v>680</v>
      </c>
      <c r="L2025" s="2">
        <v>7415026</v>
      </c>
      <c r="M2025" s="2">
        <v>7215488915.0500002</v>
      </c>
      <c r="N2025" s="2">
        <v>117287</v>
      </c>
      <c r="O2025" t="s">
        <v>24</v>
      </c>
      <c r="P2025" s="8">
        <f t="shared" si="93"/>
        <v>-3.1499999999999773</v>
      </c>
      <c r="Q2025" t="s">
        <v>39</v>
      </c>
      <c r="R2025">
        <f t="shared" si="94"/>
        <v>11</v>
      </c>
      <c r="S2025" t="str">
        <f t="shared" si="95"/>
        <v>Nov</v>
      </c>
      <c r="T2025" s="9">
        <f>VLOOKUP(O2025, Annual_Summary!A:B, 2, 0)</f>
        <v>0.23827534039334342</v>
      </c>
    </row>
    <row r="2026" spans="1:20" x14ac:dyDescent="0.3">
      <c r="A2026" s="1">
        <v>45975</v>
      </c>
      <c r="B2026" t="s">
        <v>15</v>
      </c>
      <c r="C2026" s="3">
        <v>952.95</v>
      </c>
      <c r="D2026" s="3">
        <v>969.05</v>
      </c>
      <c r="E2026" s="3">
        <v>952</v>
      </c>
      <c r="F2026" s="3">
        <v>954</v>
      </c>
      <c r="G2026" s="3">
        <v>967.95</v>
      </c>
      <c r="H2026" s="3">
        <v>967.85</v>
      </c>
      <c r="I2026" s="3">
        <v>962.38</v>
      </c>
      <c r="J2026" s="3">
        <v>971.4</v>
      </c>
      <c r="K2026" s="3">
        <v>680</v>
      </c>
      <c r="L2026" s="2">
        <v>11032927</v>
      </c>
      <c r="M2026" s="2">
        <v>10617844264.950001</v>
      </c>
      <c r="N2026" s="2">
        <v>191862</v>
      </c>
      <c r="O2026" t="s">
        <v>24</v>
      </c>
      <c r="P2026" s="8">
        <f t="shared" si="93"/>
        <v>1.0499999999999545</v>
      </c>
      <c r="Q2026" t="s">
        <v>39</v>
      </c>
      <c r="R2026">
        <f t="shared" si="94"/>
        <v>11</v>
      </c>
      <c r="S2026" t="str">
        <f t="shared" si="95"/>
        <v>Nov</v>
      </c>
      <c r="T2026" s="9">
        <f>VLOOKUP(O2026, Annual_Summary!A:B, 2, 0)</f>
        <v>0.23827534039334342</v>
      </c>
    </row>
    <row r="2027" spans="1:20" x14ac:dyDescent="0.3">
      <c r="A2027" s="1">
        <v>45974</v>
      </c>
      <c r="B2027" t="s">
        <v>15</v>
      </c>
      <c r="C2027" s="3">
        <v>954.25</v>
      </c>
      <c r="D2027" s="3">
        <v>963.95</v>
      </c>
      <c r="E2027" s="3">
        <v>952.45</v>
      </c>
      <c r="F2027" s="3">
        <v>957.15</v>
      </c>
      <c r="G2027" s="3">
        <v>954.9</v>
      </c>
      <c r="H2027" s="3">
        <v>954</v>
      </c>
      <c r="I2027" s="3">
        <v>957.93</v>
      </c>
      <c r="J2027" s="3">
        <v>971.4</v>
      </c>
      <c r="K2027" s="3">
        <v>680</v>
      </c>
      <c r="L2027" s="2">
        <v>8894441</v>
      </c>
      <c r="M2027" s="2">
        <v>8520261380.6999998</v>
      </c>
      <c r="N2027" s="2">
        <v>164831</v>
      </c>
      <c r="O2027" t="s">
        <v>24</v>
      </c>
      <c r="P2027" s="8">
        <f t="shared" si="93"/>
        <v>2.8999999999999773</v>
      </c>
      <c r="Q2027" t="s">
        <v>39</v>
      </c>
      <c r="R2027">
        <f t="shared" si="94"/>
        <v>11</v>
      </c>
      <c r="S2027" t="str">
        <f t="shared" si="95"/>
        <v>Nov</v>
      </c>
      <c r="T2027" s="9">
        <f>VLOOKUP(O2027, Annual_Summary!A:B, 2, 0)</f>
        <v>0.23827534039334342</v>
      </c>
    </row>
    <row r="2028" spans="1:20" x14ac:dyDescent="0.3">
      <c r="A2028" s="1">
        <v>45973</v>
      </c>
      <c r="B2028" t="s">
        <v>15</v>
      </c>
      <c r="C2028" s="3">
        <v>957.7</v>
      </c>
      <c r="D2028" s="3">
        <v>961.55</v>
      </c>
      <c r="E2028" s="3">
        <v>951.4</v>
      </c>
      <c r="F2028" s="3">
        <v>953.3</v>
      </c>
      <c r="G2028" s="3">
        <v>953.7</v>
      </c>
      <c r="H2028" s="3">
        <v>957.15</v>
      </c>
      <c r="I2028" s="3">
        <v>958.12</v>
      </c>
      <c r="J2028" s="3">
        <v>971.4</v>
      </c>
      <c r="K2028" s="3">
        <v>680</v>
      </c>
      <c r="L2028" s="2">
        <v>7043323</v>
      </c>
      <c r="M2028" s="2">
        <v>6748339960.1000004</v>
      </c>
      <c r="N2028" s="2">
        <v>135063</v>
      </c>
      <c r="O2028" t="s">
        <v>24</v>
      </c>
      <c r="P2028" s="8">
        <f t="shared" si="93"/>
        <v>-4.4000000000000909</v>
      </c>
      <c r="Q2028" t="s">
        <v>39</v>
      </c>
      <c r="R2028">
        <f t="shared" si="94"/>
        <v>11</v>
      </c>
      <c r="S2028" t="str">
        <f t="shared" si="95"/>
        <v>Nov</v>
      </c>
      <c r="T2028" s="9">
        <f>VLOOKUP(O2028, Annual_Summary!A:B, 2, 0)</f>
        <v>0.23827534039334342</v>
      </c>
    </row>
    <row r="2029" spans="1:20" x14ac:dyDescent="0.3">
      <c r="A2029" s="1">
        <v>45972</v>
      </c>
      <c r="B2029" t="s">
        <v>15</v>
      </c>
      <c r="C2029" s="3">
        <v>953.6</v>
      </c>
      <c r="D2029" s="3">
        <v>954.95</v>
      </c>
      <c r="E2029" s="3">
        <v>945.05</v>
      </c>
      <c r="F2029" s="3">
        <v>951.15</v>
      </c>
      <c r="G2029" s="3">
        <v>954</v>
      </c>
      <c r="H2029" s="3">
        <v>953.3</v>
      </c>
      <c r="I2029" s="3">
        <v>951.16</v>
      </c>
      <c r="J2029" s="3">
        <v>971.4</v>
      </c>
      <c r="K2029" s="3">
        <v>680</v>
      </c>
      <c r="L2029" s="2">
        <v>8648917</v>
      </c>
      <c r="M2029" s="2">
        <v>8226498757.9499998</v>
      </c>
      <c r="N2029" s="2">
        <v>194994</v>
      </c>
      <c r="O2029" t="s">
        <v>24</v>
      </c>
      <c r="P2029" s="8">
        <f t="shared" si="93"/>
        <v>-2.4500000000000455</v>
      </c>
      <c r="Q2029" t="s">
        <v>39</v>
      </c>
      <c r="R2029">
        <f t="shared" si="94"/>
        <v>11</v>
      </c>
      <c r="S2029" t="str">
        <f t="shared" si="95"/>
        <v>Nov</v>
      </c>
      <c r="T2029" s="9">
        <f>VLOOKUP(O2029, Annual_Summary!A:B, 2, 0)</f>
        <v>0.23827534039334342</v>
      </c>
    </row>
    <row r="2030" spans="1:20" x14ac:dyDescent="0.3">
      <c r="A2030" s="1">
        <v>45971</v>
      </c>
      <c r="B2030" t="s">
        <v>15</v>
      </c>
      <c r="C2030" s="3">
        <v>956</v>
      </c>
      <c r="D2030" s="3">
        <v>963.2</v>
      </c>
      <c r="E2030" s="3">
        <v>949.1</v>
      </c>
      <c r="F2030" s="3">
        <v>955.85</v>
      </c>
      <c r="G2030" s="3">
        <v>950.55</v>
      </c>
      <c r="H2030" s="3">
        <v>951.15</v>
      </c>
      <c r="I2030" s="3">
        <v>952.71</v>
      </c>
      <c r="J2030" s="3">
        <v>971.4</v>
      </c>
      <c r="K2030" s="3">
        <v>680</v>
      </c>
      <c r="L2030" s="2">
        <v>7343249</v>
      </c>
      <c r="M2030" s="2">
        <v>6995981463.75</v>
      </c>
      <c r="N2030" s="2">
        <v>152876</v>
      </c>
      <c r="O2030" t="s">
        <v>24</v>
      </c>
      <c r="P2030" s="8">
        <f t="shared" si="93"/>
        <v>-0.14999999999997726</v>
      </c>
      <c r="Q2030" t="s">
        <v>39</v>
      </c>
      <c r="R2030">
        <f t="shared" si="94"/>
        <v>11</v>
      </c>
      <c r="S2030" t="str">
        <f t="shared" si="95"/>
        <v>Nov</v>
      </c>
      <c r="T2030" s="9">
        <f>VLOOKUP(O2030, Annual_Summary!A:B, 2, 0)</f>
        <v>0.23827534039334342</v>
      </c>
    </row>
    <row r="2031" spans="1:20" x14ac:dyDescent="0.3">
      <c r="A2031" s="1">
        <v>45968</v>
      </c>
      <c r="B2031" t="s">
        <v>15</v>
      </c>
      <c r="C2031" s="3">
        <v>958.75</v>
      </c>
      <c r="D2031" s="3">
        <v>964.85</v>
      </c>
      <c r="E2031" s="3">
        <v>944</v>
      </c>
      <c r="F2031" s="3">
        <v>960.75</v>
      </c>
      <c r="G2031" s="3">
        <v>954.8</v>
      </c>
      <c r="H2031" s="3">
        <v>955.85</v>
      </c>
      <c r="I2031" s="3">
        <v>955.55</v>
      </c>
      <c r="J2031" s="3">
        <v>971.4</v>
      </c>
      <c r="K2031" s="3">
        <v>680</v>
      </c>
      <c r="L2031" s="2">
        <v>13371323</v>
      </c>
      <c r="M2031" s="2">
        <v>12777009240.450001</v>
      </c>
      <c r="N2031" s="2">
        <v>213279</v>
      </c>
      <c r="O2031" t="s">
        <v>24</v>
      </c>
      <c r="P2031" s="8">
        <f t="shared" si="93"/>
        <v>2</v>
      </c>
      <c r="Q2031" t="s">
        <v>39</v>
      </c>
      <c r="R2031">
        <f t="shared" si="94"/>
        <v>11</v>
      </c>
      <c r="S2031" t="str">
        <f t="shared" si="95"/>
        <v>Nov</v>
      </c>
      <c r="T2031" s="9">
        <f>VLOOKUP(O2031, Annual_Summary!A:B, 2, 0)</f>
        <v>0.23827534039334342</v>
      </c>
    </row>
    <row r="2032" spans="1:20" x14ac:dyDescent="0.3">
      <c r="A2032" s="1">
        <v>45967</v>
      </c>
      <c r="B2032" t="s">
        <v>15</v>
      </c>
      <c r="C2032" s="3">
        <v>969.65</v>
      </c>
      <c r="D2032" s="3">
        <v>971.4</v>
      </c>
      <c r="E2032" s="3">
        <v>955.3</v>
      </c>
      <c r="F2032" s="3">
        <v>957.6</v>
      </c>
      <c r="G2032" s="3">
        <v>959.85</v>
      </c>
      <c r="H2032" s="3">
        <v>960.75</v>
      </c>
      <c r="I2032" s="3">
        <v>962.26</v>
      </c>
      <c r="J2032" s="3">
        <v>971.4</v>
      </c>
      <c r="K2032" s="3">
        <v>680</v>
      </c>
      <c r="L2032" s="2">
        <v>23088096</v>
      </c>
      <c r="M2032" s="2">
        <v>22216670805.599998</v>
      </c>
      <c r="N2032" s="2">
        <v>295608</v>
      </c>
      <c r="O2032" t="s">
        <v>24</v>
      </c>
      <c r="P2032" s="8">
        <f t="shared" si="93"/>
        <v>-12.049999999999955</v>
      </c>
      <c r="Q2032" t="s">
        <v>39</v>
      </c>
      <c r="R2032">
        <f t="shared" si="94"/>
        <v>11</v>
      </c>
      <c r="S2032" t="str">
        <f t="shared" si="95"/>
        <v>Nov</v>
      </c>
      <c r="T2032" s="9">
        <f>VLOOKUP(O2032, Annual_Summary!A:B, 2, 0)</f>
        <v>0.23827534039334342</v>
      </c>
    </row>
    <row r="2033" spans="1:20" x14ac:dyDescent="0.3">
      <c r="A2033" s="1">
        <v>45965</v>
      </c>
      <c r="B2033" t="s">
        <v>15</v>
      </c>
      <c r="C2033" s="3">
        <v>951</v>
      </c>
      <c r="D2033" s="3">
        <v>959.3</v>
      </c>
      <c r="E2033" s="3">
        <v>941.5</v>
      </c>
      <c r="F2033" s="3">
        <v>949.7</v>
      </c>
      <c r="G2033" s="3">
        <v>954.6</v>
      </c>
      <c r="H2033" s="3">
        <v>957.6</v>
      </c>
      <c r="I2033" s="3">
        <v>951.24</v>
      </c>
      <c r="J2033" s="3">
        <v>959.3</v>
      </c>
      <c r="K2033" s="3">
        <v>680</v>
      </c>
      <c r="L2033" s="2">
        <v>19154518</v>
      </c>
      <c r="M2033" s="2">
        <v>18220510218.849998</v>
      </c>
      <c r="N2033" s="2">
        <v>274272</v>
      </c>
      <c r="O2033" t="s">
        <v>24</v>
      </c>
      <c r="P2033" s="8">
        <f t="shared" si="93"/>
        <v>-1.2999999999999545</v>
      </c>
      <c r="Q2033" t="s">
        <v>39</v>
      </c>
      <c r="R2033">
        <f t="shared" si="94"/>
        <v>11</v>
      </c>
      <c r="S2033" t="str">
        <f t="shared" si="95"/>
        <v>Nov</v>
      </c>
      <c r="T2033" s="9">
        <f>VLOOKUP(O2033, Annual_Summary!A:B, 2, 0)</f>
        <v>0.23827534039334342</v>
      </c>
    </row>
    <row r="2034" spans="1:20" x14ac:dyDescent="0.3">
      <c r="A2034" s="1">
        <v>45964</v>
      </c>
      <c r="B2034" t="s">
        <v>15</v>
      </c>
      <c r="C2034" s="3">
        <v>938.75</v>
      </c>
      <c r="D2034" s="3">
        <v>953.4</v>
      </c>
      <c r="E2034" s="3">
        <v>937.5</v>
      </c>
      <c r="F2034" s="3">
        <v>937</v>
      </c>
      <c r="G2034" s="3">
        <v>948.6</v>
      </c>
      <c r="H2034" s="3">
        <v>949.7</v>
      </c>
      <c r="I2034" s="3">
        <v>948.05</v>
      </c>
      <c r="J2034" s="3">
        <v>953.4</v>
      </c>
      <c r="K2034" s="3">
        <v>680</v>
      </c>
      <c r="L2034" s="2">
        <v>11744735</v>
      </c>
      <c r="M2034" s="2">
        <v>11134610778.15</v>
      </c>
      <c r="N2034" s="2">
        <v>257905</v>
      </c>
      <c r="O2034" t="s">
        <v>24</v>
      </c>
      <c r="P2034" s="8">
        <f t="shared" si="93"/>
        <v>-1.75</v>
      </c>
      <c r="Q2034" t="s">
        <v>39</v>
      </c>
      <c r="R2034">
        <f t="shared" si="94"/>
        <v>11</v>
      </c>
      <c r="S2034" t="str">
        <f t="shared" si="95"/>
        <v>Nov</v>
      </c>
      <c r="T2034" s="9">
        <f>VLOOKUP(O2034, Annual_Summary!A:B, 2, 0)</f>
        <v>0.23827534039334342</v>
      </c>
    </row>
    <row r="2035" spans="1:20" x14ac:dyDescent="0.3">
      <c r="A2035" s="1">
        <v>45961</v>
      </c>
      <c r="B2035" t="s">
        <v>15</v>
      </c>
      <c r="C2035" s="3">
        <v>934.9</v>
      </c>
      <c r="D2035" s="3">
        <v>946.7</v>
      </c>
      <c r="E2035" s="3">
        <v>930.25</v>
      </c>
      <c r="F2035" s="3">
        <v>934.35</v>
      </c>
      <c r="G2035" s="3">
        <v>937.5</v>
      </c>
      <c r="H2035" s="3">
        <v>937</v>
      </c>
      <c r="I2035" s="3">
        <v>939.16</v>
      </c>
      <c r="J2035" s="3">
        <v>946.7</v>
      </c>
      <c r="K2035" s="3">
        <v>680</v>
      </c>
      <c r="L2035" s="2">
        <v>12078252</v>
      </c>
      <c r="M2035" s="2">
        <v>11343369670.65</v>
      </c>
      <c r="N2035" s="2">
        <v>261943</v>
      </c>
      <c r="O2035" t="s">
        <v>24</v>
      </c>
      <c r="P2035" s="8">
        <f t="shared" si="93"/>
        <v>-0.54999999999995453</v>
      </c>
      <c r="Q2035" t="s">
        <v>39</v>
      </c>
      <c r="R2035">
        <f t="shared" si="94"/>
        <v>10</v>
      </c>
      <c r="S2035" t="str">
        <f t="shared" si="95"/>
        <v>Oct</v>
      </c>
      <c r="T2035" s="9">
        <f>VLOOKUP(O2035, Annual_Summary!A:B, 2, 0)</f>
        <v>0.23827534039334342</v>
      </c>
    </row>
    <row r="2036" spans="1:20" x14ac:dyDescent="0.3">
      <c r="A2036" s="1">
        <v>45960</v>
      </c>
      <c r="B2036" t="s">
        <v>15</v>
      </c>
      <c r="C2036" s="3">
        <v>939.45</v>
      </c>
      <c r="D2036" s="3">
        <v>944.9</v>
      </c>
      <c r="E2036" s="3">
        <v>933.05</v>
      </c>
      <c r="F2036" s="3">
        <v>939.75</v>
      </c>
      <c r="G2036" s="3">
        <v>934.5</v>
      </c>
      <c r="H2036" s="3">
        <v>934.35</v>
      </c>
      <c r="I2036" s="3">
        <v>938.89</v>
      </c>
      <c r="J2036" s="3">
        <v>944.9</v>
      </c>
      <c r="K2036" s="3">
        <v>680</v>
      </c>
      <c r="L2036" s="2">
        <v>13044473</v>
      </c>
      <c r="M2036" s="2">
        <v>12247265996.75</v>
      </c>
      <c r="N2036" s="2">
        <v>248310</v>
      </c>
      <c r="O2036" t="s">
        <v>24</v>
      </c>
      <c r="P2036" s="8">
        <f t="shared" si="93"/>
        <v>0.29999999999995453</v>
      </c>
      <c r="Q2036" t="s">
        <v>39</v>
      </c>
      <c r="R2036">
        <f t="shared" si="94"/>
        <v>10</v>
      </c>
      <c r="S2036" t="str">
        <f t="shared" si="95"/>
        <v>Oct</v>
      </c>
      <c r="T2036" s="9">
        <f>VLOOKUP(O2036, Annual_Summary!A:B, 2, 0)</f>
        <v>0.23827534039334342</v>
      </c>
    </row>
    <row r="2037" spans="1:20" x14ac:dyDescent="0.3">
      <c r="A2037" s="1">
        <v>45959</v>
      </c>
      <c r="B2037" t="s">
        <v>15</v>
      </c>
      <c r="C2037" s="3">
        <v>933.9</v>
      </c>
      <c r="D2037" s="3">
        <v>942.05</v>
      </c>
      <c r="E2037" s="3">
        <v>930.25</v>
      </c>
      <c r="F2037" s="3">
        <v>930.25</v>
      </c>
      <c r="G2037" s="3">
        <v>939</v>
      </c>
      <c r="H2037" s="3">
        <v>939.75</v>
      </c>
      <c r="I2037" s="3">
        <v>937.9</v>
      </c>
      <c r="J2037" s="3">
        <v>942.05</v>
      </c>
      <c r="K2037" s="3">
        <v>680</v>
      </c>
      <c r="L2037" s="2">
        <v>12314222</v>
      </c>
      <c r="M2037" s="2">
        <v>11549498004.299999</v>
      </c>
      <c r="N2037" s="2">
        <v>238682</v>
      </c>
      <c r="O2037" t="s">
        <v>24</v>
      </c>
      <c r="P2037" s="8">
        <f t="shared" si="93"/>
        <v>-3.6499999999999773</v>
      </c>
      <c r="Q2037" t="s">
        <v>39</v>
      </c>
      <c r="R2037">
        <f t="shared" si="94"/>
        <v>10</v>
      </c>
      <c r="S2037" t="str">
        <f t="shared" si="95"/>
        <v>Oct</v>
      </c>
      <c r="T2037" s="9">
        <f>VLOOKUP(O2037, Annual_Summary!A:B, 2, 0)</f>
        <v>0.23827534039334342</v>
      </c>
    </row>
    <row r="2038" spans="1:20" x14ac:dyDescent="0.3">
      <c r="A2038" s="1">
        <v>45958</v>
      </c>
      <c r="B2038" t="s">
        <v>15</v>
      </c>
      <c r="C2038" s="3">
        <v>927.1</v>
      </c>
      <c r="D2038" s="3">
        <v>935.85</v>
      </c>
      <c r="E2038" s="3">
        <v>917.7</v>
      </c>
      <c r="F2038" s="3">
        <v>922.75</v>
      </c>
      <c r="G2038" s="3">
        <v>930.5</v>
      </c>
      <c r="H2038" s="3">
        <v>930.25</v>
      </c>
      <c r="I2038" s="3">
        <v>927.38</v>
      </c>
      <c r="J2038" s="3">
        <v>935.85</v>
      </c>
      <c r="K2038" s="3">
        <v>680</v>
      </c>
      <c r="L2038" s="2">
        <v>22066289</v>
      </c>
      <c r="M2038" s="2">
        <v>20463762333</v>
      </c>
      <c r="N2038" s="2">
        <v>333815</v>
      </c>
      <c r="O2038" t="s">
        <v>24</v>
      </c>
      <c r="P2038" s="8">
        <f t="shared" si="93"/>
        <v>-4.3500000000000227</v>
      </c>
      <c r="Q2038" t="s">
        <v>39</v>
      </c>
      <c r="R2038">
        <f t="shared" si="94"/>
        <v>10</v>
      </c>
      <c r="S2038" t="str">
        <f t="shared" si="95"/>
        <v>Oct</v>
      </c>
      <c r="T2038" s="9">
        <f>VLOOKUP(O2038, Annual_Summary!A:B, 2, 0)</f>
        <v>0.23827534039334342</v>
      </c>
    </row>
    <row r="2039" spans="1:20" x14ac:dyDescent="0.3">
      <c r="A2039" s="1">
        <v>45957</v>
      </c>
      <c r="B2039" t="s">
        <v>15</v>
      </c>
      <c r="C2039" s="3">
        <v>906.95</v>
      </c>
      <c r="D2039" s="3">
        <v>928</v>
      </c>
      <c r="E2039" s="3">
        <v>906</v>
      </c>
      <c r="F2039" s="3">
        <v>904.5</v>
      </c>
      <c r="G2039" s="3">
        <v>926.9</v>
      </c>
      <c r="H2039" s="3">
        <v>922.75</v>
      </c>
      <c r="I2039" s="3">
        <v>918.09</v>
      </c>
      <c r="J2039" s="3">
        <v>928</v>
      </c>
      <c r="K2039" s="3">
        <v>680</v>
      </c>
      <c r="L2039" s="2">
        <v>9150761</v>
      </c>
      <c r="M2039" s="2">
        <v>8401263077.1499996</v>
      </c>
      <c r="N2039" s="2">
        <v>179901</v>
      </c>
      <c r="O2039" t="s">
        <v>24</v>
      </c>
      <c r="P2039" s="8">
        <f t="shared" si="93"/>
        <v>-2.4500000000000455</v>
      </c>
      <c r="Q2039" t="s">
        <v>39</v>
      </c>
      <c r="R2039">
        <f t="shared" si="94"/>
        <v>10</v>
      </c>
      <c r="S2039" t="str">
        <f t="shared" si="95"/>
        <v>Oct</v>
      </c>
      <c r="T2039" s="9">
        <f>VLOOKUP(O2039, Annual_Summary!A:B, 2, 0)</f>
        <v>0.23827534039334342</v>
      </c>
    </row>
    <row r="2040" spans="1:20" x14ac:dyDescent="0.3">
      <c r="A2040" s="1">
        <v>45954</v>
      </c>
      <c r="B2040" t="s">
        <v>15</v>
      </c>
      <c r="C2040" s="3">
        <v>910.95</v>
      </c>
      <c r="D2040" s="3">
        <v>914.1</v>
      </c>
      <c r="E2040" s="3">
        <v>900.95</v>
      </c>
      <c r="F2040" s="3">
        <v>911.55</v>
      </c>
      <c r="G2040" s="3">
        <v>904</v>
      </c>
      <c r="H2040" s="3">
        <v>904.5</v>
      </c>
      <c r="I2040" s="3">
        <v>905.66</v>
      </c>
      <c r="J2040" s="3">
        <v>918</v>
      </c>
      <c r="K2040" s="3">
        <v>680</v>
      </c>
      <c r="L2040" s="2">
        <v>5313227</v>
      </c>
      <c r="M2040" s="2">
        <v>4811992307.8500004</v>
      </c>
      <c r="N2040" s="2">
        <v>173275</v>
      </c>
      <c r="O2040" t="s">
        <v>24</v>
      </c>
      <c r="P2040" s="8">
        <f t="shared" si="93"/>
        <v>0.59999999999990905</v>
      </c>
      <c r="Q2040" t="s">
        <v>39</v>
      </c>
      <c r="R2040">
        <f t="shared" si="94"/>
        <v>10</v>
      </c>
      <c r="S2040" t="str">
        <f t="shared" si="95"/>
        <v>Oct</v>
      </c>
      <c r="T2040" s="9">
        <f>VLOOKUP(O2040, Annual_Summary!A:B, 2, 0)</f>
        <v>0.23827534039334342</v>
      </c>
    </row>
    <row r="2041" spans="1:20" x14ac:dyDescent="0.3">
      <c r="A2041" s="1">
        <v>45953</v>
      </c>
      <c r="B2041" t="s">
        <v>15</v>
      </c>
      <c r="C2041" s="3">
        <v>912</v>
      </c>
      <c r="D2041" s="3">
        <v>918</v>
      </c>
      <c r="E2041" s="3">
        <v>904.8</v>
      </c>
      <c r="F2041" s="3">
        <v>907.85</v>
      </c>
      <c r="G2041" s="3">
        <v>909.1</v>
      </c>
      <c r="H2041" s="3">
        <v>911.55</v>
      </c>
      <c r="I2041" s="3">
        <v>913.11</v>
      </c>
      <c r="J2041" s="3">
        <v>918</v>
      </c>
      <c r="K2041" s="3">
        <v>680</v>
      </c>
      <c r="L2041" s="2">
        <v>13382769</v>
      </c>
      <c r="M2041" s="2">
        <v>12219945497.549999</v>
      </c>
      <c r="N2041" s="2">
        <v>338233</v>
      </c>
      <c r="O2041" t="s">
        <v>24</v>
      </c>
      <c r="P2041" s="8">
        <f t="shared" si="93"/>
        <v>-4.1499999999999773</v>
      </c>
      <c r="Q2041" t="s">
        <v>39</v>
      </c>
      <c r="R2041">
        <f t="shared" si="94"/>
        <v>10</v>
      </c>
      <c r="S2041" t="str">
        <f t="shared" si="95"/>
        <v>Oct</v>
      </c>
      <c r="T2041" s="9">
        <f>VLOOKUP(O2041, Annual_Summary!A:B, 2, 0)</f>
        <v>0.23827534039334342</v>
      </c>
    </row>
    <row r="2042" spans="1:20" x14ac:dyDescent="0.3">
      <c r="A2042" s="1">
        <v>45951</v>
      </c>
      <c r="B2042" t="s">
        <v>15</v>
      </c>
      <c r="C2042" s="3">
        <v>908</v>
      </c>
      <c r="D2042" s="3">
        <v>910</v>
      </c>
      <c r="E2042" s="3">
        <v>906.4</v>
      </c>
      <c r="F2042" s="3">
        <v>907.5</v>
      </c>
      <c r="G2042" s="3">
        <v>907.05</v>
      </c>
      <c r="H2042" s="3">
        <v>907.85</v>
      </c>
      <c r="I2042" s="3">
        <v>907.99</v>
      </c>
      <c r="J2042" s="3">
        <v>913.65</v>
      </c>
      <c r="K2042" s="3">
        <v>680</v>
      </c>
      <c r="L2042" s="2">
        <v>1783576</v>
      </c>
      <c r="M2042" s="2">
        <v>1619477226.4000001</v>
      </c>
      <c r="N2042" s="2">
        <v>51138</v>
      </c>
      <c r="O2042" t="s">
        <v>24</v>
      </c>
      <c r="P2042" s="8">
        <f t="shared" si="93"/>
        <v>-0.5</v>
      </c>
      <c r="Q2042" t="s">
        <v>39</v>
      </c>
      <c r="R2042">
        <f t="shared" si="94"/>
        <v>10</v>
      </c>
      <c r="S2042" t="str">
        <f t="shared" si="95"/>
        <v>Oct</v>
      </c>
      <c r="T2042" s="9">
        <f>VLOOKUP(O2042, Annual_Summary!A:B, 2, 0)</f>
        <v>0.23827534039334342</v>
      </c>
    </row>
    <row r="2043" spans="1:20" x14ac:dyDescent="0.3">
      <c r="A2043" s="1">
        <v>45950</v>
      </c>
      <c r="B2043" t="s">
        <v>15</v>
      </c>
      <c r="C2043" s="3">
        <v>894.6</v>
      </c>
      <c r="D2043" s="3">
        <v>913.65</v>
      </c>
      <c r="E2043" s="3">
        <v>891.05</v>
      </c>
      <c r="F2043" s="3">
        <v>889.15</v>
      </c>
      <c r="G2043" s="3">
        <v>907</v>
      </c>
      <c r="H2043" s="3">
        <v>907.5</v>
      </c>
      <c r="I2043" s="3">
        <v>905.33</v>
      </c>
      <c r="J2043" s="3">
        <v>913.65</v>
      </c>
      <c r="K2043" s="3">
        <v>680</v>
      </c>
      <c r="L2043" s="2">
        <v>13546463</v>
      </c>
      <c r="M2043" s="2">
        <v>12264027405.35</v>
      </c>
      <c r="N2043" s="2">
        <v>241758</v>
      </c>
      <c r="O2043" t="s">
        <v>24</v>
      </c>
      <c r="P2043" s="8">
        <f t="shared" si="93"/>
        <v>-5.4500000000000455</v>
      </c>
      <c r="Q2043" t="s">
        <v>39</v>
      </c>
      <c r="R2043">
        <f t="shared" si="94"/>
        <v>10</v>
      </c>
      <c r="S2043" t="str">
        <f t="shared" si="95"/>
        <v>Oct</v>
      </c>
      <c r="T2043" s="9">
        <f>VLOOKUP(O2043, Annual_Summary!A:B, 2, 0)</f>
        <v>0.23827534039334342</v>
      </c>
    </row>
    <row r="2044" spans="1:20" x14ac:dyDescent="0.3">
      <c r="A2044" s="1">
        <v>45947</v>
      </c>
      <c r="B2044" t="s">
        <v>15</v>
      </c>
      <c r="C2044" s="3">
        <v>887.5</v>
      </c>
      <c r="D2044" s="3">
        <v>894.75</v>
      </c>
      <c r="E2044" s="3">
        <v>883</v>
      </c>
      <c r="F2044" s="3">
        <v>886.95</v>
      </c>
      <c r="G2044" s="3">
        <v>888</v>
      </c>
      <c r="H2044" s="3">
        <v>889.15</v>
      </c>
      <c r="I2044" s="3">
        <v>888.75</v>
      </c>
      <c r="J2044" s="3">
        <v>894.75</v>
      </c>
      <c r="K2044" s="3">
        <v>680</v>
      </c>
      <c r="L2044" s="2">
        <v>8511854</v>
      </c>
      <c r="M2044" s="2">
        <v>7564950031.25</v>
      </c>
      <c r="N2044" s="2">
        <v>231474</v>
      </c>
      <c r="O2044" t="s">
        <v>24</v>
      </c>
      <c r="P2044" s="8">
        <f t="shared" si="93"/>
        <v>-0.54999999999995453</v>
      </c>
      <c r="Q2044" t="s">
        <v>39</v>
      </c>
      <c r="R2044">
        <f t="shared" si="94"/>
        <v>10</v>
      </c>
      <c r="S2044" t="str">
        <f t="shared" si="95"/>
        <v>Oct</v>
      </c>
      <c r="T2044" s="9">
        <f>VLOOKUP(O2044, Annual_Summary!A:B, 2, 0)</f>
        <v>0.23827534039334342</v>
      </c>
    </row>
    <row r="2045" spans="1:20" x14ac:dyDescent="0.3">
      <c r="A2045" s="1">
        <v>45946</v>
      </c>
      <c r="B2045" t="s">
        <v>15</v>
      </c>
      <c r="C2045" s="3">
        <v>888.3</v>
      </c>
      <c r="D2045" s="3">
        <v>891.85</v>
      </c>
      <c r="E2045" s="3">
        <v>882.45</v>
      </c>
      <c r="F2045" s="3">
        <v>886.1</v>
      </c>
      <c r="G2045" s="3">
        <v>886.2</v>
      </c>
      <c r="H2045" s="3">
        <v>886.95</v>
      </c>
      <c r="I2045" s="3">
        <v>887.32</v>
      </c>
      <c r="J2045" s="3">
        <v>891.85</v>
      </c>
      <c r="K2045" s="3">
        <v>680</v>
      </c>
      <c r="L2045" s="2">
        <v>8493686</v>
      </c>
      <c r="M2045" s="2">
        <v>7536587997.5</v>
      </c>
      <c r="N2045" s="2">
        <v>269552</v>
      </c>
      <c r="O2045" t="s">
        <v>24</v>
      </c>
      <c r="P2045" s="8">
        <f t="shared" si="93"/>
        <v>-2.1999999999999318</v>
      </c>
      <c r="Q2045" t="s">
        <v>39</v>
      </c>
      <c r="R2045">
        <f t="shared" si="94"/>
        <v>10</v>
      </c>
      <c r="S2045" t="str">
        <f t="shared" si="95"/>
        <v>Oct</v>
      </c>
      <c r="T2045" s="9">
        <f>VLOOKUP(O2045, Annual_Summary!A:B, 2, 0)</f>
        <v>0.23827534039334342</v>
      </c>
    </row>
    <row r="2046" spans="1:20" x14ac:dyDescent="0.3">
      <c r="A2046" s="1">
        <v>45945</v>
      </c>
      <c r="B2046" t="s">
        <v>15</v>
      </c>
      <c r="C2046" s="3">
        <v>878.1</v>
      </c>
      <c r="D2046" s="3">
        <v>887.5</v>
      </c>
      <c r="E2046" s="3">
        <v>877.05</v>
      </c>
      <c r="F2046" s="3">
        <v>876.95</v>
      </c>
      <c r="G2046" s="3">
        <v>886.9</v>
      </c>
      <c r="H2046" s="3">
        <v>886.1</v>
      </c>
      <c r="I2046" s="3">
        <v>884.42</v>
      </c>
      <c r="J2046" s="3">
        <v>888.1</v>
      </c>
      <c r="K2046" s="3">
        <v>680</v>
      </c>
      <c r="L2046" s="2">
        <v>8269225</v>
      </c>
      <c r="M2046" s="2">
        <v>7313505128.5500002</v>
      </c>
      <c r="N2046" s="2">
        <v>246174</v>
      </c>
      <c r="O2046" t="s">
        <v>24</v>
      </c>
      <c r="P2046" s="8">
        <f t="shared" si="93"/>
        <v>-1.1499999999999773</v>
      </c>
      <c r="Q2046" t="s">
        <v>39</v>
      </c>
      <c r="R2046">
        <f t="shared" si="94"/>
        <v>10</v>
      </c>
      <c r="S2046" t="str">
        <f t="shared" si="95"/>
        <v>Oct</v>
      </c>
      <c r="T2046" s="9">
        <f>VLOOKUP(O2046, Annual_Summary!A:B, 2, 0)</f>
        <v>0.23827534039334342</v>
      </c>
    </row>
    <row r="2047" spans="1:20" x14ac:dyDescent="0.3">
      <c r="A2047" s="1">
        <v>45944</v>
      </c>
      <c r="B2047" t="s">
        <v>15</v>
      </c>
      <c r="C2047" s="3">
        <v>883</v>
      </c>
      <c r="D2047" s="3">
        <v>884.15</v>
      </c>
      <c r="E2047" s="3">
        <v>872.1</v>
      </c>
      <c r="F2047" s="3">
        <v>882.95</v>
      </c>
      <c r="G2047" s="3">
        <v>876</v>
      </c>
      <c r="H2047" s="3">
        <v>876.95</v>
      </c>
      <c r="I2047" s="3">
        <v>876.97</v>
      </c>
      <c r="J2047" s="3">
        <v>888.1</v>
      </c>
      <c r="K2047" s="3">
        <v>680</v>
      </c>
      <c r="L2047" s="2">
        <v>7681973</v>
      </c>
      <c r="M2047" s="2">
        <v>6736896799.3000002</v>
      </c>
      <c r="N2047" s="2">
        <v>134593</v>
      </c>
      <c r="O2047" t="s">
        <v>24</v>
      </c>
      <c r="P2047" s="8">
        <f t="shared" si="93"/>
        <v>-4.9999999999954525E-2</v>
      </c>
      <c r="Q2047" t="s">
        <v>39</v>
      </c>
      <c r="R2047">
        <f t="shared" si="94"/>
        <v>10</v>
      </c>
      <c r="S2047" t="str">
        <f t="shared" si="95"/>
        <v>Oct</v>
      </c>
      <c r="T2047" s="9">
        <f>VLOOKUP(O2047, Annual_Summary!A:B, 2, 0)</f>
        <v>0.23827534039334342</v>
      </c>
    </row>
    <row r="2048" spans="1:20" x14ac:dyDescent="0.3">
      <c r="A2048" s="1">
        <v>45943</v>
      </c>
      <c r="B2048" t="s">
        <v>15</v>
      </c>
      <c r="C2048" s="3">
        <v>879</v>
      </c>
      <c r="D2048" s="3">
        <v>888.1</v>
      </c>
      <c r="E2048" s="3">
        <v>876</v>
      </c>
      <c r="F2048" s="3">
        <v>880.65</v>
      </c>
      <c r="G2048" s="3">
        <v>884</v>
      </c>
      <c r="H2048" s="3">
        <v>882.95</v>
      </c>
      <c r="I2048" s="3">
        <v>884.03</v>
      </c>
      <c r="J2048" s="3">
        <v>888.1</v>
      </c>
      <c r="K2048" s="3">
        <v>680</v>
      </c>
      <c r="L2048" s="2">
        <v>11923143</v>
      </c>
      <c r="M2048" s="2">
        <v>10540393655.950001</v>
      </c>
      <c r="N2048" s="2">
        <v>198375</v>
      </c>
      <c r="O2048" t="s">
        <v>24</v>
      </c>
      <c r="P2048" s="8">
        <f t="shared" si="93"/>
        <v>1.6499999999999773</v>
      </c>
      <c r="Q2048" t="s">
        <v>39</v>
      </c>
      <c r="R2048">
        <f t="shared" si="94"/>
        <v>10</v>
      </c>
      <c r="S2048" t="str">
        <f t="shared" si="95"/>
        <v>Oct</v>
      </c>
      <c r="T2048" s="9">
        <f>VLOOKUP(O2048, Annual_Summary!A:B, 2, 0)</f>
        <v>0.23827534039334342</v>
      </c>
    </row>
    <row r="2049" spans="1:20" x14ac:dyDescent="0.3">
      <c r="A2049" s="1">
        <v>45940</v>
      </c>
      <c r="B2049" t="s">
        <v>15</v>
      </c>
      <c r="C2049" s="3">
        <v>862.1</v>
      </c>
      <c r="D2049" s="3">
        <v>883.75</v>
      </c>
      <c r="E2049" s="3">
        <v>861.3</v>
      </c>
      <c r="F2049" s="3">
        <v>862.1</v>
      </c>
      <c r="G2049" s="3">
        <v>881.25</v>
      </c>
      <c r="H2049" s="3">
        <v>880.65</v>
      </c>
      <c r="I2049" s="3">
        <v>879.53</v>
      </c>
      <c r="J2049" s="3">
        <v>883.75</v>
      </c>
      <c r="K2049" s="3">
        <v>680</v>
      </c>
      <c r="L2049" s="2">
        <v>13713015</v>
      </c>
      <c r="M2049" s="2">
        <v>12061033018.65</v>
      </c>
      <c r="N2049" s="2">
        <v>191535</v>
      </c>
      <c r="O2049" t="s">
        <v>24</v>
      </c>
      <c r="P2049" s="8">
        <f t="shared" si="93"/>
        <v>0</v>
      </c>
      <c r="Q2049" t="s">
        <v>39</v>
      </c>
      <c r="R2049">
        <f t="shared" si="94"/>
        <v>10</v>
      </c>
      <c r="S2049" t="str">
        <f t="shared" si="95"/>
        <v>Oct</v>
      </c>
      <c r="T2049" s="9">
        <f>VLOOKUP(O2049, Annual_Summary!A:B, 2, 0)</f>
        <v>0.23827534039334342</v>
      </c>
    </row>
    <row r="2050" spans="1:20" x14ac:dyDescent="0.3">
      <c r="A2050" s="1">
        <v>45939</v>
      </c>
      <c r="B2050" t="s">
        <v>15</v>
      </c>
      <c r="C2050" s="3">
        <v>861.6</v>
      </c>
      <c r="D2050" s="3">
        <v>865.8</v>
      </c>
      <c r="E2050" s="3">
        <v>858.1</v>
      </c>
      <c r="F2050" s="3">
        <v>858.25</v>
      </c>
      <c r="G2050" s="3">
        <v>861.4</v>
      </c>
      <c r="H2050" s="3">
        <v>862.1</v>
      </c>
      <c r="I2050" s="3">
        <v>861.48</v>
      </c>
      <c r="J2050" s="3">
        <v>880.5</v>
      </c>
      <c r="K2050" s="3">
        <v>680</v>
      </c>
      <c r="L2050" s="2">
        <v>7020501</v>
      </c>
      <c r="M2050" s="2">
        <v>6048014878.8999996</v>
      </c>
      <c r="N2050" s="2">
        <v>121377</v>
      </c>
      <c r="O2050" t="s">
        <v>24</v>
      </c>
      <c r="P2050" s="8">
        <f t="shared" si="93"/>
        <v>-3.3500000000000227</v>
      </c>
      <c r="Q2050" t="s">
        <v>39</v>
      </c>
      <c r="R2050">
        <f t="shared" si="94"/>
        <v>10</v>
      </c>
      <c r="S2050" t="str">
        <f t="shared" si="95"/>
        <v>Oct</v>
      </c>
      <c r="T2050" s="9">
        <f>VLOOKUP(O2050, Annual_Summary!A:B, 2, 0)</f>
        <v>0.23827534039334342</v>
      </c>
    </row>
    <row r="2051" spans="1:20" x14ac:dyDescent="0.3">
      <c r="A2051" s="1">
        <v>45938</v>
      </c>
      <c r="B2051" t="s">
        <v>15</v>
      </c>
      <c r="C2051" s="3">
        <v>866.8</v>
      </c>
      <c r="D2051" s="3">
        <v>867.8</v>
      </c>
      <c r="E2051" s="3">
        <v>857.25</v>
      </c>
      <c r="F2051" s="3">
        <v>864.7</v>
      </c>
      <c r="G2051" s="3">
        <v>857.3</v>
      </c>
      <c r="H2051" s="3">
        <v>858.25</v>
      </c>
      <c r="I2051" s="3">
        <v>860.69</v>
      </c>
      <c r="J2051" s="3">
        <v>880.5</v>
      </c>
      <c r="K2051" s="3">
        <v>680</v>
      </c>
      <c r="L2051" s="2">
        <v>7156112</v>
      </c>
      <c r="M2051" s="2">
        <v>6159218647.3000002</v>
      </c>
      <c r="N2051" s="2">
        <v>129510</v>
      </c>
      <c r="O2051" t="s">
        <v>24</v>
      </c>
      <c r="P2051" s="8">
        <f t="shared" ref="P2051:P2114" si="96">F2051-C2051</f>
        <v>-2.0999999999999091</v>
      </c>
      <c r="Q2051" t="s">
        <v>39</v>
      </c>
      <c r="R2051">
        <f t="shared" ref="R2051:R2114" si="97">MONTH(A2051)</f>
        <v>10</v>
      </c>
      <c r="S2051" t="str">
        <f t="shared" ref="S2051:S2114" si="98">TEXT(A2051,"mmm")</f>
        <v>Oct</v>
      </c>
      <c r="T2051" s="9">
        <f>VLOOKUP(O2051, Annual_Summary!A:B, 2, 0)</f>
        <v>0.23827534039334342</v>
      </c>
    </row>
    <row r="2052" spans="1:20" x14ac:dyDescent="0.3">
      <c r="A2052" s="1">
        <v>45937</v>
      </c>
      <c r="B2052" t="s">
        <v>15</v>
      </c>
      <c r="C2052" s="3">
        <v>874.15</v>
      </c>
      <c r="D2052" s="3">
        <v>877</v>
      </c>
      <c r="E2052" s="3">
        <v>863</v>
      </c>
      <c r="F2052" s="3">
        <v>874.05</v>
      </c>
      <c r="G2052" s="3">
        <v>864.15</v>
      </c>
      <c r="H2052" s="3">
        <v>864.7</v>
      </c>
      <c r="I2052" s="3">
        <v>868.32</v>
      </c>
      <c r="J2052" s="3">
        <v>880.5</v>
      </c>
      <c r="K2052" s="3">
        <v>680</v>
      </c>
      <c r="L2052" s="2">
        <v>9242580</v>
      </c>
      <c r="M2052" s="2">
        <v>8025523526.1000004</v>
      </c>
      <c r="N2052" s="2">
        <v>167126</v>
      </c>
      <c r="O2052" t="s">
        <v>24</v>
      </c>
      <c r="P2052" s="8">
        <f t="shared" si="96"/>
        <v>-0.10000000000002274</v>
      </c>
      <c r="Q2052" t="s">
        <v>39</v>
      </c>
      <c r="R2052">
        <f t="shared" si="97"/>
        <v>10</v>
      </c>
      <c r="S2052" t="str">
        <f t="shared" si="98"/>
        <v>Oct</v>
      </c>
      <c r="T2052" s="9">
        <f>VLOOKUP(O2052, Annual_Summary!A:B, 2, 0)</f>
        <v>0.23827534039334342</v>
      </c>
    </row>
    <row r="2053" spans="1:20" x14ac:dyDescent="0.3">
      <c r="A2053" s="1">
        <v>45936</v>
      </c>
      <c r="B2053" t="s">
        <v>15</v>
      </c>
      <c r="C2053" s="3">
        <v>868</v>
      </c>
      <c r="D2053" s="3">
        <v>875.3</v>
      </c>
      <c r="E2053" s="3">
        <v>862.8</v>
      </c>
      <c r="F2053" s="3">
        <v>867.3</v>
      </c>
      <c r="G2053" s="3">
        <v>873.8</v>
      </c>
      <c r="H2053" s="3">
        <v>874.05</v>
      </c>
      <c r="I2053" s="3">
        <v>868.71</v>
      </c>
      <c r="J2053" s="3">
        <v>880.5</v>
      </c>
      <c r="K2053" s="3">
        <v>680</v>
      </c>
      <c r="L2053" s="2">
        <v>7820352</v>
      </c>
      <c r="M2053" s="2">
        <v>6793631063.5</v>
      </c>
      <c r="N2053" s="2">
        <v>164571</v>
      </c>
      <c r="O2053" t="s">
        <v>24</v>
      </c>
      <c r="P2053" s="8">
        <f t="shared" si="96"/>
        <v>-0.70000000000004547</v>
      </c>
      <c r="Q2053" t="s">
        <v>39</v>
      </c>
      <c r="R2053">
        <f t="shared" si="97"/>
        <v>10</v>
      </c>
      <c r="S2053" t="str">
        <f t="shared" si="98"/>
        <v>Oct</v>
      </c>
      <c r="T2053" s="9">
        <f>VLOOKUP(O2053, Annual_Summary!A:B, 2, 0)</f>
        <v>0.23827534039334342</v>
      </c>
    </row>
    <row r="2054" spans="1:20" x14ac:dyDescent="0.3">
      <c r="A2054" s="1">
        <v>45933</v>
      </c>
      <c r="B2054" t="s">
        <v>15</v>
      </c>
      <c r="C2054" s="3">
        <v>865.15</v>
      </c>
      <c r="D2054" s="3">
        <v>873</v>
      </c>
      <c r="E2054" s="3">
        <v>863.8</v>
      </c>
      <c r="F2054" s="3">
        <v>864.1</v>
      </c>
      <c r="G2054" s="3">
        <v>867.7</v>
      </c>
      <c r="H2054" s="3">
        <v>867.3</v>
      </c>
      <c r="I2054" s="3">
        <v>867.43</v>
      </c>
      <c r="J2054" s="3">
        <v>880.5</v>
      </c>
      <c r="K2054" s="3">
        <v>680</v>
      </c>
      <c r="L2054" s="2">
        <v>8019442</v>
      </c>
      <c r="M2054" s="2">
        <v>6956290461.6999998</v>
      </c>
      <c r="N2054" s="2">
        <v>154834</v>
      </c>
      <c r="O2054" t="s">
        <v>24</v>
      </c>
      <c r="P2054" s="8">
        <f t="shared" si="96"/>
        <v>-1.0499999999999545</v>
      </c>
      <c r="Q2054" t="s">
        <v>39</v>
      </c>
      <c r="R2054">
        <f t="shared" si="97"/>
        <v>10</v>
      </c>
      <c r="S2054" t="str">
        <f t="shared" si="98"/>
        <v>Oct</v>
      </c>
      <c r="T2054" s="9">
        <f>VLOOKUP(O2054, Annual_Summary!A:B, 2, 0)</f>
        <v>0.23827534039334342</v>
      </c>
    </row>
    <row r="2055" spans="1:20" x14ac:dyDescent="0.3">
      <c r="A2055" s="1">
        <v>45931</v>
      </c>
      <c r="B2055" t="s">
        <v>15</v>
      </c>
      <c r="C2055" s="3">
        <v>872.3</v>
      </c>
      <c r="D2055" s="3">
        <v>876.45</v>
      </c>
      <c r="E2055" s="3">
        <v>862.8</v>
      </c>
      <c r="F2055" s="3">
        <v>872.45</v>
      </c>
      <c r="G2055" s="3">
        <v>865.15</v>
      </c>
      <c r="H2055" s="3">
        <v>864.1</v>
      </c>
      <c r="I2055" s="3">
        <v>866.79</v>
      </c>
      <c r="J2055" s="3">
        <v>880.5</v>
      </c>
      <c r="K2055" s="3">
        <v>680</v>
      </c>
      <c r="L2055" s="2">
        <v>10832384</v>
      </c>
      <c r="M2055" s="2">
        <v>9389446664.6499996</v>
      </c>
      <c r="N2055" s="2">
        <v>218205</v>
      </c>
      <c r="O2055" t="s">
        <v>24</v>
      </c>
      <c r="P2055" s="8">
        <f t="shared" si="96"/>
        <v>0.15000000000009095</v>
      </c>
      <c r="Q2055" t="s">
        <v>39</v>
      </c>
      <c r="R2055">
        <f t="shared" si="97"/>
        <v>10</v>
      </c>
      <c r="S2055" t="str">
        <f t="shared" si="98"/>
        <v>Oct</v>
      </c>
      <c r="T2055" s="9">
        <f>VLOOKUP(O2055, Annual_Summary!A:B, 2, 0)</f>
        <v>0.23827534039334342</v>
      </c>
    </row>
    <row r="2056" spans="1:20" x14ac:dyDescent="0.3">
      <c r="A2056" s="1">
        <v>45930</v>
      </c>
      <c r="B2056" t="s">
        <v>15</v>
      </c>
      <c r="C2056" s="3">
        <v>869.95</v>
      </c>
      <c r="D2056" s="3">
        <v>877.6</v>
      </c>
      <c r="E2056" s="3">
        <v>867.6</v>
      </c>
      <c r="F2056" s="3">
        <v>870.75</v>
      </c>
      <c r="G2056" s="3">
        <v>873.7</v>
      </c>
      <c r="H2056" s="3">
        <v>872.45</v>
      </c>
      <c r="I2056" s="3">
        <v>873.54</v>
      </c>
      <c r="J2056" s="3">
        <v>880.5</v>
      </c>
      <c r="K2056" s="3">
        <v>680</v>
      </c>
      <c r="L2056" s="2">
        <v>12831593</v>
      </c>
      <c r="M2056" s="2">
        <v>11208895455.700001</v>
      </c>
      <c r="N2056" s="2">
        <v>205386</v>
      </c>
      <c r="O2056" t="s">
        <v>24</v>
      </c>
      <c r="P2056" s="8">
        <f t="shared" si="96"/>
        <v>0.79999999999995453</v>
      </c>
      <c r="Q2056" t="s">
        <v>39</v>
      </c>
      <c r="R2056">
        <f t="shared" si="97"/>
        <v>9</v>
      </c>
      <c r="S2056" t="str">
        <f t="shared" si="98"/>
        <v>Sep</v>
      </c>
      <c r="T2056" s="9">
        <f>VLOOKUP(O2056, Annual_Summary!A:B, 2, 0)</f>
        <v>0.23827534039334342</v>
      </c>
    </row>
    <row r="2057" spans="1:20" x14ac:dyDescent="0.3">
      <c r="A2057" s="1">
        <v>45929</v>
      </c>
      <c r="B2057" t="s">
        <v>15</v>
      </c>
      <c r="C2057" s="3">
        <v>858.05</v>
      </c>
      <c r="D2057" s="3">
        <v>873.5</v>
      </c>
      <c r="E2057" s="3">
        <v>856</v>
      </c>
      <c r="F2057" s="3">
        <v>856.95</v>
      </c>
      <c r="G2057" s="3">
        <v>870.25</v>
      </c>
      <c r="H2057" s="3">
        <v>870.75</v>
      </c>
      <c r="I2057" s="3">
        <v>868.13</v>
      </c>
      <c r="J2057" s="3">
        <v>880.5</v>
      </c>
      <c r="K2057" s="3">
        <v>680</v>
      </c>
      <c r="L2057" s="2">
        <v>22641712</v>
      </c>
      <c r="M2057" s="2">
        <v>19655996220.150002</v>
      </c>
      <c r="N2057" s="2">
        <v>192001</v>
      </c>
      <c r="O2057" t="s">
        <v>24</v>
      </c>
      <c r="P2057" s="8">
        <f t="shared" si="96"/>
        <v>-1.0999999999999091</v>
      </c>
      <c r="Q2057" t="s">
        <v>39</v>
      </c>
      <c r="R2057">
        <f t="shared" si="97"/>
        <v>9</v>
      </c>
      <c r="S2057" t="str">
        <f t="shared" si="98"/>
        <v>Sep</v>
      </c>
      <c r="T2057" s="9">
        <f>VLOOKUP(O2057, Annual_Summary!A:B, 2, 0)</f>
        <v>0.23827534039334342</v>
      </c>
    </row>
    <row r="2058" spans="1:20" x14ac:dyDescent="0.3">
      <c r="A2058" s="1">
        <v>45926</v>
      </c>
      <c r="B2058" t="s">
        <v>15</v>
      </c>
      <c r="C2058" s="3">
        <v>862</v>
      </c>
      <c r="D2058" s="3">
        <v>864.35</v>
      </c>
      <c r="E2058" s="3">
        <v>853</v>
      </c>
      <c r="F2058" s="3">
        <v>861.15</v>
      </c>
      <c r="G2058" s="3">
        <v>857</v>
      </c>
      <c r="H2058" s="3">
        <v>856.95</v>
      </c>
      <c r="I2058" s="3">
        <v>857.34</v>
      </c>
      <c r="J2058" s="3">
        <v>880.5</v>
      </c>
      <c r="K2058" s="3">
        <v>680</v>
      </c>
      <c r="L2058" s="2">
        <v>6959545</v>
      </c>
      <c r="M2058" s="2">
        <v>5966677885.8000002</v>
      </c>
      <c r="N2058" s="2">
        <v>158616</v>
      </c>
      <c r="O2058" t="s">
        <v>24</v>
      </c>
      <c r="P2058" s="8">
        <f t="shared" si="96"/>
        <v>-0.85000000000002274</v>
      </c>
      <c r="Q2058" t="s">
        <v>39</v>
      </c>
      <c r="R2058">
        <f t="shared" si="97"/>
        <v>9</v>
      </c>
      <c r="S2058" t="str">
        <f t="shared" si="98"/>
        <v>Sep</v>
      </c>
      <c r="T2058" s="9">
        <f>VLOOKUP(O2058, Annual_Summary!A:B, 2, 0)</f>
        <v>0.23827534039334342</v>
      </c>
    </row>
    <row r="2059" spans="1:20" x14ac:dyDescent="0.3">
      <c r="A2059" s="1">
        <v>45925</v>
      </c>
      <c r="B2059" t="s">
        <v>15</v>
      </c>
      <c r="C2059" s="3">
        <v>866.55</v>
      </c>
      <c r="D2059" s="3">
        <v>870.15</v>
      </c>
      <c r="E2059" s="3">
        <v>859.95</v>
      </c>
      <c r="F2059" s="3">
        <v>866.2</v>
      </c>
      <c r="G2059" s="3">
        <v>861.45</v>
      </c>
      <c r="H2059" s="3">
        <v>861.15</v>
      </c>
      <c r="I2059" s="3">
        <v>864.66</v>
      </c>
      <c r="J2059" s="3">
        <v>880.5</v>
      </c>
      <c r="K2059" s="3">
        <v>680</v>
      </c>
      <c r="L2059" s="2">
        <v>8678821</v>
      </c>
      <c r="M2059" s="2">
        <v>7504197402.9499998</v>
      </c>
      <c r="N2059" s="2">
        <v>190936</v>
      </c>
      <c r="O2059" t="s">
        <v>24</v>
      </c>
      <c r="P2059" s="8">
        <f t="shared" si="96"/>
        <v>-0.34999999999990905</v>
      </c>
      <c r="Q2059" t="s">
        <v>39</v>
      </c>
      <c r="R2059">
        <f t="shared" si="97"/>
        <v>9</v>
      </c>
      <c r="S2059" t="str">
        <f t="shared" si="98"/>
        <v>Sep</v>
      </c>
      <c r="T2059" s="9">
        <f>VLOOKUP(O2059, Annual_Summary!A:B, 2, 0)</f>
        <v>0.23827534039334342</v>
      </c>
    </row>
    <row r="2060" spans="1:20" x14ac:dyDescent="0.3">
      <c r="A2060" s="1">
        <v>45924</v>
      </c>
      <c r="B2060" t="s">
        <v>15</v>
      </c>
      <c r="C2060" s="3">
        <v>876</v>
      </c>
      <c r="D2060" s="3">
        <v>880.5</v>
      </c>
      <c r="E2060" s="3">
        <v>864.45</v>
      </c>
      <c r="F2060" s="3">
        <v>870.6</v>
      </c>
      <c r="G2060" s="3">
        <v>866.15</v>
      </c>
      <c r="H2060" s="3">
        <v>866.2</v>
      </c>
      <c r="I2060" s="3">
        <v>872.28</v>
      </c>
      <c r="J2060" s="3">
        <v>880.5</v>
      </c>
      <c r="K2060" s="3">
        <v>680</v>
      </c>
      <c r="L2060" s="2">
        <v>12840160</v>
      </c>
      <c r="M2060" s="2">
        <v>11200249246.85</v>
      </c>
      <c r="N2060" s="2">
        <v>219731</v>
      </c>
      <c r="O2060" t="s">
        <v>24</v>
      </c>
      <c r="P2060" s="8">
        <f t="shared" si="96"/>
        <v>-5.3999999999999773</v>
      </c>
      <c r="Q2060" t="s">
        <v>39</v>
      </c>
      <c r="R2060">
        <f t="shared" si="97"/>
        <v>9</v>
      </c>
      <c r="S2060" t="str">
        <f t="shared" si="98"/>
        <v>Sep</v>
      </c>
      <c r="T2060" s="9">
        <f>VLOOKUP(O2060, Annual_Summary!A:B, 2, 0)</f>
        <v>0.23827534039334342</v>
      </c>
    </row>
    <row r="2061" spans="1:20" x14ac:dyDescent="0.3">
      <c r="A2061" s="1">
        <v>45923</v>
      </c>
      <c r="B2061" t="s">
        <v>15</v>
      </c>
      <c r="C2061" s="3">
        <v>854.6</v>
      </c>
      <c r="D2061" s="3">
        <v>874.25</v>
      </c>
      <c r="E2061" s="3">
        <v>851.2</v>
      </c>
      <c r="F2061" s="3">
        <v>855.25</v>
      </c>
      <c r="G2061" s="3">
        <v>869.6</v>
      </c>
      <c r="H2061" s="3">
        <v>870.6</v>
      </c>
      <c r="I2061" s="3">
        <v>866.65</v>
      </c>
      <c r="J2061" s="3">
        <v>875.45</v>
      </c>
      <c r="K2061" s="3">
        <v>680</v>
      </c>
      <c r="L2061" s="2">
        <v>14357863</v>
      </c>
      <c r="M2061" s="2">
        <v>12443185268.450001</v>
      </c>
      <c r="N2061" s="2">
        <v>218373</v>
      </c>
      <c r="O2061" t="s">
        <v>24</v>
      </c>
      <c r="P2061" s="8">
        <f t="shared" si="96"/>
        <v>0.64999999999997726</v>
      </c>
      <c r="Q2061" t="s">
        <v>39</v>
      </c>
      <c r="R2061">
        <f t="shared" si="97"/>
        <v>9</v>
      </c>
      <c r="S2061" t="str">
        <f t="shared" si="98"/>
        <v>Sep</v>
      </c>
      <c r="T2061" s="9">
        <f>VLOOKUP(O2061, Annual_Summary!A:B, 2, 0)</f>
        <v>0.23827534039334342</v>
      </c>
    </row>
    <row r="2062" spans="1:20" x14ac:dyDescent="0.3">
      <c r="A2062" s="1">
        <v>45922</v>
      </c>
      <c r="B2062" t="s">
        <v>15</v>
      </c>
      <c r="C2062" s="3">
        <v>862</v>
      </c>
      <c r="D2062" s="3">
        <v>868.2</v>
      </c>
      <c r="E2062" s="3">
        <v>854</v>
      </c>
      <c r="F2062" s="3">
        <v>862.35</v>
      </c>
      <c r="G2062" s="3">
        <v>854.7</v>
      </c>
      <c r="H2062" s="3">
        <v>855.25</v>
      </c>
      <c r="I2062" s="3">
        <v>860.89</v>
      </c>
      <c r="J2062" s="3">
        <v>875.45</v>
      </c>
      <c r="K2062" s="3">
        <v>680</v>
      </c>
      <c r="L2062" s="2">
        <v>6594034</v>
      </c>
      <c r="M2062" s="2">
        <v>5676737180.1499996</v>
      </c>
      <c r="N2062" s="2">
        <v>158066</v>
      </c>
      <c r="O2062" t="s">
        <v>24</v>
      </c>
      <c r="P2062" s="8">
        <f t="shared" si="96"/>
        <v>0.35000000000002274</v>
      </c>
      <c r="Q2062" t="s">
        <v>39</v>
      </c>
      <c r="R2062">
        <f t="shared" si="97"/>
        <v>9</v>
      </c>
      <c r="S2062" t="str">
        <f t="shared" si="98"/>
        <v>Sep</v>
      </c>
      <c r="T2062" s="9">
        <f>VLOOKUP(O2062, Annual_Summary!A:B, 2, 0)</f>
        <v>0.23827534039334342</v>
      </c>
    </row>
    <row r="2063" spans="1:20" x14ac:dyDescent="0.3">
      <c r="A2063" s="1">
        <v>45919</v>
      </c>
      <c r="B2063" t="s">
        <v>15</v>
      </c>
      <c r="C2063" s="3">
        <v>852</v>
      </c>
      <c r="D2063" s="3">
        <v>864.45</v>
      </c>
      <c r="E2063" s="3">
        <v>849.3</v>
      </c>
      <c r="F2063" s="3">
        <v>854.35</v>
      </c>
      <c r="G2063" s="3">
        <v>862.55</v>
      </c>
      <c r="H2063" s="3">
        <v>862.35</v>
      </c>
      <c r="I2063" s="3">
        <v>861</v>
      </c>
      <c r="J2063" s="3">
        <v>875.45</v>
      </c>
      <c r="K2063" s="3">
        <v>680</v>
      </c>
      <c r="L2063" s="2">
        <v>15206426</v>
      </c>
      <c r="M2063" s="2">
        <v>13092718216.85</v>
      </c>
      <c r="N2063" s="2">
        <v>246465</v>
      </c>
      <c r="O2063" t="s">
        <v>24</v>
      </c>
      <c r="P2063" s="8">
        <f t="shared" si="96"/>
        <v>2.3500000000000227</v>
      </c>
      <c r="Q2063" t="s">
        <v>39</v>
      </c>
      <c r="R2063">
        <f t="shared" si="97"/>
        <v>9</v>
      </c>
      <c r="S2063" t="str">
        <f t="shared" si="98"/>
        <v>Sep</v>
      </c>
      <c r="T2063" s="9">
        <f>VLOOKUP(O2063, Annual_Summary!A:B, 2, 0)</f>
        <v>0.23827534039334342</v>
      </c>
    </row>
    <row r="2064" spans="1:20" x14ac:dyDescent="0.3">
      <c r="A2064" s="1">
        <v>45918</v>
      </c>
      <c r="B2064" t="s">
        <v>15</v>
      </c>
      <c r="C2064" s="3">
        <v>858.65</v>
      </c>
      <c r="D2064" s="3">
        <v>860.8</v>
      </c>
      <c r="E2064" s="3">
        <v>851.1</v>
      </c>
      <c r="F2064" s="3">
        <v>857.15</v>
      </c>
      <c r="G2064" s="3">
        <v>854.1</v>
      </c>
      <c r="H2064" s="3">
        <v>854.35</v>
      </c>
      <c r="I2064" s="3">
        <v>855.42</v>
      </c>
      <c r="J2064" s="3">
        <v>875.45</v>
      </c>
      <c r="K2064" s="3">
        <v>680</v>
      </c>
      <c r="L2064" s="2">
        <v>10400847</v>
      </c>
      <c r="M2064" s="2">
        <v>8897051776</v>
      </c>
      <c r="N2064" s="2">
        <v>261925</v>
      </c>
      <c r="O2064" t="s">
        <v>24</v>
      </c>
      <c r="P2064" s="8">
        <f t="shared" si="96"/>
        <v>-1.5</v>
      </c>
      <c r="Q2064" t="s">
        <v>39</v>
      </c>
      <c r="R2064">
        <f t="shared" si="97"/>
        <v>9</v>
      </c>
      <c r="S2064" t="str">
        <f t="shared" si="98"/>
        <v>Sep</v>
      </c>
      <c r="T2064" s="9">
        <f>VLOOKUP(O2064, Annual_Summary!A:B, 2, 0)</f>
        <v>0.23827534039334342</v>
      </c>
    </row>
    <row r="2065" spans="1:20" x14ac:dyDescent="0.3">
      <c r="A2065" s="1">
        <v>45917</v>
      </c>
      <c r="B2065" t="s">
        <v>15</v>
      </c>
      <c r="C2065" s="3">
        <v>834.3</v>
      </c>
      <c r="D2065" s="3">
        <v>858.15</v>
      </c>
      <c r="E2065" s="3">
        <v>831</v>
      </c>
      <c r="F2065" s="3">
        <v>831.55</v>
      </c>
      <c r="G2065" s="3">
        <v>856.9</v>
      </c>
      <c r="H2065" s="3">
        <v>857.15</v>
      </c>
      <c r="I2065" s="3">
        <v>847.27</v>
      </c>
      <c r="J2065" s="3">
        <v>875.45</v>
      </c>
      <c r="K2065" s="3">
        <v>680</v>
      </c>
      <c r="L2065" s="2">
        <v>17243938</v>
      </c>
      <c r="M2065" s="2">
        <v>14610349915.4</v>
      </c>
      <c r="N2065" s="2">
        <v>240034</v>
      </c>
      <c r="O2065" t="s">
        <v>24</v>
      </c>
      <c r="P2065" s="8">
        <f t="shared" si="96"/>
        <v>-2.75</v>
      </c>
      <c r="Q2065" t="s">
        <v>39</v>
      </c>
      <c r="R2065">
        <f t="shared" si="97"/>
        <v>9</v>
      </c>
      <c r="S2065" t="str">
        <f t="shared" si="98"/>
        <v>Sep</v>
      </c>
      <c r="T2065" s="9">
        <f>VLOOKUP(O2065, Annual_Summary!A:B, 2, 0)</f>
        <v>0.23827534039334342</v>
      </c>
    </row>
    <row r="2066" spans="1:20" x14ac:dyDescent="0.3">
      <c r="A2066" s="1">
        <v>45916</v>
      </c>
      <c r="B2066" t="s">
        <v>15</v>
      </c>
      <c r="C2066" s="3">
        <v>825.1</v>
      </c>
      <c r="D2066" s="3">
        <v>833</v>
      </c>
      <c r="E2066" s="3">
        <v>821.65</v>
      </c>
      <c r="F2066" s="3">
        <v>824.75</v>
      </c>
      <c r="G2066" s="3">
        <v>832.65</v>
      </c>
      <c r="H2066" s="3">
        <v>831.55</v>
      </c>
      <c r="I2066" s="3">
        <v>829.33</v>
      </c>
      <c r="J2066" s="3">
        <v>875.45</v>
      </c>
      <c r="K2066" s="3">
        <v>680</v>
      </c>
      <c r="L2066" s="2">
        <v>9467531</v>
      </c>
      <c r="M2066" s="2">
        <v>7851753614.4499998</v>
      </c>
      <c r="N2066" s="2">
        <v>176946</v>
      </c>
      <c r="O2066" t="s">
        <v>24</v>
      </c>
      <c r="P2066" s="8">
        <f t="shared" si="96"/>
        <v>-0.35000000000002274</v>
      </c>
      <c r="Q2066" t="s">
        <v>39</v>
      </c>
      <c r="R2066">
        <f t="shared" si="97"/>
        <v>9</v>
      </c>
      <c r="S2066" t="str">
        <f t="shared" si="98"/>
        <v>Sep</v>
      </c>
      <c r="T2066" s="9">
        <f>VLOOKUP(O2066, Annual_Summary!A:B, 2, 0)</f>
        <v>0.23827534039334342</v>
      </c>
    </row>
    <row r="2067" spans="1:20" x14ac:dyDescent="0.3">
      <c r="A2067" s="1">
        <v>45915</v>
      </c>
      <c r="B2067" t="s">
        <v>15</v>
      </c>
      <c r="C2067" s="3">
        <v>823.55</v>
      </c>
      <c r="D2067" s="3">
        <v>827.8</v>
      </c>
      <c r="E2067" s="3">
        <v>821.1</v>
      </c>
      <c r="F2067" s="3">
        <v>823.55</v>
      </c>
      <c r="G2067" s="3">
        <v>824</v>
      </c>
      <c r="H2067" s="3">
        <v>824.75</v>
      </c>
      <c r="I2067" s="3">
        <v>824.82</v>
      </c>
      <c r="J2067" s="3">
        <v>875.45</v>
      </c>
      <c r="K2067" s="3">
        <v>680</v>
      </c>
      <c r="L2067" s="2">
        <v>3852494</v>
      </c>
      <c r="M2067" s="2">
        <v>3177618594.5500002</v>
      </c>
      <c r="N2067" s="2">
        <v>112933</v>
      </c>
      <c r="O2067" t="s">
        <v>24</v>
      </c>
      <c r="P2067" s="8">
        <f t="shared" si="96"/>
        <v>0</v>
      </c>
      <c r="Q2067" t="s">
        <v>39</v>
      </c>
      <c r="R2067">
        <f t="shared" si="97"/>
        <v>9</v>
      </c>
      <c r="S2067" t="str">
        <f t="shared" si="98"/>
        <v>Sep</v>
      </c>
      <c r="T2067" s="9">
        <f>VLOOKUP(O2067, Annual_Summary!A:B, 2, 0)</f>
        <v>0.23827534039334342</v>
      </c>
    </row>
    <row r="2068" spans="1:20" x14ac:dyDescent="0.3">
      <c r="A2068" s="1">
        <v>45912</v>
      </c>
      <c r="B2068" t="s">
        <v>15</v>
      </c>
      <c r="C2068" s="3">
        <v>824.1</v>
      </c>
      <c r="D2068" s="3">
        <v>825.8</v>
      </c>
      <c r="E2068" s="3">
        <v>819.8</v>
      </c>
      <c r="F2068" s="3">
        <v>823.65</v>
      </c>
      <c r="G2068" s="3">
        <v>823.2</v>
      </c>
      <c r="H2068" s="3">
        <v>823.55</v>
      </c>
      <c r="I2068" s="3">
        <v>822.85</v>
      </c>
      <c r="J2068" s="3">
        <v>875.45</v>
      </c>
      <c r="K2068" s="3">
        <v>680</v>
      </c>
      <c r="L2068" s="2">
        <v>5078018</v>
      </c>
      <c r="M2068" s="2">
        <v>4178428627.0500002</v>
      </c>
      <c r="N2068" s="2">
        <v>97209</v>
      </c>
      <c r="O2068" t="s">
        <v>24</v>
      </c>
      <c r="P2068" s="8">
        <f t="shared" si="96"/>
        <v>-0.45000000000004547</v>
      </c>
      <c r="Q2068" t="s">
        <v>39</v>
      </c>
      <c r="R2068">
        <f t="shared" si="97"/>
        <v>9</v>
      </c>
      <c r="S2068" t="str">
        <f t="shared" si="98"/>
        <v>Sep</v>
      </c>
      <c r="T2068" s="9">
        <f>VLOOKUP(O2068, Annual_Summary!A:B, 2, 0)</f>
        <v>0.23827534039334342</v>
      </c>
    </row>
    <row r="2069" spans="1:20" x14ac:dyDescent="0.3">
      <c r="A2069" s="1">
        <v>45911</v>
      </c>
      <c r="B2069" t="s">
        <v>15</v>
      </c>
      <c r="C2069" s="3">
        <v>819.1</v>
      </c>
      <c r="D2069" s="3">
        <v>825.7</v>
      </c>
      <c r="E2069" s="3">
        <v>819</v>
      </c>
      <c r="F2069" s="3">
        <v>818.2</v>
      </c>
      <c r="G2069" s="3">
        <v>824.6</v>
      </c>
      <c r="H2069" s="3">
        <v>823.65</v>
      </c>
      <c r="I2069" s="3">
        <v>823.2</v>
      </c>
      <c r="J2069" s="3">
        <v>875.45</v>
      </c>
      <c r="K2069" s="3">
        <v>680</v>
      </c>
      <c r="L2069" s="2">
        <v>7425055</v>
      </c>
      <c r="M2069" s="2">
        <v>6112287855</v>
      </c>
      <c r="N2069" s="2">
        <v>127782</v>
      </c>
      <c r="O2069" t="s">
        <v>24</v>
      </c>
      <c r="P2069" s="8">
        <f t="shared" si="96"/>
        <v>-0.89999999999997726</v>
      </c>
      <c r="Q2069" t="s">
        <v>39</v>
      </c>
      <c r="R2069">
        <f t="shared" si="97"/>
        <v>9</v>
      </c>
      <c r="S2069" t="str">
        <f t="shared" si="98"/>
        <v>Sep</v>
      </c>
      <c r="T2069" s="9">
        <f>VLOOKUP(O2069, Annual_Summary!A:B, 2, 0)</f>
        <v>0.23827534039334342</v>
      </c>
    </row>
    <row r="2070" spans="1:20" x14ac:dyDescent="0.3">
      <c r="A2070" s="1">
        <v>45910</v>
      </c>
      <c r="B2070" t="s">
        <v>15</v>
      </c>
      <c r="C2070" s="3">
        <v>812</v>
      </c>
      <c r="D2070" s="3">
        <v>824.6</v>
      </c>
      <c r="E2070" s="3">
        <v>810.4</v>
      </c>
      <c r="F2070" s="3">
        <v>808.85</v>
      </c>
      <c r="G2070" s="3">
        <v>818.45</v>
      </c>
      <c r="H2070" s="3">
        <v>818.2</v>
      </c>
      <c r="I2070" s="3">
        <v>818.64</v>
      </c>
      <c r="J2070" s="3">
        <v>875.45</v>
      </c>
      <c r="K2070" s="3">
        <v>680</v>
      </c>
      <c r="L2070" s="2">
        <v>7285853</v>
      </c>
      <c r="M2070" s="2">
        <v>5964483743.8500004</v>
      </c>
      <c r="N2070" s="2">
        <v>106322</v>
      </c>
      <c r="O2070" t="s">
        <v>24</v>
      </c>
      <c r="P2070" s="8">
        <f t="shared" si="96"/>
        <v>-3.1499999999999773</v>
      </c>
      <c r="Q2070" t="s">
        <v>39</v>
      </c>
      <c r="R2070">
        <f t="shared" si="97"/>
        <v>9</v>
      </c>
      <c r="S2070" t="str">
        <f t="shared" si="98"/>
        <v>Sep</v>
      </c>
      <c r="T2070" s="9">
        <f>VLOOKUP(O2070, Annual_Summary!A:B, 2, 0)</f>
        <v>0.23827534039334342</v>
      </c>
    </row>
    <row r="2071" spans="1:20" x14ac:dyDescent="0.3">
      <c r="A2071" s="1">
        <v>45909</v>
      </c>
      <c r="B2071" t="s">
        <v>15</v>
      </c>
      <c r="C2071" s="3">
        <v>812</v>
      </c>
      <c r="D2071" s="3">
        <v>812.35</v>
      </c>
      <c r="E2071" s="3">
        <v>805.6</v>
      </c>
      <c r="F2071" s="3">
        <v>808.8</v>
      </c>
      <c r="G2071" s="3">
        <v>808</v>
      </c>
      <c r="H2071" s="3">
        <v>808.85</v>
      </c>
      <c r="I2071" s="3">
        <v>808.44</v>
      </c>
      <c r="J2071" s="3">
        <v>875.45</v>
      </c>
      <c r="K2071" s="3">
        <v>680</v>
      </c>
      <c r="L2071" s="2">
        <v>4567272</v>
      </c>
      <c r="M2071" s="2">
        <v>3692346687.0999999</v>
      </c>
      <c r="N2071" s="2">
        <v>104998</v>
      </c>
      <c r="O2071" t="s">
        <v>24</v>
      </c>
      <c r="P2071" s="8">
        <f t="shared" si="96"/>
        <v>-3.2000000000000455</v>
      </c>
      <c r="Q2071" t="s">
        <v>39</v>
      </c>
      <c r="R2071">
        <f t="shared" si="97"/>
        <v>9</v>
      </c>
      <c r="S2071" t="str">
        <f t="shared" si="98"/>
        <v>Sep</v>
      </c>
      <c r="T2071" s="9">
        <f>VLOOKUP(O2071, Annual_Summary!A:B, 2, 0)</f>
        <v>0.23827534039334342</v>
      </c>
    </row>
    <row r="2072" spans="1:20" x14ac:dyDescent="0.3">
      <c r="A2072" s="1">
        <v>45908</v>
      </c>
      <c r="B2072" t="s">
        <v>15</v>
      </c>
      <c r="C2072" s="3">
        <v>808</v>
      </c>
      <c r="D2072" s="3">
        <v>813.85</v>
      </c>
      <c r="E2072" s="3">
        <v>806.8</v>
      </c>
      <c r="F2072" s="3">
        <v>806.6</v>
      </c>
      <c r="G2072" s="3">
        <v>808</v>
      </c>
      <c r="H2072" s="3">
        <v>808.8</v>
      </c>
      <c r="I2072" s="3">
        <v>810.2</v>
      </c>
      <c r="J2072" s="3">
        <v>875.45</v>
      </c>
      <c r="K2072" s="3">
        <v>680</v>
      </c>
      <c r="L2072" s="2">
        <v>4614227</v>
      </c>
      <c r="M2072" s="2">
        <v>3738454020.9499998</v>
      </c>
      <c r="N2072" s="2">
        <v>121620</v>
      </c>
      <c r="O2072" t="s">
        <v>24</v>
      </c>
      <c r="P2072" s="8">
        <f t="shared" si="96"/>
        <v>-1.3999999999999773</v>
      </c>
      <c r="Q2072" t="s">
        <v>39</v>
      </c>
      <c r="R2072">
        <f t="shared" si="97"/>
        <v>9</v>
      </c>
      <c r="S2072" t="str">
        <f t="shared" si="98"/>
        <v>Sep</v>
      </c>
      <c r="T2072" s="9">
        <f>VLOOKUP(O2072, Annual_Summary!A:B, 2, 0)</f>
        <v>0.23827534039334342</v>
      </c>
    </row>
    <row r="2073" spans="1:20" x14ac:dyDescent="0.3">
      <c r="A2073" s="1">
        <v>45905</v>
      </c>
      <c r="B2073" t="s">
        <v>15</v>
      </c>
      <c r="C2073" s="3">
        <v>811.5</v>
      </c>
      <c r="D2073" s="3">
        <v>812.5</v>
      </c>
      <c r="E2073" s="3">
        <v>803.65</v>
      </c>
      <c r="F2073" s="3">
        <v>809.4</v>
      </c>
      <c r="G2073" s="3">
        <v>806.95</v>
      </c>
      <c r="H2073" s="3">
        <v>806.6</v>
      </c>
      <c r="I2073" s="3">
        <v>807.29</v>
      </c>
      <c r="J2073" s="3">
        <v>875.45</v>
      </c>
      <c r="K2073" s="3">
        <v>680</v>
      </c>
      <c r="L2073" s="2">
        <v>5194842</v>
      </c>
      <c r="M2073" s="2">
        <v>4193721391</v>
      </c>
      <c r="N2073" s="2">
        <v>102729</v>
      </c>
      <c r="O2073" t="s">
        <v>24</v>
      </c>
      <c r="P2073" s="8">
        <f t="shared" si="96"/>
        <v>-2.1000000000000227</v>
      </c>
      <c r="Q2073" t="s">
        <v>39</v>
      </c>
      <c r="R2073">
        <f t="shared" si="97"/>
        <v>9</v>
      </c>
      <c r="S2073" t="str">
        <f t="shared" si="98"/>
        <v>Sep</v>
      </c>
      <c r="T2073" s="9">
        <f>VLOOKUP(O2073, Annual_Summary!A:B, 2, 0)</f>
        <v>0.23827534039334342</v>
      </c>
    </row>
    <row r="2074" spans="1:20" x14ac:dyDescent="0.3">
      <c r="A2074" s="1">
        <v>45904</v>
      </c>
      <c r="B2074" t="s">
        <v>15</v>
      </c>
      <c r="C2074" s="3">
        <v>814.65</v>
      </c>
      <c r="D2074" s="3">
        <v>816.75</v>
      </c>
      <c r="E2074" s="3">
        <v>808</v>
      </c>
      <c r="F2074" s="3">
        <v>812.15</v>
      </c>
      <c r="G2074" s="3">
        <v>809.85</v>
      </c>
      <c r="H2074" s="3">
        <v>809.4</v>
      </c>
      <c r="I2074" s="3">
        <v>811.23</v>
      </c>
      <c r="J2074" s="3">
        <v>875.45</v>
      </c>
      <c r="K2074" s="3">
        <v>680</v>
      </c>
      <c r="L2074" s="2">
        <v>4471950</v>
      </c>
      <c r="M2074" s="2">
        <v>3627764983.4000001</v>
      </c>
      <c r="N2074" s="2">
        <v>96652</v>
      </c>
      <c r="O2074" t="s">
        <v>24</v>
      </c>
      <c r="P2074" s="8">
        <f t="shared" si="96"/>
        <v>-2.5</v>
      </c>
      <c r="Q2074" t="s">
        <v>39</v>
      </c>
      <c r="R2074">
        <f t="shared" si="97"/>
        <v>9</v>
      </c>
      <c r="S2074" t="str">
        <f t="shared" si="98"/>
        <v>Sep</v>
      </c>
      <c r="T2074" s="9">
        <f>VLOOKUP(O2074, Annual_Summary!A:B, 2, 0)</f>
        <v>0.23827534039334342</v>
      </c>
    </row>
    <row r="2075" spans="1:20" x14ac:dyDescent="0.3">
      <c r="A2075" s="1">
        <v>45903</v>
      </c>
      <c r="B2075" t="s">
        <v>15</v>
      </c>
      <c r="C2075" s="3">
        <v>804.3</v>
      </c>
      <c r="D2075" s="3">
        <v>813.3</v>
      </c>
      <c r="E2075" s="3">
        <v>803</v>
      </c>
      <c r="F2075" s="3">
        <v>803.9</v>
      </c>
      <c r="G2075" s="3">
        <v>813</v>
      </c>
      <c r="H2075" s="3">
        <v>812.15</v>
      </c>
      <c r="I2075" s="3">
        <v>810.4</v>
      </c>
      <c r="J2075" s="3">
        <v>875.45</v>
      </c>
      <c r="K2075" s="3">
        <v>680</v>
      </c>
      <c r="L2075" s="2">
        <v>4261589</v>
      </c>
      <c r="M2075" s="2">
        <v>3453582134.4000001</v>
      </c>
      <c r="N2075" s="2">
        <v>87672</v>
      </c>
      <c r="O2075" t="s">
        <v>24</v>
      </c>
      <c r="P2075" s="8">
        <f t="shared" si="96"/>
        <v>-0.39999999999997726</v>
      </c>
      <c r="Q2075" t="s">
        <v>39</v>
      </c>
      <c r="R2075">
        <f t="shared" si="97"/>
        <v>9</v>
      </c>
      <c r="S2075" t="str">
        <f t="shared" si="98"/>
        <v>Sep</v>
      </c>
      <c r="T2075" s="9">
        <f>VLOOKUP(O2075, Annual_Summary!A:B, 2, 0)</f>
        <v>0.23827534039334342</v>
      </c>
    </row>
    <row r="2076" spans="1:20" x14ac:dyDescent="0.3">
      <c r="A2076" s="1">
        <v>45902</v>
      </c>
      <c r="B2076" t="s">
        <v>15</v>
      </c>
      <c r="C2076" s="3">
        <v>806.3</v>
      </c>
      <c r="D2076" s="3">
        <v>810.5</v>
      </c>
      <c r="E2076" s="3">
        <v>802.65</v>
      </c>
      <c r="F2076" s="3">
        <v>806.05</v>
      </c>
      <c r="G2076" s="3">
        <v>803.75</v>
      </c>
      <c r="H2076" s="3">
        <v>803.9</v>
      </c>
      <c r="I2076" s="3">
        <v>806.45</v>
      </c>
      <c r="J2076" s="3">
        <v>875.45</v>
      </c>
      <c r="K2076" s="3">
        <v>680</v>
      </c>
      <c r="L2076" s="2">
        <v>5075460</v>
      </c>
      <c r="M2076" s="2">
        <v>4093129116.75</v>
      </c>
      <c r="N2076" s="2">
        <v>106989</v>
      </c>
      <c r="O2076" t="s">
        <v>24</v>
      </c>
      <c r="P2076" s="8">
        <f t="shared" si="96"/>
        <v>-0.25</v>
      </c>
      <c r="Q2076" t="s">
        <v>39</v>
      </c>
      <c r="R2076">
        <f t="shared" si="97"/>
        <v>9</v>
      </c>
      <c r="S2076" t="str">
        <f t="shared" si="98"/>
        <v>Sep</v>
      </c>
      <c r="T2076" s="9">
        <f>VLOOKUP(O2076, Annual_Summary!A:B, 2, 0)</f>
        <v>0.23827534039334342</v>
      </c>
    </row>
    <row r="2077" spans="1:20" x14ac:dyDescent="0.3">
      <c r="A2077" s="1">
        <v>45901</v>
      </c>
      <c r="B2077" t="s">
        <v>15</v>
      </c>
      <c r="C2077" s="3">
        <v>803.1</v>
      </c>
      <c r="D2077" s="3">
        <v>808.3</v>
      </c>
      <c r="E2077" s="3">
        <v>802.65</v>
      </c>
      <c r="F2077" s="3">
        <v>802.5</v>
      </c>
      <c r="G2077" s="3">
        <v>805.5</v>
      </c>
      <c r="H2077" s="3">
        <v>806.05</v>
      </c>
      <c r="I2077" s="3">
        <v>805.3</v>
      </c>
      <c r="J2077" s="3">
        <v>875.45</v>
      </c>
      <c r="K2077" s="3">
        <v>680</v>
      </c>
      <c r="L2077" s="2">
        <v>5619805</v>
      </c>
      <c r="M2077" s="2">
        <v>4525656654.4499998</v>
      </c>
      <c r="N2077" s="2">
        <v>128697</v>
      </c>
      <c r="O2077" t="s">
        <v>24</v>
      </c>
      <c r="P2077" s="8">
        <f t="shared" si="96"/>
        <v>-0.60000000000002274</v>
      </c>
      <c r="Q2077" t="s">
        <v>39</v>
      </c>
      <c r="R2077">
        <f t="shared" si="97"/>
        <v>9</v>
      </c>
      <c r="S2077" t="str">
        <f t="shared" si="98"/>
        <v>Sep</v>
      </c>
      <c r="T2077" s="9">
        <f>VLOOKUP(O2077, Annual_Summary!A:B, 2, 0)</f>
        <v>0.23827534039334342</v>
      </c>
    </row>
    <row r="2078" spans="1:20" x14ac:dyDescent="0.3">
      <c r="A2078" s="1">
        <v>45898</v>
      </c>
      <c r="B2078" t="s">
        <v>15</v>
      </c>
      <c r="C2078" s="3">
        <v>800.7</v>
      </c>
      <c r="D2078" s="3">
        <v>806.7</v>
      </c>
      <c r="E2078" s="3">
        <v>798.5</v>
      </c>
      <c r="F2078" s="3">
        <v>801.95</v>
      </c>
      <c r="G2078" s="3">
        <v>802.4</v>
      </c>
      <c r="H2078" s="3">
        <v>802.5</v>
      </c>
      <c r="I2078" s="3">
        <v>803</v>
      </c>
      <c r="J2078" s="3">
        <v>875.45</v>
      </c>
      <c r="K2078" s="3">
        <v>680</v>
      </c>
      <c r="L2078" s="2">
        <v>6861440</v>
      </c>
      <c r="M2078" s="2">
        <v>5509712391.6999998</v>
      </c>
      <c r="N2078" s="2">
        <v>127449</v>
      </c>
      <c r="O2078" t="s">
        <v>24</v>
      </c>
      <c r="P2078" s="8">
        <f t="shared" si="96"/>
        <v>1.25</v>
      </c>
      <c r="Q2078" t="s">
        <v>39</v>
      </c>
      <c r="R2078">
        <f t="shared" si="97"/>
        <v>8</v>
      </c>
      <c r="S2078" t="str">
        <f t="shared" si="98"/>
        <v>Aug</v>
      </c>
      <c r="T2078" s="9">
        <f>VLOOKUP(O2078, Annual_Summary!A:B, 2, 0)</f>
        <v>0.23827534039334342</v>
      </c>
    </row>
    <row r="2079" spans="1:20" x14ac:dyDescent="0.3">
      <c r="A2079" s="1">
        <v>45897</v>
      </c>
      <c r="B2079" t="s">
        <v>15</v>
      </c>
      <c r="C2079" s="3">
        <v>807.25</v>
      </c>
      <c r="D2079" s="3">
        <v>811</v>
      </c>
      <c r="E2079" s="3">
        <v>800.65</v>
      </c>
      <c r="F2079" s="3">
        <v>807.85</v>
      </c>
      <c r="G2079" s="3">
        <v>802.9</v>
      </c>
      <c r="H2079" s="3">
        <v>801.95</v>
      </c>
      <c r="I2079" s="3">
        <v>806.19</v>
      </c>
      <c r="J2079" s="3">
        <v>875.45</v>
      </c>
      <c r="K2079" s="3">
        <v>680</v>
      </c>
      <c r="L2079" s="2">
        <v>7898436</v>
      </c>
      <c r="M2079" s="2">
        <v>6367629468</v>
      </c>
      <c r="N2079" s="2">
        <v>163534</v>
      </c>
      <c r="O2079" t="s">
        <v>24</v>
      </c>
      <c r="P2079" s="8">
        <f t="shared" si="96"/>
        <v>0.60000000000002274</v>
      </c>
      <c r="Q2079" t="s">
        <v>39</v>
      </c>
      <c r="R2079">
        <f t="shared" si="97"/>
        <v>8</v>
      </c>
      <c r="S2079" t="str">
        <f t="shared" si="98"/>
        <v>Aug</v>
      </c>
      <c r="T2079" s="9">
        <f>VLOOKUP(O2079, Annual_Summary!A:B, 2, 0)</f>
        <v>0.23827534039334342</v>
      </c>
    </row>
    <row r="2080" spans="1:20" x14ac:dyDescent="0.3">
      <c r="A2080" s="1">
        <v>45895</v>
      </c>
      <c r="B2080" t="s">
        <v>15</v>
      </c>
      <c r="C2080" s="3">
        <v>814.85</v>
      </c>
      <c r="D2080" s="3">
        <v>815.85</v>
      </c>
      <c r="E2080" s="3">
        <v>806.75</v>
      </c>
      <c r="F2080" s="3">
        <v>816.45</v>
      </c>
      <c r="G2080" s="3">
        <v>808.4</v>
      </c>
      <c r="H2080" s="3">
        <v>807.85</v>
      </c>
      <c r="I2080" s="3">
        <v>810.3</v>
      </c>
      <c r="J2080" s="3">
        <v>875.45</v>
      </c>
      <c r="K2080" s="3">
        <v>680</v>
      </c>
      <c r="L2080" s="2">
        <v>6997817</v>
      </c>
      <c r="M2080" s="2">
        <v>5670332537.1000004</v>
      </c>
      <c r="N2080" s="2">
        <v>127200</v>
      </c>
      <c r="O2080" t="s">
        <v>24</v>
      </c>
      <c r="P2080" s="8">
        <f t="shared" si="96"/>
        <v>1.6000000000000227</v>
      </c>
      <c r="Q2080" t="s">
        <v>39</v>
      </c>
      <c r="R2080">
        <f t="shared" si="97"/>
        <v>8</v>
      </c>
      <c r="S2080" t="str">
        <f t="shared" si="98"/>
        <v>Aug</v>
      </c>
      <c r="T2080" s="9">
        <f>VLOOKUP(O2080, Annual_Summary!A:B, 2, 0)</f>
        <v>0.23827534039334342</v>
      </c>
    </row>
    <row r="2081" spans="1:20" x14ac:dyDescent="0.3">
      <c r="A2081" s="1">
        <v>45894</v>
      </c>
      <c r="B2081" t="s">
        <v>15</v>
      </c>
      <c r="C2081" s="3">
        <v>817.45</v>
      </c>
      <c r="D2081" s="3">
        <v>820.5</v>
      </c>
      <c r="E2081" s="3">
        <v>814.2</v>
      </c>
      <c r="F2081" s="3">
        <v>816.25</v>
      </c>
      <c r="G2081" s="3">
        <v>816.5</v>
      </c>
      <c r="H2081" s="3">
        <v>816.45</v>
      </c>
      <c r="I2081" s="3">
        <v>817.57</v>
      </c>
      <c r="J2081" s="3">
        <v>875.45</v>
      </c>
      <c r="K2081" s="3">
        <v>680</v>
      </c>
      <c r="L2081" s="2">
        <v>5672898</v>
      </c>
      <c r="M2081" s="2">
        <v>4637981705.0500002</v>
      </c>
      <c r="N2081" s="2">
        <v>176881</v>
      </c>
      <c r="O2081" t="s">
        <v>24</v>
      </c>
      <c r="P2081" s="8">
        <f t="shared" si="96"/>
        <v>-1.2000000000000455</v>
      </c>
      <c r="Q2081" t="s">
        <v>39</v>
      </c>
      <c r="R2081">
        <f t="shared" si="97"/>
        <v>8</v>
      </c>
      <c r="S2081" t="str">
        <f t="shared" si="98"/>
        <v>Aug</v>
      </c>
      <c r="T2081" s="9">
        <f>VLOOKUP(O2081, Annual_Summary!A:B, 2, 0)</f>
        <v>0.23827534039334342</v>
      </c>
    </row>
    <row r="2082" spans="1:20" x14ac:dyDescent="0.3">
      <c r="A2082" s="1">
        <v>45891</v>
      </c>
      <c r="B2082" t="s">
        <v>15</v>
      </c>
      <c r="C2082" s="3">
        <v>824</v>
      </c>
      <c r="D2082" s="3">
        <v>826</v>
      </c>
      <c r="E2082" s="3">
        <v>815.7</v>
      </c>
      <c r="F2082" s="3">
        <v>825.7</v>
      </c>
      <c r="G2082" s="3">
        <v>816.8</v>
      </c>
      <c r="H2082" s="3">
        <v>816.25</v>
      </c>
      <c r="I2082" s="3">
        <v>819.33</v>
      </c>
      <c r="J2082" s="3">
        <v>875.45</v>
      </c>
      <c r="K2082" s="3">
        <v>680</v>
      </c>
      <c r="L2082" s="2">
        <v>5097647</v>
      </c>
      <c r="M2082" s="2">
        <v>4176641494.8499999</v>
      </c>
      <c r="N2082" s="2">
        <v>141389</v>
      </c>
      <c r="O2082" t="s">
        <v>24</v>
      </c>
      <c r="P2082" s="8">
        <f t="shared" si="96"/>
        <v>1.7000000000000455</v>
      </c>
      <c r="Q2082" t="s">
        <v>39</v>
      </c>
      <c r="R2082">
        <f t="shared" si="97"/>
        <v>8</v>
      </c>
      <c r="S2082" t="str">
        <f t="shared" si="98"/>
        <v>Aug</v>
      </c>
      <c r="T2082" s="9">
        <f>VLOOKUP(O2082, Annual_Summary!A:B, 2, 0)</f>
        <v>0.23827534039334342</v>
      </c>
    </row>
    <row r="2083" spans="1:20" x14ac:dyDescent="0.3">
      <c r="A2083" s="1">
        <v>45890</v>
      </c>
      <c r="B2083" t="s">
        <v>15</v>
      </c>
      <c r="C2083" s="3">
        <v>828.95</v>
      </c>
      <c r="D2083" s="3">
        <v>833.25</v>
      </c>
      <c r="E2083" s="3">
        <v>824.05</v>
      </c>
      <c r="F2083" s="3">
        <v>828.95</v>
      </c>
      <c r="G2083" s="3">
        <v>824.05</v>
      </c>
      <c r="H2083" s="3">
        <v>825.7</v>
      </c>
      <c r="I2083" s="3">
        <v>828.67</v>
      </c>
      <c r="J2083" s="3">
        <v>875.45</v>
      </c>
      <c r="K2083" s="3">
        <v>680</v>
      </c>
      <c r="L2083" s="2">
        <v>4402511</v>
      </c>
      <c r="M2083" s="2">
        <v>3648216255.5</v>
      </c>
      <c r="N2083" s="2">
        <v>108762</v>
      </c>
      <c r="O2083" t="s">
        <v>24</v>
      </c>
      <c r="P2083" s="8">
        <f t="shared" si="96"/>
        <v>0</v>
      </c>
      <c r="Q2083" t="s">
        <v>39</v>
      </c>
      <c r="R2083">
        <f t="shared" si="97"/>
        <v>8</v>
      </c>
      <c r="S2083" t="str">
        <f t="shared" si="98"/>
        <v>Aug</v>
      </c>
      <c r="T2083" s="9">
        <f>VLOOKUP(O2083, Annual_Summary!A:B, 2, 0)</f>
        <v>0.23827534039334342</v>
      </c>
    </row>
    <row r="2084" spans="1:20" x14ac:dyDescent="0.3">
      <c r="A2084" s="1">
        <v>45889</v>
      </c>
      <c r="B2084" t="s">
        <v>15</v>
      </c>
      <c r="C2084" s="3">
        <v>828.7</v>
      </c>
      <c r="D2084" s="3">
        <v>831.9</v>
      </c>
      <c r="E2084" s="3">
        <v>827.4</v>
      </c>
      <c r="F2084" s="3">
        <v>830.4</v>
      </c>
      <c r="G2084" s="3">
        <v>828.9</v>
      </c>
      <c r="H2084" s="3">
        <v>828.95</v>
      </c>
      <c r="I2084" s="3">
        <v>829.56</v>
      </c>
      <c r="J2084" s="3">
        <v>875.45</v>
      </c>
      <c r="K2084" s="3">
        <v>680</v>
      </c>
      <c r="L2084" s="2">
        <v>4493888</v>
      </c>
      <c r="M2084" s="2">
        <v>3727970038.6500001</v>
      </c>
      <c r="N2084" s="2">
        <v>89785</v>
      </c>
      <c r="O2084" t="s">
        <v>24</v>
      </c>
      <c r="P2084" s="8">
        <f t="shared" si="96"/>
        <v>1.6999999999999318</v>
      </c>
      <c r="Q2084" t="s">
        <v>39</v>
      </c>
      <c r="R2084">
        <f t="shared" si="97"/>
        <v>8</v>
      </c>
      <c r="S2084" t="str">
        <f t="shared" si="98"/>
        <v>Aug</v>
      </c>
      <c r="T2084" s="9">
        <f>VLOOKUP(O2084, Annual_Summary!A:B, 2, 0)</f>
        <v>0.23827534039334342</v>
      </c>
    </row>
    <row r="2085" spans="1:20" x14ac:dyDescent="0.3">
      <c r="A2085" s="1">
        <v>45888</v>
      </c>
      <c r="B2085" t="s">
        <v>15</v>
      </c>
      <c r="C2085" s="3">
        <v>827.5</v>
      </c>
      <c r="D2085" s="3">
        <v>831</v>
      </c>
      <c r="E2085" s="3">
        <v>825.8</v>
      </c>
      <c r="F2085" s="3">
        <v>827.65</v>
      </c>
      <c r="G2085" s="3">
        <v>829.15</v>
      </c>
      <c r="H2085" s="3">
        <v>830.4</v>
      </c>
      <c r="I2085" s="3">
        <v>829.06</v>
      </c>
      <c r="J2085" s="3">
        <v>875.45</v>
      </c>
      <c r="K2085" s="3">
        <v>680</v>
      </c>
      <c r="L2085" s="2">
        <v>5076681</v>
      </c>
      <c r="M2085" s="2">
        <v>4208857802.0999999</v>
      </c>
      <c r="N2085" s="2">
        <v>110280</v>
      </c>
      <c r="O2085" t="s">
        <v>24</v>
      </c>
      <c r="P2085" s="8">
        <f t="shared" si="96"/>
        <v>0.14999999999997726</v>
      </c>
      <c r="Q2085" t="s">
        <v>39</v>
      </c>
      <c r="R2085">
        <f t="shared" si="97"/>
        <v>8</v>
      </c>
      <c r="S2085" t="str">
        <f t="shared" si="98"/>
        <v>Aug</v>
      </c>
      <c r="T2085" s="9">
        <f>VLOOKUP(O2085, Annual_Summary!A:B, 2, 0)</f>
        <v>0.23827534039334342</v>
      </c>
    </row>
    <row r="2086" spans="1:20" x14ac:dyDescent="0.3">
      <c r="A2086" s="1">
        <v>45887</v>
      </c>
      <c r="B2086" t="s">
        <v>15</v>
      </c>
      <c r="C2086" s="3">
        <v>836</v>
      </c>
      <c r="D2086" s="3">
        <v>838</v>
      </c>
      <c r="E2086" s="3">
        <v>825.15</v>
      </c>
      <c r="F2086" s="3">
        <v>826.55</v>
      </c>
      <c r="G2086" s="3">
        <v>826.2</v>
      </c>
      <c r="H2086" s="3">
        <v>827.65</v>
      </c>
      <c r="I2086" s="3">
        <v>829.82</v>
      </c>
      <c r="J2086" s="3">
        <v>875.45</v>
      </c>
      <c r="K2086" s="3">
        <v>680</v>
      </c>
      <c r="L2086" s="2">
        <v>6138124</v>
      </c>
      <c r="M2086" s="2">
        <v>5093538559.75</v>
      </c>
      <c r="N2086" s="2">
        <v>136179</v>
      </c>
      <c r="O2086" t="s">
        <v>24</v>
      </c>
      <c r="P2086" s="8">
        <f t="shared" si="96"/>
        <v>-9.4500000000000455</v>
      </c>
      <c r="Q2086" t="s">
        <v>39</v>
      </c>
      <c r="R2086">
        <f t="shared" si="97"/>
        <v>8</v>
      </c>
      <c r="S2086" t="str">
        <f t="shared" si="98"/>
        <v>Aug</v>
      </c>
      <c r="T2086" s="9">
        <f>VLOOKUP(O2086, Annual_Summary!A:B, 2, 0)</f>
        <v>0.23827534039334342</v>
      </c>
    </row>
    <row r="2087" spans="1:20" x14ac:dyDescent="0.3">
      <c r="A2087" s="1">
        <v>45883</v>
      </c>
      <c r="B2087" t="s">
        <v>15</v>
      </c>
      <c r="C2087" s="3">
        <v>822</v>
      </c>
      <c r="D2087" s="3">
        <v>828</v>
      </c>
      <c r="E2087" s="3">
        <v>819.1</v>
      </c>
      <c r="F2087" s="3">
        <v>821.85</v>
      </c>
      <c r="G2087" s="3">
        <v>825.5</v>
      </c>
      <c r="H2087" s="3">
        <v>826.55</v>
      </c>
      <c r="I2087" s="3">
        <v>826.02</v>
      </c>
      <c r="J2087" s="3">
        <v>875.45</v>
      </c>
      <c r="K2087" s="3">
        <v>680</v>
      </c>
      <c r="L2087" s="2">
        <v>7087573</v>
      </c>
      <c r="M2087" s="2">
        <v>5854478307.9499998</v>
      </c>
      <c r="N2087" s="2">
        <v>152716</v>
      </c>
      <c r="O2087" t="s">
        <v>24</v>
      </c>
      <c r="P2087" s="8">
        <f t="shared" si="96"/>
        <v>-0.14999999999997726</v>
      </c>
      <c r="Q2087" t="s">
        <v>39</v>
      </c>
      <c r="R2087">
        <f t="shared" si="97"/>
        <v>8</v>
      </c>
      <c r="S2087" t="str">
        <f t="shared" si="98"/>
        <v>Aug</v>
      </c>
      <c r="T2087" s="9">
        <f>VLOOKUP(O2087, Annual_Summary!A:B, 2, 0)</f>
        <v>0.23827534039334342</v>
      </c>
    </row>
    <row r="2088" spans="1:20" x14ac:dyDescent="0.3">
      <c r="A2088" s="1">
        <v>45882</v>
      </c>
      <c r="B2088" t="s">
        <v>15</v>
      </c>
      <c r="C2088" s="3">
        <v>822.65</v>
      </c>
      <c r="D2088" s="3">
        <v>824.95</v>
      </c>
      <c r="E2088" s="3">
        <v>820.65</v>
      </c>
      <c r="F2088" s="3">
        <v>820.6</v>
      </c>
      <c r="G2088" s="3">
        <v>821.55</v>
      </c>
      <c r="H2088" s="3">
        <v>821.85</v>
      </c>
      <c r="I2088" s="3">
        <v>822.38</v>
      </c>
      <c r="J2088" s="3">
        <v>875.45</v>
      </c>
      <c r="K2088" s="3">
        <v>680</v>
      </c>
      <c r="L2088" s="2">
        <v>4447508</v>
      </c>
      <c r="M2088" s="2">
        <v>3657529878.0500002</v>
      </c>
      <c r="N2088" s="2">
        <v>85625</v>
      </c>
      <c r="O2088" t="s">
        <v>24</v>
      </c>
      <c r="P2088" s="8">
        <f t="shared" si="96"/>
        <v>-2.0499999999999545</v>
      </c>
      <c r="Q2088" t="s">
        <v>39</v>
      </c>
      <c r="R2088">
        <f t="shared" si="97"/>
        <v>8</v>
      </c>
      <c r="S2088" t="str">
        <f t="shared" si="98"/>
        <v>Aug</v>
      </c>
      <c r="T2088" s="9">
        <f>VLOOKUP(O2088, Annual_Summary!A:B, 2, 0)</f>
        <v>0.23827534039334342</v>
      </c>
    </row>
    <row r="2089" spans="1:20" x14ac:dyDescent="0.3">
      <c r="A2089" s="1">
        <v>45881</v>
      </c>
      <c r="B2089" t="s">
        <v>15</v>
      </c>
      <c r="C2089" s="3">
        <v>824.95</v>
      </c>
      <c r="D2089" s="3">
        <v>825.5</v>
      </c>
      <c r="E2089" s="3">
        <v>820</v>
      </c>
      <c r="F2089" s="3">
        <v>823.45</v>
      </c>
      <c r="G2089" s="3">
        <v>821.1</v>
      </c>
      <c r="H2089" s="3">
        <v>820.6</v>
      </c>
      <c r="I2089" s="3">
        <v>823.09</v>
      </c>
      <c r="J2089" s="3">
        <v>875.45</v>
      </c>
      <c r="K2089" s="3">
        <v>680</v>
      </c>
      <c r="L2089" s="2">
        <v>7986728</v>
      </c>
      <c r="M2089" s="2">
        <v>6573758560.3999996</v>
      </c>
      <c r="N2089" s="2">
        <v>224361</v>
      </c>
      <c r="O2089" t="s">
        <v>24</v>
      </c>
      <c r="P2089" s="8">
        <f t="shared" si="96"/>
        <v>-1.5</v>
      </c>
      <c r="Q2089" t="s">
        <v>39</v>
      </c>
      <c r="R2089">
        <f t="shared" si="97"/>
        <v>8</v>
      </c>
      <c r="S2089" t="str">
        <f t="shared" si="98"/>
        <v>Aug</v>
      </c>
      <c r="T2089" s="9">
        <f>VLOOKUP(O2089, Annual_Summary!A:B, 2, 0)</f>
        <v>0.23827534039334342</v>
      </c>
    </row>
    <row r="2090" spans="1:20" x14ac:dyDescent="0.3">
      <c r="A2090" s="1">
        <v>45880</v>
      </c>
      <c r="B2090" t="s">
        <v>15</v>
      </c>
      <c r="C2090" s="3">
        <v>808</v>
      </c>
      <c r="D2090" s="3">
        <v>825</v>
      </c>
      <c r="E2090" s="3">
        <v>808</v>
      </c>
      <c r="F2090" s="3">
        <v>804.3</v>
      </c>
      <c r="G2090" s="3">
        <v>820.8</v>
      </c>
      <c r="H2090" s="3">
        <v>823.45</v>
      </c>
      <c r="I2090" s="3">
        <v>820.82</v>
      </c>
      <c r="J2090" s="3">
        <v>875.45</v>
      </c>
      <c r="K2090" s="3">
        <v>680</v>
      </c>
      <c r="L2090" s="2">
        <v>15236297</v>
      </c>
      <c r="M2090" s="2">
        <v>12506219350.049999</v>
      </c>
      <c r="N2090" s="2">
        <v>287439</v>
      </c>
      <c r="O2090" t="s">
        <v>24</v>
      </c>
      <c r="P2090" s="8">
        <f t="shared" si="96"/>
        <v>-3.7000000000000455</v>
      </c>
      <c r="Q2090" t="s">
        <v>39</v>
      </c>
      <c r="R2090">
        <f t="shared" si="97"/>
        <v>8</v>
      </c>
      <c r="S2090" t="str">
        <f t="shared" si="98"/>
        <v>Aug</v>
      </c>
      <c r="T2090" s="9">
        <f>VLOOKUP(O2090, Annual_Summary!A:B, 2, 0)</f>
        <v>0.23827534039334342</v>
      </c>
    </row>
    <row r="2091" spans="1:20" x14ac:dyDescent="0.3">
      <c r="A2091" s="1">
        <v>45877</v>
      </c>
      <c r="B2091" t="s">
        <v>15</v>
      </c>
      <c r="C2091" s="3">
        <v>805</v>
      </c>
      <c r="D2091" s="3">
        <v>807.8</v>
      </c>
      <c r="E2091" s="3">
        <v>790</v>
      </c>
      <c r="F2091" s="3">
        <v>805.15</v>
      </c>
      <c r="G2091" s="3">
        <v>802.5</v>
      </c>
      <c r="H2091" s="3">
        <v>804.3</v>
      </c>
      <c r="I2091" s="3">
        <v>801.59</v>
      </c>
      <c r="J2091" s="3">
        <v>875.45</v>
      </c>
      <c r="K2091" s="3">
        <v>680</v>
      </c>
      <c r="L2091" s="2">
        <v>15708181</v>
      </c>
      <c r="M2091" s="2">
        <v>12591558509.549999</v>
      </c>
      <c r="N2091" s="2">
        <v>277397</v>
      </c>
      <c r="O2091" t="s">
        <v>24</v>
      </c>
      <c r="P2091" s="8">
        <f t="shared" si="96"/>
        <v>0.14999999999997726</v>
      </c>
      <c r="Q2091" t="s">
        <v>39</v>
      </c>
      <c r="R2091">
        <f t="shared" si="97"/>
        <v>8</v>
      </c>
      <c r="S2091" t="str">
        <f t="shared" si="98"/>
        <v>Aug</v>
      </c>
      <c r="T2091" s="9">
        <f>VLOOKUP(O2091, Annual_Summary!A:B, 2, 0)</f>
        <v>0.23827534039334342</v>
      </c>
    </row>
    <row r="2092" spans="1:20" x14ac:dyDescent="0.3">
      <c r="A2092" s="1">
        <v>45876</v>
      </c>
      <c r="B2092" t="s">
        <v>15</v>
      </c>
      <c r="C2092" s="3">
        <v>801.1</v>
      </c>
      <c r="D2092" s="3">
        <v>806.65</v>
      </c>
      <c r="E2092" s="3">
        <v>793.4</v>
      </c>
      <c r="F2092" s="3">
        <v>805.15</v>
      </c>
      <c r="G2092" s="3">
        <v>805.6</v>
      </c>
      <c r="H2092" s="3">
        <v>805.15</v>
      </c>
      <c r="I2092" s="3">
        <v>799.81</v>
      </c>
      <c r="J2092" s="3">
        <v>875.45</v>
      </c>
      <c r="K2092" s="3">
        <v>680</v>
      </c>
      <c r="L2092" s="2">
        <v>7091392</v>
      </c>
      <c r="M2092" s="2">
        <v>5671767724.3500004</v>
      </c>
      <c r="N2092" s="2">
        <v>134092</v>
      </c>
      <c r="O2092" t="s">
        <v>24</v>
      </c>
      <c r="P2092" s="8">
        <f t="shared" si="96"/>
        <v>4.0499999999999545</v>
      </c>
      <c r="Q2092" t="s">
        <v>39</v>
      </c>
      <c r="R2092">
        <f t="shared" si="97"/>
        <v>8</v>
      </c>
      <c r="S2092" t="str">
        <f t="shared" si="98"/>
        <v>Aug</v>
      </c>
      <c r="T2092" s="9">
        <f>VLOOKUP(O2092, Annual_Summary!A:B, 2, 0)</f>
        <v>0.23827534039334342</v>
      </c>
    </row>
    <row r="2093" spans="1:20" x14ac:dyDescent="0.3">
      <c r="A2093" s="1">
        <v>45875</v>
      </c>
      <c r="B2093" t="s">
        <v>15</v>
      </c>
      <c r="C2093" s="3">
        <v>800.95</v>
      </c>
      <c r="D2093" s="3">
        <v>810.2</v>
      </c>
      <c r="E2093" s="3">
        <v>799</v>
      </c>
      <c r="F2093" s="3">
        <v>800.6</v>
      </c>
      <c r="G2093" s="3">
        <v>804.8</v>
      </c>
      <c r="H2093" s="3">
        <v>805.15</v>
      </c>
      <c r="I2093" s="3">
        <v>804.39</v>
      </c>
      <c r="J2093" s="3">
        <v>875.45</v>
      </c>
      <c r="K2093" s="3">
        <v>680</v>
      </c>
      <c r="L2093" s="2">
        <v>7409396</v>
      </c>
      <c r="M2093" s="2">
        <v>5960018370.3500004</v>
      </c>
      <c r="N2093" s="2">
        <v>120510</v>
      </c>
      <c r="O2093" t="s">
        <v>24</v>
      </c>
      <c r="P2093" s="8">
        <f t="shared" si="96"/>
        <v>-0.35000000000002274</v>
      </c>
      <c r="Q2093" t="s">
        <v>39</v>
      </c>
      <c r="R2093">
        <f t="shared" si="97"/>
        <v>8</v>
      </c>
      <c r="S2093" t="str">
        <f t="shared" si="98"/>
        <v>Aug</v>
      </c>
      <c r="T2093" s="9">
        <f>VLOOKUP(O2093, Annual_Summary!A:B, 2, 0)</f>
        <v>0.23827534039334342</v>
      </c>
    </row>
    <row r="2094" spans="1:20" x14ac:dyDescent="0.3">
      <c r="A2094" s="1">
        <v>45874</v>
      </c>
      <c r="B2094" t="s">
        <v>15</v>
      </c>
      <c r="C2094" s="3">
        <v>798</v>
      </c>
      <c r="D2094" s="3">
        <v>804.05</v>
      </c>
      <c r="E2094" s="3">
        <v>796.3</v>
      </c>
      <c r="F2094" s="3">
        <v>795.7</v>
      </c>
      <c r="G2094" s="3">
        <v>800.5</v>
      </c>
      <c r="H2094" s="3">
        <v>800.6</v>
      </c>
      <c r="I2094" s="3">
        <v>800.2</v>
      </c>
      <c r="J2094" s="3">
        <v>875.45</v>
      </c>
      <c r="K2094" s="3">
        <v>680</v>
      </c>
      <c r="L2094" s="2">
        <v>7381537</v>
      </c>
      <c r="M2094" s="2">
        <v>5906692588.8000002</v>
      </c>
      <c r="N2094" s="2">
        <v>174330</v>
      </c>
      <c r="O2094" t="s">
        <v>24</v>
      </c>
      <c r="P2094" s="8">
        <f t="shared" si="96"/>
        <v>-2.2999999999999545</v>
      </c>
      <c r="Q2094" t="s">
        <v>39</v>
      </c>
      <c r="R2094">
        <f t="shared" si="97"/>
        <v>8</v>
      </c>
      <c r="S2094" t="str">
        <f t="shared" si="98"/>
        <v>Aug</v>
      </c>
      <c r="T2094" s="9">
        <f>VLOOKUP(O2094, Annual_Summary!A:B, 2, 0)</f>
        <v>0.23827534039334342</v>
      </c>
    </row>
    <row r="2095" spans="1:20" x14ac:dyDescent="0.3">
      <c r="A2095" s="1">
        <v>45873</v>
      </c>
      <c r="B2095" t="s">
        <v>15</v>
      </c>
      <c r="C2095" s="3">
        <v>794.5</v>
      </c>
      <c r="D2095" s="3">
        <v>797.2</v>
      </c>
      <c r="E2095" s="3">
        <v>786.55</v>
      </c>
      <c r="F2095" s="3">
        <v>794</v>
      </c>
      <c r="G2095" s="3">
        <v>796.8</v>
      </c>
      <c r="H2095" s="3">
        <v>795.7</v>
      </c>
      <c r="I2095" s="3">
        <v>792.44</v>
      </c>
      <c r="J2095" s="3">
        <v>875.45</v>
      </c>
      <c r="K2095" s="3">
        <v>680</v>
      </c>
      <c r="L2095" s="2">
        <v>8820724</v>
      </c>
      <c r="M2095" s="2">
        <v>6989858237.1000004</v>
      </c>
      <c r="N2095" s="2">
        <v>169176</v>
      </c>
      <c r="O2095" t="s">
        <v>24</v>
      </c>
      <c r="P2095" s="8">
        <f t="shared" si="96"/>
        <v>-0.5</v>
      </c>
      <c r="Q2095" t="s">
        <v>39</v>
      </c>
      <c r="R2095">
        <f t="shared" si="97"/>
        <v>8</v>
      </c>
      <c r="S2095" t="str">
        <f t="shared" si="98"/>
        <v>Aug</v>
      </c>
      <c r="T2095" s="9">
        <f>VLOOKUP(O2095, Annual_Summary!A:B, 2, 0)</f>
        <v>0.23827534039334342</v>
      </c>
    </row>
    <row r="2096" spans="1:20" x14ac:dyDescent="0.3">
      <c r="A2096" s="1">
        <v>45870</v>
      </c>
      <c r="B2096" t="s">
        <v>15</v>
      </c>
      <c r="C2096" s="3">
        <v>795.7</v>
      </c>
      <c r="D2096" s="3">
        <v>801</v>
      </c>
      <c r="E2096" s="3">
        <v>792</v>
      </c>
      <c r="F2096" s="3">
        <v>796.55</v>
      </c>
      <c r="G2096" s="3">
        <v>792.95</v>
      </c>
      <c r="H2096" s="3">
        <v>794</v>
      </c>
      <c r="I2096" s="3">
        <v>795.49</v>
      </c>
      <c r="J2096" s="3">
        <v>889.1</v>
      </c>
      <c r="K2096" s="3">
        <v>680</v>
      </c>
      <c r="L2096" s="2">
        <v>15468391</v>
      </c>
      <c r="M2096" s="2">
        <v>12304983591.85</v>
      </c>
      <c r="N2096" s="2">
        <v>180563</v>
      </c>
      <c r="O2096" t="s">
        <v>24</v>
      </c>
      <c r="P2096" s="8">
        <f t="shared" si="96"/>
        <v>0.84999999999990905</v>
      </c>
      <c r="Q2096" t="s">
        <v>39</v>
      </c>
      <c r="R2096">
        <f t="shared" si="97"/>
        <v>8</v>
      </c>
      <c r="S2096" t="str">
        <f t="shared" si="98"/>
        <v>Aug</v>
      </c>
      <c r="T2096" s="9">
        <f>VLOOKUP(O2096, Annual_Summary!A:B, 2, 0)</f>
        <v>0.23827534039334342</v>
      </c>
    </row>
    <row r="2097" spans="1:20" x14ac:dyDescent="0.3">
      <c r="A2097" s="1">
        <v>45869</v>
      </c>
      <c r="B2097" t="s">
        <v>15</v>
      </c>
      <c r="C2097" s="3">
        <v>795.1</v>
      </c>
      <c r="D2097" s="3">
        <v>803.8</v>
      </c>
      <c r="E2097" s="3">
        <v>792.55</v>
      </c>
      <c r="F2097" s="3">
        <v>801.65</v>
      </c>
      <c r="G2097" s="3">
        <v>796</v>
      </c>
      <c r="H2097" s="3">
        <v>796.55</v>
      </c>
      <c r="I2097" s="3">
        <v>798.31</v>
      </c>
      <c r="J2097" s="3">
        <v>889.1</v>
      </c>
      <c r="K2097" s="3">
        <v>680</v>
      </c>
      <c r="L2097" s="2">
        <v>11359112</v>
      </c>
      <c r="M2097" s="2">
        <v>9068069397.0499992</v>
      </c>
      <c r="N2097" s="2">
        <v>185101</v>
      </c>
      <c r="O2097" t="s">
        <v>24</v>
      </c>
      <c r="P2097" s="8">
        <f t="shared" si="96"/>
        <v>6.5499999999999545</v>
      </c>
      <c r="Q2097" t="s">
        <v>39</v>
      </c>
      <c r="R2097">
        <f t="shared" si="97"/>
        <v>7</v>
      </c>
      <c r="S2097" t="str">
        <f t="shared" si="98"/>
        <v>Jul</v>
      </c>
      <c r="T2097" s="9">
        <f>VLOOKUP(O2097, Annual_Summary!A:B, 2, 0)</f>
        <v>0.23827534039334342</v>
      </c>
    </row>
    <row r="2098" spans="1:20" x14ac:dyDescent="0.3">
      <c r="A2098" s="1">
        <v>45868</v>
      </c>
      <c r="B2098" t="s">
        <v>15</v>
      </c>
      <c r="C2098" s="3">
        <v>798.95</v>
      </c>
      <c r="D2098" s="3">
        <v>803.4</v>
      </c>
      <c r="E2098" s="3">
        <v>796.2</v>
      </c>
      <c r="F2098" s="3">
        <v>799.2</v>
      </c>
      <c r="G2098" s="3">
        <v>800</v>
      </c>
      <c r="H2098" s="3">
        <v>801.65</v>
      </c>
      <c r="I2098" s="3">
        <v>800.75</v>
      </c>
      <c r="J2098" s="3">
        <v>889.1</v>
      </c>
      <c r="K2098" s="3">
        <v>680</v>
      </c>
      <c r="L2098" s="2">
        <v>8743723</v>
      </c>
      <c r="M2098" s="2">
        <v>7001526821.1999998</v>
      </c>
      <c r="N2098" s="2">
        <v>119582</v>
      </c>
      <c r="O2098" t="s">
        <v>24</v>
      </c>
      <c r="P2098" s="8">
        <f t="shared" si="96"/>
        <v>0.25</v>
      </c>
      <c r="Q2098" t="s">
        <v>39</v>
      </c>
      <c r="R2098">
        <f t="shared" si="97"/>
        <v>7</v>
      </c>
      <c r="S2098" t="str">
        <f t="shared" si="98"/>
        <v>Jul</v>
      </c>
      <c r="T2098" s="9">
        <f>VLOOKUP(O2098, Annual_Summary!A:B, 2, 0)</f>
        <v>0.23827534039334342</v>
      </c>
    </row>
    <row r="2099" spans="1:20" x14ac:dyDescent="0.3">
      <c r="A2099" s="1">
        <v>45867</v>
      </c>
      <c r="B2099" t="s">
        <v>15</v>
      </c>
      <c r="C2099" s="3">
        <v>796.2</v>
      </c>
      <c r="D2099" s="3">
        <v>800</v>
      </c>
      <c r="E2099" s="3">
        <v>793.1</v>
      </c>
      <c r="F2099" s="3">
        <v>797.15</v>
      </c>
      <c r="G2099" s="3">
        <v>798.85</v>
      </c>
      <c r="H2099" s="3">
        <v>799.2</v>
      </c>
      <c r="I2099" s="3">
        <v>797.21</v>
      </c>
      <c r="J2099" s="3">
        <v>889.1</v>
      </c>
      <c r="K2099" s="3">
        <v>680</v>
      </c>
      <c r="L2099" s="2">
        <v>7833759</v>
      </c>
      <c r="M2099" s="2">
        <v>6245123153.3999996</v>
      </c>
      <c r="N2099" s="2">
        <v>133563</v>
      </c>
      <c r="O2099" t="s">
        <v>24</v>
      </c>
      <c r="P2099" s="8">
        <f t="shared" si="96"/>
        <v>0.94999999999993179</v>
      </c>
      <c r="Q2099" t="s">
        <v>39</v>
      </c>
      <c r="R2099">
        <f t="shared" si="97"/>
        <v>7</v>
      </c>
      <c r="S2099" t="str">
        <f t="shared" si="98"/>
        <v>Jul</v>
      </c>
      <c r="T2099" s="9">
        <f>VLOOKUP(O2099, Annual_Summary!A:B, 2, 0)</f>
        <v>0.23827534039334342</v>
      </c>
    </row>
    <row r="2100" spans="1:20" x14ac:dyDescent="0.3">
      <c r="A2100" s="1">
        <v>45866</v>
      </c>
      <c r="B2100" t="s">
        <v>15</v>
      </c>
      <c r="C2100" s="3">
        <v>806.55</v>
      </c>
      <c r="D2100" s="3">
        <v>808.95</v>
      </c>
      <c r="E2100" s="3">
        <v>796</v>
      </c>
      <c r="F2100" s="3">
        <v>806.55</v>
      </c>
      <c r="G2100" s="3">
        <v>796.55</v>
      </c>
      <c r="H2100" s="3">
        <v>797.15</v>
      </c>
      <c r="I2100" s="3">
        <v>801.77</v>
      </c>
      <c r="J2100" s="3">
        <v>889.1</v>
      </c>
      <c r="K2100" s="3">
        <v>680</v>
      </c>
      <c r="L2100" s="2">
        <v>7734158</v>
      </c>
      <c r="M2100" s="2">
        <v>6201051607.25</v>
      </c>
      <c r="N2100" s="2">
        <v>243443</v>
      </c>
      <c r="O2100" t="s">
        <v>24</v>
      </c>
      <c r="P2100" s="8">
        <f t="shared" si="96"/>
        <v>0</v>
      </c>
      <c r="Q2100" t="s">
        <v>39</v>
      </c>
      <c r="R2100">
        <f t="shared" si="97"/>
        <v>7</v>
      </c>
      <c r="S2100" t="str">
        <f t="shared" si="98"/>
        <v>Jul</v>
      </c>
      <c r="T2100" s="9">
        <f>VLOOKUP(O2100, Annual_Summary!A:B, 2, 0)</f>
        <v>0.23827534039334342</v>
      </c>
    </row>
    <row r="2101" spans="1:20" x14ac:dyDescent="0.3">
      <c r="A2101" s="1">
        <v>45863</v>
      </c>
      <c r="B2101" t="s">
        <v>15</v>
      </c>
      <c r="C2101" s="3">
        <v>815</v>
      </c>
      <c r="D2101" s="3">
        <v>819.2</v>
      </c>
      <c r="E2101" s="3">
        <v>805.5</v>
      </c>
      <c r="F2101" s="3">
        <v>815.7</v>
      </c>
      <c r="G2101" s="3">
        <v>805.9</v>
      </c>
      <c r="H2101" s="3">
        <v>806.55</v>
      </c>
      <c r="I2101" s="3">
        <v>810.72</v>
      </c>
      <c r="J2101" s="3">
        <v>895</v>
      </c>
      <c r="K2101" s="3">
        <v>680</v>
      </c>
      <c r="L2101" s="2">
        <v>6734439</v>
      </c>
      <c r="M2101" s="2">
        <v>5459744200.8500004</v>
      </c>
      <c r="N2101" s="2">
        <v>155026</v>
      </c>
      <c r="O2101" t="s">
        <v>24</v>
      </c>
      <c r="P2101" s="8">
        <f t="shared" si="96"/>
        <v>0.70000000000004547</v>
      </c>
      <c r="Q2101" t="s">
        <v>39</v>
      </c>
      <c r="R2101">
        <f t="shared" si="97"/>
        <v>7</v>
      </c>
      <c r="S2101" t="str">
        <f t="shared" si="98"/>
        <v>Jul</v>
      </c>
      <c r="T2101" s="9">
        <f>VLOOKUP(O2101, Annual_Summary!A:B, 2, 0)</f>
        <v>0.23827534039334342</v>
      </c>
    </row>
    <row r="2102" spans="1:20" x14ac:dyDescent="0.3">
      <c r="A2102" s="1">
        <v>45862</v>
      </c>
      <c r="B2102" t="s">
        <v>15</v>
      </c>
      <c r="C2102" s="3">
        <v>820</v>
      </c>
      <c r="D2102" s="3">
        <v>821.95</v>
      </c>
      <c r="E2102" s="3">
        <v>810.65</v>
      </c>
      <c r="F2102" s="3">
        <v>820.65</v>
      </c>
      <c r="G2102" s="3">
        <v>816.5</v>
      </c>
      <c r="H2102" s="3">
        <v>815.7</v>
      </c>
      <c r="I2102" s="3">
        <v>815.53</v>
      </c>
      <c r="J2102" s="3">
        <v>895</v>
      </c>
      <c r="K2102" s="3">
        <v>680</v>
      </c>
      <c r="L2102" s="2">
        <v>10118309</v>
      </c>
      <c r="M2102" s="2">
        <v>8251755595.6999998</v>
      </c>
      <c r="N2102" s="2">
        <v>197128</v>
      </c>
      <c r="O2102" t="s">
        <v>24</v>
      </c>
      <c r="P2102" s="8">
        <f t="shared" si="96"/>
        <v>0.64999999999997726</v>
      </c>
      <c r="Q2102" t="s">
        <v>39</v>
      </c>
      <c r="R2102">
        <f t="shared" si="97"/>
        <v>7</v>
      </c>
      <c r="S2102" t="str">
        <f t="shared" si="98"/>
        <v>Jul</v>
      </c>
      <c r="T2102" s="9">
        <f>VLOOKUP(O2102, Annual_Summary!A:B, 2, 0)</f>
        <v>0.23827534039334342</v>
      </c>
    </row>
    <row r="2103" spans="1:20" x14ac:dyDescent="0.3">
      <c r="A2103" s="1">
        <v>45861</v>
      </c>
      <c r="B2103" t="s">
        <v>15</v>
      </c>
      <c r="C2103" s="3">
        <v>812.5</v>
      </c>
      <c r="D2103" s="3">
        <v>825.2</v>
      </c>
      <c r="E2103" s="3">
        <v>811.5</v>
      </c>
      <c r="F2103" s="3">
        <v>815</v>
      </c>
      <c r="G2103" s="3">
        <v>820.05</v>
      </c>
      <c r="H2103" s="3">
        <v>820.65</v>
      </c>
      <c r="I2103" s="3">
        <v>817.03</v>
      </c>
      <c r="J2103" s="3">
        <v>895</v>
      </c>
      <c r="K2103" s="3">
        <v>680</v>
      </c>
      <c r="L2103" s="2">
        <v>15470390</v>
      </c>
      <c r="M2103" s="2">
        <v>12639761432.950001</v>
      </c>
      <c r="N2103" s="2">
        <v>221637</v>
      </c>
      <c r="O2103" t="s">
        <v>24</v>
      </c>
      <c r="P2103" s="8">
        <f t="shared" si="96"/>
        <v>2.5</v>
      </c>
      <c r="Q2103" t="s">
        <v>39</v>
      </c>
      <c r="R2103">
        <f t="shared" si="97"/>
        <v>7</v>
      </c>
      <c r="S2103" t="str">
        <f t="shared" si="98"/>
        <v>Jul</v>
      </c>
      <c r="T2103" s="9">
        <f>VLOOKUP(O2103, Annual_Summary!A:B, 2, 0)</f>
        <v>0.23827534039334342</v>
      </c>
    </row>
    <row r="2104" spans="1:20" x14ac:dyDescent="0.3">
      <c r="A2104" s="1">
        <v>45860</v>
      </c>
      <c r="B2104" t="s">
        <v>15</v>
      </c>
      <c r="C2104" s="3">
        <v>827.5</v>
      </c>
      <c r="D2104" s="3">
        <v>828.05</v>
      </c>
      <c r="E2104" s="3">
        <v>814</v>
      </c>
      <c r="F2104" s="3">
        <v>824.2</v>
      </c>
      <c r="G2104" s="3">
        <v>814.65</v>
      </c>
      <c r="H2104" s="3">
        <v>815</v>
      </c>
      <c r="I2104" s="3">
        <v>819.53</v>
      </c>
      <c r="J2104" s="3">
        <v>895</v>
      </c>
      <c r="K2104" s="3">
        <v>680</v>
      </c>
      <c r="L2104" s="2">
        <v>7851163</v>
      </c>
      <c r="M2104" s="2">
        <v>6434296996.25</v>
      </c>
      <c r="N2104" s="2">
        <v>146969</v>
      </c>
      <c r="O2104" t="s">
        <v>24</v>
      </c>
      <c r="P2104" s="8">
        <f t="shared" si="96"/>
        <v>-3.2999999999999545</v>
      </c>
      <c r="Q2104" t="s">
        <v>39</v>
      </c>
      <c r="R2104">
        <f t="shared" si="97"/>
        <v>7</v>
      </c>
      <c r="S2104" t="str">
        <f t="shared" si="98"/>
        <v>Jul</v>
      </c>
      <c r="T2104" s="9">
        <f>VLOOKUP(O2104, Annual_Summary!A:B, 2, 0)</f>
        <v>0.23827534039334342</v>
      </c>
    </row>
    <row r="2105" spans="1:20" x14ac:dyDescent="0.3">
      <c r="A2105" s="1">
        <v>45859</v>
      </c>
      <c r="B2105" t="s">
        <v>15</v>
      </c>
      <c r="C2105" s="3">
        <v>823</v>
      </c>
      <c r="D2105" s="3">
        <v>827.35</v>
      </c>
      <c r="E2105" s="3">
        <v>817.95</v>
      </c>
      <c r="F2105" s="3">
        <v>823.35</v>
      </c>
      <c r="G2105" s="3">
        <v>824.6</v>
      </c>
      <c r="H2105" s="3">
        <v>824.2</v>
      </c>
      <c r="I2105" s="3">
        <v>823.65</v>
      </c>
      <c r="J2105" s="3">
        <v>895</v>
      </c>
      <c r="K2105" s="3">
        <v>680</v>
      </c>
      <c r="L2105" s="2">
        <v>8852594</v>
      </c>
      <c r="M2105" s="2">
        <v>7291470527.5</v>
      </c>
      <c r="N2105" s="2">
        <v>146624</v>
      </c>
      <c r="O2105" t="s">
        <v>24</v>
      </c>
      <c r="P2105" s="8">
        <f t="shared" si="96"/>
        <v>0.35000000000002274</v>
      </c>
      <c r="Q2105" t="s">
        <v>39</v>
      </c>
      <c r="R2105">
        <f t="shared" si="97"/>
        <v>7</v>
      </c>
      <c r="S2105" t="str">
        <f t="shared" si="98"/>
        <v>Jul</v>
      </c>
      <c r="T2105" s="9">
        <f>VLOOKUP(O2105, Annual_Summary!A:B, 2, 0)</f>
        <v>0.23827534039334342</v>
      </c>
    </row>
    <row r="2106" spans="1:20" x14ac:dyDescent="0.3">
      <c r="A2106" s="1">
        <v>45856</v>
      </c>
      <c r="B2106" t="s">
        <v>15</v>
      </c>
      <c r="C2106" s="3">
        <v>832</v>
      </c>
      <c r="D2106" s="3">
        <v>832.65</v>
      </c>
      <c r="E2106" s="3">
        <v>820.25</v>
      </c>
      <c r="F2106" s="3">
        <v>829</v>
      </c>
      <c r="G2106" s="3">
        <v>823</v>
      </c>
      <c r="H2106" s="3">
        <v>823.35</v>
      </c>
      <c r="I2106" s="3">
        <v>823.4</v>
      </c>
      <c r="J2106" s="3">
        <v>899</v>
      </c>
      <c r="K2106" s="3">
        <v>680</v>
      </c>
      <c r="L2106" s="2">
        <v>15387801</v>
      </c>
      <c r="M2106" s="2">
        <v>12670269957.1</v>
      </c>
      <c r="N2106" s="2">
        <v>177062</v>
      </c>
      <c r="O2106" t="s">
        <v>24</v>
      </c>
      <c r="P2106" s="8">
        <f t="shared" si="96"/>
        <v>-3</v>
      </c>
      <c r="Q2106" t="s">
        <v>39</v>
      </c>
      <c r="R2106">
        <f t="shared" si="97"/>
        <v>7</v>
      </c>
      <c r="S2106" t="str">
        <f t="shared" si="98"/>
        <v>Jul</v>
      </c>
      <c r="T2106" s="9">
        <f>VLOOKUP(O2106, Annual_Summary!A:B, 2, 0)</f>
        <v>0.23827534039334342</v>
      </c>
    </row>
    <row r="2107" spans="1:20" x14ac:dyDescent="0.3">
      <c r="A2107" s="1">
        <v>45855</v>
      </c>
      <c r="B2107" t="s">
        <v>15</v>
      </c>
      <c r="C2107" s="3">
        <v>838.4</v>
      </c>
      <c r="D2107" s="3">
        <v>842.5</v>
      </c>
      <c r="E2107" s="3">
        <v>826.35</v>
      </c>
      <c r="F2107" s="3">
        <v>831.7</v>
      </c>
      <c r="G2107" s="3">
        <v>828.75</v>
      </c>
      <c r="H2107" s="3">
        <v>829</v>
      </c>
      <c r="I2107" s="3">
        <v>834.43</v>
      </c>
      <c r="J2107" s="3">
        <v>899</v>
      </c>
      <c r="K2107" s="3">
        <v>680</v>
      </c>
      <c r="L2107" s="2">
        <v>23073718</v>
      </c>
      <c r="M2107" s="2">
        <v>19253323758.599998</v>
      </c>
      <c r="N2107" s="2">
        <v>267805</v>
      </c>
      <c r="O2107" t="s">
        <v>24</v>
      </c>
      <c r="P2107" s="8">
        <f t="shared" si="96"/>
        <v>-6.6999999999999318</v>
      </c>
      <c r="Q2107" t="s">
        <v>39</v>
      </c>
      <c r="R2107">
        <f t="shared" si="97"/>
        <v>7</v>
      </c>
      <c r="S2107" t="str">
        <f t="shared" si="98"/>
        <v>Jul</v>
      </c>
      <c r="T2107" s="9">
        <f>VLOOKUP(O2107, Annual_Summary!A:B, 2, 0)</f>
        <v>0.23827534039334342</v>
      </c>
    </row>
    <row r="2108" spans="1:20" x14ac:dyDescent="0.3">
      <c r="A2108" s="1">
        <v>45854</v>
      </c>
      <c r="B2108" t="s">
        <v>15</v>
      </c>
      <c r="C2108" s="3">
        <v>816</v>
      </c>
      <c r="D2108" s="3">
        <v>834.2</v>
      </c>
      <c r="E2108" s="3">
        <v>815.3</v>
      </c>
      <c r="F2108" s="3">
        <v>816.45</v>
      </c>
      <c r="G2108" s="3">
        <v>830.5</v>
      </c>
      <c r="H2108" s="3">
        <v>831.7</v>
      </c>
      <c r="I2108" s="3">
        <v>827.89</v>
      </c>
      <c r="J2108" s="3">
        <v>899</v>
      </c>
      <c r="K2108" s="3">
        <v>680</v>
      </c>
      <c r="L2108" s="2">
        <v>16458920</v>
      </c>
      <c r="M2108" s="2">
        <v>13626244060.15</v>
      </c>
      <c r="N2108" s="2">
        <v>287903</v>
      </c>
      <c r="O2108" t="s">
        <v>24</v>
      </c>
      <c r="P2108" s="8">
        <f t="shared" si="96"/>
        <v>0.45000000000004547</v>
      </c>
      <c r="Q2108" t="s">
        <v>39</v>
      </c>
      <c r="R2108">
        <f t="shared" si="97"/>
        <v>7</v>
      </c>
      <c r="S2108" t="str">
        <f t="shared" si="98"/>
        <v>Jul</v>
      </c>
      <c r="T2108" s="9">
        <f>VLOOKUP(O2108, Annual_Summary!A:B, 2, 0)</f>
        <v>0.23827534039334342</v>
      </c>
    </row>
    <row r="2109" spans="1:20" x14ac:dyDescent="0.3">
      <c r="A2109" s="1">
        <v>45853</v>
      </c>
      <c r="B2109" t="s">
        <v>15</v>
      </c>
      <c r="C2109" s="3">
        <v>811</v>
      </c>
      <c r="D2109" s="3">
        <v>821</v>
      </c>
      <c r="E2109" s="3">
        <v>810.5</v>
      </c>
      <c r="F2109" s="3">
        <v>808.85</v>
      </c>
      <c r="G2109" s="3">
        <v>816.4</v>
      </c>
      <c r="H2109" s="3">
        <v>816.45</v>
      </c>
      <c r="I2109" s="3">
        <v>816.69</v>
      </c>
      <c r="J2109" s="3">
        <v>899</v>
      </c>
      <c r="K2109" s="3">
        <v>680</v>
      </c>
      <c r="L2109" s="2">
        <v>9297645</v>
      </c>
      <c r="M2109" s="2">
        <v>7593279897.1000004</v>
      </c>
      <c r="N2109" s="2">
        <v>163000</v>
      </c>
      <c r="O2109" t="s">
        <v>24</v>
      </c>
      <c r="P2109" s="8">
        <f t="shared" si="96"/>
        <v>-2.1499999999999773</v>
      </c>
      <c r="Q2109" t="s">
        <v>39</v>
      </c>
      <c r="R2109">
        <f t="shared" si="97"/>
        <v>7</v>
      </c>
      <c r="S2109" t="str">
        <f t="shared" si="98"/>
        <v>Jul</v>
      </c>
      <c r="T2109" s="9">
        <f>VLOOKUP(O2109, Annual_Summary!A:B, 2, 0)</f>
        <v>0.23827534039334342</v>
      </c>
    </row>
    <row r="2110" spans="1:20" x14ac:dyDescent="0.3">
      <c r="A2110" s="1">
        <v>45852</v>
      </c>
      <c r="B2110" t="s">
        <v>15</v>
      </c>
      <c r="C2110" s="3">
        <v>809.8</v>
      </c>
      <c r="D2110" s="3">
        <v>815.5</v>
      </c>
      <c r="E2110" s="3">
        <v>808</v>
      </c>
      <c r="F2110" s="3">
        <v>808.65</v>
      </c>
      <c r="G2110" s="3">
        <v>809.1</v>
      </c>
      <c r="H2110" s="3">
        <v>808.85</v>
      </c>
      <c r="I2110" s="3">
        <v>810.6</v>
      </c>
      <c r="J2110" s="3">
        <v>899</v>
      </c>
      <c r="K2110" s="3">
        <v>680</v>
      </c>
      <c r="L2110" s="2">
        <v>6938635</v>
      </c>
      <c r="M2110" s="2">
        <v>5624460859</v>
      </c>
      <c r="N2110" s="2">
        <v>112079</v>
      </c>
      <c r="O2110" t="s">
        <v>24</v>
      </c>
      <c r="P2110" s="8">
        <f t="shared" si="96"/>
        <v>-1.1499999999999773</v>
      </c>
      <c r="Q2110" t="s">
        <v>39</v>
      </c>
      <c r="R2110">
        <f t="shared" si="97"/>
        <v>7</v>
      </c>
      <c r="S2110" t="str">
        <f t="shared" si="98"/>
        <v>Jul</v>
      </c>
      <c r="T2110" s="9">
        <f>VLOOKUP(O2110, Annual_Summary!A:B, 2, 0)</f>
        <v>0.23827534039334342</v>
      </c>
    </row>
    <row r="2111" spans="1:20" x14ac:dyDescent="0.3">
      <c r="A2111" s="1">
        <v>45849</v>
      </c>
      <c r="B2111" t="s">
        <v>15</v>
      </c>
      <c r="C2111" s="3">
        <v>807.55</v>
      </c>
      <c r="D2111" s="3">
        <v>812.55</v>
      </c>
      <c r="E2111" s="3">
        <v>804.55</v>
      </c>
      <c r="F2111" s="3">
        <v>808</v>
      </c>
      <c r="G2111" s="3">
        <v>808.6</v>
      </c>
      <c r="H2111" s="3">
        <v>808.65</v>
      </c>
      <c r="I2111" s="3">
        <v>808.72</v>
      </c>
      <c r="J2111" s="3">
        <v>899</v>
      </c>
      <c r="K2111" s="3">
        <v>680</v>
      </c>
      <c r="L2111" s="2">
        <v>6202372</v>
      </c>
      <c r="M2111" s="2">
        <v>5015955117.8999996</v>
      </c>
      <c r="N2111" s="2">
        <v>143253</v>
      </c>
      <c r="O2111" t="s">
        <v>24</v>
      </c>
      <c r="P2111" s="8">
        <f t="shared" si="96"/>
        <v>0.45000000000004547</v>
      </c>
      <c r="Q2111" t="s">
        <v>39</v>
      </c>
      <c r="R2111">
        <f t="shared" si="97"/>
        <v>7</v>
      </c>
      <c r="S2111" t="str">
        <f t="shared" si="98"/>
        <v>Jul</v>
      </c>
      <c r="T2111" s="9">
        <f>VLOOKUP(O2111, Annual_Summary!A:B, 2, 0)</f>
        <v>0.23827534039334342</v>
      </c>
    </row>
    <row r="2112" spans="1:20" x14ac:dyDescent="0.3">
      <c r="A2112" s="1">
        <v>45848</v>
      </c>
      <c r="B2112" t="s">
        <v>15</v>
      </c>
      <c r="C2112" s="3">
        <v>811.3</v>
      </c>
      <c r="D2112" s="3">
        <v>815.5</v>
      </c>
      <c r="E2112" s="3">
        <v>806.9</v>
      </c>
      <c r="F2112" s="3">
        <v>810.95</v>
      </c>
      <c r="G2112" s="3">
        <v>807.55</v>
      </c>
      <c r="H2112" s="3">
        <v>808</v>
      </c>
      <c r="I2112" s="3">
        <v>810.53</v>
      </c>
      <c r="J2112" s="3">
        <v>899</v>
      </c>
      <c r="K2112" s="3">
        <v>680</v>
      </c>
      <c r="L2112" s="2">
        <v>12178137</v>
      </c>
      <c r="M2112" s="2">
        <v>9870766879.9500008</v>
      </c>
      <c r="N2112" s="2">
        <v>171580</v>
      </c>
      <c r="O2112" t="s">
        <v>24</v>
      </c>
      <c r="P2112" s="8">
        <f t="shared" si="96"/>
        <v>-0.34999999999990905</v>
      </c>
      <c r="Q2112" t="s">
        <v>39</v>
      </c>
      <c r="R2112">
        <f t="shared" si="97"/>
        <v>7</v>
      </c>
      <c r="S2112" t="str">
        <f t="shared" si="98"/>
        <v>Jul</v>
      </c>
      <c r="T2112" s="9">
        <f>VLOOKUP(O2112, Annual_Summary!A:B, 2, 0)</f>
        <v>0.23827534039334342</v>
      </c>
    </row>
    <row r="2113" spans="1:20" x14ac:dyDescent="0.3">
      <c r="A2113" s="1">
        <v>45847</v>
      </c>
      <c r="B2113" t="s">
        <v>15</v>
      </c>
      <c r="C2113" s="3">
        <v>810</v>
      </c>
      <c r="D2113" s="3">
        <v>812.45</v>
      </c>
      <c r="E2113" s="3">
        <v>809</v>
      </c>
      <c r="F2113" s="3">
        <v>812.65</v>
      </c>
      <c r="G2113" s="3">
        <v>811</v>
      </c>
      <c r="H2113" s="3">
        <v>810.95</v>
      </c>
      <c r="I2113" s="3">
        <v>810.91</v>
      </c>
      <c r="J2113" s="3">
        <v>899</v>
      </c>
      <c r="K2113" s="3">
        <v>680</v>
      </c>
      <c r="L2113" s="2">
        <v>4099112</v>
      </c>
      <c r="M2113" s="2">
        <v>3323995623.5999999</v>
      </c>
      <c r="N2113" s="2">
        <v>171040</v>
      </c>
      <c r="O2113" t="s">
        <v>24</v>
      </c>
      <c r="P2113" s="8">
        <f t="shared" si="96"/>
        <v>2.6499999999999773</v>
      </c>
      <c r="Q2113" t="s">
        <v>39</v>
      </c>
      <c r="R2113">
        <f t="shared" si="97"/>
        <v>7</v>
      </c>
      <c r="S2113" t="str">
        <f t="shared" si="98"/>
        <v>Jul</v>
      </c>
      <c r="T2113" s="9">
        <f>VLOOKUP(O2113, Annual_Summary!A:B, 2, 0)</f>
        <v>0.23827534039334342</v>
      </c>
    </row>
    <row r="2114" spans="1:20" x14ac:dyDescent="0.3">
      <c r="A2114" s="1">
        <v>45846</v>
      </c>
      <c r="B2114" t="s">
        <v>15</v>
      </c>
      <c r="C2114" s="3">
        <v>807.9</v>
      </c>
      <c r="D2114" s="3">
        <v>813.55</v>
      </c>
      <c r="E2114" s="3">
        <v>805.35</v>
      </c>
      <c r="F2114" s="3">
        <v>806.85</v>
      </c>
      <c r="G2114" s="3">
        <v>812.25</v>
      </c>
      <c r="H2114" s="3">
        <v>812.65</v>
      </c>
      <c r="I2114" s="3">
        <v>809.46</v>
      </c>
      <c r="J2114" s="3">
        <v>899</v>
      </c>
      <c r="K2114" s="3">
        <v>680</v>
      </c>
      <c r="L2114" s="2">
        <v>5935770</v>
      </c>
      <c r="M2114" s="2">
        <v>4804795680.5500002</v>
      </c>
      <c r="N2114" s="2">
        <v>152435</v>
      </c>
      <c r="O2114" t="s">
        <v>24</v>
      </c>
      <c r="P2114" s="8">
        <f t="shared" si="96"/>
        <v>-1.0499999999999545</v>
      </c>
      <c r="Q2114" t="s">
        <v>39</v>
      </c>
      <c r="R2114">
        <f t="shared" si="97"/>
        <v>7</v>
      </c>
      <c r="S2114" t="str">
        <f t="shared" si="98"/>
        <v>Jul</v>
      </c>
      <c r="T2114" s="9">
        <f>VLOOKUP(O2114, Annual_Summary!A:B, 2, 0)</f>
        <v>0.23827534039334342</v>
      </c>
    </row>
    <row r="2115" spans="1:20" x14ac:dyDescent="0.3">
      <c r="A2115" s="1">
        <v>45845</v>
      </c>
      <c r="B2115" t="s">
        <v>15</v>
      </c>
      <c r="C2115" s="3">
        <v>811.2</v>
      </c>
      <c r="D2115" s="3">
        <v>812.65</v>
      </c>
      <c r="E2115" s="3">
        <v>805.15</v>
      </c>
      <c r="F2115" s="3">
        <v>811.85</v>
      </c>
      <c r="G2115" s="3">
        <v>807</v>
      </c>
      <c r="H2115" s="3">
        <v>806.85</v>
      </c>
      <c r="I2115" s="3">
        <v>807.71</v>
      </c>
      <c r="J2115" s="3">
        <v>899</v>
      </c>
      <c r="K2115" s="3">
        <v>680</v>
      </c>
      <c r="L2115" s="2">
        <v>4461783</v>
      </c>
      <c r="M2115" s="2">
        <v>3603840471.1500001</v>
      </c>
      <c r="N2115" s="2">
        <v>110862</v>
      </c>
      <c r="O2115" t="s">
        <v>24</v>
      </c>
      <c r="P2115" s="8">
        <f t="shared" ref="P2115:P2178" si="99">F2115-C2115</f>
        <v>0.64999999999997726</v>
      </c>
      <c r="Q2115" t="s">
        <v>39</v>
      </c>
      <c r="R2115">
        <f t="shared" ref="R2115:R2178" si="100">MONTH(A2115)</f>
        <v>7</v>
      </c>
      <c r="S2115" t="str">
        <f t="shared" ref="S2115:S2178" si="101">TEXT(A2115,"mmm")</f>
        <v>Jul</v>
      </c>
      <c r="T2115" s="9">
        <f>VLOOKUP(O2115, Annual_Summary!A:B, 2, 0)</f>
        <v>0.23827534039334342</v>
      </c>
    </row>
    <row r="2116" spans="1:20" x14ac:dyDescent="0.3">
      <c r="A2116" s="1">
        <v>45842</v>
      </c>
      <c r="B2116" t="s">
        <v>15</v>
      </c>
      <c r="C2116" s="3">
        <v>808.75</v>
      </c>
      <c r="D2116" s="3">
        <v>813.85</v>
      </c>
      <c r="E2116" s="3">
        <v>804.1</v>
      </c>
      <c r="F2116" s="3">
        <v>807.1</v>
      </c>
      <c r="G2116" s="3">
        <v>811.25</v>
      </c>
      <c r="H2116" s="3">
        <v>811.85</v>
      </c>
      <c r="I2116" s="3">
        <v>808.47</v>
      </c>
      <c r="J2116" s="3">
        <v>899</v>
      </c>
      <c r="K2116" s="3">
        <v>680</v>
      </c>
      <c r="L2116" s="2">
        <v>4319538</v>
      </c>
      <c r="M2116" s="2">
        <v>3492204634.3499999</v>
      </c>
      <c r="N2116" s="2">
        <v>96453</v>
      </c>
      <c r="O2116" t="s">
        <v>24</v>
      </c>
      <c r="P2116" s="8">
        <f t="shared" si="99"/>
        <v>-1.6499999999999773</v>
      </c>
      <c r="Q2116" t="s">
        <v>39</v>
      </c>
      <c r="R2116">
        <f t="shared" si="100"/>
        <v>7</v>
      </c>
      <c r="S2116" t="str">
        <f t="shared" si="101"/>
        <v>Jul</v>
      </c>
      <c r="T2116" s="9">
        <f>VLOOKUP(O2116, Annual_Summary!A:B, 2, 0)</f>
        <v>0.23827534039334342</v>
      </c>
    </row>
    <row r="2117" spans="1:20" x14ac:dyDescent="0.3">
      <c r="A2117" s="1">
        <v>45841</v>
      </c>
      <c r="B2117" t="s">
        <v>15</v>
      </c>
      <c r="C2117" s="3">
        <v>813.5</v>
      </c>
      <c r="D2117" s="3">
        <v>814.5</v>
      </c>
      <c r="E2117" s="3">
        <v>805.8</v>
      </c>
      <c r="F2117" s="3">
        <v>812.9</v>
      </c>
      <c r="G2117" s="3">
        <v>807</v>
      </c>
      <c r="H2117" s="3">
        <v>807.1</v>
      </c>
      <c r="I2117" s="3">
        <v>809.78</v>
      </c>
      <c r="J2117" s="3">
        <v>899</v>
      </c>
      <c r="K2117" s="3">
        <v>680</v>
      </c>
      <c r="L2117" s="2">
        <v>7020403</v>
      </c>
      <c r="M2117" s="2">
        <v>5684973436.0500002</v>
      </c>
      <c r="N2117" s="2">
        <v>137793</v>
      </c>
      <c r="O2117" t="s">
        <v>24</v>
      </c>
      <c r="P2117" s="8">
        <f t="shared" si="99"/>
        <v>-0.60000000000002274</v>
      </c>
      <c r="Q2117" t="s">
        <v>39</v>
      </c>
      <c r="R2117">
        <f t="shared" si="100"/>
        <v>7</v>
      </c>
      <c r="S2117" t="str">
        <f t="shared" si="101"/>
        <v>Jul</v>
      </c>
      <c r="T2117" s="9">
        <f>VLOOKUP(O2117, Annual_Summary!A:B, 2, 0)</f>
        <v>0.23827534039334342</v>
      </c>
    </row>
    <row r="2118" spans="1:20" x14ac:dyDescent="0.3">
      <c r="A2118" s="1">
        <v>45840</v>
      </c>
      <c r="B2118" t="s">
        <v>15</v>
      </c>
      <c r="C2118" s="3">
        <v>821</v>
      </c>
      <c r="D2118" s="3">
        <v>824.05</v>
      </c>
      <c r="E2118" s="3">
        <v>809</v>
      </c>
      <c r="F2118" s="3">
        <v>820.3</v>
      </c>
      <c r="G2118" s="3">
        <v>812.7</v>
      </c>
      <c r="H2118" s="3">
        <v>812.9</v>
      </c>
      <c r="I2118" s="3">
        <v>814.81</v>
      </c>
      <c r="J2118" s="3">
        <v>899</v>
      </c>
      <c r="K2118" s="3">
        <v>680</v>
      </c>
      <c r="L2118" s="2">
        <v>6661200</v>
      </c>
      <c r="M2118" s="2">
        <v>5427583829.5500002</v>
      </c>
      <c r="N2118" s="2">
        <v>121545</v>
      </c>
      <c r="O2118" t="s">
        <v>24</v>
      </c>
      <c r="P2118" s="8">
        <f t="shared" si="99"/>
        <v>-0.70000000000004547</v>
      </c>
      <c r="Q2118" t="s">
        <v>39</v>
      </c>
      <c r="R2118">
        <f t="shared" si="100"/>
        <v>7</v>
      </c>
      <c r="S2118" t="str">
        <f t="shared" si="101"/>
        <v>Jul</v>
      </c>
      <c r="T2118" s="9">
        <f>VLOOKUP(O2118, Annual_Summary!A:B, 2, 0)</f>
        <v>0.23827534039334342</v>
      </c>
    </row>
    <row r="2119" spans="1:20" x14ac:dyDescent="0.3">
      <c r="A2119" s="1">
        <v>45839</v>
      </c>
      <c r="B2119" t="s">
        <v>15</v>
      </c>
      <c r="C2119" s="3">
        <v>820</v>
      </c>
      <c r="D2119" s="3">
        <v>824.9</v>
      </c>
      <c r="E2119" s="3">
        <v>813.25</v>
      </c>
      <c r="F2119" s="3">
        <v>820.35</v>
      </c>
      <c r="G2119" s="3">
        <v>820.2</v>
      </c>
      <c r="H2119" s="3">
        <v>820.3</v>
      </c>
      <c r="I2119" s="3">
        <v>819.76</v>
      </c>
      <c r="J2119" s="3">
        <v>899</v>
      </c>
      <c r="K2119" s="3">
        <v>680</v>
      </c>
      <c r="L2119" s="2">
        <v>11456405</v>
      </c>
      <c r="M2119" s="2">
        <v>9391484331.0499992</v>
      </c>
      <c r="N2119" s="2">
        <v>157197</v>
      </c>
      <c r="O2119" t="s">
        <v>24</v>
      </c>
      <c r="P2119" s="8">
        <f t="shared" si="99"/>
        <v>0.35000000000002274</v>
      </c>
      <c r="Q2119" t="s">
        <v>39</v>
      </c>
      <c r="R2119">
        <f t="shared" si="100"/>
        <v>7</v>
      </c>
      <c r="S2119" t="str">
        <f t="shared" si="101"/>
        <v>Jul</v>
      </c>
      <c r="T2119" s="9">
        <f>VLOOKUP(O2119, Annual_Summary!A:B, 2, 0)</f>
        <v>0.23827534039334342</v>
      </c>
    </row>
    <row r="2120" spans="1:20" x14ac:dyDescent="0.3">
      <c r="A2120" s="1">
        <v>45838</v>
      </c>
      <c r="B2120" t="s">
        <v>15</v>
      </c>
      <c r="C2120" s="3">
        <v>809</v>
      </c>
      <c r="D2120" s="3">
        <v>821</v>
      </c>
      <c r="E2120" s="3">
        <v>807.05</v>
      </c>
      <c r="F2120" s="3">
        <v>805.4</v>
      </c>
      <c r="G2120" s="3">
        <v>819.85</v>
      </c>
      <c r="H2120" s="3">
        <v>820.35</v>
      </c>
      <c r="I2120" s="3">
        <v>816.64</v>
      </c>
      <c r="J2120" s="3">
        <v>899</v>
      </c>
      <c r="K2120" s="3">
        <v>680</v>
      </c>
      <c r="L2120" s="2">
        <v>19652607</v>
      </c>
      <c r="M2120" s="2">
        <v>16049137157.549999</v>
      </c>
      <c r="N2120" s="2">
        <v>249562</v>
      </c>
      <c r="O2120" t="s">
        <v>24</v>
      </c>
      <c r="P2120" s="8">
        <f t="shared" si="99"/>
        <v>-3.6000000000000227</v>
      </c>
      <c r="Q2120" t="s">
        <v>39</v>
      </c>
      <c r="R2120">
        <f t="shared" si="100"/>
        <v>6</v>
      </c>
      <c r="S2120" t="str">
        <f t="shared" si="101"/>
        <v>Jun</v>
      </c>
      <c r="T2120" s="9">
        <f>VLOOKUP(O2120, Annual_Summary!A:B, 2, 0)</f>
        <v>0.23827534039334342</v>
      </c>
    </row>
    <row r="2121" spans="1:20" x14ac:dyDescent="0.3">
      <c r="A2121" s="1">
        <v>45835</v>
      </c>
      <c r="B2121" t="s">
        <v>15</v>
      </c>
      <c r="C2121" s="3">
        <v>805</v>
      </c>
      <c r="D2121" s="3">
        <v>809.45</v>
      </c>
      <c r="E2121" s="3">
        <v>802.65</v>
      </c>
      <c r="F2121" s="3">
        <v>797.05</v>
      </c>
      <c r="G2121" s="3">
        <v>804.55</v>
      </c>
      <c r="H2121" s="3">
        <v>805.4</v>
      </c>
      <c r="I2121" s="3">
        <v>805.86</v>
      </c>
      <c r="J2121" s="3">
        <v>899</v>
      </c>
      <c r="K2121" s="3">
        <v>680</v>
      </c>
      <c r="L2121" s="2">
        <v>19375990</v>
      </c>
      <c r="M2121" s="2">
        <v>15614254535.75</v>
      </c>
      <c r="N2121" s="2">
        <v>262127</v>
      </c>
      <c r="O2121" t="s">
        <v>24</v>
      </c>
      <c r="P2121" s="8">
        <f t="shared" si="99"/>
        <v>-7.9500000000000455</v>
      </c>
      <c r="Q2121" t="s">
        <v>39</v>
      </c>
      <c r="R2121">
        <f t="shared" si="100"/>
        <v>6</v>
      </c>
      <c r="S2121" t="str">
        <f t="shared" si="101"/>
        <v>Jun</v>
      </c>
      <c r="T2121" s="9">
        <f>VLOOKUP(O2121, Annual_Summary!A:B, 2, 0)</f>
        <v>0.23827534039334342</v>
      </c>
    </row>
    <row r="2122" spans="1:20" x14ac:dyDescent="0.3">
      <c r="A2122" s="1">
        <v>45834</v>
      </c>
      <c r="B2122" t="s">
        <v>15</v>
      </c>
      <c r="C2122" s="3">
        <v>802</v>
      </c>
      <c r="D2122" s="3">
        <v>803.35</v>
      </c>
      <c r="E2122" s="3">
        <v>791.4</v>
      </c>
      <c r="F2122" s="3">
        <v>800.05</v>
      </c>
      <c r="G2122" s="3">
        <v>796.05</v>
      </c>
      <c r="H2122" s="3">
        <v>797.05</v>
      </c>
      <c r="I2122" s="3">
        <v>795.08</v>
      </c>
      <c r="J2122" s="3">
        <v>899</v>
      </c>
      <c r="K2122" s="3">
        <v>680</v>
      </c>
      <c r="L2122" s="2">
        <v>24704402</v>
      </c>
      <c r="M2122" s="2">
        <v>19641948457</v>
      </c>
      <c r="N2122" s="2">
        <v>208543</v>
      </c>
      <c r="O2122" t="s">
        <v>24</v>
      </c>
      <c r="P2122" s="8">
        <f t="shared" si="99"/>
        <v>-1.9500000000000455</v>
      </c>
      <c r="Q2122" t="s">
        <v>39</v>
      </c>
      <c r="R2122">
        <f t="shared" si="100"/>
        <v>6</v>
      </c>
      <c r="S2122" t="str">
        <f t="shared" si="101"/>
        <v>Jun</v>
      </c>
      <c r="T2122" s="9">
        <f>VLOOKUP(O2122, Annual_Summary!A:B, 2, 0)</f>
        <v>0.23827534039334342</v>
      </c>
    </row>
    <row r="2123" spans="1:20" x14ac:dyDescent="0.3">
      <c r="A2123" s="1">
        <v>45833</v>
      </c>
      <c r="B2123" t="s">
        <v>15</v>
      </c>
      <c r="C2123" s="3">
        <v>799.5</v>
      </c>
      <c r="D2123" s="3">
        <v>803.8</v>
      </c>
      <c r="E2123" s="3">
        <v>796.1</v>
      </c>
      <c r="F2123" s="3">
        <v>795.4</v>
      </c>
      <c r="G2123" s="3">
        <v>800</v>
      </c>
      <c r="H2123" s="3">
        <v>800.05</v>
      </c>
      <c r="I2123" s="3">
        <v>799.91</v>
      </c>
      <c r="J2123" s="3">
        <v>899</v>
      </c>
      <c r="K2123" s="3">
        <v>680</v>
      </c>
      <c r="L2123" s="2">
        <v>6528324</v>
      </c>
      <c r="M2123" s="2">
        <v>5222095310</v>
      </c>
      <c r="N2123" s="2">
        <v>131096</v>
      </c>
      <c r="O2123" t="s">
        <v>24</v>
      </c>
      <c r="P2123" s="8">
        <f t="shared" si="99"/>
        <v>-4.1000000000000227</v>
      </c>
      <c r="Q2123" t="s">
        <v>39</v>
      </c>
      <c r="R2123">
        <f t="shared" si="100"/>
        <v>6</v>
      </c>
      <c r="S2123" t="str">
        <f t="shared" si="101"/>
        <v>Jun</v>
      </c>
      <c r="T2123" s="9">
        <f>VLOOKUP(O2123, Annual_Summary!A:B, 2, 0)</f>
        <v>0.23827534039334342</v>
      </c>
    </row>
    <row r="2124" spans="1:20" x14ac:dyDescent="0.3">
      <c r="A2124" s="1">
        <v>45832</v>
      </c>
      <c r="B2124" t="s">
        <v>15</v>
      </c>
      <c r="C2124" s="3">
        <v>799</v>
      </c>
      <c r="D2124" s="3">
        <v>806.65</v>
      </c>
      <c r="E2124" s="3">
        <v>793.65</v>
      </c>
      <c r="F2124" s="3">
        <v>790.2</v>
      </c>
      <c r="G2124" s="3">
        <v>795.75</v>
      </c>
      <c r="H2124" s="3">
        <v>795.4</v>
      </c>
      <c r="I2124" s="3">
        <v>799.6</v>
      </c>
      <c r="J2124" s="3">
        <v>899</v>
      </c>
      <c r="K2124" s="3">
        <v>680</v>
      </c>
      <c r="L2124" s="2">
        <v>11402190</v>
      </c>
      <c r="M2124" s="2">
        <v>9117165780.8500004</v>
      </c>
      <c r="N2124" s="2">
        <v>184002</v>
      </c>
      <c r="O2124" t="s">
        <v>24</v>
      </c>
      <c r="P2124" s="8">
        <f t="shared" si="99"/>
        <v>-8.7999999999999545</v>
      </c>
      <c r="Q2124" t="s">
        <v>39</v>
      </c>
      <c r="R2124">
        <f t="shared" si="100"/>
        <v>6</v>
      </c>
      <c r="S2124" t="str">
        <f t="shared" si="101"/>
        <v>Jun</v>
      </c>
      <c r="T2124" s="9">
        <f>VLOOKUP(O2124, Annual_Summary!A:B, 2, 0)</f>
        <v>0.23827534039334342</v>
      </c>
    </row>
    <row r="2125" spans="1:20" x14ac:dyDescent="0.3">
      <c r="A2125" s="1">
        <v>45831</v>
      </c>
      <c r="B2125" t="s">
        <v>15</v>
      </c>
      <c r="C2125" s="3">
        <v>790</v>
      </c>
      <c r="D2125" s="3">
        <v>794.95</v>
      </c>
      <c r="E2125" s="3">
        <v>788.5</v>
      </c>
      <c r="F2125" s="3">
        <v>796.15</v>
      </c>
      <c r="G2125" s="3">
        <v>790</v>
      </c>
      <c r="H2125" s="3">
        <v>790.2</v>
      </c>
      <c r="I2125" s="3">
        <v>791.21</v>
      </c>
      <c r="J2125" s="3">
        <v>899</v>
      </c>
      <c r="K2125" s="3">
        <v>680</v>
      </c>
      <c r="L2125" s="2">
        <v>5549253</v>
      </c>
      <c r="M2125" s="2">
        <v>4390604870.6499996</v>
      </c>
      <c r="N2125" s="2">
        <v>131841</v>
      </c>
      <c r="O2125" t="s">
        <v>24</v>
      </c>
      <c r="P2125" s="8">
        <f t="shared" si="99"/>
        <v>6.1499999999999773</v>
      </c>
      <c r="Q2125" t="s">
        <v>39</v>
      </c>
      <c r="R2125">
        <f t="shared" si="100"/>
        <v>6</v>
      </c>
      <c r="S2125" t="str">
        <f t="shared" si="101"/>
        <v>Jun</v>
      </c>
      <c r="T2125" s="9">
        <f>VLOOKUP(O2125, Annual_Summary!A:B, 2, 0)</f>
        <v>0.23827534039334342</v>
      </c>
    </row>
    <row r="2126" spans="1:20" x14ac:dyDescent="0.3">
      <c r="A2126" s="1">
        <v>45828</v>
      </c>
      <c r="B2126" t="s">
        <v>15</v>
      </c>
      <c r="C2126" s="3">
        <v>787.5</v>
      </c>
      <c r="D2126" s="3">
        <v>799.45</v>
      </c>
      <c r="E2126" s="3">
        <v>786.1</v>
      </c>
      <c r="F2126" s="3">
        <v>785.1</v>
      </c>
      <c r="G2126" s="3">
        <v>795.25</v>
      </c>
      <c r="H2126" s="3">
        <v>796.15</v>
      </c>
      <c r="I2126" s="3">
        <v>794.39</v>
      </c>
      <c r="J2126" s="3">
        <v>899</v>
      </c>
      <c r="K2126" s="3">
        <v>680</v>
      </c>
      <c r="L2126" s="2">
        <v>11367669</v>
      </c>
      <c r="M2126" s="2">
        <v>9030330594.4500008</v>
      </c>
      <c r="N2126" s="2">
        <v>169215</v>
      </c>
      <c r="O2126" t="s">
        <v>24</v>
      </c>
      <c r="P2126" s="8">
        <f t="shared" si="99"/>
        <v>-2.3999999999999773</v>
      </c>
      <c r="Q2126" t="s">
        <v>39</v>
      </c>
      <c r="R2126">
        <f t="shared" si="100"/>
        <v>6</v>
      </c>
      <c r="S2126" t="str">
        <f t="shared" si="101"/>
        <v>Jun</v>
      </c>
      <c r="T2126" s="9">
        <f>VLOOKUP(O2126, Annual_Summary!A:B, 2, 0)</f>
        <v>0.23827534039334342</v>
      </c>
    </row>
    <row r="2127" spans="1:20" x14ac:dyDescent="0.3">
      <c r="A2127" s="1">
        <v>45827</v>
      </c>
      <c r="B2127" t="s">
        <v>15</v>
      </c>
      <c r="C2127" s="3">
        <v>792.35</v>
      </c>
      <c r="D2127" s="3">
        <v>793.25</v>
      </c>
      <c r="E2127" s="3">
        <v>781.7</v>
      </c>
      <c r="F2127" s="3">
        <v>791.9</v>
      </c>
      <c r="G2127" s="3">
        <v>782.6</v>
      </c>
      <c r="H2127" s="3">
        <v>785.1</v>
      </c>
      <c r="I2127" s="3">
        <v>786.26</v>
      </c>
      <c r="J2127" s="3">
        <v>899</v>
      </c>
      <c r="K2127" s="3">
        <v>680</v>
      </c>
      <c r="L2127" s="2">
        <v>11824333</v>
      </c>
      <c r="M2127" s="2">
        <v>9297045726.7000008</v>
      </c>
      <c r="N2127" s="2">
        <v>289212</v>
      </c>
      <c r="O2127" t="s">
        <v>24</v>
      </c>
      <c r="P2127" s="8">
        <f t="shared" si="99"/>
        <v>-0.45000000000004547</v>
      </c>
      <c r="Q2127" t="s">
        <v>39</v>
      </c>
      <c r="R2127">
        <f t="shared" si="100"/>
        <v>6</v>
      </c>
      <c r="S2127" t="str">
        <f t="shared" si="101"/>
        <v>Jun</v>
      </c>
      <c r="T2127" s="9">
        <f>VLOOKUP(O2127, Annual_Summary!A:B, 2, 0)</f>
        <v>0.23827534039334342</v>
      </c>
    </row>
    <row r="2128" spans="1:20" x14ac:dyDescent="0.3">
      <c r="A2128" s="1">
        <v>45826</v>
      </c>
      <c r="B2128" t="s">
        <v>15</v>
      </c>
      <c r="C2128" s="3">
        <v>792.5</v>
      </c>
      <c r="D2128" s="3">
        <v>795.5</v>
      </c>
      <c r="E2128" s="3">
        <v>788.35</v>
      </c>
      <c r="F2128" s="3">
        <v>792.3</v>
      </c>
      <c r="G2128" s="3">
        <v>790.4</v>
      </c>
      <c r="H2128" s="3">
        <v>791.9</v>
      </c>
      <c r="I2128" s="3">
        <v>791.48</v>
      </c>
      <c r="J2128" s="3">
        <v>899</v>
      </c>
      <c r="K2128" s="3">
        <v>680</v>
      </c>
      <c r="L2128" s="2">
        <v>5710169</v>
      </c>
      <c r="M2128" s="2">
        <v>4519500759.8999996</v>
      </c>
      <c r="N2128" s="2">
        <v>136624</v>
      </c>
      <c r="O2128" t="s">
        <v>24</v>
      </c>
      <c r="P2128" s="8">
        <f t="shared" si="99"/>
        <v>-0.20000000000004547</v>
      </c>
      <c r="Q2128" t="s">
        <v>39</v>
      </c>
      <c r="R2128">
        <f t="shared" si="100"/>
        <v>6</v>
      </c>
      <c r="S2128" t="str">
        <f t="shared" si="101"/>
        <v>Jun</v>
      </c>
      <c r="T2128" s="9">
        <f>VLOOKUP(O2128, Annual_Summary!A:B, 2, 0)</f>
        <v>0.23827534039334342</v>
      </c>
    </row>
    <row r="2129" spans="1:20" x14ac:dyDescent="0.3">
      <c r="A2129" s="1">
        <v>45825</v>
      </c>
      <c r="B2129" t="s">
        <v>15</v>
      </c>
      <c r="C2129" s="3">
        <v>794</v>
      </c>
      <c r="D2129" s="3">
        <v>798.85</v>
      </c>
      <c r="E2129" s="3">
        <v>790.55</v>
      </c>
      <c r="F2129" s="3">
        <v>792.5</v>
      </c>
      <c r="G2129" s="3">
        <v>792.05</v>
      </c>
      <c r="H2129" s="3">
        <v>792.3</v>
      </c>
      <c r="I2129" s="3">
        <v>794.06</v>
      </c>
      <c r="J2129" s="3">
        <v>899</v>
      </c>
      <c r="K2129" s="3">
        <v>680</v>
      </c>
      <c r="L2129" s="2">
        <v>7753156</v>
      </c>
      <c r="M2129" s="2">
        <v>6156466697.6000004</v>
      </c>
      <c r="N2129" s="2">
        <v>115931</v>
      </c>
      <c r="O2129" t="s">
        <v>24</v>
      </c>
      <c r="P2129" s="8">
        <f t="shared" si="99"/>
        <v>-1.5</v>
      </c>
      <c r="Q2129" t="s">
        <v>39</v>
      </c>
      <c r="R2129">
        <f t="shared" si="100"/>
        <v>6</v>
      </c>
      <c r="S2129" t="str">
        <f t="shared" si="101"/>
        <v>Jun</v>
      </c>
      <c r="T2129" s="9">
        <f>VLOOKUP(O2129, Annual_Summary!A:B, 2, 0)</f>
        <v>0.23827534039334342</v>
      </c>
    </row>
    <row r="2130" spans="1:20" x14ac:dyDescent="0.3">
      <c r="A2130" s="1">
        <v>45824</v>
      </c>
      <c r="B2130" t="s">
        <v>15</v>
      </c>
      <c r="C2130" s="3">
        <v>792.5</v>
      </c>
      <c r="D2130" s="3">
        <v>795.4</v>
      </c>
      <c r="E2130" s="3">
        <v>786.15</v>
      </c>
      <c r="F2130" s="3">
        <v>792.35</v>
      </c>
      <c r="G2130" s="3">
        <v>793</v>
      </c>
      <c r="H2130" s="3">
        <v>792.5</v>
      </c>
      <c r="I2130" s="3">
        <v>791.28</v>
      </c>
      <c r="J2130" s="3">
        <v>899</v>
      </c>
      <c r="K2130" s="3">
        <v>680</v>
      </c>
      <c r="L2130" s="2">
        <v>8085001</v>
      </c>
      <c r="M2130" s="2">
        <v>6397493172.1499996</v>
      </c>
      <c r="N2130" s="2">
        <v>157361</v>
      </c>
      <c r="O2130" t="s">
        <v>24</v>
      </c>
      <c r="P2130" s="8">
        <f t="shared" si="99"/>
        <v>-0.14999999999997726</v>
      </c>
      <c r="Q2130" t="s">
        <v>39</v>
      </c>
      <c r="R2130">
        <f t="shared" si="100"/>
        <v>6</v>
      </c>
      <c r="S2130" t="str">
        <f t="shared" si="101"/>
        <v>Jun</v>
      </c>
      <c r="T2130" s="9">
        <f>VLOOKUP(O2130, Annual_Summary!A:B, 2, 0)</f>
        <v>0.23827534039334342</v>
      </c>
    </row>
    <row r="2131" spans="1:20" x14ac:dyDescent="0.3">
      <c r="A2131" s="1">
        <v>45821</v>
      </c>
      <c r="B2131" t="s">
        <v>15</v>
      </c>
      <c r="C2131" s="3">
        <v>786.25</v>
      </c>
      <c r="D2131" s="3">
        <v>796.3</v>
      </c>
      <c r="E2131" s="3">
        <v>786.25</v>
      </c>
      <c r="F2131" s="3">
        <v>805.95</v>
      </c>
      <c r="G2131" s="3">
        <v>793.3</v>
      </c>
      <c r="H2131" s="3">
        <v>792.35</v>
      </c>
      <c r="I2131" s="3">
        <v>792.35</v>
      </c>
      <c r="J2131" s="3">
        <v>899</v>
      </c>
      <c r="K2131" s="3">
        <v>680</v>
      </c>
      <c r="L2131" s="2">
        <v>11377117</v>
      </c>
      <c r="M2131" s="2">
        <v>9014634064.2999992</v>
      </c>
      <c r="N2131" s="2">
        <v>196572</v>
      </c>
      <c r="O2131" t="s">
        <v>24</v>
      </c>
      <c r="P2131" s="8">
        <f t="shared" si="99"/>
        <v>19.700000000000045</v>
      </c>
      <c r="Q2131" t="s">
        <v>39</v>
      </c>
      <c r="R2131">
        <f t="shared" si="100"/>
        <v>6</v>
      </c>
      <c r="S2131" t="str">
        <f t="shared" si="101"/>
        <v>Jun</v>
      </c>
      <c r="T2131" s="9">
        <f>VLOOKUP(O2131, Annual_Summary!A:B, 2, 0)</f>
        <v>0.23827534039334342</v>
      </c>
    </row>
    <row r="2132" spans="1:20" x14ac:dyDescent="0.3">
      <c r="A2132" s="1">
        <v>45820</v>
      </c>
      <c r="B2132" t="s">
        <v>15</v>
      </c>
      <c r="C2132" s="3">
        <v>816</v>
      </c>
      <c r="D2132" s="3">
        <v>816.5</v>
      </c>
      <c r="E2132" s="3">
        <v>801.2</v>
      </c>
      <c r="F2132" s="3">
        <v>815.05</v>
      </c>
      <c r="G2132" s="3">
        <v>804</v>
      </c>
      <c r="H2132" s="3">
        <v>805.95</v>
      </c>
      <c r="I2132" s="3">
        <v>809.23</v>
      </c>
      <c r="J2132" s="3">
        <v>899</v>
      </c>
      <c r="K2132" s="3">
        <v>680</v>
      </c>
      <c r="L2132" s="2">
        <v>13448521</v>
      </c>
      <c r="M2132" s="2">
        <v>10882909973.85</v>
      </c>
      <c r="N2132" s="2">
        <v>154034</v>
      </c>
      <c r="O2132" t="s">
        <v>24</v>
      </c>
      <c r="P2132" s="8">
        <f t="shared" si="99"/>
        <v>-0.95000000000004547</v>
      </c>
      <c r="Q2132" t="s">
        <v>39</v>
      </c>
      <c r="R2132">
        <f t="shared" si="100"/>
        <v>6</v>
      </c>
      <c r="S2132" t="str">
        <f t="shared" si="101"/>
        <v>Jun</v>
      </c>
      <c r="T2132" s="9">
        <f>VLOOKUP(O2132, Annual_Summary!A:B, 2, 0)</f>
        <v>0.23827534039334342</v>
      </c>
    </row>
    <row r="2133" spans="1:20" x14ac:dyDescent="0.3">
      <c r="A2133" s="1">
        <v>45819</v>
      </c>
      <c r="B2133" t="s">
        <v>15</v>
      </c>
      <c r="C2133" s="3">
        <v>817</v>
      </c>
      <c r="D2133" s="3">
        <v>820.6</v>
      </c>
      <c r="E2133" s="3">
        <v>813.05</v>
      </c>
      <c r="F2133" s="3">
        <v>817.05</v>
      </c>
      <c r="G2133" s="3">
        <v>814.4</v>
      </c>
      <c r="H2133" s="3">
        <v>815.05</v>
      </c>
      <c r="I2133" s="3">
        <v>817.21</v>
      </c>
      <c r="J2133" s="3">
        <v>899</v>
      </c>
      <c r="K2133" s="3">
        <v>680</v>
      </c>
      <c r="L2133" s="2">
        <v>7197825</v>
      </c>
      <c r="M2133" s="2">
        <v>5882109303.8999996</v>
      </c>
      <c r="N2133" s="2">
        <v>109100</v>
      </c>
      <c r="O2133" t="s">
        <v>24</v>
      </c>
      <c r="P2133" s="8">
        <f t="shared" si="99"/>
        <v>4.9999999999954525E-2</v>
      </c>
      <c r="Q2133" t="s">
        <v>39</v>
      </c>
      <c r="R2133">
        <f t="shared" si="100"/>
        <v>6</v>
      </c>
      <c r="S2133" t="str">
        <f t="shared" si="101"/>
        <v>Jun</v>
      </c>
      <c r="T2133" s="9">
        <f>VLOOKUP(O2133, Annual_Summary!A:B, 2, 0)</f>
        <v>0.23827534039334342</v>
      </c>
    </row>
    <row r="2134" spans="1:20" x14ac:dyDescent="0.3">
      <c r="A2134" s="1">
        <v>45818</v>
      </c>
      <c r="B2134" t="s">
        <v>15</v>
      </c>
      <c r="C2134" s="3">
        <v>821</v>
      </c>
      <c r="D2134" s="3">
        <v>822.05</v>
      </c>
      <c r="E2134" s="3">
        <v>814.6</v>
      </c>
      <c r="F2134" s="3">
        <v>820.05</v>
      </c>
      <c r="G2134" s="3">
        <v>817</v>
      </c>
      <c r="H2134" s="3">
        <v>817.05</v>
      </c>
      <c r="I2134" s="3">
        <v>818.07</v>
      </c>
      <c r="J2134" s="3">
        <v>899</v>
      </c>
      <c r="K2134" s="3">
        <v>680</v>
      </c>
      <c r="L2134" s="2">
        <v>6560513</v>
      </c>
      <c r="M2134" s="2">
        <v>5366931400.75</v>
      </c>
      <c r="N2134" s="2">
        <v>173698</v>
      </c>
      <c r="O2134" t="s">
        <v>24</v>
      </c>
      <c r="P2134" s="8">
        <f t="shared" si="99"/>
        <v>-0.95000000000004547</v>
      </c>
      <c r="Q2134" t="s">
        <v>39</v>
      </c>
      <c r="R2134">
        <f t="shared" si="100"/>
        <v>6</v>
      </c>
      <c r="S2134" t="str">
        <f t="shared" si="101"/>
        <v>Jun</v>
      </c>
      <c r="T2134" s="9">
        <f>VLOOKUP(O2134, Annual_Summary!A:B, 2, 0)</f>
        <v>0.23827534039334342</v>
      </c>
    </row>
    <row r="2135" spans="1:20" x14ac:dyDescent="0.3">
      <c r="A2135" s="1">
        <v>45817</v>
      </c>
      <c r="B2135" t="s">
        <v>15</v>
      </c>
      <c r="C2135" s="3">
        <v>817.4</v>
      </c>
      <c r="D2135" s="3">
        <v>824.5</v>
      </c>
      <c r="E2135" s="3">
        <v>815.7</v>
      </c>
      <c r="F2135" s="3">
        <v>813.05</v>
      </c>
      <c r="G2135" s="3">
        <v>820</v>
      </c>
      <c r="H2135" s="3">
        <v>820.05</v>
      </c>
      <c r="I2135" s="3">
        <v>820.86</v>
      </c>
      <c r="J2135" s="3">
        <v>899</v>
      </c>
      <c r="K2135" s="3">
        <v>680</v>
      </c>
      <c r="L2135" s="2">
        <v>12793040</v>
      </c>
      <c r="M2135" s="2">
        <v>10501357386.299999</v>
      </c>
      <c r="N2135" s="2">
        <v>195288</v>
      </c>
      <c r="O2135" t="s">
        <v>24</v>
      </c>
      <c r="P2135" s="8">
        <f t="shared" si="99"/>
        <v>-4.3500000000000227</v>
      </c>
      <c r="Q2135" t="s">
        <v>39</v>
      </c>
      <c r="R2135">
        <f t="shared" si="100"/>
        <v>6</v>
      </c>
      <c r="S2135" t="str">
        <f t="shared" si="101"/>
        <v>Jun</v>
      </c>
      <c r="T2135" s="9">
        <f>VLOOKUP(O2135, Annual_Summary!A:B, 2, 0)</f>
        <v>0.23827534039334342</v>
      </c>
    </row>
    <row r="2136" spans="1:20" x14ac:dyDescent="0.3">
      <c r="A2136" s="1">
        <v>45814</v>
      </c>
      <c r="B2136" t="s">
        <v>15</v>
      </c>
      <c r="C2136" s="3">
        <v>806.65</v>
      </c>
      <c r="D2136" s="3">
        <v>816.45</v>
      </c>
      <c r="E2136" s="3">
        <v>803.1</v>
      </c>
      <c r="F2136" s="3">
        <v>806</v>
      </c>
      <c r="G2136" s="3">
        <v>812.65</v>
      </c>
      <c r="H2136" s="3">
        <v>813.05</v>
      </c>
      <c r="I2136" s="3">
        <v>811.87</v>
      </c>
      <c r="J2136" s="3">
        <v>912</v>
      </c>
      <c r="K2136" s="3">
        <v>680</v>
      </c>
      <c r="L2136" s="2">
        <v>17163935</v>
      </c>
      <c r="M2136" s="2">
        <v>13934918691.450001</v>
      </c>
      <c r="N2136" s="2">
        <v>202699</v>
      </c>
      <c r="O2136" t="s">
        <v>24</v>
      </c>
      <c r="P2136" s="8">
        <f t="shared" si="99"/>
        <v>-0.64999999999997726</v>
      </c>
      <c r="Q2136" t="s">
        <v>39</v>
      </c>
      <c r="R2136">
        <f t="shared" si="100"/>
        <v>6</v>
      </c>
      <c r="S2136" t="str">
        <f t="shared" si="101"/>
        <v>Jun</v>
      </c>
      <c r="T2136" s="9">
        <f>VLOOKUP(O2136, Annual_Summary!A:B, 2, 0)</f>
        <v>0.23827534039334342</v>
      </c>
    </row>
    <row r="2137" spans="1:20" x14ac:dyDescent="0.3">
      <c r="A2137" s="1">
        <v>45813</v>
      </c>
      <c r="B2137" t="s">
        <v>15</v>
      </c>
      <c r="C2137" s="3">
        <v>808.7</v>
      </c>
      <c r="D2137" s="3">
        <v>811.7</v>
      </c>
      <c r="E2137" s="3">
        <v>802.85</v>
      </c>
      <c r="F2137" s="3">
        <v>806.5</v>
      </c>
      <c r="G2137" s="3">
        <v>806.8</v>
      </c>
      <c r="H2137" s="3">
        <v>806</v>
      </c>
      <c r="I2137" s="3">
        <v>806.79</v>
      </c>
      <c r="J2137" s="3">
        <v>912</v>
      </c>
      <c r="K2137" s="3">
        <v>680</v>
      </c>
      <c r="L2137" s="2">
        <v>13595507</v>
      </c>
      <c r="M2137" s="2">
        <v>10968653855.65</v>
      </c>
      <c r="N2137" s="2">
        <v>176672</v>
      </c>
      <c r="O2137" t="s">
        <v>24</v>
      </c>
      <c r="P2137" s="8">
        <f t="shared" si="99"/>
        <v>-2.2000000000000455</v>
      </c>
      <c r="Q2137" t="s">
        <v>39</v>
      </c>
      <c r="R2137">
        <f t="shared" si="100"/>
        <v>6</v>
      </c>
      <c r="S2137" t="str">
        <f t="shared" si="101"/>
        <v>Jun</v>
      </c>
      <c r="T2137" s="9">
        <f>VLOOKUP(O2137, Annual_Summary!A:B, 2, 0)</f>
        <v>0.23827534039334342</v>
      </c>
    </row>
    <row r="2138" spans="1:20" x14ac:dyDescent="0.3">
      <c r="A2138" s="1">
        <v>45812</v>
      </c>
      <c r="B2138" t="s">
        <v>15</v>
      </c>
      <c r="C2138" s="3">
        <v>817</v>
      </c>
      <c r="D2138" s="3">
        <v>817</v>
      </c>
      <c r="E2138" s="3">
        <v>805.25</v>
      </c>
      <c r="F2138" s="3">
        <v>809.8</v>
      </c>
      <c r="G2138" s="3">
        <v>805.5</v>
      </c>
      <c r="H2138" s="3">
        <v>806.5</v>
      </c>
      <c r="I2138" s="3">
        <v>808.79</v>
      </c>
      <c r="J2138" s="3">
        <v>912</v>
      </c>
      <c r="K2138" s="3">
        <v>680</v>
      </c>
      <c r="L2138" s="2">
        <v>9607927</v>
      </c>
      <c r="M2138" s="2">
        <v>7770821872.8999996</v>
      </c>
      <c r="N2138" s="2">
        <v>136010</v>
      </c>
      <c r="O2138" t="s">
        <v>24</v>
      </c>
      <c r="P2138" s="8">
        <f t="shared" si="99"/>
        <v>-7.2000000000000455</v>
      </c>
      <c r="Q2138" t="s">
        <v>39</v>
      </c>
      <c r="R2138">
        <f t="shared" si="100"/>
        <v>6</v>
      </c>
      <c r="S2138" t="str">
        <f t="shared" si="101"/>
        <v>Jun</v>
      </c>
      <c r="T2138" s="9">
        <f>VLOOKUP(O2138, Annual_Summary!A:B, 2, 0)</f>
        <v>0.23827534039334342</v>
      </c>
    </row>
    <row r="2139" spans="1:20" x14ac:dyDescent="0.3">
      <c r="A2139" s="1">
        <v>45811</v>
      </c>
      <c r="B2139" t="s">
        <v>15</v>
      </c>
      <c r="C2139" s="3">
        <v>816.2</v>
      </c>
      <c r="D2139" s="3">
        <v>818.4</v>
      </c>
      <c r="E2139" s="3">
        <v>805.15</v>
      </c>
      <c r="F2139" s="3">
        <v>813.65</v>
      </c>
      <c r="G2139" s="3">
        <v>808.2</v>
      </c>
      <c r="H2139" s="3">
        <v>809.8</v>
      </c>
      <c r="I2139" s="3">
        <v>811.05</v>
      </c>
      <c r="J2139" s="3">
        <v>912</v>
      </c>
      <c r="K2139" s="3">
        <v>680</v>
      </c>
      <c r="L2139" s="2">
        <v>14247597</v>
      </c>
      <c r="M2139" s="2">
        <v>11555479376.75</v>
      </c>
      <c r="N2139" s="2">
        <v>175051</v>
      </c>
      <c r="O2139" t="s">
        <v>24</v>
      </c>
      <c r="P2139" s="8">
        <f t="shared" si="99"/>
        <v>-2.5500000000000682</v>
      </c>
      <c r="Q2139" t="s">
        <v>39</v>
      </c>
      <c r="R2139">
        <f t="shared" si="100"/>
        <v>6</v>
      </c>
      <c r="S2139" t="str">
        <f t="shared" si="101"/>
        <v>Jun</v>
      </c>
      <c r="T2139" s="9">
        <f>VLOOKUP(O2139, Annual_Summary!A:B, 2, 0)</f>
        <v>0.23827534039334342</v>
      </c>
    </row>
    <row r="2140" spans="1:20" x14ac:dyDescent="0.3">
      <c r="A2140" s="1">
        <v>45810</v>
      </c>
      <c r="B2140" t="s">
        <v>15</v>
      </c>
      <c r="C2140" s="3">
        <v>812.85</v>
      </c>
      <c r="D2140" s="3">
        <v>822.55</v>
      </c>
      <c r="E2140" s="3">
        <v>809.2</v>
      </c>
      <c r="F2140" s="3">
        <v>812.3</v>
      </c>
      <c r="G2140" s="3">
        <v>813.5</v>
      </c>
      <c r="H2140" s="3">
        <v>813.65</v>
      </c>
      <c r="I2140" s="3">
        <v>814.73</v>
      </c>
      <c r="J2140" s="3">
        <v>912</v>
      </c>
      <c r="K2140" s="3">
        <v>680</v>
      </c>
      <c r="L2140" s="2">
        <v>26891575</v>
      </c>
      <c r="M2140" s="2">
        <v>21909310086.450001</v>
      </c>
      <c r="N2140" s="2">
        <v>218771</v>
      </c>
      <c r="O2140" t="s">
        <v>24</v>
      </c>
      <c r="P2140" s="8">
        <f t="shared" si="99"/>
        <v>-0.55000000000006821</v>
      </c>
      <c r="Q2140" t="s">
        <v>39</v>
      </c>
      <c r="R2140">
        <f t="shared" si="100"/>
        <v>6</v>
      </c>
      <c r="S2140" t="str">
        <f t="shared" si="101"/>
        <v>Jun</v>
      </c>
      <c r="T2140" s="9">
        <f>VLOOKUP(O2140, Annual_Summary!A:B, 2, 0)</f>
        <v>0.23827534039334342</v>
      </c>
    </row>
    <row r="2141" spans="1:20" x14ac:dyDescent="0.3">
      <c r="A2141" s="1">
        <v>45807</v>
      </c>
      <c r="B2141" t="s">
        <v>15</v>
      </c>
      <c r="C2141" s="3">
        <v>798</v>
      </c>
      <c r="D2141" s="3">
        <v>814.5</v>
      </c>
      <c r="E2141" s="3">
        <v>792.6</v>
      </c>
      <c r="F2141" s="3">
        <v>797.35</v>
      </c>
      <c r="G2141" s="3">
        <v>814</v>
      </c>
      <c r="H2141" s="3">
        <v>812.3</v>
      </c>
      <c r="I2141" s="3">
        <v>807.33</v>
      </c>
      <c r="J2141" s="3">
        <v>912</v>
      </c>
      <c r="K2141" s="3">
        <v>680</v>
      </c>
      <c r="L2141" s="2">
        <v>22037314</v>
      </c>
      <c r="M2141" s="2">
        <v>17791279933.650002</v>
      </c>
      <c r="N2141" s="2">
        <v>217715</v>
      </c>
      <c r="O2141" t="s">
        <v>24</v>
      </c>
      <c r="P2141" s="8">
        <f t="shared" si="99"/>
        <v>-0.64999999999997726</v>
      </c>
      <c r="Q2141" t="s">
        <v>39</v>
      </c>
      <c r="R2141">
        <f t="shared" si="100"/>
        <v>5</v>
      </c>
      <c r="S2141" t="str">
        <f t="shared" si="101"/>
        <v>May</v>
      </c>
      <c r="T2141" s="9">
        <f>VLOOKUP(O2141, Annual_Summary!A:B, 2, 0)</f>
        <v>0.23827534039334342</v>
      </c>
    </row>
    <row r="2142" spans="1:20" x14ac:dyDescent="0.3">
      <c r="A2142" s="1">
        <v>45806</v>
      </c>
      <c r="B2142" t="s">
        <v>15</v>
      </c>
      <c r="C2142" s="3">
        <v>799</v>
      </c>
      <c r="D2142" s="3">
        <v>800.4</v>
      </c>
      <c r="E2142" s="3">
        <v>791.35</v>
      </c>
      <c r="F2142" s="3">
        <v>796.55</v>
      </c>
      <c r="G2142" s="3">
        <v>798.1</v>
      </c>
      <c r="H2142" s="3">
        <v>797.35</v>
      </c>
      <c r="I2142" s="3">
        <v>794.95</v>
      </c>
      <c r="J2142" s="3">
        <v>912</v>
      </c>
      <c r="K2142" s="3">
        <v>680</v>
      </c>
      <c r="L2142" s="2">
        <v>14034127</v>
      </c>
      <c r="M2142" s="2">
        <v>11156361147.65</v>
      </c>
      <c r="N2142" s="2">
        <v>281565</v>
      </c>
      <c r="O2142" t="s">
        <v>24</v>
      </c>
      <c r="P2142" s="8">
        <f t="shared" si="99"/>
        <v>-2.4500000000000455</v>
      </c>
      <c r="Q2142" t="s">
        <v>39</v>
      </c>
      <c r="R2142">
        <f t="shared" si="100"/>
        <v>5</v>
      </c>
      <c r="S2142" t="str">
        <f t="shared" si="101"/>
        <v>May</v>
      </c>
      <c r="T2142" s="9">
        <f>VLOOKUP(O2142, Annual_Summary!A:B, 2, 0)</f>
        <v>0.23827534039334342</v>
      </c>
    </row>
    <row r="2143" spans="1:20" x14ac:dyDescent="0.3">
      <c r="A2143" s="1">
        <v>45805</v>
      </c>
      <c r="B2143" t="s">
        <v>15</v>
      </c>
      <c r="C2143" s="3">
        <v>794.5</v>
      </c>
      <c r="D2143" s="3">
        <v>798.9</v>
      </c>
      <c r="E2143" s="3">
        <v>792.65</v>
      </c>
      <c r="F2143" s="3">
        <v>793.7</v>
      </c>
      <c r="G2143" s="3">
        <v>796</v>
      </c>
      <c r="H2143" s="3">
        <v>796.55</v>
      </c>
      <c r="I2143" s="3">
        <v>796.29</v>
      </c>
      <c r="J2143" s="3">
        <v>912</v>
      </c>
      <c r="K2143" s="3">
        <v>680</v>
      </c>
      <c r="L2143" s="2">
        <v>6873519</v>
      </c>
      <c r="M2143" s="2">
        <v>5473317160.3500004</v>
      </c>
      <c r="N2143" s="2">
        <v>113841</v>
      </c>
      <c r="O2143" t="s">
        <v>24</v>
      </c>
      <c r="P2143" s="8">
        <f t="shared" si="99"/>
        <v>-0.79999999999995453</v>
      </c>
      <c r="Q2143" t="s">
        <v>39</v>
      </c>
      <c r="R2143">
        <f t="shared" si="100"/>
        <v>5</v>
      </c>
      <c r="S2143" t="str">
        <f t="shared" si="101"/>
        <v>May</v>
      </c>
      <c r="T2143" s="9">
        <f>VLOOKUP(O2143, Annual_Summary!A:B, 2, 0)</f>
        <v>0.23827534039334342</v>
      </c>
    </row>
    <row r="2144" spans="1:20" x14ac:dyDescent="0.3">
      <c r="A2144" s="1">
        <v>45804</v>
      </c>
      <c r="B2144" t="s">
        <v>15</v>
      </c>
      <c r="C2144" s="3">
        <v>794.4</v>
      </c>
      <c r="D2144" s="3">
        <v>801.35</v>
      </c>
      <c r="E2144" s="3">
        <v>790.05</v>
      </c>
      <c r="F2144" s="3">
        <v>794.4</v>
      </c>
      <c r="G2144" s="3">
        <v>794.25</v>
      </c>
      <c r="H2144" s="3">
        <v>793.7</v>
      </c>
      <c r="I2144" s="3">
        <v>795.55</v>
      </c>
      <c r="J2144" s="3">
        <v>912</v>
      </c>
      <c r="K2144" s="3">
        <v>680</v>
      </c>
      <c r="L2144" s="2">
        <v>11995043</v>
      </c>
      <c r="M2144" s="2">
        <v>9542679873.1499996</v>
      </c>
      <c r="N2144" s="2">
        <v>178381</v>
      </c>
      <c r="O2144" t="s">
        <v>24</v>
      </c>
      <c r="P2144" s="8">
        <f t="shared" si="99"/>
        <v>0</v>
      </c>
      <c r="Q2144" t="s">
        <v>39</v>
      </c>
      <c r="R2144">
        <f t="shared" si="100"/>
        <v>5</v>
      </c>
      <c r="S2144" t="str">
        <f t="shared" si="101"/>
        <v>May</v>
      </c>
      <c r="T2144" s="9">
        <f>VLOOKUP(O2144, Annual_Summary!A:B, 2, 0)</f>
        <v>0.23827534039334342</v>
      </c>
    </row>
    <row r="2145" spans="1:20" x14ac:dyDescent="0.3">
      <c r="A2145" s="1">
        <v>45803</v>
      </c>
      <c r="B2145" t="s">
        <v>15</v>
      </c>
      <c r="C2145" s="3">
        <v>792</v>
      </c>
      <c r="D2145" s="3">
        <v>797.55</v>
      </c>
      <c r="E2145" s="3">
        <v>789.2</v>
      </c>
      <c r="F2145" s="3">
        <v>790.5</v>
      </c>
      <c r="G2145" s="3">
        <v>794.15</v>
      </c>
      <c r="H2145" s="3">
        <v>794.4</v>
      </c>
      <c r="I2145" s="3">
        <v>794.09</v>
      </c>
      <c r="J2145" s="3">
        <v>912</v>
      </c>
      <c r="K2145" s="3">
        <v>680</v>
      </c>
      <c r="L2145" s="2">
        <v>4965466</v>
      </c>
      <c r="M2145" s="2">
        <v>3943015064.1500001</v>
      </c>
      <c r="N2145" s="2">
        <v>98636</v>
      </c>
      <c r="O2145" t="s">
        <v>24</v>
      </c>
      <c r="P2145" s="8">
        <f t="shared" si="99"/>
        <v>-1.5</v>
      </c>
      <c r="Q2145" t="s">
        <v>39</v>
      </c>
      <c r="R2145">
        <f t="shared" si="100"/>
        <v>5</v>
      </c>
      <c r="S2145" t="str">
        <f t="shared" si="101"/>
        <v>May</v>
      </c>
      <c r="T2145" s="9">
        <f>VLOOKUP(O2145, Annual_Summary!A:B, 2, 0)</f>
        <v>0.23827534039334342</v>
      </c>
    </row>
    <row r="2146" spans="1:20" x14ac:dyDescent="0.3">
      <c r="A2146" s="1">
        <v>45800</v>
      </c>
      <c r="B2146" t="s">
        <v>15</v>
      </c>
      <c r="C2146" s="3">
        <v>787.9</v>
      </c>
      <c r="D2146" s="3">
        <v>794.95</v>
      </c>
      <c r="E2146" s="3">
        <v>786.2</v>
      </c>
      <c r="F2146" s="3">
        <v>785.25</v>
      </c>
      <c r="G2146" s="3">
        <v>790.25</v>
      </c>
      <c r="H2146" s="3">
        <v>790.5</v>
      </c>
      <c r="I2146" s="3">
        <v>790.74</v>
      </c>
      <c r="J2146" s="3">
        <v>912</v>
      </c>
      <c r="K2146" s="3">
        <v>680</v>
      </c>
      <c r="L2146" s="2">
        <v>5534158</v>
      </c>
      <c r="M2146" s="2">
        <v>4376097515.6000004</v>
      </c>
      <c r="N2146" s="2">
        <v>106313</v>
      </c>
      <c r="O2146" t="s">
        <v>24</v>
      </c>
      <c r="P2146" s="8">
        <f t="shared" si="99"/>
        <v>-2.6499999999999773</v>
      </c>
      <c r="Q2146" t="s">
        <v>39</v>
      </c>
      <c r="R2146">
        <f t="shared" si="100"/>
        <v>5</v>
      </c>
      <c r="S2146" t="str">
        <f t="shared" si="101"/>
        <v>May</v>
      </c>
      <c r="T2146" s="9">
        <f>VLOOKUP(O2146, Annual_Summary!A:B, 2, 0)</f>
        <v>0.23827534039334342</v>
      </c>
    </row>
    <row r="2147" spans="1:20" x14ac:dyDescent="0.3">
      <c r="A2147" s="1">
        <v>45799</v>
      </c>
      <c r="B2147" t="s">
        <v>15</v>
      </c>
      <c r="C2147" s="3">
        <v>788</v>
      </c>
      <c r="D2147" s="3">
        <v>788.2</v>
      </c>
      <c r="E2147" s="3">
        <v>780.3</v>
      </c>
      <c r="F2147" s="3">
        <v>787.1</v>
      </c>
      <c r="G2147" s="3">
        <v>785.8</v>
      </c>
      <c r="H2147" s="3">
        <v>785.25</v>
      </c>
      <c r="I2147" s="3">
        <v>784.47</v>
      </c>
      <c r="J2147" s="3">
        <v>912</v>
      </c>
      <c r="K2147" s="3">
        <v>680</v>
      </c>
      <c r="L2147" s="2">
        <v>7355826</v>
      </c>
      <c r="M2147" s="2">
        <v>5770452205</v>
      </c>
      <c r="N2147" s="2">
        <v>160443</v>
      </c>
      <c r="O2147" t="s">
        <v>24</v>
      </c>
      <c r="P2147" s="8">
        <f t="shared" si="99"/>
        <v>-0.89999999999997726</v>
      </c>
      <c r="Q2147" t="s">
        <v>39</v>
      </c>
      <c r="R2147">
        <f t="shared" si="100"/>
        <v>5</v>
      </c>
      <c r="S2147" t="str">
        <f t="shared" si="101"/>
        <v>May</v>
      </c>
      <c r="T2147" s="9">
        <f>VLOOKUP(O2147, Annual_Summary!A:B, 2, 0)</f>
        <v>0.23827534039334342</v>
      </c>
    </row>
    <row r="2148" spans="1:20" x14ac:dyDescent="0.3">
      <c r="A2148" s="1">
        <v>45798</v>
      </c>
      <c r="B2148" t="s">
        <v>15</v>
      </c>
      <c r="C2148" s="3">
        <v>787</v>
      </c>
      <c r="D2148" s="3">
        <v>791</v>
      </c>
      <c r="E2148" s="3">
        <v>779.1</v>
      </c>
      <c r="F2148" s="3">
        <v>785.65</v>
      </c>
      <c r="G2148" s="3">
        <v>787.2</v>
      </c>
      <c r="H2148" s="3">
        <v>787.1</v>
      </c>
      <c r="I2148" s="3">
        <v>786</v>
      </c>
      <c r="J2148" s="3">
        <v>912</v>
      </c>
      <c r="K2148" s="3">
        <v>680</v>
      </c>
      <c r="L2148" s="2">
        <v>8206040</v>
      </c>
      <c r="M2148" s="2">
        <v>6449939895.5500002</v>
      </c>
      <c r="N2148" s="2">
        <v>130051</v>
      </c>
      <c r="O2148" t="s">
        <v>24</v>
      </c>
      <c r="P2148" s="8">
        <f t="shared" si="99"/>
        <v>-1.3500000000000227</v>
      </c>
      <c r="Q2148" t="s">
        <v>39</v>
      </c>
      <c r="R2148">
        <f t="shared" si="100"/>
        <v>5</v>
      </c>
      <c r="S2148" t="str">
        <f t="shared" si="101"/>
        <v>May</v>
      </c>
      <c r="T2148" s="9">
        <f>VLOOKUP(O2148, Annual_Summary!A:B, 2, 0)</f>
        <v>0.23827534039334342</v>
      </c>
    </row>
    <row r="2149" spans="1:20" x14ac:dyDescent="0.3">
      <c r="A2149" s="1">
        <v>45797</v>
      </c>
      <c r="B2149" t="s">
        <v>15</v>
      </c>
      <c r="C2149" s="3">
        <v>798.15</v>
      </c>
      <c r="D2149" s="3">
        <v>799.4</v>
      </c>
      <c r="E2149" s="3">
        <v>783.8</v>
      </c>
      <c r="F2149" s="3">
        <v>795</v>
      </c>
      <c r="G2149" s="3">
        <v>786.7</v>
      </c>
      <c r="H2149" s="3">
        <v>785.65</v>
      </c>
      <c r="I2149" s="3">
        <v>788.84</v>
      </c>
      <c r="J2149" s="3">
        <v>912</v>
      </c>
      <c r="K2149" s="3">
        <v>680</v>
      </c>
      <c r="L2149" s="2">
        <v>11324667</v>
      </c>
      <c r="M2149" s="2">
        <v>8933354461.8500004</v>
      </c>
      <c r="N2149" s="2">
        <v>169563</v>
      </c>
      <c r="O2149" t="s">
        <v>24</v>
      </c>
      <c r="P2149" s="8">
        <f t="shared" si="99"/>
        <v>-3.1499999999999773</v>
      </c>
      <c r="Q2149" t="s">
        <v>39</v>
      </c>
      <c r="R2149">
        <f t="shared" si="100"/>
        <v>5</v>
      </c>
      <c r="S2149" t="str">
        <f t="shared" si="101"/>
        <v>May</v>
      </c>
      <c r="T2149" s="9">
        <f>VLOOKUP(O2149, Annual_Summary!A:B, 2, 0)</f>
        <v>0.23827534039334342</v>
      </c>
    </row>
    <row r="2150" spans="1:20" x14ac:dyDescent="0.3">
      <c r="A2150" s="1">
        <v>45796</v>
      </c>
      <c r="B2150" t="s">
        <v>15</v>
      </c>
      <c r="C2150" s="3">
        <v>792.1</v>
      </c>
      <c r="D2150" s="3">
        <v>801.4</v>
      </c>
      <c r="E2150" s="3">
        <v>792.1</v>
      </c>
      <c r="F2150" s="3">
        <v>792.1</v>
      </c>
      <c r="G2150" s="3">
        <v>794.45</v>
      </c>
      <c r="H2150" s="3">
        <v>795</v>
      </c>
      <c r="I2150" s="3">
        <v>796.74</v>
      </c>
      <c r="J2150" s="3">
        <v>912</v>
      </c>
      <c r="K2150" s="3">
        <v>680</v>
      </c>
      <c r="L2150" s="2">
        <v>10666184</v>
      </c>
      <c r="M2150" s="2">
        <v>8498149477.5</v>
      </c>
      <c r="N2150" s="2">
        <v>194011</v>
      </c>
      <c r="O2150" t="s">
        <v>24</v>
      </c>
      <c r="P2150" s="8">
        <f t="shared" si="99"/>
        <v>0</v>
      </c>
      <c r="Q2150" t="s">
        <v>39</v>
      </c>
      <c r="R2150">
        <f t="shared" si="100"/>
        <v>5</v>
      </c>
      <c r="S2150" t="str">
        <f t="shared" si="101"/>
        <v>May</v>
      </c>
      <c r="T2150" s="9">
        <f>VLOOKUP(O2150, Annual_Summary!A:B, 2, 0)</f>
        <v>0.23827534039334342</v>
      </c>
    </row>
    <row r="2151" spans="1:20" x14ac:dyDescent="0.3">
      <c r="A2151" s="1">
        <v>45793</v>
      </c>
      <c r="B2151" t="s">
        <v>15</v>
      </c>
      <c r="C2151" s="3">
        <v>804</v>
      </c>
      <c r="D2151" s="3">
        <v>804</v>
      </c>
      <c r="E2151" s="3">
        <v>791</v>
      </c>
      <c r="F2151" s="3">
        <v>807.75</v>
      </c>
      <c r="G2151" s="3">
        <v>792.5</v>
      </c>
      <c r="H2151" s="3">
        <v>792.1</v>
      </c>
      <c r="I2151" s="3">
        <v>794.09</v>
      </c>
      <c r="J2151" s="3">
        <v>912</v>
      </c>
      <c r="K2151" s="3">
        <v>680</v>
      </c>
      <c r="L2151" s="2">
        <v>14733924</v>
      </c>
      <c r="M2151" s="2">
        <v>11700004865.75</v>
      </c>
      <c r="N2151" s="2">
        <v>241785</v>
      </c>
      <c r="O2151" t="s">
        <v>24</v>
      </c>
      <c r="P2151" s="8">
        <f t="shared" si="99"/>
        <v>3.75</v>
      </c>
      <c r="Q2151" t="s">
        <v>39</v>
      </c>
      <c r="R2151">
        <f t="shared" si="100"/>
        <v>5</v>
      </c>
      <c r="S2151" t="str">
        <f t="shared" si="101"/>
        <v>May</v>
      </c>
      <c r="T2151" s="9">
        <f>VLOOKUP(O2151, Annual_Summary!A:B, 2, 0)</f>
        <v>0.23827534039334342</v>
      </c>
    </row>
    <row r="2152" spans="1:20" x14ac:dyDescent="0.3">
      <c r="A2152" s="1">
        <v>45792</v>
      </c>
      <c r="B2152" t="s">
        <v>15</v>
      </c>
      <c r="C2152" s="3">
        <v>804.45</v>
      </c>
      <c r="D2152" s="3">
        <v>809.45</v>
      </c>
      <c r="E2152" s="3">
        <v>794.5</v>
      </c>
      <c r="F2152" s="3">
        <v>800.7</v>
      </c>
      <c r="G2152" s="3">
        <v>808</v>
      </c>
      <c r="H2152" s="3">
        <v>807.75</v>
      </c>
      <c r="I2152" s="3">
        <v>802.04</v>
      </c>
      <c r="J2152" s="3">
        <v>912</v>
      </c>
      <c r="K2152" s="3">
        <v>680</v>
      </c>
      <c r="L2152" s="2">
        <v>17058854</v>
      </c>
      <c r="M2152" s="2">
        <v>13681951074.049999</v>
      </c>
      <c r="N2152" s="2">
        <v>200305</v>
      </c>
      <c r="O2152" t="s">
        <v>24</v>
      </c>
      <c r="P2152" s="8">
        <f t="shared" si="99"/>
        <v>-3.75</v>
      </c>
      <c r="Q2152" t="s">
        <v>39</v>
      </c>
      <c r="R2152">
        <f t="shared" si="100"/>
        <v>5</v>
      </c>
      <c r="S2152" t="str">
        <f t="shared" si="101"/>
        <v>May</v>
      </c>
      <c r="T2152" s="9">
        <f>VLOOKUP(O2152, Annual_Summary!A:B, 2, 0)</f>
        <v>0.23827534039334342</v>
      </c>
    </row>
    <row r="2153" spans="1:20" x14ac:dyDescent="0.3">
      <c r="A2153" s="1">
        <v>45791</v>
      </c>
      <c r="B2153" t="s">
        <v>15</v>
      </c>
      <c r="C2153" s="3">
        <v>805.75</v>
      </c>
      <c r="D2153" s="3">
        <v>807.5</v>
      </c>
      <c r="E2153" s="3">
        <v>796.3</v>
      </c>
      <c r="F2153" s="3">
        <v>801.75</v>
      </c>
      <c r="G2153" s="3">
        <v>802.4</v>
      </c>
      <c r="H2153" s="3">
        <v>800.7</v>
      </c>
      <c r="I2153" s="3">
        <v>801.49</v>
      </c>
      <c r="J2153" s="3">
        <v>912</v>
      </c>
      <c r="K2153" s="3">
        <v>680</v>
      </c>
      <c r="L2153" s="2">
        <v>9281719</v>
      </c>
      <c r="M2153" s="2">
        <v>7439187440.9499998</v>
      </c>
      <c r="N2153" s="2">
        <v>146698</v>
      </c>
      <c r="O2153" t="s">
        <v>24</v>
      </c>
      <c r="P2153" s="8">
        <f t="shared" si="99"/>
        <v>-4</v>
      </c>
      <c r="Q2153" t="s">
        <v>39</v>
      </c>
      <c r="R2153">
        <f t="shared" si="100"/>
        <v>5</v>
      </c>
      <c r="S2153" t="str">
        <f t="shared" si="101"/>
        <v>May</v>
      </c>
      <c r="T2153" s="9">
        <f>VLOOKUP(O2153, Annual_Summary!A:B, 2, 0)</f>
        <v>0.23827534039334342</v>
      </c>
    </row>
    <row r="2154" spans="1:20" x14ac:dyDescent="0.3">
      <c r="A2154" s="1">
        <v>45790</v>
      </c>
      <c r="B2154" t="s">
        <v>15</v>
      </c>
      <c r="C2154" s="3">
        <v>798.6</v>
      </c>
      <c r="D2154" s="3">
        <v>807.65</v>
      </c>
      <c r="E2154" s="3">
        <v>797.2</v>
      </c>
      <c r="F2154" s="3">
        <v>801.65</v>
      </c>
      <c r="G2154" s="3">
        <v>801.95</v>
      </c>
      <c r="H2154" s="3">
        <v>801.75</v>
      </c>
      <c r="I2154" s="3">
        <v>802.32</v>
      </c>
      <c r="J2154" s="3">
        <v>912</v>
      </c>
      <c r="K2154" s="3">
        <v>680</v>
      </c>
      <c r="L2154" s="2">
        <v>13909596</v>
      </c>
      <c r="M2154" s="2">
        <v>11159932476.1</v>
      </c>
      <c r="N2154" s="2">
        <v>201551</v>
      </c>
      <c r="O2154" t="s">
        <v>24</v>
      </c>
      <c r="P2154" s="8">
        <f t="shared" si="99"/>
        <v>3.0499999999999545</v>
      </c>
      <c r="Q2154" t="s">
        <v>39</v>
      </c>
      <c r="R2154">
        <f t="shared" si="100"/>
        <v>5</v>
      </c>
      <c r="S2154" t="str">
        <f t="shared" si="101"/>
        <v>May</v>
      </c>
      <c r="T2154" s="9">
        <f>VLOOKUP(O2154, Annual_Summary!A:B, 2, 0)</f>
        <v>0.23827534039334342</v>
      </c>
    </row>
    <row r="2155" spans="1:20" x14ac:dyDescent="0.3">
      <c r="A2155" s="1">
        <v>45789</v>
      </c>
      <c r="B2155" t="s">
        <v>15</v>
      </c>
      <c r="C2155" s="3">
        <v>799</v>
      </c>
      <c r="D2155" s="3">
        <v>803.9</v>
      </c>
      <c r="E2155" s="3">
        <v>793</v>
      </c>
      <c r="F2155" s="3">
        <v>779.25</v>
      </c>
      <c r="G2155" s="3">
        <v>800.95</v>
      </c>
      <c r="H2155" s="3">
        <v>801.65</v>
      </c>
      <c r="I2155" s="3">
        <v>799.87</v>
      </c>
      <c r="J2155" s="3">
        <v>912</v>
      </c>
      <c r="K2155" s="3">
        <v>680</v>
      </c>
      <c r="L2155" s="2">
        <v>15096824</v>
      </c>
      <c r="M2155" s="2">
        <v>12075421793.799999</v>
      </c>
      <c r="N2155" s="2">
        <v>173252</v>
      </c>
      <c r="O2155" t="s">
        <v>24</v>
      </c>
      <c r="P2155" s="8">
        <f t="shared" si="99"/>
        <v>-19.75</v>
      </c>
      <c r="Q2155" t="s">
        <v>39</v>
      </c>
      <c r="R2155">
        <f t="shared" si="100"/>
        <v>5</v>
      </c>
      <c r="S2155" t="str">
        <f t="shared" si="101"/>
        <v>May</v>
      </c>
      <c r="T2155" s="9">
        <f>VLOOKUP(O2155, Annual_Summary!A:B, 2, 0)</f>
        <v>0.23827534039334342</v>
      </c>
    </row>
    <row r="2156" spans="1:20" x14ac:dyDescent="0.3">
      <c r="A2156" s="1">
        <v>45786</v>
      </c>
      <c r="B2156" t="s">
        <v>15</v>
      </c>
      <c r="C2156" s="3">
        <v>756.5</v>
      </c>
      <c r="D2156" s="3">
        <v>781.7</v>
      </c>
      <c r="E2156" s="3">
        <v>755.5</v>
      </c>
      <c r="F2156" s="3">
        <v>769</v>
      </c>
      <c r="G2156" s="3">
        <v>780.5</v>
      </c>
      <c r="H2156" s="3">
        <v>779.25</v>
      </c>
      <c r="I2156" s="3">
        <v>772.28</v>
      </c>
      <c r="J2156" s="3">
        <v>912</v>
      </c>
      <c r="K2156" s="3">
        <v>680</v>
      </c>
      <c r="L2156" s="2">
        <v>13578216</v>
      </c>
      <c r="M2156" s="2">
        <v>10486227680.4</v>
      </c>
      <c r="N2156" s="2">
        <v>246098</v>
      </c>
      <c r="O2156" t="s">
        <v>24</v>
      </c>
      <c r="P2156" s="8">
        <f t="shared" si="99"/>
        <v>12.5</v>
      </c>
      <c r="Q2156" t="s">
        <v>39</v>
      </c>
      <c r="R2156">
        <f t="shared" si="100"/>
        <v>5</v>
      </c>
      <c r="S2156" t="str">
        <f t="shared" si="101"/>
        <v>May</v>
      </c>
      <c r="T2156" s="9">
        <f>VLOOKUP(O2156, Annual_Summary!A:B, 2, 0)</f>
        <v>0.23827534039334342</v>
      </c>
    </row>
    <row r="2157" spans="1:20" x14ac:dyDescent="0.3">
      <c r="A2157" s="1">
        <v>45785</v>
      </c>
      <c r="B2157" t="s">
        <v>15</v>
      </c>
      <c r="C2157" s="3">
        <v>779</v>
      </c>
      <c r="D2157" s="3">
        <v>786.5</v>
      </c>
      <c r="E2157" s="3">
        <v>764</v>
      </c>
      <c r="F2157" s="3">
        <v>776.1</v>
      </c>
      <c r="G2157" s="3">
        <v>765.45</v>
      </c>
      <c r="H2157" s="3">
        <v>769</v>
      </c>
      <c r="I2157" s="3">
        <v>775.8</v>
      </c>
      <c r="J2157" s="3">
        <v>912</v>
      </c>
      <c r="K2157" s="3">
        <v>680</v>
      </c>
      <c r="L2157" s="2">
        <v>14491673</v>
      </c>
      <c r="M2157" s="2">
        <v>11242592363.700001</v>
      </c>
      <c r="N2157" s="2">
        <v>202239</v>
      </c>
      <c r="O2157" t="s">
        <v>24</v>
      </c>
      <c r="P2157" s="8">
        <f t="shared" si="99"/>
        <v>-2.8999999999999773</v>
      </c>
      <c r="Q2157" t="s">
        <v>39</v>
      </c>
      <c r="R2157">
        <f t="shared" si="100"/>
        <v>5</v>
      </c>
      <c r="S2157" t="str">
        <f t="shared" si="101"/>
        <v>May</v>
      </c>
      <c r="T2157" s="9">
        <f>VLOOKUP(O2157, Annual_Summary!A:B, 2, 0)</f>
        <v>0.23827534039334342</v>
      </c>
    </row>
    <row r="2158" spans="1:20" x14ac:dyDescent="0.3">
      <c r="A2158" s="1">
        <v>45784</v>
      </c>
      <c r="B2158" t="s">
        <v>15</v>
      </c>
      <c r="C2158" s="3">
        <v>765.3</v>
      </c>
      <c r="D2158" s="3">
        <v>782.4</v>
      </c>
      <c r="E2158" s="3">
        <v>764.55</v>
      </c>
      <c r="F2158" s="3">
        <v>774.1</v>
      </c>
      <c r="G2158" s="3">
        <v>777.8</v>
      </c>
      <c r="H2158" s="3">
        <v>776.1</v>
      </c>
      <c r="I2158" s="3">
        <v>775.68</v>
      </c>
      <c r="J2158" s="3">
        <v>912</v>
      </c>
      <c r="K2158" s="3">
        <v>680</v>
      </c>
      <c r="L2158" s="2">
        <v>15586266</v>
      </c>
      <c r="M2158" s="2">
        <v>12089945664.9</v>
      </c>
      <c r="N2158" s="2">
        <v>254691</v>
      </c>
      <c r="O2158" t="s">
        <v>24</v>
      </c>
      <c r="P2158" s="8">
        <f t="shared" si="99"/>
        <v>8.8000000000000682</v>
      </c>
      <c r="Q2158" t="s">
        <v>39</v>
      </c>
      <c r="R2158">
        <f t="shared" si="100"/>
        <v>5</v>
      </c>
      <c r="S2158" t="str">
        <f t="shared" si="101"/>
        <v>May</v>
      </c>
      <c r="T2158" s="9">
        <f>VLOOKUP(O2158, Annual_Summary!A:B, 2, 0)</f>
        <v>0.23827534039334342</v>
      </c>
    </row>
    <row r="2159" spans="1:20" x14ac:dyDescent="0.3">
      <c r="A2159" s="1">
        <v>45783</v>
      </c>
      <c r="B2159" t="s">
        <v>15</v>
      </c>
      <c r="C2159" s="3">
        <v>793.95</v>
      </c>
      <c r="D2159" s="3">
        <v>799.15</v>
      </c>
      <c r="E2159" s="3">
        <v>771.1</v>
      </c>
      <c r="F2159" s="3">
        <v>790</v>
      </c>
      <c r="G2159" s="3">
        <v>772.8</v>
      </c>
      <c r="H2159" s="3">
        <v>774.1</v>
      </c>
      <c r="I2159" s="3">
        <v>777.79</v>
      </c>
      <c r="J2159" s="3">
        <v>912</v>
      </c>
      <c r="K2159" s="3">
        <v>680</v>
      </c>
      <c r="L2159" s="2">
        <v>18869468</v>
      </c>
      <c r="M2159" s="2">
        <v>14676463740.85</v>
      </c>
      <c r="N2159" s="2">
        <v>344651</v>
      </c>
      <c r="O2159" t="s">
        <v>24</v>
      </c>
      <c r="P2159" s="8">
        <f t="shared" si="99"/>
        <v>-3.9500000000000455</v>
      </c>
      <c r="Q2159" t="s">
        <v>39</v>
      </c>
      <c r="R2159">
        <f t="shared" si="100"/>
        <v>5</v>
      </c>
      <c r="S2159" t="str">
        <f t="shared" si="101"/>
        <v>May</v>
      </c>
      <c r="T2159" s="9">
        <f>VLOOKUP(O2159, Annual_Summary!A:B, 2, 0)</f>
        <v>0.23827534039334342</v>
      </c>
    </row>
    <row r="2160" spans="1:20" x14ac:dyDescent="0.3">
      <c r="A2160" s="1">
        <v>45782</v>
      </c>
      <c r="B2160" t="s">
        <v>15</v>
      </c>
      <c r="C2160" s="3">
        <v>782</v>
      </c>
      <c r="D2160" s="3">
        <v>799</v>
      </c>
      <c r="E2160" s="3">
        <v>782</v>
      </c>
      <c r="F2160" s="3">
        <v>800</v>
      </c>
      <c r="G2160" s="3">
        <v>790.6</v>
      </c>
      <c r="H2160" s="3">
        <v>790</v>
      </c>
      <c r="I2160" s="3">
        <v>789.65</v>
      </c>
      <c r="J2160" s="3">
        <v>912</v>
      </c>
      <c r="K2160" s="3">
        <v>680</v>
      </c>
      <c r="L2160" s="2">
        <v>23986447</v>
      </c>
      <c r="M2160" s="2">
        <v>18940919612</v>
      </c>
      <c r="N2160" s="2">
        <v>422162</v>
      </c>
      <c r="O2160" t="s">
        <v>24</v>
      </c>
      <c r="P2160" s="8">
        <f t="shared" si="99"/>
        <v>18</v>
      </c>
      <c r="Q2160" t="s">
        <v>39</v>
      </c>
      <c r="R2160">
        <f t="shared" si="100"/>
        <v>5</v>
      </c>
      <c r="S2160" t="str">
        <f t="shared" si="101"/>
        <v>May</v>
      </c>
      <c r="T2160" s="9">
        <f>VLOOKUP(O2160, Annual_Summary!A:B, 2, 0)</f>
        <v>0.23827534039334342</v>
      </c>
    </row>
    <row r="2161" spans="1:20" x14ac:dyDescent="0.3">
      <c r="A2161" s="1">
        <v>45779</v>
      </c>
      <c r="B2161" t="s">
        <v>15</v>
      </c>
      <c r="C2161" s="3">
        <v>790.35</v>
      </c>
      <c r="D2161" s="3">
        <v>803.4</v>
      </c>
      <c r="E2161" s="3">
        <v>789</v>
      </c>
      <c r="F2161" s="3">
        <v>788.65</v>
      </c>
      <c r="G2161" s="3">
        <v>799.8</v>
      </c>
      <c r="H2161" s="3">
        <v>800</v>
      </c>
      <c r="I2161" s="3">
        <v>795.71</v>
      </c>
      <c r="J2161" s="3">
        <v>912</v>
      </c>
      <c r="K2161" s="3">
        <v>680</v>
      </c>
      <c r="L2161" s="2">
        <v>17199386</v>
      </c>
      <c r="M2161" s="2">
        <v>13685736797.75</v>
      </c>
      <c r="N2161" s="2">
        <v>281692</v>
      </c>
      <c r="O2161" t="s">
        <v>24</v>
      </c>
      <c r="P2161" s="8">
        <f t="shared" si="99"/>
        <v>-1.7000000000000455</v>
      </c>
      <c r="Q2161" t="s">
        <v>39</v>
      </c>
      <c r="R2161">
        <f t="shared" si="100"/>
        <v>5</v>
      </c>
      <c r="S2161" t="str">
        <f t="shared" si="101"/>
        <v>May</v>
      </c>
      <c r="T2161" s="9">
        <f>VLOOKUP(O2161, Annual_Summary!A:B, 2, 0)</f>
        <v>0.23827534039334342</v>
      </c>
    </row>
    <row r="2162" spans="1:20" x14ac:dyDescent="0.3">
      <c r="A2162" s="1">
        <v>45777</v>
      </c>
      <c r="B2162" t="s">
        <v>15</v>
      </c>
      <c r="C2162" s="3">
        <v>811.5</v>
      </c>
      <c r="D2162" s="3">
        <v>811.5</v>
      </c>
      <c r="E2162" s="3">
        <v>784.5</v>
      </c>
      <c r="F2162" s="3">
        <v>812.55</v>
      </c>
      <c r="G2162" s="3">
        <v>787.6</v>
      </c>
      <c r="H2162" s="3">
        <v>788.65</v>
      </c>
      <c r="I2162" s="3">
        <v>791.14</v>
      </c>
      <c r="J2162" s="3">
        <v>912</v>
      </c>
      <c r="K2162" s="3">
        <v>680</v>
      </c>
      <c r="L2162" s="2">
        <v>25635764</v>
      </c>
      <c r="M2162" s="2">
        <v>20281571431.099998</v>
      </c>
      <c r="N2162" s="2">
        <v>476377</v>
      </c>
      <c r="O2162" t="s">
        <v>24</v>
      </c>
      <c r="P2162" s="8">
        <f t="shared" si="99"/>
        <v>1.0499999999999545</v>
      </c>
      <c r="Q2162" t="s">
        <v>39</v>
      </c>
      <c r="R2162">
        <f t="shared" si="100"/>
        <v>4</v>
      </c>
      <c r="S2162" t="str">
        <f t="shared" si="101"/>
        <v>Apr</v>
      </c>
      <c r="T2162" s="9">
        <f>VLOOKUP(O2162, Annual_Summary!A:B, 2, 0)</f>
        <v>0.23827534039334342</v>
      </c>
    </row>
    <row r="2163" spans="1:20" x14ac:dyDescent="0.3">
      <c r="A2163" s="1">
        <v>45776</v>
      </c>
      <c r="B2163" t="s">
        <v>15</v>
      </c>
      <c r="C2163" s="3">
        <v>820</v>
      </c>
      <c r="D2163" s="3">
        <v>829</v>
      </c>
      <c r="E2163" s="3">
        <v>809</v>
      </c>
      <c r="F2163" s="3">
        <v>817.35</v>
      </c>
      <c r="G2163" s="3">
        <v>810.75</v>
      </c>
      <c r="H2163" s="3">
        <v>812.55</v>
      </c>
      <c r="I2163" s="3">
        <v>819</v>
      </c>
      <c r="J2163" s="3">
        <v>912</v>
      </c>
      <c r="K2163" s="3">
        <v>680</v>
      </c>
      <c r="L2163" s="2">
        <v>11283059</v>
      </c>
      <c r="M2163" s="2">
        <v>9240843611.6000004</v>
      </c>
      <c r="N2163" s="2">
        <v>231689</v>
      </c>
      <c r="O2163" t="s">
        <v>24</v>
      </c>
      <c r="P2163" s="8">
        <f t="shared" si="99"/>
        <v>-2.6499999999999773</v>
      </c>
      <c r="Q2163" t="s">
        <v>39</v>
      </c>
      <c r="R2163">
        <f t="shared" si="100"/>
        <v>4</v>
      </c>
      <c r="S2163" t="str">
        <f t="shared" si="101"/>
        <v>Apr</v>
      </c>
      <c r="T2163" s="9">
        <f>VLOOKUP(O2163, Annual_Summary!A:B, 2, 0)</f>
        <v>0.23827534039334342</v>
      </c>
    </row>
    <row r="2164" spans="1:20" x14ac:dyDescent="0.3">
      <c r="A2164" s="1">
        <v>45775</v>
      </c>
      <c r="B2164" t="s">
        <v>15</v>
      </c>
      <c r="C2164" s="3">
        <v>798.65</v>
      </c>
      <c r="D2164" s="3">
        <v>822.8</v>
      </c>
      <c r="E2164" s="3">
        <v>797.4</v>
      </c>
      <c r="F2164" s="3">
        <v>798.65</v>
      </c>
      <c r="G2164" s="3">
        <v>816.55</v>
      </c>
      <c r="H2164" s="3">
        <v>817.35</v>
      </c>
      <c r="I2164" s="3">
        <v>814.04</v>
      </c>
      <c r="J2164" s="3">
        <v>912</v>
      </c>
      <c r="K2164" s="3">
        <v>680</v>
      </c>
      <c r="L2164" s="2">
        <v>11317611</v>
      </c>
      <c r="M2164" s="2">
        <v>9212982723.3999996</v>
      </c>
      <c r="N2164" s="2">
        <v>199250</v>
      </c>
      <c r="O2164" t="s">
        <v>24</v>
      </c>
      <c r="P2164" s="8">
        <f t="shared" si="99"/>
        <v>0</v>
      </c>
      <c r="Q2164" t="s">
        <v>39</v>
      </c>
      <c r="R2164">
        <f t="shared" si="100"/>
        <v>4</v>
      </c>
      <c r="S2164" t="str">
        <f t="shared" si="101"/>
        <v>Apr</v>
      </c>
      <c r="T2164" s="9">
        <f>VLOOKUP(O2164, Annual_Summary!A:B, 2, 0)</f>
        <v>0.23827534039334342</v>
      </c>
    </row>
    <row r="2165" spans="1:20" x14ac:dyDescent="0.3">
      <c r="A2165" s="1">
        <v>45772</v>
      </c>
      <c r="B2165" t="s">
        <v>15</v>
      </c>
      <c r="C2165" s="3">
        <v>815</v>
      </c>
      <c r="D2165" s="3">
        <v>819</v>
      </c>
      <c r="E2165" s="3">
        <v>787</v>
      </c>
      <c r="F2165" s="3">
        <v>813.4</v>
      </c>
      <c r="G2165" s="3">
        <v>797.4</v>
      </c>
      <c r="H2165" s="3">
        <v>798.65</v>
      </c>
      <c r="I2165" s="3">
        <v>799.45</v>
      </c>
      <c r="J2165" s="3">
        <v>912</v>
      </c>
      <c r="K2165" s="3">
        <v>680</v>
      </c>
      <c r="L2165" s="2">
        <v>13131038</v>
      </c>
      <c r="M2165" s="2">
        <v>10497610552.700001</v>
      </c>
      <c r="N2165" s="2">
        <v>223526</v>
      </c>
      <c r="O2165" t="s">
        <v>24</v>
      </c>
      <c r="P2165" s="8">
        <f t="shared" si="99"/>
        <v>-1.6000000000000227</v>
      </c>
      <c r="Q2165" t="s">
        <v>39</v>
      </c>
      <c r="R2165">
        <f t="shared" si="100"/>
        <v>4</v>
      </c>
      <c r="S2165" t="str">
        <f t="shared" si="101"/>
        <v>Apr</v>
      </c>
      <c r="T2165" s="9">
        <f>VLOOKUP(O2165, Annual_Summary!A:B, 2, 0)</f>
        <v>0.23827534039334342</v>
      </c>
    </row>
    <row r="2166" spans="1:20" x14ac:dyDescent="0.3">
      <c r="A2166" s="1">
        <v>45771</v>
      </c>
      <c r="B2166" t="s">
        <v>15</v>
      </c>
      <c r="C2166" s="3">
        <v>812.75</v>
      </c>
      <c r="D2166" s="3">
        <v>819</v>
      </c>
      <c r="E2166" s="3">
        <v>811.15</v>
      </c>
      <c r="F2166" s="3">
        <v>813.45</v>
      </c>
      <c r="G2166" s="3">
        <v>812</v>
      </c>
      <c r="H2166" s="3">
        <v>813.4</v>
      </c>
      <c r="I2166" s="3">
        <v>814.85</v>
      </c>
      <c r="J2166" s="3">
        <v>912</v>
      </c>
      <c r="K2166" s="3">
        <v>680</v>
      </c>
      <c r="L2166" s="2">
        <v>12713521</v>
      </c>
      <c r="M2166" s="2">
        <v>10359638546.25</v>
      </c>
      <c r="N2166" s="2">
        <v>141306</v>
      </c>
      <c r="O2166" t="s">
        <v>24</v>
      </c>
      <c r="P2166" s="8">
        <f t="shared" si="99"/>
        <v>0.70000000000004547</v>
      </c>
      <c r="Q2166" t="s">
        <v>39</v>
      </c>
      <c r="R2166">
        <f t="shared" si="100"/>
        <v>4</v>
      </c>
      <c r="S2166" t="str">
        <f t="shared" si="101"/>
        <v>Apr</v>
      </c>
      <c r="T2166" s="9">
        <f>VLOOKUP(O2166, Annual_Summary!A:B, 2, 0)</f>
        <v>0.23827534039334342</v>
      </c>
    </row>
    <row r="2167" spans="1:20" x14ac:dyDescent="0.3">
      <c r="A2167" s="1">
        <v>45770</v>
      </c>
      <c r="B2167" t="s">
        <v>15</v>
      </c>
      <c r="C2167" s="3">
        <v>826</v>
      </c>
      <c r="D2167" s="3">
        <v>831</v>
      </c>
      <c r="E2167" s="3">
        <v>810.1</v>
      </c>
      <c r="F2167" s="3">
        <v>822.4</v>
      </c>
      <c r="G2167" s="3">
        <v>813.5</v>
      </c>
      <c r="H2167" s="3">
        <v>813.45</v>
      </c>
      <c r="I2167" s="3">
        <v>817.36</v>
      </c>
      <c r="J2167" s="3">
        <v>912</v>
      </c>
      <c r="K2167" s="3">
        <v>680</v>
      </c>
      <c r="L2167" s="2">
        <v>12104382</v>
      </c>
      <c r="M2167" s="2">
        <v>9893605141.2999992</v>
      </c>
      <c r="N2167" s="2">
        <v>174170</v>
      </c>
      <c r="O2167" t="s">
        <v>24</v>
      </c>
      <c r="P2167" s="8">
        <f t="shared" si="99"/>
        <v>-3.6000000000000227</v>
      </c>
      <c r="Q2167" t="s">
        <v>39</v>
      </c>
      <c r="R2167">
        <f t="shared" si="100"/>
        <v>4</v>
      </c>
      <c r="S2167" t="str">
        <f t="shared" si="101"/>
        <v>Apr</v>
      </c>
      <c r="T2167" s="9">
        <f>VLOOKUP(O2167, Annual_Summary!A:B, 2, 0)</f>
        <v>0.23827534039334342</v>
      </c>
    </row>
    <row r="2168" spans="1:20" x14ac:dyDescent="0.3">
      <c r="A2168" s="1">
        <v>45769</v>
      </c>
      <c r="B2168" t="s">
        <v>15</v>
      </c>
      <c r="C2168" s="3">
        <v>821.15</v>
      </c>
      <c r="D2168" s="3">
        <v>835.5</v>
      </c>
      <c r="E2168" s="3">
        <v>814</v>
      </c>
      <c r="F2168" s="3">
        <v>816.7</v>
      </c>
      <c r="G2168" s="3">
        <v>821.3</v>
      </c>
      <c r="H2168" s="3">
        <v>822.4</v>
      </c>
      <c r="I2168" s="3">
        <v>827.32</v>
      </c>
      <c r="J2168" s="3">
        <v>912</v>
      </c>
      <c r="K2168" s="3">
        <v>680</v>
      </c>
      <c r="L2168" s="2">
        <v>25117557</v>
      </c>
      <c r="M2168" s="2">
        <v>20780349179.950001</v>
      </c>
      <c r="N2168" s="2">
        <v>323370</v>
      </c>
      <c r="O2168" t="s">
        <v>24</v>
      </c>
      <c r="P2168" s="8">
        <f t="shared" si="99"/>
        <v>-4.4499999999999318</v>
      </c>
      <c r="Q2168" t="s">
        <v>39</v>
      </c>
      <c r="R2168">
        <f t="shared" si="100"/>
        <v>4</v>
      </c>
      <c r="S2168" t="str">
        <f t="shared" si="101"/>
        <v>Apr</v>
      </c>
      <c r="T2168" s="9">
        <f>VLOOKUP(O2168, Annual_Summary!A:B, 2, 0)</f>
        <v>0.23827534039334342</v>
      </c>
    </row>
    <row r="2169" spans="1:20" x14ac:dyDescent="0.3">
      <c r="A2169" s="1">
        <v>45768</v>
      </c>
      <c r="B2169" t="s">
        <v>15</v>
      </c>
      <c r="C2169" s="3">
        <v>803</v>
      </c>
      <c r="D2169" s="3">
        <v>824.35</v>
      </c>
      <c r="E2169" s="3">
        <v>801.4</v>
      </c>
      <c r="F2169" s="3">
        <v>797.45</v>
      </c>
      <c r="G2169" s="3">
        <v>817.2</v>
      </c>
      <c r="H2169" s="3">
        <v>816.7</v>
      </c>
      <c r="I2169" s="3">
        <v>817.02</v>
      </c>
      <c r="J2169" s="3">
        <v>912</v>
      </c>
      <c r="K2169" s="3">
        <v>680</v>
      </c>
      <c r="L2169" s="2">
        <v>16398507</v>
      </c>
      <c r="M2169" s="2">
        <v>13397975541</v>
      </c>
      <c r="N2169" s="2">
        <v>359684</v>
      </c>
      <c r="O2169" t="s">
        <v>24</v>
      </c>
      <c r="P2169" s="8">
        <f t="shared" si="99"/>
        <v>-5.5499999999999545</v>
      </c>
      <c r="Q2169" t="s">
        <v>39</v>
      </c>
      <c r="R2169">
        <f t="shared" si="100"/>
        <v>4</v>
      </c>
      <c r="S2169" t="str">
        <f t="shared" si="101"/>
        <v>Apr</v>
      </c>
      <c r="T2169" s="9">
        <f>VLOOKUP(O2169, Annual_Summary!A:B, 2, 0)</f>
        <v>0.23827534039334342</v>
      </c>
    </row>
    <row r="2170" spans="1:20" x14ac:dyDescent="0.3">
      <c r="A2170" s="1">
        <v>45764</v>
      </c>
      <c r="B2170" t="s">
        <v>15</v>
      </c>
      <c r="C2170" s="3">
        <v>772</v>
      </c>
      <c r="D2170" s="3">
        <v>801</v>
      </c>
      <c r="E2170" s="3">
        <v>767.15</v>
      </c>
      <c r="F2170" s="3">
        <v>771.75</v>
      </c>
      <c r="G2170" s="3">
        <v>793.85</v>
      </c>
      <c r="H2170" s="3">
        <v>797.45</v>
      </c>
      <c r="I2170" s="3">
        <v>787.54</v>
      </c>
      <c r="J2170" s="3">
        <v>912</v>
      </c>
      <c r="K2170" s="3">
        <v>680</v>
      </c>
      <c r="L2170" s="2">
        <v>27034818</v>
      </c>
      <c r="M2170" s="2">
        <v>21290993764.099998</v>
      </c>
      <c r="N2170" s="2">
        <v>335841</v>
      </c>
      <c r="O2170" t="s">
        <v>24</v>
      </c>
      <c r="P2170" s="8">
        <f t="shared" si="99"/>
        <v>-0.25</v>
      </c>
      <c r="Q2170" t="s">
        <v>39</v>
      </c>
      <c r="R2170">
        <f t="shared" si="100"/>
        <v>4</v>
      </c>
      <c r="S2170" t="str">
        <f t="shared" si="101"/>
        <v>Apr</v>
      </c>
      <c r="T2170" s="9">
        <f>VLOOKUP(O2170, Annual_Summary!A:B, 2, 0)</f>
        <v>0.23827534039334342</v>
      </c>
    </row>
    <row r="2171" spans="1:20" x14ac:dyDescent="0.3">
      <c r="A2171" s="1">
        <v>45763</v>
      </c>
      <c r="B2171" t="s">
        <v>15</v>
      </c>
      <c r="C2171" s="3">
        <v>763.5</v>
      </c>
      <c r="D2171" s="3">
        <v>774.75</v>
      </c>
      <c r="E2171" s="3">
        <v>760.5</v>
      </c>
      <c r="F2171" s="3">
        <v>763.5</v>
      </c>
      <c r="G2171" s="3">
        <v>772.15</v>
      </c>
      <c r="H2171" s="3">
        <v>771.75</v>
      </c>
      <c r="I2171" s="3">
        <v>769.27</v>
      </c>
      <c r="J2171" s="3">
        <v>912</v>
      </c>
      <c r="K2171" s="3">
        <v>680</v>
      </c>
      <c r="L2171" s="2">
        <v>12536694</v>
      </c>
      <c r="M2171" s="2">
        <v>9644113410.4500008</v>
      </c>
      <c r="N2171" s="2">
        <v>204698</v>
      </c>
      <c r="O2171" t="s">
        <v>24</v>
      </c>
      <c r="P2171" s="8">
        <f t="shared" si="99"/>
        <v>0</v>
      </c>
      <c r="Q2171" t="s">
        <v>39</v>
      </c>
      <c r="R2171">
        <f t="shared" si="100"/>
        <v>4</v>
      </c>
      <c r="S2171" t="str">
        <f t="shared" si="101"/>
        <v>Apr</v>
      </c>
      <c r="T2171" s="9">
        <f>VLOOKUP(O2171, Annual_Summary!A:B, 2, 0)</f>
        <v>0.23827534039334342</v>
      </c>
    </row>
    <row r="2172" spans="1:20" x14ac:dyDescent="0.3">
      <c r="A2172" s="1">
        <v>45762</v>
      </c>
      <c r="B2172" t="s">
        <v>15</v>
      </c>
      <c r="C2172" s="3">
        <v>770</v>
      </c>
      <c r="D2172" s="3">
        <v>770.7</v>
      </c>
      <c r="E2172" s="3">
        <v>757.1</v>
      </c>
      <c r="F2172" s="3">
        <v>753.85</v>
      </c>
      <c r="G2172" s="3">
        <v>764.5</v>
      </c>
      <c r="H2172" s="3">
        <v>763.5</v>
      </c>
      <c r="I2172" s="3">
        <v>765.37</v>
      </c>
      <c r="J2172" s="3">
        <v>912</v>
      </c>
      <c r="K2172" s="3">
        <v>680</v>
      </c>
      <c r="L2172" s="2">
        <v>7859090</v>
      </c>
      <c r="M2172" s="2">
        <v>6015134839.8000002</v>
      </c>
      <c r="N2172" s="2">
        <v>167851</v>
      </c>
      <c r="O2172" t="s">
        <v>24</v>
      </c>
      <c r="P2172" s="8">
        <f t="shared" si="99"/>
        <v>-16.149999999999977</v>
      </c>
      <c r="Q2172" t="s">
        <v>39</v>
      </c>
      <c r="R2172">
        <f t="shared" si="100"/>
        <v>4</v>
      </c>
      <c r="S2172" t="str">
        <f t="shared" si="101"/>
        <v>Apr</v>
      </c>
      <c r="T2172" s="9">
        <f>VLOOKUP(O2172, Annual_Summary!A:B, 2, 0)</f>
        <v>0.23827534039334342</v>
      </c>
    </row>
    <row r="2173" spans="1:20" x14ac:dyDescent="0.3">
      <c r="A2173" s="1">
        <v>45758</v>
      </c>
      <c r="B2173" t="s">
        <v>15</v>
      </c>
      <c r="C2173" s="3">
        <v>759</v>
      </c>
      <c r="D2173" s="3">
        <v>759.7</v>
      </c>
      <c r="E2173" s="3">
        <v>746</v>
      </c>
      <c r="F2173" s="3">
        <v>742.2</v>
      </c>
      <c r="G2173" s="3">
        <v>753.85</v>
      </c>
      <c r="H2173" s="3">
        <v>753.85</v>
      </c>
      <c r="I2173" s="3">
        <v>752.58</v>
      </c>
      <c r="J2173" s="3">
        <v>912</v>
      </c>
      <c r="K2173" s="3">
        <v>680</v>
      </c>
      <c r="L2173" s="2">
        <v>9360327</v>
      </c>
      <c r="M2173" s="2">
        <v>7044429057.5500002</v>
      </c>
      <c r="N2173" s="2">
        <v>200062</v>
      </c>
      <c r="O2173" t="s">
        <v>24</v>
      </c>
      <c r="P2173" s="8">
        <f t="shared" si="99"/>
        <v>-16.799999999999955</v>
      </c>
      <c r="Q2173" t="s">
        <v>39</v>
      </c>
      <c r="R2173">
        <f t="shared" si="100"/>
        <v>4</v>
      </c>
      <c r="S2173" t="str">
        <f t="shared" si="101"/>
        <v>Apr</v>
      </c>
      <c r="T2173" s="9">
        <f>VLOOKUP(O2173, Annual_Summary!A:B, 2, 0)</f>
        <v>0.23827534039334342</v>
      </c>
    </row>
    <row r="2174" spans="1:20" x14ac:dyDescent="0.3">
      <c r="A2174" s="1">
        <v>45756</v>
      </c>
      <c r="B2174" t="s">
        <v>15</v>
      </c>
      <c r="C2174" s="3">
        <v>767</v>
      </c>
      <c r="D2174" s="3">
        <v>767.95</v>
      </c>
      <c r="E2174" s="3">
        <v>741</v>
      </c>
      <c r="F2174" s="3">
        <v>768.6</v>
      </c>
      <c r="G2174" s="3">
        <v>742.45</v>
      </c>
      <c r="H2174" s="3">
        <v>742.2</v>
      </c>
      <c r="I2174" s="3">
        <v>751.33</v>
      </c>
      <c r="J2174" s="3">
        <v>912</v>
      </c>
      <c r="K2174" s="3">
        <v>680</v>
      </c>
      <c r="L2174" s="2">
        <v>11319387</v>
      </c>
      <c r="M2174" s="2">
        <v>8504647288.25</v>
      </c>
      <c r="N2174" s="2">
        <v>208433</v>
      </c>
      <c r="O2174" t="s">
        <v>24</v>
      </c>
      <c r="P2174" s="8">
        <f t="shared" si="99"/>
        <v>1.6000000000000227</v>
      </c>
      <c r="Q2174" t="s">
        <v>39</v>
      </c>
      <c r="R2174">
        <f t="shared" si="100"/>
        <v>4</v>
      </c>
      <c r="S2174" t="str">
        <f t="shared" si="101"/>
        <v>Apr</v>
      </c>
      <c r="T2174" s="9">
        <f>VLOOKUP(O2174, Annual_Summary!A:B, 2, 0)</f>
        <v>0.23827534039334342</v>
      </c>
    </row>
    <row r="2175" spans="1:20" x14ac:dyDescent="0.3">
      <c r="A2175" s="1">
        <v>45755</v>
      </c>
      <c r="B2175" t="s">
        <v>15</v>
      </c>
      <c r="C2175" s="3">
        <v>760</v>
      </c>
      <c r="D2175" s="3">
        <v>774</v>
      </c>
      <c r="E2175" s="3">
        <v>758.15</v>
      </c>
      <c r="F2175" s="3">
        <v>746.9</v>
      </c>
      <c r="G2175" s="3">
        <v>770</v>
      </c>
      <c r="H2175" s="3">
        <v>768.6</v>
      </c>
      <c r="I2175" s="3">
        <v>767.45</v>
      </c>
      <c r="J2175" s="3">
        <v>912</v>
      </c>
      <c r="K2175" s="3">
        <v>680</v>
      </c>
      <c r="L2175" s="2">
        <v>12911288</v>
      </c>
      <c r="M2175" s="2">
        <v>9908728355.7999992</v>
      </c>
      <c r="N2175" s="2">
        <v>212013</v>
      </c>
      <c r="O2175" t="s">
        <v>24</v>
      </c>
      <c r="P2175" s="8">
        <f t="shared" si="99"/>
        <v>-13.100000000000023</v>
      </c>
      <c r="Q2175" t="s">
        <v>39</v>
      </c>
      <c r="R2175">
        <f t="shared" si="100"/>
        <v>4</v>
      </c>
      <c r="S2175" t="str">
        <f t="shared" si="101"/>
        <v>Apr</v>
      </c>
      <c r="T2175" s="9">
        <f>VLOOKUP(O2175, Annual_Summary!A:B, 2, 0)</f>
        <v>0.23827534039334342</v>
      </c>
    </row>
    <row r="2176" spans="1:20" x14ac:dyDescent="0.3">
      <c r="A2176" s="1">
        <v>45754</v>
      </c>
      <c r="B2176" t="s">
        <v>15</v>
      </c>
      <c r="C2176" s="3">
        <v>730</v>
      </c>
      <c r="D2176" s="3">
        <v>753.7</v>
      </c>
      <c r="E2176" s="3">
        <v>730</v>
      </c>
      <c r="F2176" s="3">
        <v>767.45</v>
      </c>
      <c r="G2176" s="3">
        <v>749</v>
      </c>
      <c r="H2176" s="3">
        <v>746.9</v>
      </c>
      <c r="I2176" s="3">
        <v>742.21</v>
      </c>
      <c r="J2176" s="3">
        <v>912</v>
      </c>
      <c r="K2176" s="3">
        <v>680</v>
      </c>
      <c r="L2176" s="2">
        <v>14923235</v>
      </c>
      <c r="M2176" s="2">
        <v>11076177328.65</v>
      </c>
      <c r="N2176" s="2">
        <v>291536</v>
      </c>
      <c r="O2176" t="s">
        <v>24</v>
      </c>
      <c r="P2176" s="8">
        <f t="shared" si="99"/>
        <v>37.450000000000045</v>
      </c>
      <c r="Q2176" t="s">
        <v>39</v>
      </c>
      <c r="R2176">
        <f t="shared" si="100"/>
        <v>4</v>
      </c>
      <c r="S2176" t="str">
        <f t="shared" si="101"/>
        <v>Apr</v>
      </c>
      <c r="T2176" s="9">
        <f>VLOOKUP(O2176, Annual_Summary!A:B, 2, 0)</f>
        <v>0.23827534039334342</v>
      </c>
    </row>
    <row r="2177" spans="1:20" x14ac:dyDescent="0.3">
      <c r="A2177" s="1">
        <v>45751</v>
      </c>
      <c r="B2177" t="s">
        <v>15</v>
      </c>
      <c r="C2177" s="3">
        <v>779.1</v>
      </c>
      <c r="D2177" s="3">
        <v>782.9</v>
      </c>
      <c r="E2177" s="3">
        <v>765</v>
      </c>
      <c r="F2177" s="3">
        <v>779.2</v>
      </c>
      <c r="G2177" s="3">
        <v>769</v>
      </c>
      <c r="H2177" s="3">
        <v>767.45</v>
      </c>
      <c r="I2177" s="3">
        <v>773.82</v>
      </c>
      <c r="J2177" s="3">
        <v>912</v>
      </c>
      <c r="K2177" s="3">
        <v>680</v>
      </c>
      <c r="L2177" s="2">
        <v>8231194</v>
      </c>
      <c r="M2177" s="2">
        <v>6369455086.4499998</v>
      </c>
      <c r="N2177" s="2">
        <v>147204</v>
      </c>
      <c r="O2177" t="s">
        <v>24</v>
      </c>
      <c r="P2177" s="8">
        <f t="shared" si="99"/>
        <v>0.10000000000002274</v>
      </c>
      <c r="Q2177" t="s">
        <v>39</v>
      </c>
      <c r="R2177">
        <f t="shared" si="100"/>
        <v>4</v>
      </c>
      <c r="S2177" t="str">
        <f t="shared" si="101"/>
        <v>Apr</v>
      </c>
      <c r="T2177" s="9">
        <f>VLOOKUP(O2177, Annual_Summary!A:B, 2, 0)</f>
        <v>0.23827534039334342</v>
      </c>
    </row>
    <row r="2178" spans="1:20" x14ac:dyDescent="0.3">
      <c r="A2178" s="1">
        <v>45750</v>
      </c>
      <c r="B2178" t="s">
        <v>15</v>
      </c>
      <c r="C2178" s="3">
        <v>770</v>
      </c>
      <c r="D2178" s="3">
        <v>784.7</v>
      </c>
      <c r="E2178" s="3">
        <v>769.95</v>
      </c>
      <c r="F2178" s="3">
        <v>775.95</v>
      </c>
      <c r="G2178" s="3">
        <v>779.9</v>
      </c>
      <c r="H2178" s="3">
        <v>779.2</v>
      </c>
      <c r="I2178" s="3">
        <v>778.44</v>
      </c>
      <c r="J2178" s="3">
        <v>912</v>
      </c>
      <c r="K2178" s="3">
        <v>680</v>
      </c>
      <c r="L2178" s="2">
        <v>7956680</v>
      </c>
      <c r="M2178" s="2">
        <v>6193805584.1499996</v>
      </c>
      <c r="N2178" s="2">
        <v>140239</v>
      </c>
      <c r="O2178" t="s">
        <v>24</v>
      </c>
      <c r="P2178" s="8">
        <f t="shared" si="99"/>
        <v>5.9500000000000455</v>
      </c>
      <c r="Q2178" t="s">
        <v>39</v>
      </c>
      <c r="R2178">
        <f t="shared" si="100"/>
        <v>4</v>
      </c>
      <c r="S2178" t="str">
        <f t="shared" si="101"/>
        <v>Apr</v>
      </c>
      <c r="T2178" s="9">
        <f>VLOOKUP(O2178, Annual_Summary!A:B, 2, 0)</f>
        <v>0.23827534039334342</v>
      </c>
    </row>
    <row r="2179" spans="1:20" x14ac:dyDescent="0.3">
      <c r="A2179" s="1">
        <v>45749</v>
      </c>
      <c r="B2179" t="s">
        <v>15</v>
      </c>
      <c r="C2179" s="3">
        <v>772.3</v>
      </c>
      <c r="D2179" s="3">
        <v>777</v>
      </c>
      <c r="E2179" s="3">
        <v>764.3</v>
      </c>
      <c r="F2179" s="3">
        <v>771.7</v>
      </c>
      <c r="G2179" s="3">
        <v>776.6</v>
      </c>
      <c r="H2179" s="3">
        <v>775.95</v>
      </c>
      <c r="I2179" s="3">
        <v>772.51</v>
      </c>
      <c r="J2179" s="3">
        <v>912</v>
      </c>
      <c r="K2179" s="3">
        <v>680</v>
      </c>
      <c r="L2179" s="2">
        <v>5458436</v>
      </c>
      <c r="M2179" s="2">
        <v>4216703463.5500002</v>
      </c>
      <c r="N2179" s="2">
        <v>119114</v>
      </c>
      <c r="O2179" t="s">
        <v>24</v>
      </c>
      <c r="P2179" s="8">
        <f t="shared" ref="P2179:P2242" si="102">F2179-C2179</f>
        <v>-0.59999999999990905</v>
      </c>
      <c r="Q2179" t="s">
        <v>39</v>
      </c>
      <c r="R2179">
        <f t="shared" ref="R2179:R2242" si="103">MONTH(A2179)</f>
        <v>4</v>
      </c>
      <c r="S2179" t="str">
        <f t="shared" ref="S2179:S2242" si="104">TEXT(A2179,"mmm")</f>
        <v>Apr</v>
      </c>
      <c r="T2179" s="9">
        <f>VLOOKUP(O2179, Annual_Summary!A:B, 2, 0)</f>
        <v>0.23827534039334342</v>
      </c>
    </row>
    <row r="2180" spans="1:20" x14ac:dyDescent="0.3">
      <c r="A2180" s="1">
        <v>45748</v>
      </c>
      <c r="B2180" t="s">
        <v>15</v>
      </c>
      <c r="C2180" s="3">
        <v>766.8</v>
      </c>
      <c r="D2180" s="3">
        <v>782.75</v>
      </c>
      <c r="E2180" s="3">
        <v>763.2</v>
      </c>
      <c r="F2180" s="3">
        <v>771.5</v>
      </c>
      <c r="G2180" s="3">
        <v>771.25</v>
      </c>
      <c r="H2180" s="3">
        <v>771.7</v>
      </c>
      <c r="I2180" s="3">
        <v>772.17</v>
      </c>
      <c r="J2180" s="3">
        <v>912</v>
      </c>
      <c r="K2180" s="3">
        <v>680</v>
      </c>
      <c r="L2180" s="2">
        <v>7011125</v>
      </c>
      <c r="M2180" s="2">
        <v>5413777287.4499998</v>
      </c>
      <c r="N2180" s="2">
        <v>214639</v>
      </c>
      <c r="O2180" t="s">
        <v>24</v>
      </c>
      <c r="P2180" s="8">
        <f t="shared" si="102"/>
        <v>4.7000000000000455</v>
      </c>
      <c r="Q2180" t="s">
        <v>39</v>
      </c>
      <c r="R2180">
        <f t="shared" si="103"/>
        <v>4</v>
      </c>
      <c r="S2180" t="str">
        <f t="shared" si="104"/>
        <v>Apr</v>
      </c>
      <c r="T2180" s="9">
        <f>VLOOKUP(O2180, Annual_Summary!A:B, 2, 0)</f>
        <v>0.23827534039334342</v>
      </c>
    </row>
    <row r="2181" spans="1:20" x14ac:dyDescent="0.3">
      <c r="A2181" s="1">
        <v>45744</v>
      </c>
      <c r="B2181" t="s">
        <v>15</v>
      </c>
      <c r="C2181" s="3">
        <v>772.1</v>
      </c>
      <c r="D2181" s="3">
        <v>778.6</v>
      </c>
      <c r="E2181" s="3">
        <v>767</v>
      </c>
      <c r="F2181" s="3">
        <v>772.3</v>
      </c>
      <c r="G2181" s="3">
        <v>771.2</v>
      </c>
      <c r="H2181" s="3">
        <v>771.5</v>
      </c>
      <c r="I2181" s="3">
        <v>773.3</v>
      </c>
      <c r="J2181" s="3">
        <v>912</v>
      </c>
      <c r="K2181" s="3">
        <v>680</v>
      </c>
      <c r="L2181" s="2">
        <v>7628185</v>
      </c>
      <c r="M2181" s="2">
        <v>5898886414.5500002</v>
      </c>
      <c r="N2181" s="2">
        <v>119920</v>
      </c>
      <c r="O2181" t="s">
        <v>24</v>
      </c>
      <c r="P2181" s="8">
        <f t="shared" si="102"/>
        <v>0.19999999999993179</v>
      </c>
      <c r="Q2181" t="s">
        <v>39</v>
      </c>
      <c r="R2181">
        <f t="shared" si="103"/>
        <v>3</v>
      </c>
      <c r="S2181" t="str">
        <f t="shared" si="104"/>
        <v>Mar</v>
      </c>
      <c r="T2181" s="9">
        <f>VLOOKUP(O2181, Annual_Summary!A:B, 2, 0)</f>
        <v>0.23827534039334342</v>
      </c>
    </row>
    <row r="2182" spans="1:20" x14ac:dyDescent="0.3">
      <c r="A2182" s="1">
        <v>45743</v>
      </c>
      <c r="B2182" t="s">
        <v>15</v>
      </c>
      <c r="C2182" s="3">
        <v>763.8</v>
      </c>
      <c r="D2182" s="3">
        <v>775.8</v>
      </c>
      <c r="E2182" s="3">
        <v>760.5</v>
      </c>
      <c r="F2182" s="3">
        <v>764</v>
      </c>
      <c r="G2182" s="3">
        <v>772.05</v>
      </c>
      <c r="H2182" s="3">
        <v>772.3</v>
      </c>
      <c r="I2182" s="3">
        <v>770.57</v>
      </c>
      <c r="J2182" s="3">
        <v>912</v>
      </c>
      <c r="K2182" s="3">
        <v>680</v>
      </c>
      <c r="L2182" s="2">
        <v>15648616</v>
      </c>
      <c r="M2182" s="2">
        <v>12058372899.4</v>
      </c>
      <c r="N2182" s="2">
        <v>175954</v>
      </c>
      <c r="O2182" t="s">
        <v>24</v>
      </c>
      <c r="P2182" s="8">
        <f t="shared" si="102"/>
        <v>0.20000000000004547</v>
      </c>
      <c r="Q2182" t="s">
        <v>39</v>
      </c>
      <c r="R2182">
        <f t="shared" si="103"/>
        <v>3</v>
      </c>
      <c r="S2182" t="str">
        <f t="shared" si="104"/>
        <v>Mar</v>
      </c>
      <c r="T2182" s="9">
        <f>VLOOKUP(O2182, Annual_Summary!A:B, 2, 0)</f>
        <v>0.23827534039334342</v>
      </c>
    </row>
    <row r="2183" spans="1:20" x14ac:dyDescent="0.3">
      <c r="A2183" s="1">
        <v>45742</v>
      </c>
      <c r="B2183" t="s">
        <v>15</v>
      </c>
      <c r="C2183" s="3">
        <v>772</v>
      </c>
      <c r="D2183" s="3">
        <v>776.05</v>
      </c>
      <c r="E2183" s="3">
        <v>761.45</v>
      </c>
      <c r="F2183" s="3">
        <v>772.85</v>
      </c>
      <c r="G2183" s="3">
        <v>762.7</v>
      </c>
      <c r="H2183" s="3">
        <v>764</v>
      </c>
      <c r="I2183" s="3">
        <v>767.9</v>
      </c>
      <c r="J2183" s="3">
        <v>912</v>
      </c>
      <c r="K2183" s="3">
        <v>680</v>
      </c>
      <c r="L2183" s="2">
        <v>7711852</v>
      </c>
      <c r="M2183" s="2">
        <v>5921902187.9499998</v>
      </c>
      <c r="N2183" s="2">
        <v>195361</v>
      </c>
      <c r="O2183" t="s">
        <v>24</v>
      </c>
      <c r="P2183" s="8">
        <f t="shared" si="102"/>
        <v>0.85000000000002274</v>
      </c>
      <c r="Q2183" t="s">
        <v>39</v>
      </c>
      <c r="R2183">
        <f t="shared" si="103"/>
        <v>3</v>
      </c>
      <c r="S2183" t="str">
        <f t="shared" si="104"/>
        <v>Mar</v>
      </c>
      <c r="T2183" s="9">
        <f>VLOOKUP(O2183, Annual_Summary!A:B, 2, 0)</f>
        <v>0.23827534039334342</v>
      </c>
    </row>
    <row r="2184" spans="1:20" x14ac:dyDescent="0.3">
      <c r="A2184" s="1">
        <v>45741</v>
      </c>
      <c r="B2184" t="s">
        <v>15</v>
      </c>
      <c r="C2184" s="3">
        <v>783.9</v>
      </c>
      <c r="D2184" s="3">
        <v>786</v>
      </c>
      <c r="E2184" s="3">
        <v>769.2</v>
      </c>
      <c r="F2184" s="3">
        <v>780.8</v>
      </c>
      <c r="G2184" s="3">
        <v>770.35</v>
      </c>
      <c r="H2184" s="3">
        <v>772.85</v>
      </c>
      <c r="I2184" s="3">
        <v>777.02</v>
      </c>
      <c r="J2184" s="3">
        <v>912</v>
      </c>
      <c r="K2184" s="3">
        <v>680</v>
      </c>
      <c r="L2184" s="2">
        <v>15190143</v>
      </c>
      <c r="M2184" s="2">
        <v>11803003386.5</v>
      </c>
      <c r="N2184" s="2">
        <v>227394</v>
      </c>
      <c r="O2184" t="s">
        <v>24</v>
      </c>
      <c r="P2184" s="8">
        <f t="shared" si="102"/>
        <v>-3.1000000000000227</v>
      </c>
      <c r="Q2184" t="s">
        <v>39</v>
      </c>
      <c r="R2184">
        <f t="shared" si="103"/>
        <v>3</v>
      </c>
      <c r="S2184" t="str">
        <f t="shared" si="104"/>
        <v>Mar</v>
      </c>
      <c r="T2184" s="9">
        <f>VLOOKUP(O2184, Annual_Summary!A:B, 2, 0)</f>
        <v>0.23827534039334342</v>
      </c>
    </row>
    <row r="2185" spans="1:20" x14ac:dyDescent="0.3">
      <c r="A2185" s="1">
        <v>45740</v>
      </c>
      <c r="B2185" t="s">
        <v>15</v>
      </c>
      <c r="C2185" s="3">
        <v>758</v>
      </c>
      <c r="D2185" s="3">
        <v>782.95</v>
      </c>
      <c r="E2185" s="3">
        <v>755.1</v>
      </c>
      <c r="F2185" s="3">
        <v>753.2</v>
      </c>
      <c r="G2185" s="3">
        <v>781</v>
      </c>
      <c r="H2185" s="3">
        <v>780.8</v>
      </c>
      <c r="I2185" s="3">
        <v>772.33</v>
      </c>
      <c r="J2185" s="3">
        <v>912</v>
      </c>
      <c r="K2185" s="3">
        <v>680</v>
      </c>
      <c r="L2185" s="2">
        <v>12095064</v>
      </c>
      <c r="M2185" s="2">
        <v>9341333502.0499992</v>
      </c>
      <c r="N2185" s="2">
        <v>215047</v>
      </c>
      <c r="O2185" t="s">
        <v>24</v>
      </c>
      <c r="P2185" s="8">
        <f t="shared" si="102"/>
        <v>-4.7999999999999545</v>
      </c>
      <c r="Q2185" t="s">
        <v>39</v>
      </c>
      <c r="R2185">
        <f t="shared" si="103"/>
        <v>3</v>
      </c>
      <c r="S2185" t="str">
        <f t="shared" si="104"/>
        <v>Mar</v>
      </c>
      <c r="T2185" s="9">
        <f>VLOOKUP(O2185, Annual_Summary!A:B, 2, 0)</f>
        <v>0.23827534039334342</v>
      </c>
    </row>
    <row r="2186" spans="1:20" x14ac:dyDescent="0.3">
      <c r="A2186" s="1">
        <v>45737</v>
      </c>
      <c r="B2186" t="s">
        <v>15</v>
      </c>
      <c r="C2186" s="3">
        <v>749.95</v>
      </c>
      <c r="D2186" s="3">
        <v>755.6</v>
      </c>
      <c r="E2186" s="3">
        <v>747</v>
      </c>
      <c r="F2186" s="3">
        <v>749.55</v>
      </c>
      <c r="G2186" s="3">
        <v>754.5</v>
      </c>
      <c r="H2186" s="3">
        <v>753.2</v>
      </c>
      <c r="I2186" s="3">
        <v>752.25</v>
      </c>
      <c r="J2186" s="3">
        <v>912</v>
      </c>
      <c r="K2186" s="3">
        <v>680</v>
      </c>
      <c r="L2186" s="2">
        <v>9577327</v>
      </c>
      <c r="M2186" s="2">
        <v>7204591918.5500002</v>
      </c>
      <c r="N2186" s="2">
        <v>151097</v>
      </c>
      <c r="O2186" t="s">
        <v>24</v>
      </c>
      <c r="P2186" s="8">
        <f t="shared" si="102"/>
        <v>-0.40000000000009095</v>
      </c>
      <c r="Q2186" t="s">
        <v>39</v>
      </c>
      <c r="R2186">
        <f t="shared" si="103"/>
        <v>3</v>
      </c>
      <c r="S2186" t="str">
        <f t="shared" si="104"/>
        <v>Mar</v>
      </c>
      <c r="T2186" s="9">
        <f>VLOOKUP(O2186, Annual_Summary!A:B, 2, 0)</f>
        <v>0.23827534039334342</v>
      </c>
    </row>
    <row r="2187" spans="1:20" x14ac:dyDescent="0.3">
      <c r="A2187" s="1">
        <v>45736</v>
      </c>
      <c r="B2187" t="s">
        <v>15</v>
      </c>
      <c r="C2187" s="3">
        <v>748</v>
      </c>
      <c r="D2187" s="3">
        <v>752.7</v>
      </c>
      <c r="E2187" s="3">
        <v>744.2</v>
      </c>
      <c r="F2187" s="3">
        <v>745.1</v>
      </c>
      <c r="G2187" s="3">
        <v>748.5</v>
      </c>
      <c r="H2187" s="3">
        <v>749.55</v>
      </c>
      <c r="I2187" s="3">
        <v>748.29</v>
      </c>
      <c r="J2187" s="3">
        <v>912</v>
      </c>
      <c r="K2187" s="3">
        <v>680</v>
      </c>
      <c r="L2187" s="2">
        <v>6963197</v>
      </c>
      <c r="M2187" s="2">
        <v>5210523085.6999998</v>
      </c>
      <c r="N2187" s="2">
        <v>230012</v>
      </c>
      <c r="O2187" t="s">
        <v>24</v>
      </c>
      <c r="P2187" s="8">
        <f t="shared" si="102"/>
        <v>-2.8999999999999773</v>
      </c>
      <c r="Q2187" t="s">
        <v>39</v>
      </c>
      <c r="R2187">
        <f t="shared" si="103"/>
        <v>3</v>
      </c>
      <c r="S2187" t="str">
        <f t="shared" si="104"/>
        <v>Mar</v>
      </c>
      <c r="T2187" s="9">
        <f>VLOOKUP(O2187, Annual_Summary!A:B, 2, 0)</f>
        <v>0.23827534039334342</v>
      </c>
    </row>
    <row r="2188" spans="1:20" x14ac:dyDescent="0.3">
      <c r="A2188" s="1">
        <v>45735</v>
      </c>
      <c r="B2188" t="s">
        <v>15</v>
      </c>
      <c r="C2188" s="3">
        <v>739.6</v>
      </c>
      <c r="D2188" s="3">
        <v>749.3</v>
      </c>
      <c r="E2188" s="3">
        <v>739.1</v>
      </c>
      <c r="F2188" s="3">
        <v>736.7</v>
      </c>
      <c r="G2188" s="3">
        <v>745.05</v>
      </c>
      <c r="H2188" s="3">
        <v>745.1</v>
      </c>
      <c r="I2188" s="3">
        <v>745.26</v>
      </c>
      <c r="J2188" s="3">
        <v>912</v>
      </c>
      <c r="K2188" s="3">
        <v>680</v>
      </c>
      <c r="L2188" s="2">
        <v>7604850</v>
      </c>
      <c r="M2188" s="2">
        <v>5667568731.1000004</v>
      </c>
      <c r="N2188" s="2">
        <v>143607</v>
      </c>
      <c r="O2188" t="s">
        <v>24</v>
      </c>
      <c r="P2188" s="8">
        <f t="shared" si="102"/>
        <v>-2.8999999999999773</v>
      </c>
      <c r="Q2188" t="s">
        <v>39</v>
      </c>
      <c r="R2188">
        <f t="shared" si="103"/>
        <v>3</v>
      </c>
      <c r="S2188" t="str">
        <f t="shared" si="104"/>
        <v>Mar</v>
      </c>
      <c r="T2188" s="9">
        <f>VLOOKUP(O2188, Annual_Summary!A:B, 2, 0)</f>
        <v>0.23827534039334342</v>
      </c>
    </row>
    <row r="2189" spans="1:20" x14ac:dyDescent="0.3">
      <c r="A2189" s="1">
        <v>45734</v>
      </c>
      <c r="B2189" t="s">
        <v>15</v>
      </c>
      <c r="C2189" s="3">
        <v>726.6</v>
      </c>
      <c r="D2189" s="3">
        <v>738.45</v>
      </c>
      <c r="E2189" s="3">
        <v>722.6</v>
      </c>
      <c r="F2189" s="3">
        <v>723.15</v>
      </c>
      <c r="G2189" s="3">
        <v>737.65</v>
      </c>
      <c r="H2189" s="3">
        <v>736.7</v>
      </c>
      <c r="I2189" s="3">
        <v>731.34</v>
      </c>
      <c r="J2189" s="3">
        <v>912</v>
      </c>
      <c r="K2189" s="3">
        <v>680</v>
      </c>
      <c r="L2189" s="2">
        <v>8087710</v>
      </c>
      <c r="M2189" s="2">
        <v>5914829898.8999996</v>
      </c>
      <c r="N2189" s="2">
        <v>164100</v>
      </c>
      <c r="O2189" t="s">
        <v>24</v>
      </c>
      <c r="P2189" s="8">
        <f t="shared" si="102"/>
        <v>-3.4500000000000455</v>
      </c>
      <c r="Q2189" t="s">
        <v>39</v>
      </c>
      <c r="R2189">
        <f t="shared" si="103"/>
        <v>3</v>
      </c>
      <c r="S2189" t="str">
        <f t="shared" si="104"/>
        <v>Mar</v>
      </c>
      <c r="T2189" s="9">
        <f>VLOOKUP(O2189, Annual_Summary!A:B, 2, 0)</f>
        <v>0.23827534039334342</v>
      </c>
    </row>
    <row r="2190" spans="1:20" x14ac:dyDescent="0.3">
      <c r="A2190" s="1">
        <v>45733</v>
      </c>
      <c r="B2190" t="s">
        <v>15</v>
      </c>
      <c r="C2190" s="3">
        <v>728.9</v>
      </c>
      <c r="D2190" s="3">
        <v>731.25</v>
      </c>
      <c r="E2190" s="3">
        <v>722.3</v>
      </c>
      <c r="F2190" s="3">
        <v>727.85</v>
      </c>
      <c r="G2190" s="3">
        <v>723.3</v>
      </c>
      <c r="H2190" s="3">
        <v>723.15</v>
      </c>
      <c r="I2190" s="3">
        <v>724.77</v>
      </c>
      <c r="J2190" s="3">
        <v>912</v>
      </c>
      <c r="K2190" s="3">
        <v>680</v>
      </c>
      <c r="L2190" s="2">
        <v>5149565</v>
      </c>
      <c r="M2190" s="2">
        <v>3732235269.5</v>
      </c>
      <c r="N2190" s="2">
        <v>100779</v>
      </c>
      <c r="O2190" t="s">
        <v>24</v>
      </c>
      <c r="P2190" s="8">
        <f t="shared" si="102"/>
        <v>-1.0499999999999545</v>
      </c>
      <c r="Q2190" t="s">
        <v>39</v>
      </c>
      <c r="R2190">
        <f t="shared" si="103"/>
        <v>3</v>
      </c>
      <c r="S2190" t="str">
        <f t="shared" si="104"/>
        <v>Mar</v>
      </c>
      <c r="T2190" s="9">
        <f>VLOOKUP(O2190, Annual_Summary!A:B, 2, 0)</f>
        <v>0.23827534039334342</v>
      </c>
    </row>
    <row r="2191" spans="1:20" x14ac:dyDescent="0.3">
      <c r="A2191" s="1">
        <v>45729</v>
      </c>
      <c r="B2191" t="s">
        <v>15</v>
      </c>
      <c r="C2191" s="3">
        <v>725.9</v>
      </c>
      <c r="D2191" s="3">
        <v>731.45</v>
      </c>
      <c r="E2191" s="3">
        <v>724.5</v>
      </c>
      <c r="F2191" s="3">
        <v>723.05</v>
      </c>
      <c r="G2191" s="3">
        <v>728</v>
      </c>
      <c r="H2191" s="3">
        <v>727.85</v>
      </c>
      <c r="I2191" s="3">
        <v>728.41</v>
      </c>
      <c r="J2191" s="3">
        <v>912</v>
      </c>
      <c r="K2191" s="3">
        <v>680</v>
      </c>
      <c r="L2191" s="2">
        <v>5908337</v>
      </c>
      <c r="M2191" s="2">
        <v>4303676476.6000004</v>
      </c>
      <c r="N2191" s="2">
        <v>154692</v>
      </c>
      <c r="O2191" t="s">
        <v>24</v>
      </c>
      <c r="P2191" s="8">
        <f t="shared" si="102"/>
        <v>-2.8500000000000227</v>
      </c>
      <c r="Q2191" t="s">
        <v>39</v>
      </c>
      <c r="R2191">
        <f t="shared" si="103"/>
        <v>3</v>
      </c>
      <c r="S2191" t="str">
        <f t="shared" si="104"/>
        <v>Mar</v>
      </c>
      <c r="T2191" s="9">
        <f>VLOOKUP(O2191, Annual_Summary!A:B, 2, 0)</f>
        <v>0.23827534039334342</v>
      </c>
    </row>
    <row r="2192" spans="1:20" x14ac:dyDescent="0.3">
      <c r="A2192" s="1">
        <v>45728</v>
      </c>
      <c r="B2192" t="s">
        <v>15</v>
      </c>
      <c r="C2192" s="3">
        <v>730.6</v>
      </c>
      <c r="D2192" s="3">
        <v>737</v>
      </c>
      <c r="E2192" s="3">
        <v>719.05</v>
      </c>
      <c r="F2192" s="3">
        <v>729.85</v>
      </c>
      <c r="G2192" s="3">
        <v>722.75</v>
      </c>
      <c r="H2192" s="3">
        <v>723.05</v>
      </c>
      <c r="I2192" s="3">
        <v>726.43</v>
      </c>
      <c r="J2192" s="3">
        <v>912</v>
      </c>
      <c r="K2192" s="3">
        <v>680</v>
      </c>
      <c r="L2192" s="2">
        <v>5547762</v>
      </c>
      <c r="M2192" s="2">
        <v>4030071050.5999999</v>
      </c>
      <c r="N2192" s="2">
        <v>109147</v>
      </c>
      <c r="O2192" t="s">
        <v>24</v>
      </c>
      <c r="P2192" s="8">
        <f t="shared" si="102"/>
        <v>-0.75</v>
      </c>
      <c r="Q2192" t="s">
        <v>39</v>
      </c>
      <c r="R2192">
        <f t="shared" si="103"/>
        <v>3</v>
      </c>
      <c r="S2192" t="str">
        <f t="shared" si="104"/>
        <v>Mar</v>
      </c>
      <c r="T2192" s="9">
        <f>VLOOKUP(O2192, Annual_Summary!A:B, 2, 0)</f>
        <v>0.23827534039334342</v>
      </c>
    </row>
    <row r="2193" spans="1:20" x14ac:dyDescent="0.3">
      <c r="A2193" s="1">
        <v>45727</v>
      </c>
      <c r="B2193" t="s">
        <v>15</v>
      </c>
      <c r="C2193" s="3">
        <v>724.9</v>
      </c>
      <c r="D2193" s="3">
        <v>734.05</v>
      </c>
      <c r="E2193" s="3">
        <v>722.7</v>
      </c>
      <c r="F2193" s="3">
        <v>728.9</v>
      </c>
      <c r="G2193" s="3">
        <v>729.9</v>
      </c>
      <c r="H2193" s="3">
        <v>729.85</v>
      </c>
      <c r="I2193" s="3">
        <v>729.33</v>
      </c>
      <c r="J2193" s="3">
        <v>912</v>
      </c>
      <c r="K2193" s="3">
        <v>680</v>
      </c>
      <c r="L2193" s="2">
        <v>5538789</v>
      </c>
      <c r="M2193" s="2">
        <v>4039629878.3499999</v>
      </c>
      <c r="N2193" s="2">
        <v>106128</v>
      </c>
      <c r="O2193" t="s">
        <v>24</v>
      </c>
      <c r="P2193" s="8">
        <f t="shared" si="102"/>
        <v>4</v>
      </c>
      <c r="Q2193" t="s">
        <v>39</v>
      </c>
      <c r="R2193">
        <f t="shared" si="103"/>
        <v>3</v>
      </c>
      <c r="S2193" t="str">
        <f t="shared" si="104"/>
        <v>Mar</v>
      </c>
      <c r="T2193" s="9">
        <f>VLOOKUP(O2193, Annual_Summary!A:B, 2, 0)</f>
        <v>0.23827534039334342</v>
      </c>
    </row>
    <row r="2194" spans="1:20" x14ac:dyDescent="0.3">
      <c r="A2194" s="1">
        <v>45726</v>
      </c>
      <c r="B2194" t="s">
        <v>15</v>
      </c>
      <c r="C2194" s="3">
        <v>732.75</v>
      </c>
      <c r="D2194" s="3">
        <v>738.5</v>
      </c>
      <c r="E2194" s="3">
        <v>726.6</v>
      </c>
      <c r="F2194" s="3">
        <v>732.75</v>
      </c>
      <c r="G2194" s="3">
        <v>727.7</v>
      </c>
      <c r="H2194" s="3">
        <v>728.9</v>
      </c>
      <c r="I2194" s="3">
        <v>732.3</v>
      </c>
      <c r="J2194" s="3">
        <v>912</v>
      </c>
      <c r="K2194" s="3">
        <v>680</v>
      </c>
      <c r="L2194" s="2">
        <v>7400109</v>
      </c>
      <c r="M2194" s="2">
        <v>5419125663.5</v>
      </c>
      <c r="N2194" s="2">
        <v>140264</v>
      </c>
      <c r="O2194" t="s">
        <v>24</v>
      </c>
      <c r="P2194" s="8">
        <f t="shared" si="102"/>
        <v>0</v>
      </c>
      <c r="Q2194" t="s">
        <v>39</v>
      </c>
      <c r="R2194">
        <f t="shared" si="103"/>
        <v>3</v>
      </c>
      <c r="S2194" t="str">
        <f t="shared" si="104"/>
        <v>Mar</v>
      </c>
      <c r="T2194" s="9">
        <f>VLOOKUP(O2194, Annual_Summary!A:B, 2, 0)</f>
        <v>0.23827534039334342</v>
      </c>
    </row>
    <row r="2195" spans="1:20" x14ac:dyDescent="0.3">
      <c r="A2195" s="1">
        <v>45723</v>
      </c>
      <c r="B2195" t="s">
        <v>15</v>
      </c>
      <c r="C2195" s="3">
        <v>732.05</v>
      </c>
      <c r="D2195" s="3">
        <v>734.85</v>
      </c>
      <c r="E2195" s="3">
        <v>728</v>
      </c>
      <c r="F2195" s="3">
        <v>732.05</v>
      </c>
      <c r="G2195" s="3">
        <v>731.95</v>
      </c>
      <c r="H2195" s="3">
        <v>732.75</v>
      </c>
      <c r="I2195" s="3">
        <v>731.74</v>
      </c>
      <c r="J2195" s="3">
        <v>912</v>
      </c>
      <c r="K2195" s="3">
        <v>680</v>
      </c>
      <c r="L2195" s="2">
        <v>7246729</v>
      </c>
      <c r="M2195" s="2">
        <v>5302755367.9499998</v>
      </c>
      <c r="N2195" s="2">
        <v>169004</v>
      </c>
      <c r="O2195" t="s">
        <v>24</v>
      </c>
      <c r="P2195" s="8">
        <f t="shared" si="102"/>
        <v>0</v>
      </c>
      <c r="Q2195" t="s">
        <v>39</v>
      </c>
      <c r="R2195">
        <f t="shared" si="103"/>
        <v>3</v>
      </c>
      <c r="S2195" t="str">
        <f t="shared" si="104"/>
        <v>Mar</v>
      </c>
      <c r="T2195" s="9">
        <f>VLOOKUP(O2195, Annual_Summary!A:B, 2, 0)</f>
        <v>0.23827534039334342</v>
      </c>
    </row>
    <row r="2196" spans="1:20" x14ac:dyDescent="0.3">
      <c r="A2196" s="1">
        <v>45722</v>
      </c>
      <c r="B2196" t="s">
        <v>15</v>
      </c>
      <c r="C2196" s="3">
        <v>736</v>
      </c>
      <c r="D2196" s="3">
        <v>736.75</v>
      </c>
      <c r="E2196" s="3">
        <v>727</v>
      </c>
      <c r="F2196" s="3">
        <v>730.35</v>
      </c>
      <c r="G2196" s="3">
        <v>730.25</v>
      </c>
      <c r="H2196" s="3">
        <v>732.05</v>
      </c>
      <c r="I2196" s="3">
        <v>731.45</v>
      </c>
      <c r="J2196" s="3">
        <v>912</v>
      </c>
      <c r="K2196" s="3">
        <v>680</v>
      </c>
      <c r="L2196" s="2">
        <v>10928847</v>
      </c>
      <c r="M2196" s="2">
        <v>7993892337.1000004</v>
      </c>
      <c r="N2196" s="2">
        <v>211006</v>
      </c>
      <c r="O2196" t="s">
        <v>24</v>
      </c>
      <c r="P2196" s="8">
        <f t="shared" si="102"/>
        <v>-5.6499999999999773</v>
      </c>
      <c r="Q2196" t="s">
        <v>39</v>
      </c>
      <c r="R2196">
        <f t="shared" si="103"/>
        <v>3</v>
      </c>
      <c r="S2196" t="str">
        <f t="shared" si="104"/>
        <v>Mar</v>
      </c>
      <c r="T2196" s="9">
        <f>VLOOKUP(O2196, Annual_Summary!A:B, 2, 0)</f>
        <v>0.23827534039334342</v>
      </c>
    </row>
    <row r="2197" spans="1:20" x14ac:dyDescent="0.3">
      <c r="A2197" s="1">
        <v>45721</v>
      </c>
      <c r="B2197" t="s">
        <v>15</v>
      </c>
      <c r="C2197" s="3">
        <v>717.55</v>
      </c>
      <c r="D2197" s="3">
        <v>731.3</v>
      </c>
      <c r="E2197" s="3">
        <v>717</v>
      </c>
      <c r="F2197" s="3">
        <v>716.05</v>
      </c>
      <c r="G2197" s="3">
        <v>730</v>
      </c>
      <c r="H2197" s="3">
        <v>730.35</v>
      </c>
      <c r="I2197" s="3">
        <v>725.61</v>
      </c>
      <c r="J2197" s="3">
        <v>912</v>
      </c>
      <c r="K2197" s="3">
        <v>680</v>
      </c>
      <c r="L2197" s="2">
        <v>10409805</v>
      </c>
      <c r="M2197" s="2">
        <v>7553494263.1000004</v>
      </c>
      <c r="N2197" s="2">
        <v>189027</v>
      </c>
      <c r="O2197" t="s">
        <v>24</v>
      </c>
      <c r="P2197" s="8">
        <f t="shared" si="102"/>
        <v>-1.5</v>
      </c>
      <c r="Q2197" t="s">
        <v>39</v>
      </c>
      <c r="R2197">
        <f t="shared" si="103"/>
        <v>3</v>
      </c>
      <c r="S2197" t="str">
        <f t="shared" si="104"/>
        <v>Mar</v>
      </c>
      <c r="T2197" s="9">
        <f>VLOOKUP(O2197, Annual_Summary!A:B, 2, 0)</f>
        <v>0.23827534039334342</v>
      </c>
    </row>
    <row r="2198" spans="1:20" x14ac:dyDescent="0.3">
      <c r="A2198" s="1">
        <v>45720</v>
      </c>
      <c r="B2198" t="s">
        <v>15</v>
      </c>
      <c r="C2198" s="3">
        <v>693</v>
      </c>
      <c r="D2198" s="3">
        <v>718.45</v>
      </c>
      <c r="E2198" s="3">
        <v>692.1</v>
      </c>
      <c r="F2198" s="3">
        <v>695.3</v>
      </c>
      <c r="G2198" s="3">
        <v>716.4</v>
      </c>
      <c r="H2198" s="3">
        <v>716.05</v>
      </c>
      <c r="I2198" s="3">
        <v>712.88</v>
      </c>
      <c r="J2198" s="3">
        <v>912</v>
      </c>
      <c r="K2198" s="3">
        <v>680</v>
      </c>
      <c r="L2198" s="2">
        <v>14386214</v>
      </c>
      <c r="M2198" s="2">
        <v>10255688811.35</v>
      </c>
      <c r="N2198" s="2">
        <v>220118</v>
      </c>
      <c r="O2198" t="s">
        <v>24</v>
      </c>
      <c r="P2198" s="8">
        <f t="shared" si="102"/>
        <v>2.2999999999999545</v>
      </c>
      <c r="Q2198" t="s">
        <v>39</v>
      </c>
      <c r="R2198">
        <f t="shared" si="103"/>
        <v>3</v>
      </c>
      <c r="S2198" t="str">
        <f t="shared" si="104"/>
        <v>Mar</v>
      </c>
      <c r="T2198" s="9">
        <f>VLOOKUP(O2198, Annual_Summary!A:B, 2, 0)</f>
        <v>0.23827534039334342</v>
      </c>
    </row>
    <row r="2199" spans="1:20" x14ac:dyDescent="0.3">
      <c r="A2199" s="1">
        <v>45719</v>
      </c>
      <c r="B2199" t="s">
        <v>15</v>
      </c>
      <c r="C2199" s="3">
        <v>690.15</v>
      </c>
      <c r="D2199" s="3">
        <v>697.4</v>
      </c>
      <c r="E2199" s="3">
        <v>680</v>
      </c>
      <c r="F2199" s="3">
        <v>688.8</v>
      </c>
      <c r="G2199" s="3">
        <v>696.15</v>
      </c>
      <c r="H2199" s="3">
        <v>695.3</v>
      </c>
      <c r="I2199" s="3">
        <v>689.59</v>
      </c>
      <c r="J2199" s="3">
        <v>912</v>
      </c>
      <c r="K2199" s="3">
        <v>680</v>
      </c>
      <c r="L2199" s="2">
        <v>10598479</v>
      </c>
      <c r="M2199" s="2">
        <v>7308557453.6000004</v>
      </c>
      <c r="N2199" s="2">
        <v>187766</v>
      </c>
      <c r="O2199" t="s">
        <v>24</v>
      </c>
      <c r="P2199" s="8">
        <f t="shared" si="102"/>
        <v>-1.3500000000000227</v>
      </c>
      <c r="Q2199" t="s">
        <v>39</v>
      </c>
      <c r="R2199">
        <f t="shared" si="103"/>
        <v>3</v>
      </c>
      <c r="S2199" t="str">
        <f t="shared" si="104"/>
        <v>Mar</v>
      </c>
      <c r="T2199" s="9">
        <f>VLOOKUP(O2199, Annual_Summary!A:B, 2, 0)</f>
        <v>0.23827534039334342</v>
      </c>
    </row>
    <row r="2200" spans="1:20" x14ac:dyDescent="0.3">
      <c r="A2200" s="1">
        <v>45716</v>
      </c>
      <c r="B2200" t="s">
        <v>15</v>
      </c>
      <c r="C2200" s="3">
        <v>700.9</v>
      </c>
      <c r="D2200" s="3">
        <v>701.35</v>
      </c>
      <c r="E2200" s="3">
        <v>682.6</v>
      </c>
      <c r="F2200" s="3">
        <v>703.9</v>
      </c>
      <c r="G2200" s="3">
        <v>689.8</v>
      </c>
      <c r="H2200" s="3">
        <v>688.8</v>
      </c>
      <c r="I2200" s="3">
        <v>690.06</v>
      </c>
      <c r="J2200" s="3">
        <v>912</v>
      </c>
      <c r="K2200" s="3">
        <v>682.6</v>
      </c>
      <c r="L2200" s="2">
        <v>15780609</v>
      </c>
      <c r="M2200" s="2">
        <v>10889517995.15</v>
      </c>
      <c r="N2200" s="2">
        <v>252397</v>
      </c>
      <c r="O2200" t="s">
        <v>24</v>
      </c>
      <c r="P2200" s="8">
        <f t="shared" si="102"/>
        <v>3</v>
      </c>
      <c r="Q2200" t="s">
        <v>39</v>
      </c>
      <c r="R2200">
        <f t="shared" si="103"/>
        <v>2</v>
      </c>
      <c r="S2200" t="str">
        <f t="shared" si="104"/>
        <v>Feb</v>
      </c>
      <c r="T2200" s="9">
        <f>VLOOKUP(O2200, Annual_Summary!A:B, 2, 0)</f>
        <v>0.23827534039334342</v>
      </c>
    </row>
    <row r="2201" spans="1:20" x14ac:dyDescent="0.3">
      <c r="A2201" s="1">
        <v>45715</v>
      </c>
      <c r="B2201" t="s">
        <v>15</v>
      </c>
      <c r="C2201" s="3">
        <v>716</v>
      </c>
      <c r="D2201" s="3">
        <v>717.7</v>
      </c>
      <c r="E2201" s="3">
        <v>701.1</v>
      </c>
      <c r="F2201" s="3">
        <v>710.9</v>
      </c>
      <c r="G2201" s="3">
        <v>702.3</v>
      </c>
      <c r="H2201" s="3">
        <v>703.9</v>
      </c>
      <c r="I2201" s="3">
        <v>707.28</v>
      </c>
      <c r="J2201" s="3">
        <v>912</v>
      </c>
      <c r="K2201" s="3">
        <v>701.1</v>
      </c>
      <c r="L2201" s="2">
        <v>12033139</v>
      </c>
      <c r="M2201" s="2">
        <v>8510789065.1499996</v>
      </c>
      <c r="N2201" s="2">
        <v>205060</v>
      </c>
      <c r="O2201" t="s">
        <v>24</v>
      </c>
      <c r="P2201" s="8">
        <f t="shared" si="102"/>
        <v>-5.1000000000000227</v>
      </c>
      <c r="Q2201" t="s">
        <v>39</v>
      </c>
      <c r="R2201">
        <f t="shared" si="103"/>
        <v>2</v>
      </c>
      <c r="S2201" t="str">
        <f t="shared" si="104"/>
        <v>Feb</v>
      </c>
      <c r="T2201" s="9">
        <f>VLOOKUP(O2201, Annual_Summary!A:B, 2, 0)</f>
        <v>0.23827534039334342</v>
      </c>
    </row>
    <row r="2202" spans="1:20" x14ac:dyDescent="0.3">
      <c r="A2202" s="1">
        <v>45713</v>
      </c>
      <c r="B2202" t="s">
        <v>15</v>
      </c>
      <c r="C2202" s="3">
        <v>718.95</v>
      </c>
      <c r="D2202" s="3">
        <v>718.95</v>
      </c>
      <c r="E2202" s="3">
        <v>710</v>
      </c>
      <c r="F2202" s="3">
        <v>716.4</v>
      </c>
      <c r="G2202" s="3">
        <v>710.05</v>
      </c>
      <c r="H2202" s="3">
        <v>710.9</v>
      </c>
      <c r="I2202" s="3">
        <v>713.58</v>
      </c>
      <c r="J2202" s="3">
        <v>912</v>
      </c>
      <c r="K2202" s="3">
        <v>710</v>
      </c>
      <c r="L2202" s="2">
        <v>8599635</v>
      </c>
      <c r="M2202" s="2">
        <v>6136527160.1499996</v>
      </c>
      <c r="N2202" s="2">
        <v>185705</v>
      </c>
      <c r="O2202" t="s">
        <v>24</v>
      </c>
      <c r="P2202" s="8">
        <f t="shared" si="102"/>
        <v>-2.5500000000000682</v>
      </c>
      <c r="Q2202" t="s">
        <v>39</v>
      </c>
      <c r="R2202">
        <f t="shared" si="103"/>
        <v>2</v>
      </c>
      <c r="S2202" t="str">
        <f t="shared" si="104"/>
        <v>Feb</v>
      </c>
      <c r="T2202" s="9">
        <f>VLOOKUP(O2202, Annual_Summary!A:B, 2, 0)</f>
        <v>0.23827534039334342</v>
      </c>
    </row>
    <row r="2203" spans="1:20" x14ac:dyDescent="0.3">
      <c r="A2203" s="1">
        <v>45712</v>
      </c>
      <c r="B2203" t="s">
        <v>15</v>
      </c>
      <c r="C2203" s="3">
        <v>710.5</v>
      </c>
      <c r="D2203" s="3">
        <v>719.75</v>
      </c>
      <c r="E2203" s="3">
        <v>710.5</v>
      </c>
      <c r="F2203" s="3">
        <v>722</v>
      </c>
      <c r="G2203" s="3">
        <v>716.2</v>
      </c>
      <c r="H2203" s="3">
        <v>716.4</v>
      </c>
      <c r="I2203" s="3">
        <v>715.85</v>
      </c>
      <c r="J2203" s="3">
        <v>912</v>
      </c>
      <c r="K2203" s="3">
        <v>710.5</v>
      </c>
      <c r="L2203" s="2">
        <v>6912148</v>
      </c>
      <c r="M2203" s="2">
        <v>4948071432.6999998</v>
      </c>
      <c r="N2203" s="2">
        <v>193311</v>
      </c>
      <c r="O2203" t="s">
        <v>24</v>
      </c>
      <c r="P2203" s="8">
        <f t="shared" si="102"/>
        <v>11.5</v>
      </c>
      <c r="Q2203" t="s">
        <v>39</v>
      </c>
      <c r="R2203">
        <f t="shared" si="103"/>
        <v>2</v>
      </c>
      <c r="S2203" t="str">
        <f t="shared" si="104"/>
        <v>Feb</v>
      </c>
      <c r="T2203" s="9">
        <f>VLOOKUP(O2203, Annual_Summary!A:B, 2, 0)</f>
        <v>0.23827534039334342</v>
      </c>
    </row>
    <row r="2204" spans="1:20" x14ac:dyDescent="0.3">
      <c r="A2204" s="1">
        <v>45709</v>
      </c>
      <c r="B2204" t="s">
        <v>15</v>
      </c>
      <c r="C2204" s="3">
        <v>727.3</v>
      </c>
      <c r="D2204" s="3">
        <v>731.7</v>
      </c>
      <c r="E2204" s="3">
        <v>720</v>
      </c>
      <c r="F2204" s="3">
        <v>729.7</v>
      </c>
      <c r="G2204" s="3">
        <v>720.35</v>
      </c>
      <c r="H2204" s="3">
        <v>722</v>
      </c>
      <c r="I2204" s="3">
        <v>724.72</v>
      </c>
      <c r="J2204" s="3">
        <v>912</v>
      </c>
      <c r="K2204" s="3">
        <v>711.55</v>
      </c>
      <c r="L2204" s="2">
        <v>6571602</v>
      </c>
      <c r="M2204" s="2">
        <v>4762573887.3500004</v>
      </c>
      <c r="N2204" s="2">
        <v>173223</v>
      </c>
      <c r="O2204" t="s">
        <v>24</v>
      </c>
      <c r="P2204" s="8">
        <f t="shared" si="102"/>
        <v>2.4000000000000909</v>
      </c>
      <c r="Q2204" t="s">
        <v>39</v>
      </c>
      <c r="R2204">
        <f t="shared" si="103"/>
        <v>2</v>
      </c>
      <c r="S2204" t="str">
        <f t="shared" si="104"/>
        <v>Feb</v>
      </c>
      <c r="T2204" s="9">
        <f>VLOOKUP(O2204, Annual_Summary!A:B, 2, 0)</f>
        <v>0.23827534039334342</v>
      </c>
    </row>
    <row r="2205" spans="1:20" x14ac:dyDescent="0.3">
      <c r="A2205" s="1">
        <v>45708</v>
      </c>
      <c r="B2205" t="s">
        <v>15</v>
      </c>
      <c r="C2205" s="3">
        <v>724.9</v>
      </c>
      <c r="D2205" s="3">
        <v>731.5</v>
      </c>
      <c r="E2205" s="3">
        <v>723.35</v>
      </c>
      <c r="F2205" s="3">
        <v>727.3</v>
      </c>
      <c r="G2205" s="3">
        <v>728.85</v>
      </c>
      <c r="H2205" s="3">
        <v>729.7</v>
      </c>
      <c r="I2205" s="3">
        <v>729.14</v>
      </c>
      <c r="J2205" s="3">
        <v>912</v>
      </c>
      <c r="K2205" s="3">
        <v>711.55</v>
      </c>
      <c r="L2205" s="2">
        <v>7423268</v>
      </c>
      <c r="M2205" s="2">
        <v>5412595518.0500002</v>
      </c>
      <c r="N2205" s="2">
        <v>149827</v>
      </c>
      <c r="O2205" t="s">
        <v>24</v>
      </c>
      <c r="P2205" s="8">
        <f t="shared" si="102"/>
        <v>2.3999999999999773</v>
      </c>
      <c r="Q2205" t="s">
        <v>39</v>
      </c>
      <c r="R2205">
        <f t="shared" si="103"/>
        <v>2</v>
      </c>
      <c r="S2205" t="str">
        <f t="shared" si="104"/>
        <v>Feb</v>
      </c>
      <c r="T2205" s="9">
        <f>VLOOKUP(O2205, Annual_Summary!A:B, 2, 0)</f>
        <v>0.23827534039334342</v>
      </c>
    </row>
    <row r="2206" spans="1:20" x14ac:dyDescent="0.3">
      <c r="A2206" s="1">
        <v>45707</v>
      </c>
      <c r="B2206" t="s">
        <v>15</v>
      </c>
      <c r="C2206" s="3">
        <v>722.05</v>
      </c>
      <c r="D2206" s="3">
        <v>734.85</v>
      </c>
      <c r="E2206" s="3">
        <v>722.05</v>
      </c>
      <c r="F2206" s="3">
        <v>725.8</v>
      </c>
      <c r="G2206" s="3">
        <v>726</v>
      </c>
      <c r="H2206" s="3">
        <v>727.3</v>
      </c>
      <c r="I2206" s="3">
        <v>728.86</v>
      </c>
      <c r="J2206" s="3">
        <v>912</v>
      </c>
      <c r="K2206" s="3">
        <v>711.55</v>
      </c>
      <c r="L2206" s="2">
        <v>6766606</v>
      </c>
      <c r="M2206" s="2">
        <v>4931883943.6000004</v>
      </c>
      <c r="N2206" s="2">
        <v>141913</v>
      </c>
      <c r="O2206" t="s">
        <v>24</v>
      </c>
      <c r="P2206" s="8">
        <f t="shared" si="102"/>
        <v>3.75</v>
      </c>
      <c r="Q2206" t="s">
        <v>39</v>
      </c>
      <c r="R2206">
        <f t="shared" si="103"/>
        <v>2</v>
      </c>
      <c r="S2206" t="str">
        <f t="shared" si="104"/>
        <v>Feb</v>
      </c>
      <c r="T2206" s="9">
        <f>VLOOKUP(O2206, Annual_Summary!A:B, 2, 0)</f>
        <v>0.23827534039334342</v>
      </c>
    </row>
    <row r="2207" spans="1:20" x14ac:dyDescent="0.3">
      <c r="A2207" s="1">
        <v>45706</v>
      </c>
      <c r="B2207" t="s">
        <v>15</v>
      </c>
      <c r="C2207" s="3">
        <v>727.7</v>
      </c>
      <c r="D2207" s="3">
        <v>728.25</v>
      </c>
      <c r="E2207" s="3">
        <v>717.35</v>
      </c>
      <c r="F2207" s="3">
        <v>727.7</v>
      </c>
      <c r="G2207" s="3">
        <v>725.5</v>
      </c>
      <c r="H2207" s="3">
        <v>725.8</v>
      </c>
      <c r="I2207" s="3">
        <v>723.76</v>
      </c>
      <c r="J2207" s="3">
        <v>912</v>
      </c>
      <c r="K2207" s="3">
        <v>711.55</v>
      </c>
      <c r="L2207" s="2">
        <v>8562003</v>
      </c>
      <c r="M2207" s="2">
        <v>6196817709.8500004</v>
      </c>
      <c r="N2207" s="2">
        <v>196786</v>
      </c>
      <c r="O2207" t="s">
        <v>24</v>
      </c>
      <c r="P2207" s="8">
        <f t="shared" si="102"/>
        <v>0</v>
      </c>
      <c r="Q2207" t="s">
        <v>39</v>
      </c>
      <c r="R2207">
        <f t="shared" si="103"/>
        <v>2</v>
      </c>
      <c r="S2207" t="str">
        <f t="shared" si="104"/>
        <v>Feb</v>
      </c>
      <c r="T2207" s="9">
        <f>VLOOKUP(O2207, Annual_Summary!A:B, 2, 0)</f>
        <v>0.23827534039334342</v>
      </c>
    </row>
    <row r="2208" spans="1:20" x14ac:dyDescent="0.3">
      <c r="A2208" s="1">
        <v>45705</v>
      </c>
      <c r="B2208" t="s">
        <v>15</v>
      </c>
      <c r="C2208" s="3">
        <v>719.05</v>
      </c>
      <c r="D2208" s="3">
        <v>728.75</v>
      </c>
      <c r="E2208" s="3">
        <v>711.55</v>
      </c>
      <c r="F2208" s="3">
        <v>722.15</v>
      </c>
      <c r="G2208" s="3">
        <v>727.9</v>
      </c>
      <c r="H2208" s="3">
        <v>727.7</v>
      </c>
      <c r="I2208" s="3">
        <v>721.67</v>
      </c>
      <c r="J2208" s="3">
        <v>912</v>
      </c>
      <c r="K2208" s="3">
        <v>711.55</v>
      </c>
      <c r="L2208" s="2">
        <v>9093600</v>
      </c>
      <c r="M2208" s="2">
        <v>6562543848.8999996</v>
      </c>
      <c r="N2208" s="2">
        <v>219084</v>
      </c>
      <c r="O2208" t="s">
        <v>24</v>
      </c>
      <c r="P2208" s="8">
        <f t="shared" si="102"/>
        <v>3.1000000000000227</v>
      </c>
      <c r="Q2208" t="s">
        <v>39</v>
      </c>
      <c r="R2208">
        <f t="shared" si="103"/>
        <v>2</v>
      </c>
      <c r="S2208" t="str">
        <f t="shared" si="104"/>
        <v>Feb</v>
      </c>
      <c r="T2208" s="9">
        <f>VLOOKUP(O2208, Annual_Summary!A:B, 2, 0)</f>
        <v>0.23827534039334342</v>
      </c>
    </row>
    <row r="2209" spans="1:20" x14ac:dyDescent="0.3">
      <c r="A2209" s="1">
        <v>45702</v>
      </c>
      <c r="B2209" t="s">
        <v>15</v>
      </c>
      <c r="C2209" s="3">
        <v>730.95</v>
      </c>
      <c r="D2209" s="3">
        <v>732.9</v>
      </c>
      <c r="E2209" s="3">
        <v>716.2</v>
      </c>
      <c r="F2209" s="3">
        <v>727.65</v>
      </c>
      <c r="G2209" s="3">
        <v>720.8</v>
      </c>
      <c r="H2209" s="3">
        <v>722.15</v>
      </c>
      <c r="I2209" s="3">
        <v>724.57</v>
      </c>
      <c r="J2209" s="3">
        <v>912</v>
      </c>
      <c r="K2209" s="3">
        <v>702.15</v>
      </c>
      <c r="L2209" s="2">
        <v>10417539</v>
      </c>
      <c r="M2209" s="2">
        <v>7548247748.3500004</v>
      </c>
      <c r="N2209" s="2">
        <v>221611</v>
      </c>
      <c r="O2209" t="s">
        <v>24</v>
      </c>
      <c r="P2209" s="8">
        <f t="shared" si="102"/>
        <v>-3.3000000000000682</v>
      </c>
      <c r="Q2209" t="s">
        <v>39</v>
      </c>
      <c r="R2209">
        <f t="shared" si="103"/>
        <v>2</v>
      </c>
      <c r="S2209" t="str">
        <f t="shared" si="104"/>
        <v>Feb</v>
      </c>
      <c r="T2209" s="9">
        <f>VLOOKUP(O2209, Annual_Summary!A:B, 2, 0)</f>
        <v>0.23827534039334342</v>
      </c>
    </row>
    <row r="2210" spans="1:20" x14ac:dyDescent="0.3">
      <c r="A2210" s="1">
        <v>45701</v>
      </c>
      <c r="B2210" t="s">
        <v>15</v>
      </c>
      <c r="C2210" s="3">
        <v>734.4</v>
      </c>
      <c r="D2210" s="3">
        <v>737.5</v>
      </c>
      <c r="E2210" s="3">
        <v>726.15</v>
      </c>
      <c r="F2210" s="3">
        <v>733.15</v>
      </c>
      <c r="G2210" s="3">
        <v>726.8</v>
      </c>
      <c r="H2210" s="3">
        <v>727.65</v>
      </c>
      <c r="I2210" s="3">
        <v>731.83</v>
      </c>
      <c r="J2210" s="3">
        <v>912</v>
      </c>
      <c r="K2210" s="3">
        <v>702.15</v>
      </c>
      <c r="L2210" s="2">
        <v>12370571</v>
      </c>
      <c r="M2210" s="2">
        <v>9053189302.1000004</v>
      </c>
      <c r="N2210" s="2">
        <v>213728</v>
      </c>
      <c r="O2210" t="s">
        <v>24</v>
      </c>
      <c r="P2210" s="8">
        <f t="shared" si="102"/>
        <v>-1.25</v>
      </c>
      <c r="Q2210" t="s">
        <v>39</v>
      </c>
      <c r="R2210">
        <f t="shared" si="103"/>
        <v>2</v>
      </c>
      <c r="S2210" t="str">
        <f t="shared" si="104"/>
        <v>Feb</v>
      </c>
      <c r="T2210" s="9">
        <f>VLOOKUP(O2210, Annual_Summary!A:B, 2, 0)</f>
        <v>0.23827534039334342</v>
      </c>
    </row>
    <row r="2211" spans="1:20" x14ac:dyDescent="0.3">
      <c r="A2211" s="1">
        <v>45700</v>
      </c>
      <c r="B2211" t="s">
        <v>15</v>
      </c>
      <c r="C2211" s="3">
        <v>733.15</v>
      </c>
      <c r="D2211" s="3">
        <v>738.7</v>
      </c>
      <c r="E2211" s="3">
        <v>717.15</v>
      </c>
      <c r="F2211" s="3">
        <v>731.1</v>
      </c>
      <c r="G2211" s="3">
        <v>732.95</v>
      </c>
      <c r="H2211" s="3">
        <v>733.15</v>
      </c>
      <c r="I2211" s="3">
        <v>729.15</v>
      </c>
      <c r="J2211" s="3">
        <v>912</v>
      </c>
      <c r="K2211" s="3">
        <v>702.15</v>
      </c>
      <c r="L2211" s="2">
        <v>12697743</v>
      </c>
      <c r="M2211" s="2">
        <v>9258558059.3500004</v>
      </c>
      <c r="N2211" s="2">
        <v>242862</v>
      </c>
      <c r="O2211" t="s">
        <v>24</v>
      </c>
      <c r="P2211" s="8">
        <f t="shared" si="102"/>
        <v>-2.0499999999999545</v>
      </c>
      <c r="Q2211" t="s">
        <v>39</v>
      </c>
      <c r="R2211">
        <f t="shared" si="103"/>
        <v>2</v>
      </c>
      <c r="S2211" t="str">
        <f t="shared" si="104"/>
        <v>Feb</v>
      </c>
      <c r="T2211" s="9">
        <f>VLOOKUP(O2211, Annual_Summary!A:B, 2, 0)</f>
        <v>0.23827534039334342</v>
      </c>
    </row>
    <row r="2212" spans="1:20" x14ac:dyDescent="0.3">
      <c r="A2212" s="1">
        <v>45699</v>
      </c>
      <c r="B2212" t="s">
        <v>15</v>
      </c>
      <c r="C2212" s="3">
        <v>737.45</v>
      </c>
      <c r="D2212" s="3">
        <v>740.15</v>
      </c>
      <c r="E2212" s="3">
        <v>726.55</v>
      </c>
      <c r="F2212" s="3">
        <v>736.8</v>
      </c>
      <c r="G2212" s="3">
        <v>731</v>
      </c>
      <c r="H2212" s="3">
        <v>731.1</v>
      </c>
      <c r="I2212" s="3">
        <v>731.28</v>
      </c>
      <c r="J2212" s="3">
        <v>912</v>
      </c>
      <c r="K2212" s="3">
        <v>702.15</v>
      </c>
      <c r="L2212" s="2">
        <v>13017060</v>
      </c>
      <c r="M2212" s="2">
        <v>9519145846.9500008</v>
      </c>
      <c r="N2212" s="2">
        <v>236472</v>
      </c>
      <c r="O2212" t="s">
        <v>24</v>
      </c>
      <c r="P2212" s="8">
        <f t="shared" si="102"/>
        <v>-0.65000000000009095</v>
      </c>
      <c r="Q2212" t="s">
        <v>39</v>
      </c>
      <c r="R2212">
        <f t="shared" si="103"/>
        <v>2</v>
      </c>
      <c r="S2212" t="str">
        <f t="shared" si="104"/>
        <v>Feb</v>
      </c>
      <c r="T2212" s="9">
        <f>VLOOKUP(O2212, Annual_Summary!A:B, 2, 0)</f>
        <v>0.23827534039334342</v>
      </c>
    </row>
    <row r="2213" spans="1:20" x14ac:dyDescent="0.3">
      <c r="A2213" s="1">
        <v>45698</v>
      </c>
      <c r="B2213" t="s">
        <v>15</v>
      </c>
      <c r="C2213" s="3">
        <v>740</v>
      </c>
      <c r="D2213" s="3">
        <v>743.9</v>
      </c>
      <c r="E2213" s="3">
        <v>733.4</v>
      </c>
      <c r="F2213" s="3">
        <v>737.2</v>
      </c>
      <c r="G2213" s="3">
        <v>736.5</v>
      </c>
      <c r="H2213" s="3">
        <v>736.8</v>
      </c>
      <c r="I2213" s="3">
        <v>737.43</v>
      </c>
      <c r="J2213" s="3">
        <v>912</v>
      </c>
      <c r="K2213" s="3">
        <v>702.15</v>
      </c>
      <c r="L2213" s="2">
        <v>12667049</v>
      </c>
      <c r="M2213" s="2">
        <v>9341009055.8500004</v>
      </c>
      <c r="N2213" s="2">
        <v>270972</v>
      </c>
      <c r="O2213" t="s">
        <v>24</v>
      </c>
      <c r="P2213" s="8">
        <f t="shared" si="102"/>
        <v>-2.7999999999999545</v>
      </c>
      <c r="Q2213" t="s">
        <v>39</v>
      </c>
      <c r="R2213">
        <f t="shared" si="103"/>
        <v>2</v>
      </c>
      <c r="S2213" t="str">
        <f t="shared" si="104"/>
        <v>Feb</v>
      </c>
      <c r="T2213" s="9">
        <f>VLOOKUP(O2213, Annual_Summary!A:B, 2, 0)</f>
        <v>0.23827534039334342</v>
      </c>
    </row>
    <row r="2214" spans="1:20" x14ac:dyDescent="0.3">
      <c r="A2214" s="1">
        <v>45695</v>
      </c>
      <c r="B2214" t="s">
        <v>15</v>
      </c>
      <c r="C2214" s="3">
        <v>759.8</v>
      </c>
      <c r="D2214" s="3">
        <v>759.9</v>
      </c>
      <c r="E2214" s="3">
        <v>731.75</v>
      </c>
      <c r="F2214" s="3">
        <v>752.25</v>
      </c>
      <c r="G2214" s="3">
        <v>736.4</v>
      </c>
      <c r="H2214" s="3">
        <v>737.2</v>
      </c>
      <c r="I2214" s="3">
        <v>740.52</v>
      </c>
      <c r="J2214" s="3">
        <v>912</v>
      </c>
      <c r="K2214" s="3">
        <v>637.70000000000005</v>
      </c>
      <c r="L2214" s="2">
        <v>37240692</v>
      </c>
      <c r="M2214" s="2">
        <v>27577411008.650002</v>
      </c>
      <c r="N2214" s="2">
        <v>578986</v>
      </c>
      <c r="O2214" t="s">
        <v>24</v>
      </c>
      <c r="P2214" s="8">
        <f t="shared" si="102"/>
        <v>-7.5499999999999545</v>
      </c>
      <c r="Q2214" t="s">
        <v>39</v>
      </c>
      <c r="R2214">
        <f t="shared" si="103"/>
        <v>2</v>
      </c>
      <c r="S2214" t="str">
        <f t="shared" si="104"/>
        <v>Feb</v>
      </c>
      <c r="T2214" s="9">
        <f>VLOOKUP(O2214, Annual_Summary!A:B, 2, 0)</f>
        <v>0.23827534039334342</v>
      </c>
    </row>
    <row r="2215" spans="1:20" x14ac:dyDescent="0.3">
      <c r="A2215" s="1">
        <v>45694</v>
      </c>
      <c r="B2215" t="s">
        <v>15</v>
      </c>
      <c r="C2215" s="3">
        <v>769</v>
      </c>
      <c r="D2215" s="3">
        <v>770.85</v>
      </c>
      <c r="E2215" s="3">
        <v>750.05</v>
      </c>
      <c r="F2215" s="3">
        <v>766.05</v>
      </c>
      <c r="G2215" s="3">
        <v>753.95</v>
      </c>
      <c r="H2215" s="3">
        <v>752.25</v>
      </c>
      <c r="I2215" s="3">
        <v>758.86</v>
      </c>
      <c r="J2215" s="3">
        <v>912</v>
      </c>
      <c r="K2215" s="3">
        <v>637.70000000000005</v>
      </c>
      <c r="L2215" s="2">
        <v>32745391</v>
      </c>
      <c r="M2215" s="2">
        <v>24849300016.650002</v>
      </c>
      <c r="N2215" s="2">
        <v>439301</v>
      </c>
      <c r="O2215" t="s">
        <v>24</v>
      </c>
      <c r="P2215" s="8">
        <f t="shared" si="102"/>
        <v>-2.9500000000000455</v>
      </c>
      <c r="Q2215" t="s">
        <v>39</v>
      </c>
      <c r="R2215">
        <f t="shared" si="103"/>
        <v>2</v>
      </c>
      <c r="S2215" t="str">
        <f t="shared" si="104"/>
        <v>Feb</v>
      </c>
      <c r="T2215" s="9">
        <f>VLOOKUP(O2215, Annual_Summary!A:B, 2, 0)</f>
        <v>0.23827534039334342</v>
      </c>
    </row>
    <row r="2216" spans="1:20" x14ac:dyDescent="0.3">
      <c r="A2216" s="1">
        <v>45693</v>
      </c>
      <c r="B2216" t="s">
        <v>15</v>
      </c>
      <c r="C2216" s="3">
        <v>780</v>
      </c>
      <c r="D2216" s="3">
        <v>782</v>
      </c>
      <c r="E2216" s="3">
        <v>765</v>
      </c>
      <c r="F2216" s="3">
        <v>779.2</v>
      </c>
      <c r="G2216" s="3">
        <v>765.5</v>
      </c>
      <c r="H2216" s="3">
        <v>766.05</v>
      </c>
      <c r="I2216" s="3">
        <v>771.76</v>
      </c>
      <c r="J2216" s="3">
        <v>912</v>
      </c>
      <c r="K2216" s="3">
        <v>637.70000000000005</v>
      </c>
      <c r="L2216" s="2">
        <v>13419162</v>
      </c>
      <c r="M2216" s="2">
        <v>10356328683.049999</v>
      </c>
      <c r="N2216" s="2">
        <v>283249</v>
      </c>
      <c r="O2216" t="s">
        <v>24</v>
      </c>
      <c r="P2216" s="8">
        <f t="shared" si="102"/>
        <v>-0.79999999999995453</v>
      </c>
      <c r="Q2216" t="s">
        <v>39</v>
      </c>
      <c r="R2216">
        <f t="shared" si="103"/>
        <v>2</v>
      </c>
      <c r="S2216" t="str">
        <f t="shared" si="104"/>
        <v>Feb</v>
      </c>
      <c r="T2216" s="9">
        <f>VLOOKUP(O2216, Annual_Summary!A:B, 2, 0)</f>
        <v>0.23827534039334342</v>
      </c>
    </row>
    <row r="2217" spans="1:20" x14ac:dyDescent="0.3">
      <c r="A2217" s="1">
        <v>45692</v>
      </c>
      <c r="B2217" t="s">
        <v>15</v>
      </c>
      <c r="C2217" s="3">
        <v>767</v>
      </c>
      <c r="D2217" s="3">
        <v>781.25</v>
      </c>
      <c r="E2217" s="3">
        <v>765.65</v>
      </c>
      <c r="F2217" s="3">
        <v>760.95</v>
      </c>
      <c r="G2217" s="3">
        <v>778.5</v>
      </c>
      <c r="H2217" s="3">
        <v>779.2</v>
      </c>
      <c r="I2217" s="3">
        <v>776.12</v>
      </c>
      <c r="J2217" s="3">
        <v>912</v>
      </c>
      <c r="K2217" s="3">
        <v>637.70000000000005</v>
      </c>
      <c r="L2217" s="2">
        <v>12020807</v>
      </c>
      <c r="M2217" s="2">
        <v>9329536078.75</v>
      </c>
      <c r="N2217" s="2">
        <v>237155</v>
      </c>
      <c r="O2217" t="s">
        <v>24</v>
      </c>
      <c r="P2217" s="8">
        <f t="shared" si="102"/>
        <v>-6.0499999999999545</v>
      </c>
      <c r="Q2217" t="s">
        <v>39</v>
      </c>
      <c r="R2217">
        <f t="shared" si="103"/>
        <v>2</v>
      </c>
      <c r="S2217" t="str">
        <f t="shared" si="104"/>
        <v>Feb</v>
      </c>
      <c r="T2217" s="9">
        <f>VLOOKUP(O2217, Annual_Summary!A:B, 2, 0)</f>
        <v>0.23827534039334342</v>
      </c>
    </row>
    <row r="2218" spans="1:20" x14ac:dyDescent="0.3">
      <c r="A2218" s="1">
        <v>45691</v>
      </c>
      <c r="B2218" t="s">
        <v>15</v>
      </c>
      <c r="C2218" s="3">
        <v>762.8</v>
      </c>
      <c r="D2218" s="3">
        <v>762.8</v>
      </c>
      <c r="E2218" s="3">
        <v>753.15</v>
      </c>
      <c r="F2218" s="3">
        <v>766</v>
      </c>
      <c r="G2218" s="3">
        <v>761.05</v>
      </c>
      <c r="H2218" s="3">
        <v>760.95</v>
      </c>
      <c r="I2218" s="3">
        <v>758.76</v>
      </c>
      <c r="J2218" s="3">
        <v>912</v>
      </c>
      <c r="K2218" s="3">
        <v>637.70000000000005</v>
      </c>
      <c r="L2218" s="2">
        <v>7862190</v>
      </c>
      <c r="M2218" s="2">
        <v>5965488760.5500002</v>
      </c>
      <c r="N2218" s="2">
        <v>182478</v>
      </c>
      <c r="O2218" t="s">
        <v>24</v>
      </c>
      <c r="P2218" s="8">
        <f t="shared" si="102"/>
        <v>3.2000000000000455</v>
      </c>
      <c r="Q2218" t="s">
        <v>39</v>
      </c>
      <c r="R2218">
        <f t="shared" si="103"/>
        <v>2</v>
      </c>
      <c r="S2218" t="str">
        <f t="shared" si="104"/>
        <v>Feb</v>
      </c>
      <c r="T2218" s="9">
        <f>VLOOKUP(O2218, Annual_Summary!A:B, 2, 0)</f>
        <v>0.23827534039334342</v>
      </c>
    </row>
    <row r="2219" spans="1:20" x14ac:dyDescent="0.3">
      <c r="A2219" s="1">
        <v>45689</v>
      </c>
      <c r="B2219" t="s">
        <v>15</v>
      </c>
      <c r="C2219" s="3">
        <v>774.8</v>
      </c>
      <c r="D2219" s="3">
        <v>778.75</v>
      </c>
      <c r="E2219" s="3">
        <v>752.15</v>
      </c>
      <c r="F2219" s="3">
        <v>772.9</v>
      </c>
      <c r="G2219" s="3">
        <v>766.4</v>
      </c>
      <c r="H2219" s="3">
        <v>766</v>
      </c>
      <c r="I2219" s="3">
        <v>765.95</v>
      </c>
      <c r="J2219" s="3">
        <v>912</v>
      </c>
      <c r="K2219" s="3">
        <v>615.6</v>
      </c>
      <c r="L2219" s="2">
        <v>9363077</v>
      </c>
      <c r="M2219" s="2">
        <v>7171656657.1499996</v>
      </c>
      <c r="N2219" s="2">
        <v>146411</v>
      </c>
      <c r="O2219" t="s">
        <v>24</v>
      </c>
      <c r="P2219" s="8">
        <f t="shared" si="102"/>
        <v>-1.8999999999999773</v>
      </c>
      <c r="Q2219" t="s">
        <v>39</v>
      </c>
      <c r="R2219">
        <f t="shared" si="103"/>
        <v>2</v>
      </c>
      <c r="S2219" t="str">
        <f t="shared" si="104"/>
        <v>Feb</v>
      </c>
      <c r="T2219" s="9">
        <f>VLOOKUP(O2219, Annual_Summary!A:B, 2, 0)</f>
        <v>0.23827534039334342</v>
      </c>
    </row>
    <row r="2220" spans="1:20" x14ac:dyDescent="0.3">
      <c r="A2220" s="1">
        <v>45688</v>
      </c>
      <c r="B2220" t="s">
        <v>15</v>
      </c>
      <c r="C2220" s="3">
        <v>764.9</v>
      </c>
      <c r="D2220" s="3">
        <v>777.55</v>
      </c>
      <c r="E2220" s="3">
        <v>759.5</v>
      </c>
      <c r="F2220" s="3">
        <v>762.6</v>
      </c>
      <c r="G2220" s="3">
        <v>773.1</v>
      </c>
      <c r="H2220" s="3">
        <v>772.9</v>
      </c>
      <c r="I2220" s="3">
        <v>770.25</v>
      </c>
      <c r="J2220" s="3">
        <v>912</v>
      </c>
      <c r="K2220" s="3">
        <v>615.6</v>
      </c>
      <c r="L2220" s="2">
        <v>10083763</v>
      </c>
      <c r="M2220" s="2">
        <v>7766979527.6000004</v>
      </c>
      <c r="N2220" s="2">
        <v>213867</v>
      </c>
      <c r="O2220" t="s">
        <v>24</v>
      </c>
      <c r="P2220" s="8">
        <f t="shared" si="102"/>
        <v>-2.2999999999999545</v>
      </c>
      <c r="Q2220" t="s">
        <v>39</v>
      </c>
      <c r="R2220">
        <f t="shared" si="103"/>
        <v>1</v>
      </c>
      <c r="S2220" t="str">
        <f t="shared" si="104"/>
        <v>Jan</v>
      </c>
      <c r="T2220" s="9">
        <f>VLOOKUP(O2220, Annual_Summary!A:B, 2, 0)</f>
        <v>0.23827534039334342</v>
      </c>
    </row>
    <row r="2221" spans="1:20" x14ac:dyDescent="0.3">
      <c r="A2221" s="1">
        <v>45687</v>
      </c>
      <c r="B2221" t="s">
        <v>15</v>
      </c>
      <c r="C2221" s="3">
        <v>758.55</v>
      </c>
      <c r="D2221" s="3">
        <v>765</v>
      </c>
      <c r="E2221" s="3">
        <v>754.75</v>
      </c>
      <c r="F2221" s="3">
        <v>758.45</v>
      </c>
      <c r="G2221" s="3">
        <v>764.5</v>
      </c>
      <c r="H2221" s="3">
        <v>762.6</v>
      </c>
      <c r="I2221" s="3">
        <v>760.64</v>
      </c>
      <c r="J2221" s="3">
        <v>912</v>
      </c>
      <c r="K2221" s="3">
        <v>615.6</v>
      </c>
      <c r="L2221" s="2">
        <v>11085824</v>
      </c>
      <c r="M2221" s="2">
        <v>8432370364.6499996</v>
      </c>
      <c r="N2221" s="2">
        <v>236993</v>
      </c>
      <c r="O2221" t="s">
        <v>24</v>
      </c>
      <c r="P2221" s="8">
        <f t="shared" si="102"/>
        <v>-9.9999999999909051E-2</v>
      </c>
      <c r="Q2221" t="s">
        <v>39</v>
      </c>
      <c r="R2221">
        <f t="shared" si="103"/>
        <v>1</v>
      </c>
      <c r="S2221" t="str">
        <f t="shared" si="104"/>
        <v>Jan</v>
      </c>
      <c r="T2221" s="9">
        <f>VLOOKUP(O2221, Annual_Summary!A:B, 2, 0)</f>
        <v>0.23827534039334342</v>
      </c>
    </row>
    <row r="2222" spans="1:20" x14ac:dyDescent="0.3">
      <c r="A2222" s="1">
        <v>45686</v>
      </c>
      <c r="B2222" t="s">
        <v>15</v>
      </c>
      <c r="C2222" s="3">
        <v>753</v>
      </c>
      <c r="D2222" s="3">
        <v>760.8</v>
      </c>
      <c r="E2222" s="3">
        <v>749.8</v>
      </c>
      <c r="F2222" s="3">
        <v>752.4</v>
      </c>
      <c r="G2222" s="3">
        <v>758.5</v>
      </c>
      <c r="H2222" s="3">
        <v>758.45</v>
      </c>
      <c r="I2222" s="3">
        <v>757.35</v>
      </c>
      <c r="J2222" s="3">
        <v>912</v>
      </c>
      <c r="K2222" s="3">
        <v>615.6</v>
      </c>
      <c r="L2222" s="2">
        <v>9251973</v>
      </c>
      <c r="M2222" s="2">
        <v>7006956312.6000004</v>
      </c>
      <c r="N2222" s="2">
        <v>267695</v>
      </c>
      <c r="O2222" t="s">
        <v>24</v>
      </c>
      <c r="P2222" s="8">
        <f t="shared" si="102"/>
        <v>-0.60000000000002274</v>
      </c>
      <c r="Q2222" t="s">
        <v>39</v>
      </c>
      <c r="R2222">
        <f t="shared" si="103"/>
        <v>1</v>
      </c>
      <c r="S2222" t="str">
        <f t="shared" si="104"/>
        <v>Jan</v>
      </c>
      <c r="T2222" s="9">
        <f>VLOOKUP(O2222, Annual_Summary!A:B, 2, 0)</f>
        <v>0.23827534039334342</v>
      </c>
    </row>
    <row r="2223" spans="1:20" x14ac:dyDescent="0.3">
      <c r="A2223" s="1">
        <v>45685</v>
      </c>
      <c r="B2223" t="s">
        <v>15</v>
      </c>
      <c r="C2223" s="3">
        <v>757</v>
      </c>
      <c r="D2223" s="3">
        <v>759.75</v>
      </c>
      <c r="E2223" s="3">
        <v>745.4</v>
      </c>
      <c r="F2223" s="3">
        <v>749.2</v>
      </c>
      <c r="G2223" s="3">
        <v>752.15</v>
      </c>
      <c r="H2223" s="3">
        <v>752.4</v>
      </c>
      <c r="I2223" s="3">
        <v>752.61</v>
      </c>
      <c r="J2223" s="3">
        <v>912</v>
      </c>
      <c r="K2223" s="3">
        <v>615.6</v>
      </c>
      <c r="L2223" s="2">
        <v>14140860</v>
      </c>
      <c r="M2223" s="2">
        <v>10642622577.4</v>
      </c>
      <c r="N2223" s="2">
        <v>282284</v>
      </c>
      <c r="O2223" t="s">
        <v>24</v>
      </c>
      <c r="P2223" s="8">
        <f t="shared" si="102"/>
        <v>-7.7999999999999545</v>
      </c>
      <c r="Q2223" t="s">
        <v>39</v>
      </c>
      <c r="R2223">
        <f t="shared" si="103"/>
        <v>1</v>
      </c>
      <c r="S2223" t="str">
        <f t="shared" si="104"/>
        <v>Jan</v>
      </c>
      <c r="T2223" s="9">
        <f>VLOOKUP(O2223, Annual_Summary!A:B, 2, 0)</f>
        <v>0.23827534039334342</v>
      </c>
    </row>
    <row r="2224" spans="1:20" x14ac:dyDescent="0.3">
      <c r="A2224" s="1">
        <v>45684</v>
      </c>
      <c r="B2224" t="s">
        <v>15</v>
      </c>
      <c r="C2224" s="3">
        <v>740</v>
      </c>
      <c r="D2224" s="3">
        <v>755.35</v>
      </c>
      <c r="E2224" s="3">
        <v>735.9</v>
      </c>
      <c r="F2224" s="3">
        <v>744.15</v>
      </c>
      <c r="G2224" s="3">
        <v>747.5</v>
      </c>
      <c r="H2224" s="3">
        <v>749.2</v>
      </c>
      <c r="I2224" s="3">
        <v>748.97</v>
      </c>
      <c r="J2224" s="3">
        <v>912</v>
      </c>
      <c r="K2224" s="3">
        <v>615.6</v>
      </c>
      <c r="L2224" s="2">
        <v>11433353</v>
      </c>
      <c r="M2224" s="2">
        <v>8563257255.5</v>
      </c>
      <c r="N2224" s="2">
        <v>227844</v>
      </c>
      <c r="O2224" t="s">
        <v>24</v>
      </c>
      <c r="P2224" s="8">
        <f t="shared" si="102"/>
        <v>4.1499999999999773</v>
      </c>
      <c r="Q2224" t="s">
        <v>39</v>
      </c>
      <c r="R2224">
        <f t="shared" si="103"/>
        <v>1</v>
      </c>
      <c r="S2224" t="str">
        <f t="shared" si="104"/>
        <v>Jan</v>
      </c>
      <c r="T2224" s="9">
        <f>VLOOKUP(O2224, Annual_Summary!A:B, 2, 0)</f>
        <v>0.23827534039334342</v>
      </c>
    </row>
    <row r="2225" spans="1:20" x14ac:dyDescent="0.3">
      <c r="A2225" s="1">
        <v>45681</v>
      </c>
      <c r="B2225" t="s">
        <v>15</v>
      </c>
      <c r="C2225" s="3">
        <v>749.9</v>
      </c>
      <c r="D2225" s="3">
        <v>753.7</v>
      </c>
      <c r="E2225" s="3">
        <v>739</v>
      </c>
      <c r="F2225" s="3">
        <v>745.9</v>
      </c>
      <c r="G2225" s="3">
        <v>744.5</v>
      </c>
      <c r="H2225" s="3">
        <v>744.15</v>
      </c>
      <c r="I2225" s="3">
        <v>746.32</v>
      </c>
      <c r="J2225" s="3">
        <v>912</v>
      </c>
      <c r="K2225" s="3">
        <v>600.65</v>
      </c>
      <c r="L2225" s="2">
        <v>10579213</v>
      </c>
      <c r="M2225" s="2">
        <v>7895435197</v>
      </c>
      <c r="N2225" s="2">
        <v>174627</v>
      </c>
      <c r="O2225" t="s">
        <v>24</v>
      </c>
      <c r="P2225" s="8">
        <f t="shared" si="102"/>
        <v>-4</v>
      </c>
      <c r="Q2225" t="s">
        <v>39</v>
      </c>
      <c r="R2225">
        <f t="shared" si="103"/>
        <v>1</v>
      </c>
      <c r="S2225" t="str">
        <f t="shared" si="104"/>
        <v>Jan</v>
      </c>
      <c r="T2225" s="9">
        <f>VLOOKUP(O2225, Annual_Summary!A:B, 2, 0)</f>
        <v>0.23827534039334342</v>
      </c>
    </row>
    <row r="2226" spans="1:20" x14ac:dyDescent="0.3">
      <c r="A2226" s="1">
        <v>45680</v>
      </c>
      <c r="B2226" t="s">
        <v>15</v>
      </c>
      <c r="C2226" s="3">
        <v>750</v>
      </c>
      <c r="D2226" s="3">
        <v>755.65</v>
      </c>
      <c r="E2226" s="3">
        <v>743.1</v>
      </c>
      <c r="F2226" s="3">
        <v>753.45</v>
      </c>
      <c r="G2226" s="3">
        <v>746.25</v>
      </c>
      <c r="H2226" s="3">
        <v>745.9</v>
      </c>
      <c r="I2226" s="3">
        <v>748.15</v>
      </c>
      <c r="J2226" s="3">
        <v>912</v>
      </c>
      <c r="K2226" s="3">
        <v>600.65</v>
      </c>
      <c r="L2226" s="2">
        <v>10986405</v>
      </c>
      <c r="M2226" s="2">
        <v>8219465974</v>
      </c>
      <c r="N2226" s="2">
        <v>220737</v>
      </c>
      <c r="O2226" t="s">
        <v>24</v>
      </c>
      <c r="P2226" s="8">
        <f t="shared" si="102"/>
        <v>3.4500000000000455</v>
      </c>
      <c r="Q2226" t="s">
        <v>39</v>
      </c>
      <c r="R2226">
        <f t="shared" si="103"/>
        <v>1</v>
      </c>
      <c r="S2226" t="str">
        <f t="shared" si="104"/>
        <v>Jan</v>
      </c>
      <c r="T2226" s="9">
        <f>VLOOKUP(O2226, Annual_Summary!A:B, 2, 0)</f>
        <v>0.23827534039334342</v>
      </c>
    </row>
    <row r="2227" spans="1:20" x14ac:dyDescent="0.3">
      <c r="A2227" s="1">
        <v>45679</v>
      </c>
      <c r="B2227" t="s">
        <v>15</v>
      </c>
      <c r="C2227" s="3">
        <v>762</v>
      </c>
      <c r="D2227" s="3">
        <v>763</v>
      </c>
      <c r="E2227" s="3">
        <v>738</v>
      </c>
      <c r="F2227" s="3">
        <v>759.05</v>
      </c>
      <c r="G2227" s="3">
        <v>753.45</v>
      </c>
      <c r="H2227" s="3">
        <v>753.45</v>
      </c>
      <c r="I2227" s="3">
        <v>749.23</v>
      </c>
      <c r="J2227" s="3">
        <v>912</v>
      </c>
      <c r="K2227" s="3">
        <v>600.65</v>
      </c>
      <c r="L2227" s="2">
        <v>9908339</v>
      </c>
      <c r="M2227" s="2">
        <v>7423585184</v>
      </c>
      <c r="N2227" s="2">
        <v>233659</v>
      </c>
      <c r="O2227" t="s">
        <v>24</v>
      </c>
      <c r="P2227" s="8">
        <f t="shared" si="102"/>
        <v>-2.9500000000000455</v>
      </c>
      <c r="Q2227" t="s">
        <v>39</v>
      </c>
      <c r="R2227">
        <f t="shared" si="103"/>
        <v>1</v>
      </c>
      <c r="S2227" t="str">
        <f t="shared" si="104"/>
        <v>Jan</v>
      </c>
      <c r="T2227" s="9">
        <f>VLOOKUP(O2227, Annual_Summary!A:B, 2, 0)</f>
        <v>0.23827534039334342</v>
      </c>
    </row>
    <row r="2228" spans="1:20" x14ac:dyDescent="0.3">
      <c r="A2228" s="1">
        <v>45678</v>
      </c>
      <c r="B2228" t="s">
        <v>15</v>
      </c>
      <c r="C2228" s="3">
        <v>784.8</v>
      </c>
      <c r="D2228" s="3">
        <v>784.9</v>
      </c>
      <c r="E2228" s="3">
        <v>756.05</v>
      </c>
      <c r="F2228" s="3">
        <v>779.25</v>
      </c>
      <c r="G2228" s="3">
        <v>759.8</v>
      </c>
      <c r="H2228" s="3">
        <v>759.05</v>
      </c>
      <c r="I2228" s="3">
        <v>765.52</v>
      </c>
      <c r="J2228" s="3">
        <v>912</v>
      </c>
      <c r="K2228" s="3">
        <v>600.65</v>
      </c>
      <c r="L2228" s="2">
        <v>13751780</v>
      </c>
      <c r="M2228" s="2">
        <v>10527321816.950001</v>
      </c>
      <c r="N2228" s="2">
        <v>278817</v>
      </c>
      <c r="O2228" t="s">
        <v>24</v>
      </c>
      <c r="P2228" s="8">
        <f t="shared" si="102"/>
        <v>-5.5499999999999545</v>
      </c>
      <c r="Q2228" t="s">
        <v>39</v>
      </c>
      <c r="R2228">
        <f t="shared" si="103"/>
        <v>1</v>
      </c>
      <c r="S2228" t="str">
        <f t="shared" si="104"/>
        <v>Jan</v>
      </c>
      <c r="T2228" s="9">
        <f>VLOOKUP(O2228, Annual_Summary!A:B, 2, 0)</f>
        <v>0.23827534039334342</v>
      </c>
    </row>
    <row r="2229" spans="1:20" x14ac:dyDescent="0.3">
      <c r="A2229" s="1">
        <v>45677</v>
      </c>
      <c r="B2229" t="s">
        <v>15</v>
      </c>
      <c r="C2229" s="3">
        <v>769</v>
      </c>
      <c r="D2229" s="3">
        <v>785</v>
      </c>
      <c r="E2229" s="3">
        <v>767.85</v>
      </c>
      <c r="F2229" s="3">
        <v>764.1</v>
      </c>
      <c r="G2229" s="3">
        <v>778.5</v>
      </c>
      <c r="H2229" s="3">
        <v>779.25</v>
      </c>
      <c r="I2229" s="3">
        <v>778.03</v>
      </c>
      <c r="J2229" s="3">
        <v>912</v>
      </c>
      <c r="K2229" s="3">
        <v>600.65</v>
      </c>
      <c r="L2229" s="2">
        <v>9198929</v>
      </c>
      <c r="M2229" s="2">
        <v>7157000810.0500002</v>
      </c>
      <c r="N2229" s="2">
        <v>211086</v>
      </c>
      <c r="O2229" t="s">
        <v>24</v>
      </c>
      <c r="P2229" s="8">
        <f t="shared" si="102"/>
        <v>-4.8999999999999773</v>
      </c>
      <c r="Q2229" t="s">
        <v>39</v>
      </c>
      <c r="R2229">
        <f t="shared" si="103"/>
        <v>1</v>
      </c>
      <c r="S2229" t="str">
        <f t="shared" si="104"/>
        <v>Jan</v>
      </c>
      <c r="T2229" s="9">
        <f>VLOOKUP(O2229, Annual_Summary!A:B, 2, 0)</f>
        <v>0.23827534039334342</v>
      </c>
    </row>
    <row r="2230" spans="1:20" x14ac:dyDescent="0.3">
      <c r="A2230" s="1">
        <v>45674</v>
      </c>
      <c r="B2230" t="s">
        <v>15</v>
      </c>
      <c r="C2230" s="3">
        <v>766.3</v>
      </c>
      <c r="D2230" s="3">
        <v>767.95</v>
      </c>
      <c r="E2230" s="3">
        <v>759.4</v>
      </c>
      <c r="F2230" s="3">
        <v>766.3</v>
      </c>
      <c r="G2230" s="3">
        <v>763.8</v>
      </c>
      <c r="H2230" s="3">
        <v>764.1</v>
      </c>
      <c r="I2230" s="3">
        <v>763.55</v>
      </c>
      <c r="J2230" s="3">
        <v>912</v>
      </c>
      <c r="K2230" s="3">
        <v>600.65</v>
      </c>
      <c r="L2230" s="2">
        <v>5766573</v>
      </c>
      <c r="M2230" s="2">
        <v>4403052207.1499996</v>
      </c>
      <c r="N2230" s="2">
        <v>147029</v>
      </c>
      <c r="O2230" t="s">
        <v>24</v>
      </c>
      <c r="P2230" s="8">
        <f t="shared" si="102"/>
        <v>0</v>
      </c>
      <c r="Q2230" t="s">
        <v>39</v>
      </c>
      <c r="R2230">
        <f t="shared" si="103"/>
        <v>1</v>
      </c>
      <c r="S2230" t="str">
        <f t="shared" si="104"/>
        <v>Jan</v>
      </c>
      <c r="T2230" s="9">
        <f>VLOOKUP(O2230, Annual_Summary!A:B, 2, 0)</f>
        <v>0.23827534039334342</v>
      </c>
    </row>
    <row r="2231" spans="1:20" x14ac:dyDescent="0.3">
      <c r="A2231" s="1">
        <v>45673</v>
      </c>
      <c r="B2231" t="s">
        <v>15</v>
      </c>
      <c r="C2231" s="3">
        <v>760.4</v>
      </c>
      <c r="D2231" s="3">
        <v>776.7</v>
      </c>
      <c r="E2231" s="3">
        <v>760.4</v>
      </c>
      <c r="F2231" s="3">
        <v>753.7</v>
      </c>
      <c r="G2231" s="3">
        <v>767</v>
      </c>
      <c r="H2231" s="3">
        <v>766.3</v>
      </c>
      <c r="I2231" s="3">
        <v>768.15</v>
      </c>
      <c r="J2231" s="3">
        <v>912</v>
      </c>
      <c r="K2231" s="3">
        <v>600.65</v>
      </c>
      <c r="L2231" s="2">
        <v>11816079</v>
      </c>
      <c r="M2231" s="2">
        <v>9076538069.2000008</v>
      </c>
      <c r="N2231" s="2">
        <v>204032</v>
      </c>
      <c r="O2231" t="s">
        <v>24</v>
      </c>
      <c r="P2231" s="8">
        <f t="shared" si="102"/>
        <v>-6.6999999999999318</v>
      </c>
      <c r="Q2231" t="s">
        <v>39</v>
      </c>
      <c r="R2231">
        <f t="shared" si="103"/>
        <v>1</v>
      </c>
      <c r="S2231" t="str">
        <f t="shared" si="104"/>
        <v>Jan</v>
      </c>
      <c r="T2231" s="9">
        <f>VLOOKUP(O2231, Annual_Summary!A:B, 2, 0)</f>
        <v>0.23827534039334342</v>
      </c>
    </row>
    <row r="2232" spans="1:20" x14ac:dyDescent="0.3">
      <c r="A2232" s="1">
        <v>45672</v>
      </c>
      <c r="B2232" t="s">
        <v>15</v>
      </c>
      <c r="C2232" s="3">
        <v>753.15</v>
      </c>
      <c r="D2232" s="3">
        <v>758.9</v>
      </c>
      <c r="E2232" s="3">
        <v>750</v>
      </c>
      <c r="F2232" s="3">
        <v>748.15</v>
      </c>
      <c r="G2232" s="3">
        <v>754.95</v>
      </c>
      <c r="H2232" s="3">
        <v>753.7</v>
      </c>
      <c r="I2232" s="3">
        <v>754.48</v>
      </c>
      <c r="J2232" s="3">
        <v>912</v>
      </c>
      <c r="K2232" s="3">
        <v>600.65</v>
      </c>
      <c r="L2232" s="2">
        <v>7792299</v>
      </c>
      <c r="M2232" s="2">
        <v>5879131387.4499998</v>
      </c>
      <c r="N2232" s="2">
        <v>225171</v>
      </c>
      <c r="O2232" t="s">
        <v>24</v>
      </c>
      <c r="P2232" s="8">
        <f t="shared" si="102"/>
        <v>-5</v>
      </c>
      <c r="Q2232" t="s">
        <v>39</v>
      </c>
      <c r="R2232">
        <f t="shared" si="103"/>
        <v>1</v>
      </c>
      <c r="S2232" t="str">
        <f t="shared" si="104"/>
        <v>Jan</v>
      </c>
      <c r="T2232" s="9">
        <f>VLOOKUP(O2232, Annual_Summary!A:B, 2, 0)</f>
        <v>0.23827534039334342</v>
      </c>
    </row>
    <row r="2233" spans="1:20" x14ac:dyDescent="0.3">
      <c r="A2233" s="1">
        <v>45671</v>
      </c>
      <c r="B2233" t="s">
        <v>15</v>
      </c>
      <c r="C2233" s="3">
        <v>732.95</v>
      </c>
      <c r="D2233" s="3">
        <v>757</v>
      </c>
      <c r="E2233" s="3">
        <v>732.95</v>
      </c>
      <c r="F2233" s="3">
        <v>729.5</v>
      </c>
      <c r="G2233" s="3">
        <v>750.5</v>
      </c>
      <c r="H2233" s="3">
        <v>748.15</v>
      </c>
      <c r="I2233" s="3">
        <v>748.73</v>
      </c>
      <c r="J2233" s="3">
        <v>912</v>
      </c>
      <c r="K2233" s="3">
        <v>600.65</v>
      </c>
      <c r="L2233" s="2">
        <v>11960975</v>
      </c>
      <c r="M2233" s="2">
        <v>8955585470.2999992</v>
      </c>
      <c r="N2233" s="2">
        <v>242233</v>
      </c>
      <c r="O2233" t="s">
        <v>24</v>
      </c>
      <c r="P2233" s="8">
        <f t="shared" si="102"/>
        <v>-3.4500000000000455</v>
      </c>
      <c r="Q2233" t="s">
        <v>39</v>
      </c>
      <c r="R2233">
        <f t="shared" si="103"/>
        <v>1</v>
      </c>
      <c r="S2233" t="str">
        <f t="shared" si="104"/>
        <v>Jan</v>
      </c>
      <c r="T2233" s="9">
        <f>VLOOKUP(O2233, Annual_Summary!A:B, 2, 0)</f>
        <v>0.23827534039334342</v>
      </c>
    </row>
    <row r="2234" spans="1:20" x14ac:dyDescent="0.3">
      <c r="A2234" s="1">
        <v>45670</v>
      </c>
      <c r="B2234" t="s">
        <v>15</v>
      </c>
      <c r="C2234" s="3">
        <v>741.5</v>
      </c>
      <c r="D2234" s="3">
        <v>743.95</v>
      </c>
      <c r="E2234" s="3">
        <v>722.5</v>
      </c>
      <c r="F2234" s="3">
        <v>743.25</v>
      </c>
      <c r="G2234" s="3">
        <v>728.95</v>
      </c>
      <c r="H2234" s="3">
        <v>729.5</v>
      </c>
      <c r="I2234" s="3">
        <v>733.81</v>
      </c>
      <c r="J2234" s="3">
        <v>912</v>
      </c>
      <c r="K2234" s="3">
        <v>600.65</v>
      </c>
      <c r="L2234" s="2">
        <v>10414733</v>
      </c>
      <c r="M2234" s="2">
        <v>7642474249.6499996</v>
      </c>
      <c r="N2234" s="2">
        <v>254856</v>
      </c>
      <c r="O2234" t="s">
        <v>24</v>
      </c>
      <c r="P2234" s="8">
        <f t="shared" si="102"/>
        <v>1.75</v>
      </c>
      <c r="Q2234" t="s">
        <v>39</v>
      </c>
      <c r="R2234">
        <f t="shared" si="103"/>
        <v>1</v>
      </c>
      <c r="S2234" t="str">
        <f t="shared" si="104"/>
        <v>Jan</v>
      </c>
      <c r="T2234" s="9">
        <f>VLOOKUP(O2234, Annual_Summary!A:B, 2, 0)</f>
        <v>0.23827534039334342</v>
      </c>
    </row>
    <row r="2235" spans="1:20" x14ac:dyDescent="0.3">
      <c r="A2235" s="1">
        <v>45667</v>
      </c>
      <c r="B2235" t="s">
        <v>15</v>
      </c>
      <c r="C2235" s="3">
        <v>760.35</v>
      </c>
      <c r="D2235" s="3">
        <v>763.4</v>
      </c>
      <c r="E2235" s="3">
        <v>742.05</v>
      </c>
      <c r="F2235" s="3">
        <v>760.45</v>
      </c>
      <c r="G2235" s="3">
        <v>744.8</v>
      </c>
      <c r="H2235" s="3">
        <v>743.25</v>
      </c>
      <c r="I2235" s="3">
        <v>748.01</v>
      </c>
      <c r="J2235" s="3">
        <v>912</v>
      </c>
      <c r="K2235" s="3">
        <v>600.65</v>
      </c>
      <c r="L2235" s="2">
        <v>11779296</v>
      </c>
      <c r="M2235" s="2">
        <v>8811043804.5</v>
      </c>
      <c r="N2235" s="2">
        <v>275478</v>
      </c>
      <c r="O2235" t="s">
        <v>24</v>
      </c>
      <c r="P2235" s="8">
        <f t="shared" si="102"/>
        <v>0.10000000000002274</v>
      </c>
      <c r="Q2235" t="s">
        <v>39</v>
      </c>
      <c r="R2235">
        <f t="shared" si="103"/>
        <v>1</v>
      </c>
      <c r="S2235" t="str">
        <f t="shared" si="104"/>
        <v>Jan</v>
      </c>
      <c r="T2235" s="9">
        <f>VLOOKUP(O2235, Annual_Summary!A:B, 2, 0)</f>
        <v>0.23827534039334342</v>
      </c>
    </row>
    <row r="2236" spans="1:20" x14ac:dyDescent="0.3">
      <c r="A2236" s="1">
        <v>45666</v>
      </c>
      <c r="B2236" t="s">
        <v>15</v>
      </c>
      <c r="C2236" s="3">
        <v>771.15</v>
      </c>
      <c r="D2236" s="3">
        <v>771.35</v>
      </c>
      <c r="E2236" s="3">
        <v>726.25</v>
      </c>
      <c r="F2236" s="3">
        <v>771.15</v>
      </c>
      <c r="G2236" s="3">
        <v>762</v>
      </c>
      <c r="H2236" s="3">
        <v>760.45</v>
      </c>
      <c r="I2236" s="3">
        <v>760.13</v>
      </c>
      <c r="J2236" s="3">
        <v>912</v>
      </c>
      <c r="K2236" s="3">
        <v>600.65</v>
      </c>
      <c r="L2236" s="2">
        <v>15351029</v>
      </c>
      <c r="M2236" s="2">
        <v>11668746480.15</v>
      </c>
      <c r="N2236" s="2">
        <v>258299</v>
      </c>
      <c r="O2236" t="s">
        <v>24</v>
      </c>
      <c r="P2236" s="8">
        <f t="shared" si="102"/>
        <v>0</v>
      </c>
      <c r="Q2236" t="s">
        <v>39</v>
      </c>
      <c r="R2236">
        <f t="shared" si="103"/>
        <v>1</v>
      </c>
      <c r="S2236" t="str">
        <f t="shared" si="104"/>
        <v>Jan</v>
      </c>
      <c r="T2236" s="9">
        <f>VLOOKUP(O2236, Annual_Summary!A:B, 2, 0)</f>
        <v>0.23827534039334342</v>
      </c>
    </row>
    <row r="2237" spans="1:20" x14ac:dyDescent="0.3">
      <c r="A2237" s="1">
        <v>45665</v>
      </c>
      <c r="B2237" t="s">
        <v>15</v>
      </c>
      <c r="C2237" s="3">
        <v>780.9</v>
      </c>
      <c r="D2237" s="3">
        <v>783.95</v>
      </c>
      <c r="E2237" s="3">
        <v>760.1</v>
      </c>
      <c r="F2237" s="3">
        <v>778.75</v>
      </c>
      <c r="G2237" s="3">
        <v>771.35</v>
      </c>
      <c r="H2237" s="3">
        <v>771.15</v>
      </c>
      <c r="I2237" s="3">
        <v>767.67</v>
      </c>
      <c r="J2237" s="3">
        <v>912</v>
      </c>
      <c r="K2237" s="3">
        <v>600.65</v>
      </c>
      <c r="L2237" s="2">
        <v>15641490</v>
      </c>
      <c r="M2237" s="2">
        <v>12007486384.75</v>
      </c>
      <c r="N2237" s="2">
        <v>277739</v>
      </c>
      <c r="O2237" t="s">
        <v>24</v>
      </c>
      <c r="P2237" s="8">
        <f t="shared" si="102"/>
        <v>-2.1499999999999773</v>
      </c>
      <c r="Q2237" t="s">
        <v>39</v>
      </c>
      <c r="R2237">
        <f t="shared" si="103"/>
        <v>1</v>
      </c>
      <c r="S2237" t="str">
        <f t="shared" si="104"/>
        <v>Jan</v>
      </c>
      <c r="T2237" s="9">
        <f>VLOOKUP(O2237, Annual_Summary!A:B, 2, 0)</f>
        <v>0.23827534039334342</v>
      </c>
    </row>
    <row r="2238" spans="1:20" x14ac:dyDescent="0.3">
      <c r="A2238" s="1">
        <v>45664</v>
      </c>
      <c r="B2238" t="s">
        <v>15</v>
      </c>
      <c r="C2238" s="3">
        <v>779.85</v>
      </c>
      <c r="D2238" s="3">
        <v>783.85</v>
      </c>
      <c r="E2238" s="3">
        <v>774.85</v>
      </c>
      <c r="F2238" s="3">
        <v>776.4</v>
      </c>
      <c r="G2238" s="3">
        <v>778.4</v>
      </c>
      <c r="H2238" s="3">
        <v>778.75</v>
      </c>
      <c r="I2238" s="3">
        <v>778.73</v>
      </c>
      <c r="J2238" s="3">
        <v>912</v>
      </c>
      <c r="K2238" s="3">
        <v>600.65</v>
      </c>
      <c r="L2238" s="2">
        <v>9669152</v>
      </c>
      <c r="M2238" s="2">
        <v>7529620598.6999998</v>
      </c>
      <c r="N2238" s="2">
        <v>188005</v>
      </c>
      <c r="O2238" t="s">
        <v>24</v>
      </c>
      <c r="P2238" s="8">
        <f t="shared" si="102"/>
        <v>-3.4500000000000455</v>
      </c>
      <c r="Q2238" t="s">
        <v>39</v>
      </c>
      <c r="R2238">
        <f t="shared" si="103"/>
        <v>1</v>
      </c>
      <c r="S2238" t="str">
        <f t="shared" si="104"/>
        <v>Jan</v>
      </c>
      <c r="T2238" s="9">
        <f>VLOOKUP(O2238, Annual_Summary!A:B, 2, 0)</f>
        <v>0.23827534039334342</v>
      </c>
    </row>
    <row r="2239" spans="1:20" x14ac:dyDescent="0.3">
      <c r="A2239" s="1">
        <v>45663</v>
      </c>
      <c r="B2239" t="s">
        <v>15</v>
      </c>
      <c r="C2239" s="3">
        <v>797.4</v>
      </c>
      <c r="D2239" s="3">
        <v>797.6</v>
      </c>
      <c r="E2239" s="3">
        <v>773.15</v>
      </c>
      <c r="F2239" s="3">
        <v>793.4</v>
      </c>
      <c r="G2239" s="3">
        <v>778.4</v>
      </c>
      <c r="H2239" s="3">
        <v>776.4</v>
      </c>
      <c r="I2239" s="3">
        <v>781.47</v>
      </c>
      <c r="J2239" s="3">
        <v>912</v>
      </c>
      <c r="K2239" s="3">
        <v>600.65</v>
      </c>
      <c r="L2239" s="2">
        <v>11419367</v>
      </c>
      <c r="M2239" s="2">
        <v>8923876463.4500008</v>
      </c>
      <c r="N2239" s="2">
        <v>289818</v>
      </c>
      <c r="O2239" t="s">
        <v>24</v>
      </c>
      <c r="P2239" s="8">
        <f t="shared" si="102"/>
        <v>-4</v>
      </c>
      <c r="Q2239" t="s">
        <v>39</v>
      </c>
      <c r="R2239">
        <f t="shared" si="103"/>
        <v>1</v>
      </c>
      <c r="S2239" t="str">
        <f t="shared" si="104"/>
        <v>Jan</v>
      </c>
      <c r="T2239" s="9">
        <f>VLOOKUP(O2239, Annual_Summary!A:B, 2, 0)</f>
        <v>0.23827534039334342</v>
      </c>
    </row>
    <row r="2240" spans="1:20" x14ac:dyDescent="0.3">
      <c r="A2240" s="1">
        <v>45660</v>
      </c>
      <c r="B2240" t="s">
        <v>15</v>
      </c>
      <c r="C2240" s="3">
        <v>801.2</v>
      </c>
      <c r="D2240" s="3">
        <v>809.5</v>
      </c>
      <c r="E2240" s="3">
        <v>792.15</v>
      </c>
      <c r="F2240" s="3">
        <v>801.2</v>
      </c>
      <c r="G2240" s="3">
        <v>793.3</v>
      </c>
      <c r="H2240" s="3">
        <v>793.4</v>
      </c>
      <c r="I2240" s="3">
        <v>798.97</v>
      </c>
      <c r="J2240" s="3">
        <v>912</v>
      </c>
      <c r="K2240" s="3">
        <v>600.65</v>
      </c>
      <c r="L2240" s="2">
        <v>13336514</v>
      </c>
      <c r="M2240" s="2">
        <v>10655490014.65</v>
      </c>
      <c r="N2240" s="2">
        <v>208457</v>
      </c>
      <c r="O2240" t="s">
        <v>24</v>
      </c>
      <c r="P2240" s="8">
        <f t="shared" si="102"/>
        <v>0</v>
      </c>
      <c r="Q2240" t="s">
        <v>39</v>
      </c>
      <c r="R2240">
        <f t="shared" si="103"/>
        <v>1</v>
      </c>
      <c r="S2240" t="str">
        <f t="shared" si="104"/>
        <v>Jan</v>
      </c>
      <c r="T2240" s="9">
        <f>VLOOKUP(O2240, Annual_Summary!A:B, 2, 0)</f>
        <v>0.23827534039334342</v>
      </c>
    </row>
    <row r="2241" spans="1:20" x14ac:dyDescent="0.3">
      <c r="A2241" s="1">
        <v>45659</v>
      </c>
      <c r="B2241" t="s">
        <v>15</v>
      </c>
      <c r="C2241" s="3">
        <v>795</v>
      </c>
      <c r="D2241" s="3">
        <v>802.4</v>
      </c>
      <c r="E2241" s="3">
        <v>787</v>
      </c>
      <c r="F2241" s="3">
        <v>793.2</v>
      </c>
      <c r="G2241" s="3">
        <v>802.25</v>
      </c>
      <c r="H2241" s="3">
        <v>801.2</v>
      </c>
      <c r="I2241" s="3">
        <v>795.88</v>
      </c>
      <c r="J2241" s="3">
        <v>912</v>
      </c>
      <c r="K2241" s="3">
        <v>600.65</v>
      </c>
      <c r="L2241" s="2">
        <v>11398319</v>
      </c>
      <c r="M2241" s="2">
        <v>9071709128.0499992</v>
      </c>
      <c r="N2241" s="2">
        <v>206144</v>
      </c>
      <c r="O2241" t="s">
        <v>24</v>
      </c>
      <c r="P2241" s="8">
        <f t="shared" si="102"/>
        <v>-1.7999999999999545</v>
      </c>
      <c r="Q2241" t="s">
        <v>39</v>
      </c>
      <c r="R2241">
        <f t="shared" si="103"/>
        <v>1</v>
      </c>
      <c r="S2241" t="str">
        <f t="shared" si="104"/>
        <v>Jan</v>
      </c>
      <c r="T2241" s="9">
        <f>VLOOKUP(O2241, Annual_Summary!A:B, 2, 0)</f>
        <v>0.23827534039334342</v>
      </c>
    </row>
    <row r="2242" spans="1:20" x14ac:dyDescent="0.3">
      <c r="A2242" s="1">
        <v>45658</v>
      </c>
      <c r="B2242" t="s">
        <v>15</v>
      </c>
      <c r="C2242" s="3">
        <v>795.55</v>
      </c>
      <c r="D2242" s="3">
        <v>798.65</v>
      </c>
      <c r="E2242" s="3">
        <v>789.5</v>
      </c>
      <c r="F2242" s="3">
        <v>794.95</v>
      </c>
      <c r="G2242" s="3">
        <v>794.3</v>
      </c>
      <c r="H2242" s="3">
        <v>793.2</v>
      </c>
      <c r="I2242" s="3">
        <v>793.85</v>
      </c>
      <c r="J2242" s="3">
        <v>912</v>
      </c>
      <c r="K2242" s="3">
        <v>600.65</v>
      </c>
      <c r="L2242" s="2">
        <v>7273098</v>
      </c>
      <c r="M2242" s="2">
        <v>5773733671.3500004</v>
      </c>
      <c r="N2242" s="2">
        <v>125843</v>
      </c>
      <c r="O2242" t="s">
        <v>24</v>
      </c>
      <c r="P2242" s="8">
        <f t="shared" si="102"/>
        <v>-0.59999999999990905</v>
      </c>
      <c r="Q2242" t="s">
        <v>39</v>
      </c>
      <c r="R2242">
        <f t="shared" si="103"/>
        <v>1</v>
      </c>
      <c r="S2242" t="str">
        <f t="shared" si="104"/>
        <v>Jan</v>
      </c>
      <c r="T2242" s="9">
        <f>VLOOKUP(O2242, Annual_Summary!A:B, 2, 0)</f>
        <v>0.23827534039334342</v>
      </c>
    </row>
    <row r="2243" spans="1:20" x14ac:dyDescent="0.3">
      <c r="A2243" s="1">
        <v>46022</v>
      </c>
      <c r="B2243" t="s">
        <v>15</v>
      </c>
      <c r="C2243" s="3">
        <v>3240</v>
      </c>
      <c r="D2243" s="3">
        <v>3246</v>
      </c>
      <c r="E2243" s="3">
        <v>3198.5</v>
      </c>
      <c r="F2243" s="3">
        <v>3246.8</v>
      </c>
      <c r="G2243" s="3">
        <v>3210</v>
      </c>
      <c r="H2243" s="3">
        <v>3206.2</v>
      </c>
      <c r="I2243" s="3">
        <v>3216.08</v>
      </c>
      <c r="J2243" s="3">
        <v>4322.95</v>
      </c>
      <c r="K2243" s="3">
        <v>2866.6</v>
      </c>
      <c r="L2243" s="2">
        <v>3362634</v>
      </c>
      <c r="M2243" s="2">
        <v>10814502991.9</v>
      </c>
      <c r="N2243" s="2">
        <v>145683</v>
      </c>
      <c r="O2243" t="s">
        <v>25</v>
      </c>
      <c r="P2243" s="8">
        <f t="shared" ref="P2243:P2306" si="105">F2243-C2243</f>
        <v>6.8000000000001819</v>
      </c>
      <c r="Q2243" t="s">
        <v>38</v>
      </c>
      <c r="R2243">
        <f t="shared" ref="R2243:R2306" si="106">MONTH(A2243)</f>
        <v>12</v>
      </c>
      <c r="S2243" t="str">
        <f t="shared" ref="S2243:S2306" si="107">TEXT(A2243,"mmm")</f>
        <v>Dec</v>
      </c>
      <c r="T2243" s="9">
        <f>VLOOKUP(O2243, Annual_Summary!A:B, 2, 0)</f>
        <v>-0.22036742088049704</v>
      </c>
    </row>
    <row r="2244" spans="1:20" x14ac:dyDescent="0.3">
      <c r="A2244" s="1">
        <v>46021</v>
      </c>
      <c r="B2244" t="s">
        <v>15</v>
      </c>
      <c r="C2244" s="3">
        <v>3250</v>
      </c>
      <c r="D2244" s="3">
        <v>3267.5</v>
      </c>
      <c r="E2244" s="3">
        <v>3239.5</v>
      </c>
      <c r="F2244" s="3">
        <v>3251.5</v>
      </c>
      <c r="G2244" s="3">
        <v>3255</v>
      </c>
      <c r="H2244" s="3">
        <v>3246.8</v>
      </c>
      <c r="I2244" s="3">
        <v>3250.64</v>
      </c>
      <c r="J2244" s="3">
        <v>4322.95</v>
      </c>
      <c r="K2244" s="3">
        <v>2866.6</v>
      </c>
      <c r="L2244" s="2">
        <v>2807593</v>
      </c>
      <c r="M2244" s="2">
        <v>9126473823.5</v>
      </c>
      <c r="N2244" s="2">
        <v>184541</v>
      </c>
      <c r="O2244" t="s">
        <v>25</v>
      </c>
      <c r="P2244" s="8">
        <f t="shared" si="105"/>
        <v>1.5</v>
      </c>
      <c r="Q2244" t="s">
        <v>38</v>
      </c>
      <c r="R2244">
        <f t="shared" si="106"/>
        <v>12</v>
      </c>
      <c r="S2244" t="str">
        <f t="shared" si="107"/>
        <v>Dec</v>
      </c>
      <c r="T2244" s="9">
        <f>VLOOKUP(O2244, Annual_Summary!A:B, 2, 0)</f>
        <v>-0.22036742088049704</v>
      </c>
    </row>
    <row r="2245" spans="1:20" x14ac:dyDescent="0.3">
      <c r="A2245" s="1">
        <v>46020</v>
      </c>
      <c r="B2245" t="s">
        <v>15</v>
      </c>
      <c r="C2245" s="3">
        <v>3280</v>
      </c>
      <c r="D2245" s="3">
        <v>3288</v>
      </c>
      <c r="E2245" s="3">
        <v>3242.9</v>
      </c>
      <c r="F2245" s="3">
        <v>3280</v>
      </c>
      <c r="G2245" s="3">
        <v>3256</v>
      </c>
      <c r="H2245" s="3">
        <v>3251.5</v>
      </c>
      <c r="I2245" s="3">
        <v>3254.98</v>
      </c>
      <c r="J2245" s="3">
        <v>4322.95</v>
      </c>
      <c r="K2245" s="3">
        <v>2866.6</v>
      </c>
      <c r="L2245" s="2">
        <v>2079473</v>
      </c>
      <c r="M2245" s="2">
        <v>6768650796.3999996</v>
      </c>
      <c r="N2245" s="2">
        <v>117390</v>
      </c>
      <c r="O2245" t="s">
        <v>25</v>
      </c>
      <c r="P2245" s="8">
        <f t="shared" si="105"/>
        <v>0</v>
      </c>
      <c r="Q2245" t="s">
        <v>38</v>
      </c>
      <c r="R2245">
        <f t="shared" si="106"/>
        <v>12</v>
      </c>
      <c r="S2245" t="str">
        <f t="shared" si="107"/>
        <v>Dec</v>
      </c>
      <c r="T2245" s="9">
        <f>VLOOKUP(O2245, Annual_Summary!A:B, 2, 0)</f>
        <v>-0.22036742088049704</v>
      </c>
    </row>
    <row r="2246" spans="1:20" x14ac:dyDescent="0.3">
      <c r="A2246" s="1">
        <v>46017</v>
      </c>
      <c r="B2246" t="s">
        <v>15</v>
      </c>
      <c r="C2246" s="3">
        <v>3313.1</v>
      </c>
      <c r="D2246" s="3">
        <v>3320</v>
      </c>
      <c r="E2246" s="3">
        <v>3271.8</v>
      </c>
      <c r="F2246" s="3">
        <v>3319</v>
      </c>
      <c r="G2246" s="3">
        <v>3276.8</v>
      </c>
      <c r="H2246" s="3">
        <v>3280</v>
      </c>
      <c r="I2246" s="3">
        <v>3287.91</v>
      </c>
      <c r="J2246" s="3">
        <v>4322.95</v>
      </c>
      <c r="K2246" s="3">
        <v>2866.6</v>
      </c>
      <c r="L2246" s="2">
        <v>1176664</v>
      </c>
      <c r="M2246" s="2">
        <v>3868759940.5999999</v>
      </c>
      <c r="N2246" s="2">
        <v>89363</v>
      </c>
      <c r="O2246" t="s">
        <v>25</v>
      </c>
      <c r="P2246" s="8">
        <f t="shared" si="105"/>
        <v>5.9000000000000909</v>
      </c>
      <c r="Q2246" t="s">
        <v>38</v>
      </c>
      <c r="R2246">
        <f t="shared" si="106"/>
        <v>12</v>
      </c>
      <c r="S2246" t="str">
        <f t="shared" si="107"/>
        <v>Dec</v>
      </c>
      <c r="T2246" s="9">
        <f>VLOOKUP(O2246, Annual_Summary!A:B, 2, 0)</f>
        <v>-0.22036742088049704</v>
      </c>
    </row>
    <row r="2247" spans="1:20" x14ac:dyDescent="0.3">
      <c r="A2247" s="1">
        <v>46015</v>
      </c>
      <c r="B2247" t="s">
        <v>15</v>
      </c>
      <c r="C2247" s="3">
        <v>3304.1</v>
      </c>
      <c r="D2247" s="3">
        <v>3327.1</v>
      </c>
      <c r="E2247" s="3">
        <v>3296.1</v>
      </c>
      <c r="F2247" s="3">
        <v>3310</v>
      </c>
      <c r="G2247" s="3">
        <v>3313.1</v>
      </c>
      <c r="H2247" s="3">
        <v>3319</v>
      </c>
      <c r="I2247" s="3">
        <v>3312.41</v>
      </c>
      <c r="J2247" s="3">
        <v>4322.95</v>
      </c>
      <c r="K2247" s="3">
        <v>2866.6</v>
      </c>
      <c r="L2247" s="2">
        <v>1367708</v>
      </c>
      <c r="M2247" s="2">
        <v>4530413590.8999996</v>
      </c>
      <c r="N2247" s="2">
        <v>84873</v>
      </c>
      <c r="O2247" t="s">
        <v>25</v>
      </c>
      <c r="P2247" s="8">
        <f t="shared" si="105"/>
        <v>5.9000000000000909</v>
      </c>
      <c r="Q2247" t="s">
        <v>38</v>
      </c>
      <c r="R2247">
        <f t="shared" si="106"/>
        <v>12</v>
      </c>
      <c r="S2247" t="str">
        <f t="shared" si="107"/>
        <v>Dec</v>
      </c>
      <c r="T2247" s="9">
        <f>VLOOKUP(O2247, Annual_Summary!A:B, 2, 0)</f>
        <v>-0.22036742088049704</v>
      </c>
    </row>
    <row r="2248" spans="1:20" x14ac:dyDescent="0.3">
      <c r="A2248" s="1">
        <v>46014</v>
      </c>
      <c r="B2248" t="s">
        <v>15</v>
      </c>
      <c r="C2248" s="3">
        <v>3319.9</v>
      </c>
      <c r="D2248" s="3">
        <v>3319.9</v>
      </c>
      <c r="E2248" s="3">
        <v>3293.5</v>
      </c>
      <c r="F2248" s="3">
        <v>3324.9</v>
      </c>
      <c r="G2248" s="3">
        <v>3305.1</v>
      </c>
      <c r="H2248" s="3">
        <v>3310</v>
      </c>
      <c r="I2248" s="3">
        <v>3304.76</v>
      </c>
      <c r="J2248" s="3">
        <v>4322.95</v>
      </c>
      <c r="K2248" s="3">
        <v>2866.6</v>
      </c>
      <c r="L2248" s="2">
        <v>2365420</v>
      </c>
      <c r="M2248" s="2">
        <v>7817155849.8999996</v>
      </c>
      <c r="N2248" s="2">
        <v>139216</v>
      </c>
      <c r="O2248" t="s">
        <v>25</v>
      </c>
      <c r="P2248" s="8">
        <f t="shared" si="105"/>
        <v>5</v>
      </c>
      <c r="Q2248" t="s">
        <v>38</v>
      </c>
      <c r="R2248">
        <f t="shared" si="106"/>
        <v>12</v>
      </c>
      <c r="S2248" t="str">
        <f t="shared" si="107"/>
        <v>Dec</v>
      </c>
      <c r="T2248" s="9">
        <f>VLOOKUP(O2248, Annual_Summary!A:B, 2, 0)</f>
        <v>-0.22036742088049704</v>
      </c>
    </row>
    <row r="2249" spans="1:20" x14ac:dyDescent="0.3">
      <c r="A2249" s="1">
        <v>46013</v>
      </c>
      <c r="B2249" t="s">
        <v>15</v>
      </c>
      <c r="C2249" s="3">
        <v>3310</v>
      </c>
      <c r="D2249" s="3">
        <v>3328.6</v>
      </c>
      <c r="E2249" s="3">
        <v>3291</v>
      </c>
      <c r="F2249" s="3">
        <v>3282</v>
      </c>
      <c r="G2249" s="3">
        <v>3324.9</v>
      </c>
      <c r="H2249" s="3">
        <v>3324.9</v>
      </c>
      <c r="I2249" s="3">
        <v>3314.14</v>
      </c>
      <c r="J2249" s="3">
        <v>4322.95</v>
      </c>
      <c r="K2249" s="3">
        <v>2866.6</v>
      </c>
      <c r="L2249" s="2">
        <v>2632816</v>
      </c>
      <c r="M2249" s="2">
        <v>8725523457.1000004</v>
      </c>
      <c r="N2249" s="2">
        <v>101733</v>
      </c>
      <c r="O2249" t="s">
        <v>25</v>
      </c>
      <c r="P2249" s="8">
        <f t="shared" si="105"/>
        <v>-28</v>
      </c>
      <c r="Q2249" t="s">
        <v>38</v>
      </c>
      <c r="R2249">
        <f t="shared" si="106"/>
        <v>12</v>
      </c>
      <c r="S2249" t="str">
        <f t="shared" si="107"/>
        <v>Dec</v>
      </c>
      <c r="T2249" s="9">
        <f>VLOOKUP(O2249, Annual_Summary!A:B, 2, 0)</f>
        <v>-0.22036742088049704</v>
      </c>
    </row>
    <row r="2250" spans="1:20" x14ac:dyDescent="0.3">
      <c r="A2250" s="1">
        <v>46010</v>
      </c>
      <c r="B2250" t="s">
        <v>15</v>
      </c>
      <c r="C2250" s="3">
        <v>3299</v>
      </c>
      <c r="D2250" s="3">
        <v>3317.9</v>
      </c>
      <c r="E2250" s="3">
        <v>3278.8</v>
      </c>
      <c r="F2250" s="3">
        <v>3280.8</v>
      </c>
      <c r="G2250" s="3">
        <v>3285</v>
      </c>
      <c r="H2250" s="3">
        <v>3282</v>
      </c>
      <c r="I2250" s="3">
        <v>3295</v>
      </c>
      <c r="J2250" s="3">
        <v>4475</v>
      </c>
      <c r="K2250" s="3">
        <v>2866.6</v>
      </c>
      <c r="L2250" s="2">
        <v>3902511</v>
      </c>
      <c r="M2250" s="2">
        <v>12858780664.299999</v>
      </c>
      <c r="N2250" s="2">
        <v>122711</v>
      </c>
      <c r="O2250" t="s">
        <v>25</v>
      </c>
      <c r="P2250" s="8">
        <f t="shared" si="105"/>
        <v>-18.199999999999818</v>
      </c>
      <c r="Q2250" t="s">
        <v>38</v>
      </c>
      <c r="R2250">
        <f t="shared" si="106"/>
        <v>12</v>
      </c>
      <c r="S2250" t="str">
        <f t="shared" si="107"/>
        <v>Dec</v>
      </c>
      <c r="T2250" s="9">
        <f>VLOOKUP(O2250, Annual_Summary!A:B, 2, 0)</f>
        <v>-0.22036742088049704</v>
      </c>
    </row>
    <row r="2251" spans="1:20" x14ac:dyDescent="0.3">
      <c r="A2251" s="1">
        <v>46009</v>
      </c>
      <c r="B2251" t="s">
        <v>15</v>
      </c>
      <c r="C2251" s="3">
        <v>3228</v>
      </c>
      <c r="D2251" s="3">
        <v>3287.8</v>
      </c>
      <c r="E2251" s="3">
        <v>3221</v>
      </c>
      <c r="F2251" s="3">
        <v>3217.8</v>
      </c>
      <c r="G2251" s="3">
        <v>3281.2</v>
      </c>
      <c r="H2251" s="3">
        <v>3280.8</v>
      </c>
      <c r="I2251" s="3">
        <v>3260.45</v>
      </c>
      <c r="J2251" s="3">
        <v>4475</v>
      </c>
      <c r="K2251" s="3">
        <v>2866.6</v>
      </c>
      <c r="L2251" s="2">
        <v>2307422</v>
      </c>
      <c r="M2251" s="2">
        <v>7523225819.8000002</v>
      </c>
      <c r="N2251" s="2">
        <v>166551</v>
      </c>
      <c r="O2251" t="s">
        <v>25</v>
      </c>
      <c r="P2251" s="8">
        <f t="shared" si="105"/>
        <v>-10.199999999999818</v>
      </c>
      <c r="Q2251" t="s">
        <v>38</v>
      </c>
      <c r="R2251">
        <f t="shared" si="106"/>
        <v>12</v>
      </c>
      <c r="S2251" t="str">
        <f t="shared" si="107"/>
        <v>Dec</v>
      </c>
      <c r="T2251" s="9">
        <f>VLOOKUP(O2251, Annual_Summary!A:B, 2, 0)</f>
        <v>-0.22036742088049704</v>
      </c>
    </row>
    <row r="2252" spans="1:20" x14ac:dyDescent="0.3">
      <c r="A2252" s="1">
        <v>46008</v>
      </c>
      <c r="B2252" t="s">
        <v>15</v>
      </c>
      <c r="C2252" s="3">
        <v>3200.5</v>
      </c>
      <c r="D2252" s="3">
        <v>3236.9</v>
      </c>
      <c r="E2252" s="3">
        <v>3200.5</v>
      </c>
      <c r="F2252" s="3">
        <v>3205.1</v>
      </c>
      <c r="G2252" s="3">
        <v>3217.8</v>
      </c>
      <c r="H2252" s="3">
        <v>3217.8</v>
      </c>
      <c r="I2252" s="3">
        <v>3218.6</v>
      </c>
      <c r="J2252" s="3">
        <v>4475</v>
      </c>
      <c r="K2252" s="3">
        <v>2866.6</v>
      </c>
      <c r="L2252" s="2">
        <v>1376350</v>
      </c>
      <c r="M2252" s="2">
        <v>4429915958.6999998</v>
      </c>
      <c r="N2252" s="2">
        <v>88357</v>
      </c>
      <c r="O2252" t="s">
        <v>25</v>
      </c>
      <c r="P2252" s="8">
        <f t="shared" si="105"/>
        <v>4.5999999999999091</v>
      </c>
      <c r="Q2252" t="s">
        <v>38</v>
      </c>
      <c r="R2252">
        <f t="shared" si="106"/>
        <v>12</v>
      </c>
      <c r="S2252" t="str">
        <f t="shared" si="107"/>
        <v>Dec</v>
      </c>
      <c r="T2252" s="9">
        <f>VLOOKUP(O2252, Annual_Summary!A:B, 2, 0)</f>
        <v>-0.22036742088049704</v>
      </c>
    </row>
    <row r="2253" spans="1:20" x14ac:dyDescent="0.3">
      <c r="A2253" s="1">
        <v>46007</v>
      </c>
      <c r="B2253" t="s">
        <v>15</v>
      </c>
      <c r="C2253" s="3">
        <v>3220</v>
      </c>
      <c r="D2253" s="3">
        <v>3220</v>
      </c>
      <c r="E2253" s="3">
        <v>3191.1</v>
      </c>
      <c r="F2253" s="3">
        <v>3230.2</v>
      </c>
      <c r="G2253" s="3">
        <v>3206.6</v>
      </c>
      <c r="H2253" s="3">
        <v>3205.1</v>
      </c>
      <c r="I2253" s="3">
        <v>3204.68</v>
      </c>
      <c r="J2253" s="3">
        <v>4475</v>
      </c>
      <c r="K2253" s="3">
        <v>2866.6</v>
      </c>
      <c r="L2253" s="2">
        <v>1734623</v>
      </c>
      <c r="M2253" s="2">
        <v>5558913487.8000002</v>
      </c>
      <c r="N2253" s="2">
        <v>97265</v>
      </c>
      <c r="O2253" t="s">
        <v>25</v>
      </c>
      <c r="P2253" s="8">
        <f t="shared" si="105"/>
        <v>10.199999999999818</v>
      </c>
      <c r="Q2253" t="s">
        <v>38</v>
      </c>
      <c r="R2253">
        <f t="shared" si="106"/>
        <v>12</v>
      </c>
      <c r="S2253" t="str">
        <f t="shared" si="107"/>
        <v>Dec</v>
      </c>
      <c r="T2253" s="9">
        <f>VLOOKUP(O2253, Annual_Summary!A:B, 2, 0)</f>
        <v>-0.22036742088049704</v>
      </c>
    </row>
    <row r="2254" spans="1:20" x14ac:dyDescent="0.3">
      <c r="A2254" s="1">
        <v>46006</v>
      </c>
      <c r="B2254" t="s">
        <v>15</v>
      </c>
      <c r="C2254" s="3">
        <v>3211.1</v>
      </c>
      <c r="D2254" s="3">
        <v>3238.2</v>
      </c>
      <c r="E2254" s="3">
        <v>3197.3</v>
      </c>
      <c r="F2254" s="3">
        <v>3220.5</v>
      </c>
      <c r="G2254" s="3">
        <v>3227</v>
      </c>
      <c r="H2254" s="3">
        <v>3230.2</v>
      </c>
      <c r="I2254" s="3">
        <v>3220.97</v>
      </c>
      <c r="J2254" s="3">
        <v>4475</v>
      </c>
      <c r="K2254" s="3">
        <v>2866.6</v>
      </c>
      <c r="L2254" s="2">
        <v>1562190</v>
      </c>
      <c r="M2254" s="2">
        <v>5031766680.6999998</v>
      </c>
      <c r="N2254" s="2">
        <v>107289</v>
      </c>
      <c r="O2254" t="s">
        <v>25</v>
      </c>
      <c r="P2254" s="8">
        <f t="shared" si="105"/>
        <v>9.4000000000000909</v>
      </c>
      <c r="Q2254" t="s">
        <v>38</v>
      </c>
      <c r="R2254">
        <f t="shared" si="106"/>
        <v>12</v>
      </c>
      <c r="S2254" t="str">
        <f t="shared" si="107"/>
        <v>Dec</v>
      </c>
      <c r="T2254" s="9">
        <f>VLOOKUP(O2254, Annual_Summary!A:B, 2, 0)</f>
        <v>-0.22036742088049704</v>
      </c>
    </row>
    <row r="2255" spans="1:20" x14ac:dyDescent="0.3">
      <c r="A2255" s="1">
        <v>46003</v>
      </c>
      <c r="B2255" t="s">
        <v>15</v>
      </c>
      <c r="C2255" s="3">
        <v>3197.7</v>
      </c>
      <c r="D2255" s="3">
        <v>3223</v>
      </c>
      <c r="E2255" s="3">
        <v>3185.7</v>
      </c>
      <c r="F2255" s="3">
        <v>3191.9</v>
      </c>
      <c r="G2255" s="3">
        <v>3220.1</v>
      </c>
      <c r="H2255" s="3">
        <v>3220.5</v>
      </c>
      <c r="I2255" s="3">
        <v>3209.12</v>
      </c>
      <c r="J2255" s="3">
        <v>4494.8999999999996</v>
      </c>
      <c r="K2255" s="3">
        <v>2866.6</v>
      </c>
      <c r="L2255" s="2">
        <v>1146554</v>
      </c>
      <c r="M2255" s="2">
        <v>3679424706.9000001</v>
      </c>
      <c r="N2255" s="2">
        <v>83968</v>
      </c>
      <c r="O2255" t="s">
        <v>25</v>
      </c>
      <c r="P2255" s="8">
        <f t="shared" si="105"/>
        <v>-5.7999999999997272</v>
      </c>
      <c r="Q2255" t="s">
        <v>38</v>
      </c>
      <c r="R2255">
        <f t="shared" si="106"/>
        <v>12</v>
      </c>
      <c r="S2255" t="str">
        <f t="shared" si="107"/>
        <v>Dec</v>
      </c>
      <c r="T2255" s="9">
        <f>VLOOKUP(O2255, Annual_Summary!A:B, 2, 0)</f>
        <v>-0.22036742088049704</v>
      </c>
    </row>
    <row r="2256" spans="1:20" x14ac:dyDescent="0.3">
      <c r="A2256" s="1">
        <v>46002</v>
      </c>
      <c r="B2256" t="s">
        <v>15</v>
      </c>
      <c r="C2256" s="3">
        <v>3205</v>
      </c>
      <c r="D2256" s="3">
        <v>3208.4</v>
      </c>
      <c r="E2256" s="3">
        <v>3153.1</v>
      </c>
      <c r="F2256" s="3">
        <v>3189.2</v>
      </c>
      <c r="G2256" s="3">
        <v>3193.9</v>
      </c>
      <c r="H2256" s="3">
        <v>3191.9</v>
      </c>
      <c r="I2256" s="3">
        <v>3184.35</v>
      </c>
      <c r="J2256" s="3">
        <v>4494.8999999999996</v>
      </c>
      <c r="K2256" s="3">
        <v>2866.6</v>
      </c>
      <c r="L2256" s="2">
        <v>1914362</v>
      </c>
      <c r="M2256" s="2">
        <v>6095995407.3000002</v>
      </c>
      <c r="N2256" s="2">
        <v>100793</v>
      </c>
      <c r="O2256" t="s">
        <v>25</v>
      </c>
      <c r="P2256" s="8">
        <f t="shared" si="105"/>
        <v>-15.800000000000182</v>
      </c>
      <c r="Q2256" t="s">
        <v>38</v>
      </c>
      <c r="R2256">
        <f t="shared" si="106"/>
        <v>12</v>
      </c>
      <c r="S2256" t="str">
        <f t="shared" si="107"/>
        <v>Dec</v>
      </c>
      <c r="T2256" s="9">
        <f>VLOOKUP(O2256, Annual_Summary!A:B, 2, 0)</f>
        <v>-0.22036742088049704</v>
      </c>
    </row>
    <row r="2257" spans="1:20" x14ac:dyDescent="0.3">
      <c r="A2257" s="1">
        <v>46001</v>
      </c>
      <c r="B2257" t="s">
        <v>15</v>
      </c>
      <c r="C2257" s="3">
        <v>3225</v>
      </c>
      <c r="D2257" s="3">
        <v>3225</v>
      </c>
      <c r="E2257" s="3">
        <v>3178.1</v>
      </c>
      <c r="F2257" s="3">
        <v>3208.3</v>
      </c>
      <c r="G2257" s="3">
        <v>3185</v>
      </c>
      <c r="H2257" s="3">
        <v>3189.2</v>
      </c>
      <c r="I2257" s="3">
        <v>3191.56</v>
      </c>
      <c r="J2257" s="3">
        <v>4494.8999999999996</v>
      </c>
      <c r="K2257" s="3">
        <v>2866.6</v>
      </c>
      <c r="L2257" s="2">
        <v>1386849</v>
      </c>
      <c r="M2257" s="2">
        <v>4426207513.5</v>
      </c>
      <c r="N2257" s="2">
        <v>82261</v>
      </c>
      <c r="O2257" t="s">
        <v>25</v>
      </c>
      <c r="P2257" s="8">
        <f t="shared" si="105"/>
        <v>-16.699999999999818</v>
      </c>
      <c r="Q2257" t="s">
        <v>38</v>
      </c>
      <c r="R2257">
        <f t="shared" si="106"/>
        <v>12</v>
      </c>
      <c r="S2257" t="str">
        <f t="shared" si="107"/>
        <v>Dec</v>
      </c>
      <c r="T2257" s="9">
        <f>VLOOKUP(O2257, Annual_Summary!A:B, 2, 0)</f>
        <v>-0.22036742088049704</v>
      </c>
    </row>
    <row r="2258" spans="1:20" x14ac:dyDescent="0.3">
      <c r="A2258" s="1">
        <v>46000</v>
      </c>
      <c r="B2258" t="s">
        <v>15</v>
      </c>
      <c r="C2258" s="3">
        <v>3230</v>
      </c>
      <c r="D2258" s="3">
        <v>3233.7</v>
      </c>
      <c r="E2258" s="3">
        <v>3181.2</v>
      </c>
      <c r="F2258" s="3">
        <v>3236.5</v>
      </c>
      <c r="G2258" s="3">
        <v>3208</v>
      </c>
      <c r="H2258" s="3">
        <v>3208.3</v>
      </c>
      <c r="I2258" s="3">
        <v>3201.08</v>
      </c>
      <c r="J2258" s="3">
        <v>4494.8999999999996</v>
      </c>
      <c r="K2258" s="3">
        <v>2866.6</v>
      </c>
      <c r="L2258" s="2">
        <v>2734893</v>
      </c>
      <c r="M2258" s="2">
        <v>8754608897.6000004</v>
      </c>
      <c r="N2258" s="2">
        <v>138787</v>
      </c>
      <c r="O2258" t="s">
        <v>25</v>
      </c>
      <c r="P2258" s="8">
        <f t="shared" si="105"/>
        <v>6.5</v>
      </c>
      <c r="Q2258" t="s">
        <v>38</v>
      </c>
      <c r="R2258">
        <f t="shared" si="106"/>
        <v>12</v>
      </c>
      <c r="S2258" t="str">
        <f t="shared" si="107"/>
        <v>Dec</v>
      </c>
      <c r="T2258" s="9">
        <f>VLOOKUP(O2258, Annual_Summary!A:B, 2, 0)</f>
        <v>-0.22036742088049704</v>
      </c>
    </row>
    <row r="2259" spans="1:20" x14ac:dyDescent="0.3">
      <c r="A2259" s="1">
        <v>45999</v>
      </c>
      <c r="B2259" t="s">
        <v>15</v>
      </c>
      <c r="C2259" s="3">
        <v>3243</v>
      </c>
      <c r="D2259" s="3">
        <v>3259.9</v>
      </c>
      <c r="E2259" s="3">
        <v>3208.6</v>
      </c>
      <c r="F2259" s="3">
        <v>3238.2</v>
      </c>
      <c r="G2259" s="3">
        <v>3237.9</v>
      </c>
      <c r="H2259" s="3">
        <v>3236.5</v>
      </c>
      <c r="I2259" s="3">
        <v>3236.92</v>
      </c>
      <c r="J2259" s="3">
        <v>4494.8999999999996</v>
      </c>
      <c r="K2259" s="3">
        <v>2866.6</v>
      </c>
      <c r="L2259" s="2">
        <v>2544725</v>
      </c>
      <c r="M2259" s="2">
        <v>8237058645.8999996</v>
      </c>
      <c r="N2259" s="2">
        <v>121186</v>
      </c>
      <c r="O2259" t="s">
        <v>25</v>
      </c>
      <c r="P2259" s="8">
        <f t="shared" si="105"/>
        <v>-4.8000000000001819</v>
      </c>
      <c r="Q2259" t="s">
        <v>38</v>
      </c>
      <c r="R2259">
        <f t="shared" si="106"/>
        <v>12</v>
      </c>
      <c r="S2259" t="str">
        <f t="shared" si="107"/>
        <v>Dec</v>
      </c>
      <c r="T2259" s="9">
        <f>VLOOKUP(O2259, Annual_Summary!A:B, 2, 0)</f>
        <v>-0.22036742088049704</v>
      </c>
    </row>
    <row r="2260" spans="1:20" x14ac:dyDescent="0.3">
      <c r="A2260" s="1">
        <v>45996</v>
      </c>
      <c r="B2260" t="s">
        <v>15</v>
      </c>
      <c r="C2260" s="3">
        <v>3230</v>
      </c>
      <c r="D2260" s="3">
        <v>3271.6</v>
      </c>
      <c r="E2260" s="3">
        <v>3222.4</v>
      </c>
      <c r="F2260" s="3">
        <v>3229.2</v>
      </c>
      <c r="G2260" s="3">
        <v>3241</v>
      </c>
      <c r="H2260" s="3">
        <v>3238.2</v>
      </c>
      <c r="I2260" s="3">
        <v>3246.03</v>
      </c>
      <c r="J2260" s="3">
        <v>4494.8999999999996</v>
      </c>
      <c r="K2260" s="3">
        <v>2866.6</v>
      </c>
      <c r="L2260" s="2">
        <v>5244013</v>
      </c>
      <c r="M2260" s="2">
        <v>17022214888.299999</v>
      </c>
      <c r="N2260" s="2">
        <v>178219</v>
      </c>
      <c r="O2260" t="s">
        <v>25</v>
      </c>
      <c r="P2260" s="8">
        <f t="shared" si="105"/>
        <v>-0.8000000000001819</v>
      </c>
      <c r="Q2260" t="s">
        <v>38</v>
      </c>
      <c r="R2260">
        <f t="shared" si="106"/>
        <v>12</v>
      </c>
      <c r="S2260" t="str">
        <f t="shared" si="107"/>
        <v>Dec</v>
      </c>
      <c r="T2260" s="9">
        <f>VLOOKUP(O2260, Annual_Summary!A:B, 2, 0)</f>
        <v>-0.22036742088049704</v>
      </c>
    </row>
    <row r="2261" spans="1:20" x14ac:dyDescent="0.3">
      <c r="A2261" s="1">
        <v>45995</v>
      </c>
      <c r="B2261" t="s">
        <v>15</v>
      </c>
      <c r="C2261" s="3">
        <v>3194</v>
      </c>
      <c r="D2261" s="3">
        <v>3250</v>
      </c>
      <c r="E2261" s="3">
        <v>3187.4</v>
      </c>
      <c r="F2261" s="3">
        <v>3180</v>
      </c>
      <c r="G2261" s="3">
        <v>3227</v>
      </c>
      <c r="H2261" s="3">
        <v>3229.2</v>
      </c>
      <c r="I2261" s="3">
        <v>3231.21</v>
      </c>
      <c r="J2261" s="3">
        <v>4494.8999999999996</v>
      </c>
      <c r="K2261" s="3">
        <v>2866.6</v>
      </c>
      <c r="L2261" s="2">
        <v>5025905</v>
      </c>
      <c r="M2261" s="2">
        <v>16239749623.200001</v>
      </c>
      <c r="N2261" s="2">
        <v>185585</v>
      </c>
      <c r="O2261" t="s">
        <v>25</v>
      </c>
      <c r="P2261" s="8">
        <f t="shared" si="105"/>
        <v>-14</v>
      </c>
      <c r="Q2261" t="s">
        <v>38</v>
      </c>
      <c r="R2261">
        <f t="shared" si="106"/>
        <v>12</v>
      </c>
      <c r="S2261" t="str">
        <f t="shared" si="107"/>
        <v>Dec</v>
      </c>
      <c r="T2261" s="9">
        <f>VLOOKUP(O2261, Annual_Summary!A:B, 2, 0)</f>
        <v>-0.22036742088049704</v>
      </c>
    </row>
    <row r="2262" spans="1:20" x14ac:dyDescent="0.3">
      <c r="A2262" s="1">
        <v>45994</v>
      </c>
      <c r="B2262" t="s">
        <v>15</v>
      </c>
      <c r="C2262" s="3">
        <v>3140</v>
      </c>
      <c r="D2262" s="3">
        <v>3211.9</v>
      </c>
      <c r="E2262" s="3">
        <v>3139</v>
      </c>
      <c r="F2262" s="3">
        <v>3135.7</v>
      </c>
      <c r="G2262" s="3">
        <v>3180</v>
      </c>
      <c r="H2262" s="3">
        <v>3180</v>
      </c>
      <c r="I2262" s="3">
        <v>3185.48</v>
      </c>
      <c r="J2262" s="3">
        <v>4494.8999999999996</v>
      </c>
      <c r="K2262" s="3">
        <v>2866.6</v>
      </c>
      <c r="L2262" s="2">
        <v>3952112</v>
      </c>
      <c r="M2262" s="2">
        <v>12589378283.4</v>
      </c>
      <c r="N2262" s="2">
        <v>192454</v>
      </c>
      <c r="O2262" t="s">
        <v>25</v>
      </c>
      <c r="P2262" s="8">
        <f t="shared" si="105"/>
        <v>-4.3000000000001819</v>
      </c>
      <c r="Q2262" t="s">
        <v>38</v>
      </c>
      <c r="R2262">
        <f t="shared" si="106"/>
        <v>12</v>
      </c>
      <c r="S2262" t="str">
        <f t="shared" si="107"/>
        <v>Dec</v>
      </c>
      <c r="T2262" s="9">
        <f>VLOOKUP(O2262, Annual_Summary!A:B, 2, 0)</f>
        <v>-0.22036742088049704</v>
      </c>
    </row>
    <row r="2263" spans="1:20" x14ac:dyDescent="0.3">
      <c r="A2263" s="1">
        <v>45993</v>
      </c>
      <c r="B2263" t="s">
        <v>15</v>
      </c>
      <c r="C2263" s="3">
        <v>3131</v>
      </c>
      <c r="D2263" s="3">
        <v>3144</v>
      </c>
      <c r="E2263" s="3">
        <v>3120.4</v>
      </c>
      <c r="F2263" s="3">
        <v>3133.4</v>
      </c>
      <c r="G2263" s="3">
        <v>3137.5</v>
      </c>
      <c r="H2263" s="3">
        <v>3135.7</v>
      </c>
      <c r="I2263" s="3">
        <v>3133.36</v>
      </c>
      <c r="J2263" s="3">
        <v>4494.8999999999996</v>
      </c>
      <c r="K2263" s="3">
        <v>2866.6</v>
      </c>
      <c r="L2263" s="2">
        <v>2512003</v>
      </c>
      <c r="M2263" s="2">
        <v>7871011640.6000004</v>
      </c>
      <c r="N2263" s="2">
        <v>127701</v>
      </c>
      <c r="O2263" t="s">
        <v>25</v>
      </c>
      <c r="P2263" s="8">
        <f t="shared" si="105"/>
        <v>2.4000000000000909</v>
      </c>
      <c r="Q2263" t="s">
        <v>38</v>
      </c>
      <c r="R2263">
        <f t="shared" si="106"/>
        <v>12</v>
      </c>
      <c r="S2263" t="str">
        <f t="shared" si="107"/>
        <v>Dec</v>
      </c>
      <c r="T2263" s="9">
        <f>VLOOKUP(O2263, Annual_Summary!A:B, 2, 0)</f>
        <v>-0.22036742088049704</v>
      </c>
    </row>
    <row r="2264" spans="1:20" x14ac:dyDescent="0.3">
      <c r="A2264" s="1">
        <v>45992</v>
      </c>
      <c r="B2264" t="s">
        <v>15</v>
      </c>
      <c r="C2264" s="3">
        <v>3137.9</v>
      </c>
      <c r="D2264" s="3">
        <v>3154</v>
      </c>
      <c r="E2264" s="3">
        <v>3122.2</v>
      </c>
      <c r="F2264" s="3">
        <v>3137.5</v>
      </c>
      <c r="G2264" s="3">
        <v>3138</v>
      </c>
      <c r="H2264" s="3">
        <v>3133.4</v>
      </c>
      <c r="I2264" s="3">
        <v>3133.29</v>
      </c>
      <c r="J2264" s="3">
        <v>4494.8999999999996</v>
      </c>
      <c r="K2264" s="3">
        <v>2866.6</v>
      </c>
      <c r="L2264" s="2">
        <v>1747647</v>
      </c>
      <c r="M2264" s="2">
        <v>5475878282.1999998</v>
      </c>
      <c r="N2264" s="2">
        <v>130698</v>
      </c>
      <c r="O2264" t="s">
        <v>25</v>
      </c>
      <c r="P2264" s="8">
        <f t="shared" si="105"/>
        <v>-0.40000000000009095</v>
      </c>
      <c r="Q2264" t="s">
        <v>38</v>
      </c>
      <c r="R2264">
        <f t="shared" si="106"/>
        <v>12</v>
      </c>
      <c r="S2264" t="str">
        <f t="shared" si="107"/>
        <v>Dec</v>
      </c>
      <c r="T2264" s="9">
        <f>VLOOKUP(O2264, Annual_Summary!A:B, 2, 0)</f>
        <v>-0.22036742088049704</v>
      </c>
    </row>
    <row r="2265" spans="1:20" x14ac:dyDescent="0.3">
      <c r="A2265" s="1">
        <v>45989</v>
      </c>
      <c r="B2265" t="s">
        <v>15</v>
      </c>
      <c r="C2265" s="3">
        <v>3140</v>
      </c>
      <c r="D2265" s="3">
        <v>3147.3</v>
      </c>
      <c r="E2265" s="3">
        <v>3125</v>
      </c>
      <c r="F2265" s="3">
        <v>3136.6</v>
      </c>
      <c r="G2265" s="3">
        <v>3135.9</v>
      </c>
      <c r="H2265" s="3">
        <v>3137.5</v>
      </c>
      <c r="I2265" s="3">
        <v>3137.82</v>
      </c>
      <c r="J2265" s="3">
        <v>4494.8999999999996</v>
      </c>
      <c r="K2265" s="3">
        <v>2866.6</v>
      </c>
      <c r="L2265" s="2">
        <v>1616690</v>
      </c>
      <c r="M2265" s="2">
        <v>5072888841.3000002</v>
      </c>
      <c r="N2265" s="2">
        <v>79463</v>
      </c>
      <c r="O2265" t="s">
        <v>25</v>
      </c>
      <c r="P2265" s="8">
        <f t="shared" si="105"/>
        <v>-3.4000000000000909</v>
      </c>
      <c r="Q2265" t="s">
        <v>38</v>
      </c>
      <c r="R2265">
        <f t="shared" si="106"/>
        <v>11</v>
      </c>
      <c r="S2265" t="str">
        <f t="shared" si="107"/>
        <v>Nov</v>
      </c>
      <c r="T2265" s="9">
        <f>VLOOKUP(O2265, Annual_Summary!A:B, 2, 0)</f>
        <v>-0.22036742088049704</v>
      </c>
    </row>
    <row r="2266" spans="1:20" x14ac:dyDescent="0.3">
      <c r="A2266" s="1">
        <v>45988</v>
      </c>
      <c r="B2266" t="s">
        <v>15</v>
      </c>
      <c r="C2266" s="3">
        <v>3180</v>
      </c>
      <c r="D2266" s="3">
        <v>3180</v>
      </c>
      <c r="E2266" s="3">
        <v>3125</v>
      </c>
      <c r="F2266" s="3">
        <v>3162.9</v>
      </c>
      <c r="G2266" s="3">
        <v>3134</v>
      </c>
      <c r="H2266" s="3">
        <v>3136.6</v>
      </c>
      <c r="I2266" s="3">
        <v>3142.97</v>
      </c>
      <c r="J2266" s="3">
        <v>4494.8999999999996</v>
      </c>
      <c r="K2266" s="3">
        <v>2866.6</v>
      </c>
      <c r="L2266" s="2">
        <v>2836233</v>
      </c>
      <c r="M2266" s="2">
        <v>8914192099.1000004</v>
      </c>
      <c r="N2266" s="2">
        <v>171374</v>
      </c>
      <c r="O2266" t="s">
        <v>25</v>
      </c>
      <c r="P2266" s="8">
        <f t="shared" si="105"/>
        <v>-17.099999999999909</v>
      </c>
      <c r="Q2266" t="s">
        <v>38</v>
      </c>
      <c r="R2266">
        <f t="shared" si="106"/>
        <v>11</v>
      </c>
      <c r="S2266" t="str">
        <f t="shared" si="107"/>
        <v>Nov</v>
      </c>
      <c r="T2266" s="9">
        <f>VLOOKUP(O2266, Annual_Summary!A:B, 2, 0)</f>
        <v>-0.22036742088049704</v>
      </c>
    </row>
    <row r="2267" spans="1:20" x14ac:dyDescent="0.3">
      <c r="A2267" s="1">
        <v>45987</v>
      </c>
      <c r="B2267" t="s">
        <v>15</v>
      </c>
      <c r="C2267" s="3">
        <v>3118.8</v>
      </c>
      <c r="D2267" s="3">
        <v>3178</v>
      </c>
      <c r="E2267" s="3">
        <v>3117</v>
      </c>
      <c r="F2267" s="3">
        <v>3119.2</v>
      </c>
      <c r="G2267" s="3">
        <v>3162.9</v>
      </c>
      <c r="H2267" s="3">
        <v>3162.9</v>
      </c>
      <c r="I2267" s="3">
        <v>3157.95</v>
      </c>
      <c r="J2267" s="3">
        <v>4494.8999999999996</v>
      </c>
      <c r="K2267" s="3">
        <v>2866.6</v>
      </c>
      <c r="L2267" s="2">
        <v>2508527</v>
      </c>
      <c r="M2267" s="2">
        <v>7921809747</v>
      </c>
      <c r="N2267" s="2">
        <v>112405</v>
      </c>
      <c r="O2267" t="s">
        <v>25</v>
      </c>
      <c r="P2267" s="8">
        <f t="shared" si="105"/>
        <v>0.3999999999996362</v>
      </c>
      <c r="Q2267" t="s">
        <v>38</v>
      </c>
      <c r="R2267">
        <f t="shared" si="106"/>
        <v>11</v>
      </c>
      <c r="S2267" t="str">
        <f t="shared" si="107"/>
        <v>Nov</v>
      </c>
      <c r="T2267" s="9">
        <f>VLOOKUP(O2267, Annual_Summary!A:B, 2, 0)</f>
        <v>-0.22036742088049704</v>
      </c>
    </row>
    <row r="2268" spans="1:20" x14ac:dyDescent="0.3">
      <c r="A2268" s="1">
        <v>45986</v>
      </c>
      <c r="B2268" t="s">
        <v>15</v>
      </c>
      <c r="C2268" s="3">
        <v>3145.3</v>
      </c>
      <c r="D2268" s="3">
        <v>3149.8</v>
      </c>
      <c r="E2268" s="3">
        <v>3115</v>
      </c>
      <c r="F2268" s="3">
        <v>3141.2</v>
      </c>
      <c r="G2268" s="3">
        <v>3115.7</v>
      </c>
      <c r="H2268" s="3">
        <v>3119.2</v>
      </c>
      <c r="I2268" s="3">
        <v>3127.55</v>
      </c>
      <c r="J2268" s="3">
        <v>4494.8999999999996</v>
      </c>
      <c r="K2268" s="3">
        <v>2866.6</v>
      </c>
      <c r="L2268" s="2">
        <v>2737920</v>
      </c>
      <c r="M2268" s="2">
        <v>8562968101.6999998</v>
      </c>
      <c r="N2268" s="2">
        <v>144573</v>
      </c>
      <c r="O2268" t="s">
        <v>25</v>
      </c>
      <c r="P2268" s="8">
        <f t="shared" si="105"/>
        <v>-4.1000000000003638</v>
      </c>
      <c r="Q2268" t="s">
        <v>38</v>
      </c>
      <c r="R2268">
        <f t="shared" si="106"/>
        <v>11</v>
      </c>
      <c r="S2268" t="str">
        <f t="shared" si="107"/>
        <v>Nov</v>
      </c>
      <c r="T2268" s="9">
        <f>VLOOKUP(O2268, Annual_Summary!A:B, 2, 0)</f>
        <v>-0.22036742088049704</v>
      </c>
    </row>
    <row r="2269" spans="1:20" x14ac:dyDescent="0.3">
      <c r="A2269" s="1">
        <v>45985</v>
      </c>
      <c r="B2269" t="s">
        <v>15</v>
      </c>
      <c r="C2269" s="3">
        <v>3158</v>
      </c>
      <c r="D2269" s="3">
        <v>3178.9</v>
      </c>
      <c r="E2269" s="3">
        <v>3131</v>
      </c>
      <c r="F2269" s="3">
        <v>3150.6</v>
      </c>
      <c r="G2269" s="3">
        <v>3134</v>
      </c>
      <c r="H2269" s="3">
        <v>3141.2</v>
      </c>
      <c r="I2269" s="3">
        <v>3151.71</v>
      </c>
      <c r="J2269" s="3">
        <v>4494.8999999999996</v>
      </c>
      <c r="K2269" s="3">
        <v>2866.6</v>
      </c>
      <c r="L2269" s="2">
        <v>6703764</v>
      </c>
      <c r="M2269" s="2">
        <v>21128317183.5</v>
      </c>
      <c r="N2269" s="2">
        <v>176937</v>
      </c>
      <c r="O2269" t="s">
        <v>25</v>
      </c>
      <c r="P2269" s="8">
        <f t="shared" si="105"/>
        <v>-7.4000000000000909</v>
      </c>
      <c r="Q2269" t="s">
        <v>38</v>
      </c>
      <c r="R2269">
        <f t="shared" si="106"/>
        <v>11</v>
      </c>
      <c r="S2269" t="str">
        <f t="shared" si="107"/>
        <v>Nov</v>
      </c>
      <c r="T2269" s="9">
        <f>VLOOKUP(O2269, Annual_Summary!A:B, 2, 0)</f>
        <v>-0.22036742088049704</v>
      </c>
    </row>
    <row r="2270" spans="1:20" x14ac:dyDescent="0.3">
      <c r="A2270" s="1">
        <v>45982</v>
      </c>
      <c r="B2270" t="s">
        <v>15</v>
      </c>
      <c r="C2270" s="3">
        <v>3144.8</v>
      </c>
      <c r="D2270" s="3">
        <v>3170</v>
      </c>
      <c r="E2270" s="3">
        <v>3135.2</v>
      </c>
      <c r="F2270" s="3">
        <v>3144.8</v>
      </c>
      <c r="G2270" s="3">
        <v>3150</v>
      </c>
      <c r="H2270" s="3">
        <v>3150.6</v>
      </c>
      <c r="I2270" s="3">
        <v>3153.22</v>
      </c>
      <c r="J2270" s="3">
        <v>4494.8999999999996</v>
      </c>
      <c r="K2270" s="3">
        <v>2866.6</v>
      </c>
      <c r="L2270" s="2">
        <v>4177037</v>
      </c>
      <c r="M2270" s="2">
        <v>13171133172.799999</v>
      </c>
      <c r="N2270" s="2">
        <v>136571</v>
      </c>
      <c r="O2270" t="s">
        <v>25</v>
      </c>
      <c r="P2270" s="8">
        <f t="shared" si="105"/>
        <v>0</v>
      </c>
      <c r="Q2270" t="s">
        <v>38</v>
      </c>
      <c r="R2270">
        <f t="shared" si="106"/>
        <v>11</v>
      </c>
      <c r="S2270" t="str">
        <f t="shared" si="107"/>
        <v>Nov</v>
      </c>
      <c r="T2270" s="9">
        <f>VLOOKUP(O2270, Annual_Summary!A:B, 2, 0)</f>
        <v>-0.22036742088049704</v>
      </c>
    </row>
    <row r="2271" spans="1:20" x14ac:dyDescent="0.3">
      <c r="A2271" s="1">
        <v>45981</v>
      </c>
      <c r="B2271" t="s">
        <v>15</v>
      </c>
      <c r="C2271" s="3">
        <v>3148</v>
      </c>
      <c r="D2271" s="3">
        <v>3164.5</v>
      </c>
      <c r="E2271" s="3">
        <v>3138.1</v>
      </c>
      <c r="F2271" s="3">
        <v>3147.7</v>
      </c>
      <c r="G2271" s="3">
        <v>3149.8</v>
      </c>
      <c r="H2271" s="3">
        <v>3144.8</v>
      </c>
      <c r="I2271" s="3">
        <v>3152.05</v>
      </c>
      <c r="J2271" s="3">
        <v>4494.8999999999996</v>
      </c>
      <c r="K2271" s="3">
        <v>2866.6</v>
      </c>
      <c r="L2271" s="2">
        <v>2700767</v>
      </c>
      <c r="M2271" s="2">
        <v>8512940687.6999998</v>
      </c>
      <c r="N2271" s="2">
        <v>113822</v>
      </c>
      <c r="O2271" t="s">
        <v>25</v>
      </c>
      <c r="P2271" s="8">
        <f t="shared" si="105"/>
        <v>-0.3000000000001819</v>
      </c>
      <c r="Q2271" t="s">
        <v>38</v>
      </c>
      <c r="R2271">
        <f t="shared" si="106"/>
        <v>11</v>
      </c>
      <c r="S2271" t="str">
        <f t="shared" si="107"/>
        <v>Nov</v>
      </c>
      <c r="T2271" s="9">
        <f>VLOOKUP(O2271, Annual_Summary!A:B, 2, 0)</f>
        <v>-0.22036742088049704</v>
      </c>
    </row>
    <row r="2272" spans="1:20" x14ac:dyDescent="0.3">
      <c r="A2272" s="1">
        <v>45980</v>
      </c>
      <c r="B2272" t="s">
        <v>15</v>
      </c>
      <c r="C2272" s="3">
        <v>3097</v>
      </c>
      <c r="D2272" s="3">
        <v>3155</v>
      </c>
      <c r="E2272" s="3">
        <v>3083.5</v>
      </c>
      <c r="F2272" s="3">
        <v>3087.1</v>
      </c>
      <c r="G2272" s="3">
        <v>3147</v>
      </c>
      <c r="H2272" s="3">
        <v>3147.7</v>
      </c>
      <c r="I2272" s="3">
        <v>3136.67</v>
      </c>
      <c r="J2272" s="3">
        <v>4494.8999999999996</v>
      </c>
      <c r="K2272" s="3">
        <v>2866.6</v>
      </c>
      <c r="L2272" s="2">
        <v>3151053</v>
      </c>
      <c r="M2272" s="2">
        <v>9883820509.7999992</v>
      </c>
      <c r="N2272" s="2">
        <v>160625</v>
      </c>
      <c r="O2272" t="s">
        <v>25</v>
      </c>
      <c r="P2272" s="8">
        <f t="shared" si="105"/>
        <v>-9.9000000000000909</v>
      </c>
      <c r="Q2272" t="s">
        <v>38</v>
      </c>
      <c r="R2272">
        <f t="shared" si="106"/>
        <v>11</v>
      </c>
      <c r="S2272" t="str">
        <f t="shared" si="107"/>
        <v>Nov</v>
      </c>
      <c r="T2272" s="9">
        <f>VLOOKUP(O2272, Annual_Summary!A:B, 2, 0)</f>
        <v>-0.22036742088049704</v>
      </c>
    </row>
    <row r="2273" spans="1:20" x14ac:dyDescent="0.3">
      <c r="A2273" s="1">
        <v>45979</v>
      </c>
      <c r="B2273" t="s">
        <v>15</v>
      </c>
      <c r="C2273" s="3">
        <v>3102</v>
      </c>
      <c r="D2273" s="3">
        <v>3105</v>
      </c>
      <c r="E2273" s="3">
        <v>3078</v>
      </c>
      <c r="F2273" s="3">
        <v>3102.2</v>
      </c>
      <c r="G2273" s="3">
        <v>3080.1</v>
      </c>
      <c r="H2273" s="3">
        <v>3087.1</v>
      </c>
      <c r="I2273" s="3">
        <v>3090.92</v>
      </c>
      <c r="J2273" s="3">
        <v>4494.8999999999996</v>
      </c>
      <c r="K2273" s="3">
        <v>2866.6</v>
      </c>
      <c r="L2273" s="2">
        <v>2548350</v>
      </c>
      <c r="M2273" s="2">
        <v>7876755648.8999996</v>
      </c>
      <c r="N2273" s="2">
        <v>110903</v>
      </c>
      <c r="O2273" t="s">
        <v>25</v>
      </c>
      <c r="P2273" s="8">
        <f t="shared" si="105"/>
        <v>0.1999999999998181</v>
      </c>
      <c r="Q2273" t="s">
        <v>38</v>
      </c>
      <c r="R2273">
        <f t="shared" si="106"/>
        <v>11</v>
      </c>
      <c r="S2273" t="str">
        <f t="shared" si="107"/>
        <v>Nov</v>
      </c>
      <c r="T2273" s="9">
        <f>VLOOKUP(O2273, Annual_Summary!A:B, 2, 0)</f>
        <v>-0.22036742088049704</v>
      </c>
    </row>
    <row r="2274" spans="1:20" x14ac:dyDescent="0.3">
      <c r="A2274" s="1">
        <v>45978</v>
      </c>
      <c r="B2274" t="s">
        <v>15</v>
      </c>
      <c r="C2274" s="3">
        <v>3106</v>
      </c>
      <c r="D2274" s="3">
        <v>3123.5</v>
      </c>
      <c r="E2274" s="3">
        <v>3086.6</v>
      </c>
      <c r="F2274" s="3">
        <v>3106</v>
      </c>
      <c r="G2274" s="3">
        <v>3100</v>
      </c>
      <c r="H2274" s="3">
        <v>3102.2</v>
      </c>
      <c r="I2274" s="3">
        <v>3099.87</v>
      </c>
      <c r="J2274" s="3">
        <v>4494.8999999999996</v>
      </c>
      <c r="K2274" s="3">
        <v>2866.6</v>
      </c>
      <c r="L2274" s="2">
        <v>2232853</v>
      </c>
      <c r="M2274" s="2">
        <v>6921546326.8999996</v>
      </c>
      <c r="N2274" s="2">
        <v>96155</v>
      </c>
      <c r="O2274" t="s">
        <v>25</v>
      </c>
      <c r="P2274" s="8">
        <f t="shared" si="105"/>
        <v>0</v>
      </c>
      <c r="Q2274" t="s">
        <v>38</v>
      </c>
      <c r="R2274">
        <f t="shared" si="106"/>
        <v>11</v>
      </c>
      <c r="S2274" t="str">
        <f t="shared" si="107"/>
        <v>Nov</v>
      </c>
      <c r="T2274" s="9">
        <f>VLOOKUP(O2274, Annual_Summary!A:B, 2, 0)</f>
        <v>-0.22036742088049704</v>
      </c>
    </row>
    <row r="2275" spans="1:20" x14ac:dyDescent="0.3">
      <c r="A2275" s="1">
        <v>45975</v>
      </c>
      <c r="B2275" t="s">
        <v>15</v>
      </c>
      <c r="C2275" s="3">
        <v>3090</v>
      </c>
      <c r="D2275" s="3">
        <v>3113.1</v>
      </c>
      <c r="E2275" s="3">
        <v>3077.3</v>
      </c>
      <c r="F2275" s="3">
        <v>3105.7</v>
      </c>
      <c r="G2275" s="3">
        <v>3112</v>
      </c>
      <c r="H2275" s="3">
        <v>3106</v>
      </c>
      <c r="I2275" s="3">
        <v>3095.35</v>
      </c>
      <c r="J2275" s="3">
        <v>4494.8999999999996</v>
      </c>
      <c r="K2275" s="3">
        <v>2866.6</v>
      </c>
      <c r="L2275" s="2">
        <v>2210794</v>
      </c>
      <c r="M2275" s="2">
        <v>6843177119.8999996</v>
      </c>
      <c r="N2275" s="2">
        <v>105008</v>
      </c>
      <c r="O2275" t="s">
        <v>25</v>
      </c>
      <c r="P2275" s="8">
        <f t="shared" si="105"/>
        <v>15.699999999999818</v>
      </c>
      <c r="Q2275" t="s">
        <v>38</v>
      </c>
      <c r="R2275">
        <f t="shared" si="106"/>
        <v>11</v>
      </c>
      <c r="S2275" t="str">
        <f t="shared" si="107"/>
        <v>Nov</v>
      </c>
      <c r="T2275" s="9">
        <f>VLOOKUP(O2275, Annual_Summary!A:B, 2, 0)</f>
        <v>-0.22036742088049704</v>
      </c>
    </row>
    <row r="2276" spans="1:20" x14ac:dyDescent="0.3">
      <c r="A2276" s="1">
        <v>45974</v>
      </c>
      <c r="B2276" t="s">
        <v>15</v>
      </c>
      <c r="C2276" s="3">
        <v>3131.8</v>
      </c>
      <c r="D2276" s="3">
        <v>3131.9</v>
      </c>
      <c r="E2276" s="3">
        <v>3102</v>
      </c>
      <c r="F2276" s="3">
        <v>3131.8</v>
      </c>
      <c r="G2276" s="3">
        <v>3104.8</v>
      </c>
      <c r="H2276" s="3">
        <v>3105.7</v>
      </c>
      <c r="I2276" s="3">
        <v>3113.07</v>
      </c>
      <c r="J2276" s="3">
        <v>4494.8999999999996</v>
      </c>
      <c r="K2276" s="3">
        <v>2866.6</v>
      </c>
      <c r="L2276" s="2">
        <v>1740435</v>
      </c>
      <c r="M2276" s="2">
        <v>5418091012.5</v>
      </c>
      <c r="N2276" s="2">
        <v>120845</v>
      </c>
      <c r="O2276" t="s">
        <v>25</v>
      </c>
      <c r="P2276" s="8">
        <f t="shared" si="105"/>
        <v>0</v>
      </c>
      <c r="Q2276" t="s">
        <v>38</v>
      </c>
      <c r="R2276">
        <f t="shared" si="106"/>
        <v>11</v>
      </c>
      <c r="S2276" t="str">
        <f t="shared" si="107"/>
        <v>Nov</v>
      </c>
      <c r="T2276" s="9">
        <f>VLOOKUP(O2276, Annual_Summary!A:B, 2, 0)</f>
        <v>-0.22036742088049704</v>
      </c>
    </row>
    <row r="2277" spans="1:20" x14ac:dyDescent="0.3">
      <c r="A2277" s="1">
        <v>45973</v>
      </c>
      <c r="B2277" t="s">
        <v>15</v>
      </c>
      <c r="C2277" s="3">
        <v>3060</v>
      </c>
      <c r="D2277" s="3">
        <v>3136.4</v>
      </c>
      <c r="E2277" s="3">
        <v>3057.1</v>
      </c>
      <c r="F2277" s="3">
        <v>3047</v>
      </c>
      <c r="G2277" s="3">
        <v>3125.1</v>
      </c>
      <c r="H2277" s="3">
        <v>3131.8</v>
      </c>
      <c r="I2277" s="3">
        <v>3114.78</v>
      </c>
      <c r="J2277" s="3">
        <v>4494.8999999999996</v>
      </c>
      <c r="K2277" s="3">
        <v>2866.6</v>
      </c>
      <c r="L2277" s="2">
        <v>4460315</v>
      </c>
      <c r="M2277" s="2">
        <v>13892902410.200001</v>
      </c>
      <c r="N2277" s="2">
        <v>175446</v>
      </c>
      <c r="O2277" t="s">
        <v>25</v>
      </c>
      <c r="P2277" s="8">
        <f t="shared" si="105"/>
        <v>-13</v>
      </c>
      <c r="Q2277" t="s">
        <v>38</v>
      </c>
      <c r="R2277">
        <f t="shared" si="106"/>
        <v>11</v>
      </c>
      <c r="S2277" t="str">
        <f t="shared" si="107"/>
        <v>Nov</v>
      </c>
      <c r="T2277" s="9">
        <f>VLOOKUP(O2277, Annual_Summary!A:B, 2, 0)</f>
        <v>-0.22036742088049704</v>
      </c>
    </row>
    <row r="2278" spans="1:20" x14ac:dyDescent="0.3">
      <c r="A2278" s="1">
        <v>45972</v>
      </c>
      <c r="B2278" t="s">
        <v>15</v>
      </c>
      <c r="C2278" s="3">
        <v>3045</v>
      </c>
      <c r="D2278" s="3">
        <v>3055.7</v>
      </c>
      <c r="E2278" s="3">
        <v>3018</v>
      </c>
      <c r="F2278" s="3">
        <v>3025.2</v>
      </c>
      <c r="G2278" s="3">
        <v>3049</v>
      </c>
      <c r="H2278" s="3">
        <v>3047</v>
      </c>
      <c r="I2278" s="3">
        <v>3037.03</v>
      </c>
      <c r="J2278" s="3">
        <v>4494.8999999999996</v>
      </c>
      <c r="K2278" s="3">
        <v>2866.6</v>
      </c>
      <c r="L2278" s="2">
        <v>2806868</v>
      </c>
      <c r="M2278" s="2">
        <v>8524541738.5</v>
      </c>
      <c r="N2278" s="2">
        <v>112361</v>
      </c>
      <c r="O2278" t="s">
        <v>25</v>
      </c>
      <c r="P2278" s="8">
        <f t="shared" si="105"/>
        <v>-19.800000000000182</v>
      </c>
      <c r="Q2278" t="s">
        <v>38</v>
      </c>
      <c r="R2278">
        <f t="shared" si="106"/>
        <v>11</v>
      </c>
      <c r="S2278" t="str">
        <f t="shared" si="107"/>
        <v>Nov</v>
      </c>
      <c r="T2278" s="9">
        <f>VLOOKUP(O2278, Annual_Summary!A:B, 2, 0)</f>
        <v>-0.22036742088049704</v>
      </c>
    </row>
    <row r="2279" spans="1:20" x14ac:dyDescent="0.3">
      <c r="A2279" s="1">
        <v>45971</v>
      </c>
      <c r="B2279" t="s">
        <v>15</v>
      </c>
      <c r="C2279" s="3">
        <v>2993</v>
      </c>
      <c r="D2279" s="3">
        <v>3047.9</v>
      </c>
      <c r="E2279" s="3">
        <v>2992</v>
      </c>
      <c r="F2279" s="3">
        <v>2991.8</v>
      </c>
      <c r="G2279" s="3">
        <v>3025</v>
      </c>
      <c r="H2279" s="3">
        <v>3025.2</v>
      </c>
      <c r="I2279" s="3">
        <v>3022.51</v>
      </c>
      <c r="J2279" s="3">
        <v>4494.8999999999996</v>
      </c>
      <c r="K2279" s="3">
        <v>2866.6</v>
      </c>
      <c r="L2279" s="2">
        <v>1556656</v>
      </c>
      <c r="M2279" s="2">
        <v>4705008219.6999998</v>
      </c>
      <c r="N2279" s="2">
        <v>78119</v>
      </c>
      <c r="O2279" t="s">
        <v>25</v>
      </c>
      <c r="P2279" s="8">
        <f t="shared" si="105"/>
        <v>-1.1999999999998181</v>
      </c>
      <c r="Q2279" t="s">
        <v>38</v>
      </c>
      <c r="R2279">
        <f t="shared" si="106"/>
        <v>11</v>
      </c>
      <c r="S2279" t="str">
        <f t="shared" si="107"/>
        <v>Nov</v>
      </c>
      <c r="T2279" s="9">
        <f>VLOOKUP(O2279, Annual_Summary!A:B, 2, 0)</f>
        <v>-0.22036742088049704</v>
      </c>
    </row>
    <row r="2280" spans="1:20" x14ac:dyDescent="0.3">
      <c r="A2280" s="1">
        <v>45968</v>
      </c>
      <c r="B2280" t="s">
        <v>15</v>
      </c>
      <c r="C2280" s="3">
        <v>3001</v>
      </c>
      <c r="D2280" s="3">
        <v>3004</v>
      </c>
      <c r="E2280" s="3">
        <v>2960.5</v>
      </c>
      <c r="F2280" s="3">
        <v>3010.9</v>
      </c>
      <c r="G2280" s="3">
        <v>2993.5</v>
      </c>
      <c r="H2280" s="3">
        <v>2991.8</v>
      </c>
      <c r="I2280" s="3">
        <v>2979.65</v>
      </c>
      <c r="J2280" s="3">
        <v>4494.8999999999996</v>
      </c>
      <c r="K2280" s="3">
        <v>2866.6</v>
      </c>
      <c r="L2280" s="2">
        <v>1830520</v>
      </c>
      <c r="M2280" s="2">
        <v>5454308584.3000002</v>
      </c>
      <c r="N2280" s="2">
        <v>106949</v>
      </c>
      <c r="O2280" t="s">
        <v>25</v>
      </c>
      <c r="P2280" s="8">
        <f t="shared" si="105"/>
        <v>9.9000000000000909</v>
      </c>
      <c r="Q2280" t="s">
        <v>38</v>
      </c>
      <c r="R2280">
        <f t="shared" si="106"/>
        <v>11</v>
      </c>
      <c r="S2280" t="str">
        <f t="shared" si="107"/>
        <v>Nov</v>
      </c>
      <c r="T2280" s="9">
        <f>VLOOKUP(O2280, Annual_Summary!A:B, 2, 0)</f>
        <v>-0.22036742088049704</v>
      </c>
    </row>
    <row r="2281" spans="1:20" x14ac:dyDescent="0.3">
      <c r="A2281" s="1">
        <v>45967</v>
      </c>
      <c r="B2281" t="s">
        <v>15</v>
      </c>
      <c r="C2281" s="3">
        <v>2990.1</v>
      </c>
      <c r="D2281" s="3">
        <v>3024</v>
      </c>
      <c r="E2281" s="3">
        <v>2990</v>
      </c>
      <c r="F2281" s="3">
        <v>2990.2</v>
      </c>
      <c r="G2281" s="3">
        <v>3010</v>
      </c>
      <c r="H2281" s="3">
        <v>3010.9</v>
      </c>
      <c r="I2281" s="3">
        <v>3010.5</v>
      </c>
      <c r="J2281" s="3">
        <v>4494.8999999999996</v>
      </c>
      <c r="K2281" s="3">
        <v>2866.6</v>
      </c>
      <c r="L2281" s="2">
        <v>2542721</v>
      </c>
      <c r="M2281" s="2">
        <v>7654860638.8000002</v>
      </c>
      <c r="N2281" s="2">
        <v>200775</v>
      </c>
      <c r="O2281" t="s">
        <v>25</v>
      </c>
      <c r="P2281" s="8">
        <f t="shared" si="105"/>
        <v>9.9999999999909051E-2</v>
      </c>
      <c r="Q2281" t="s">
        <v>38</v>
      </c>
      <c r="R2281">
        <f t="shared" si="106"/>
        <v>11</v>
      </c>
      <c r="S2281" t="str">
        <f t="shared" si="107"/>
        <v>Nov</v>
      </c>
      <c r="T2281" s="9">
        <f>VLOOKUP(O2281, Annual_Summary!A:B, 2, 0)</f>
        <v>-0.22036742088049704</v>
      </c>
    </row>
    <row r="2282" spans="1:20" x14ac:dyDescent="0.3">
      <c r="A2282" s="1">
        <v>45965</v>
      </c>
      <c r="B2282" t="s">
        <v>15</v>
      </c>
      <c r="C2282" s="3">
        <v>3019.6</v>
      </c>
      <c r="D2282" s="3">
        <v>3029.3</v>
      </c>
      <c r="E2282" s="3">
        <v>2976</v>
      </c>
      <c r="F2282" s="3">
        <v>3016.8</v>
      </c>
      <c r="G2282" s="3">
        <v>2987.7</v>
      </c>
      <c r="H2282" s="3">
        <v>2990.2</v>
      </c>
      <c r="I2282" s="3">
        <v>2992.11</v>
      </c>
      <c r="J2282" s="3">
        <v>4494.8999999999996</v>
      </c>
      <c r="K2282" s="3">
        <v>2866.6</v>
      </c>
      <c r="L2282" s="2">
        <v>2670720</v>
      </c>
      <c r="M2282" s="2">
        <v>7991078689.6000004</v>
      </c>
      <c r="N2282" s="2">
        <v>168525</v>
      </c>
      <c r="O2282" t="s">
        <v>25</v>
      </c>
      <c r="P2282" s="8">
        <f t="shared" si="105"/>
        <v>-2.7999999999997272</v>
      </c>
      <c r="Q2282" t="s">
        <v>38</v>
      </c>
      <c r="R2282">
        <f t="shared" si="106"/>
        <v>11</v>
      </c>
      <c r="S2282" t="str">
        <f t="shared" si="107"/>
        <v>Nov</v>
      </c>
      <c r="T2282" s="9">
        <f>VLOOKUP(O2282, Annual_Summary!A:B, 2, 0)</f>
        <v>-0.22036742088049704</v>
      </c>
    </row>
    <row r="2283" spans="1:20" x14ac:dyDescent="0.3">
      <c r="A2283" s="1">
        <v>45964</v>
      </c>
      <c r="B2283" t="s">
        <v>15</v>
      </c>
      <c r="C2283" s="3">
        <v>3046.9</v>
      </c>
      <c r="D2283" s="3">
        <v>3058</v>
      </c>
      <c r="E2283" s="3">
        <v>3010</v>
      </c>
      <c r="F2283" s="3">
        <v>3058</v>
      </c>
      <c r="G2283" s="3">
        <v>3019.5</v>
      </c>
      <c r="H2283" s="3">
        <v>3016.8</v>
      </c>
      <c r="I2283" s="3">
        <v>3024.83</v>
      </c>
      <c r="J2283" s="3">
        <v>4494.8999999999996</v>
      </c>
      <c r="K2283" s="3">
        <v>2866.6</v>
      </c>
      <c r="L2283" s="2">
        <v>2194877</v>
      </c>
      <c r="M2283" s="2">
        <v>6639124030.6999998</v>
      </c>
      <c r="N2283" s="2">
        <v>101452</v>
      </c>
      <c r="O2283" t="s">
        <v>25</v>
      </c>
      <c r="P2283" s="8">
        <f t="shared" si="105"/>
        <v>11.099999999999909</v>
      </c>
      <c r="Q2283" t="s">
        <v>38</v>
      </c>
      <c r="R2283">
        <f t="shared" si="106"/>
        <v>11</v>
      </c>
      <c r="S2283" t="str">
        <f t="shared" si="107"/>
        <v>Nov</v>
      </c>
      <c r="T2283" s="9">
        <f>VLOOKUP(O2283, Annual_Summary!A:B, 2, 0)</f>
        <v>-0.22036742088049704</v>
      </c>
    </row>
    <row r="2284" spans="1:20" x14ac:dyDescent="0.3">
      <c r="A2284" s="1">
        <v>45961</v>
      </c>
      <c r="B2284" t="s">
        <v>15</v>
      </c>
      <c r="C2284" s="3">
        <v>3035</v>
      </c>
      <c r="D2284" s="3">
        <v>3067.4</v>
      </c>
      <c r="E2284" s="3">
        <v>3025.1</v>
      </c>
      <c r="F2284" s="3">
        <v>3035.3</v>
      </c>
      <c r="G2284" s="3">
        <v>3060</v>
      </c>
      <c r="H2284" s="3">
        <v>3058</v>
      </c>
      <c r="I2284" s="3">
        <v>3055.61</v>
      </c>
      <c r="J2284" s="3">
        <v>4494.8999999999996</v>
      </c>
      <c r="K2284" s="3">
        <v>2866.6</v>
      </c>
      <c r="L2284" s="2">
        <v>1868085</v>
      </c>
      <c r="M2284" s="2">
        <v>5708136334.3000002</v>
      </c>
      <c r="N2284" s="2">
        <v>81376</v>
      </c>
      <c r="O2284" t="s">
        <v>25</v>
      </c>
      <c r="P2284" s="8">
        <f t="shared" si="105"/>
        <v>0.3000000000001819</v>
      </c>
      <c r="Q2284" t="s">
        <v>38</v>
      </c>
      <c r="R2284">
        <f t="shared" si="106"/>
        <v>10</v>
      </c>
      <c r="S2284" t="str">
        <f t="shared" si="107"/>
        <v>Oct</v>
      </c>
      <c r="T2284" s="9">
        <f>VLOOKUP(O2284, Annual_Summary!A:B, 2, 0)</f>
        <v>-0.22036742088049704</v>
      </c>
    </row>
    <row r="2285" spans="1:20" x14ac:dyDescent="0.3">
      <c r="A2285" s="1">
        <v>45960</v>
      </c>
      <c r="B2285" t="s">
        <v>15</v>
      </c>
      <c r="C2285" s="3">
        <v>3049.1</v>
      </c>
      <c r="D2285" s="3">
        <v>3063.8</v>
      </c>
      <c r="E2285" s="3">
        <v>3032.8</v>
      </c>
      <c r="F2285" s="3">
        <v>3057.6</v>
      </c>
      <c r="G2285" s="3">
        <v>3035.5</v>
      </c>
      <c r="H2285" s="3">
        <v>3035.3</v>
      </c>
      <c r="I2285" s="3">
        <v>3039.99</v>
      </c>
      <c r="J2285" s="3">
        <v>4494.8999999999996</v>
      </c>
      <c r="K2285" s="3">
        <v>2866.6</v>
      </c>
      <c r="L2285" s="2">
        <v>2241536</v>
      </c>
      <c r="M2285" s="2">
        <v>6814245032</v>
      </c>
      <c r="N2285" s="2">
        <v>115244</v>
      </c>
      <c r="O2285" t="s">
        <v>25</v>
      </c>
      <c r="P2285" s="8">
        <f t="shared" si="105"/>
        <v>8.5</v>
      </c>
      <c r="Q2285" t="s">
        <v>38</v>
      </c>
      <c r="R2285">
        <f t="shared" si="106"/>
        <v>10</v>
      </c>
      <c r="S2285" t="str">
        <f t="shared" si="107"/>
        <v>Oct</v>
      </c>
      <c r="T2285" s="9">
        <f>VLOOKUP(O2285, Annual_Summary!A:B, 2, 0)</f>
        <v>-0.22036742088049704</v>
      </c>
    </row>
    <row r="2286" spans="1:20" x14ac:dyDescent="0.3">
      <c r="A2286" s="1">
        <v>45959</v>
      </c>
      <c r="B2286" t="s">
        <v>15</v>
      </c>
      <c r="C2286" s="3">
        <v>3057.9</v>
      </c>
      <c r="D2286" s="3">
        <v>3076</v>
      </c>
      <c r="E2286" s="3">
        <v>3046.1</v>
      </c>
      <c r="F2286" s="3">
        <v>3057.9</v>
      </c>
      <c r="G2286" s="3">
        <v>3060</v>
      </c>
      <c r="H2286" s="3">
        <v>3057.6</v>
      </c>
      <c r="I2286" s="3">
        <v>3061.14</v>
      </c>
      <c r="J2286" s="3">
        <v>4494.8999999999996</v>
      </c>
      <c r="K2286" s="3">
        <v>2866.6</v>
      </c>
      <c r="L2286" s="2">
        <v>2895420</v>
      </c>
      <c r="M2286" s="2">
        <v>8863286092.5</v>
      </c>
      <c r="N2286" s="2">
        <v>116138</v>
      </c>
      <c r="O2286" t="s">
        <v>25</v>
      </c>
      <c r="P2286" s="8">
        <f t="shared" si="105"/>
        <v>0</v>
      </c>
      <c r="Q2286" t="s">
        <v>38</v>
      </c>
      <c r="R2286">
        <f t="shared" si="106"/>
        <v>10</v>
      </c>
      <c r="S2286" t="str">
        <f t="shared" si="107"/>
        <v>Oct</v>
      </c>
      <c r="T2286" s="9">
        <f>VLOOKUP(O2286, Annual_Summary!A:B, 2, 0)</f>
        <v>-0.22036742088049704</v>
      </c>
    </row>
    <row r="2287" spans="1:20" x14ac:dyDescent="0.3">
      <c r="A2287" s="1">
        <v>45958</v>
      </c>
      <c r="B2287" t="s">
        <v>15</v>
      </c>
      <c r="C2287" s="3">
        <v>3076</v>
      </c>
      <c r="D2287" s="3">
        <v>3090.2</v>
      </c>
      <c r="E2287" s="3">
        <v>3040.2</v>
      </c>
      <c r="F2287" s="3">
        <v>3084.9</v>
      </c>
      <c r="G2287" s="3">
        <v>3059.8</v>
      </c>
      <c r="H2287" s="3">
        <v>3057.9</v>
      </c>
      <c r="I2287" s="3">
        <v>3059.27</v>
      </c>
      <c r="J2287" s="3">
        <v>4494.8999999999996</v>
      </c>
      <c r="K2287" s="3">
        <v>2866.6</v>
      </c>
      <c r="L2287" s="2">
        <v>3470737</v>
      </c>
      <c r="M2287" s="2">
        <v>10617938168.299999</v>
      </c>
      <c r="N2287" s="2">
        <v>140326</v>
      </c>
      <c r="O2287" t="s">
        <v>25</v>
      </c>
      <c r="P2287" s="8">
        <f t="shared" si="105"/>
        <v>8.9000000000000909</v>
      </c>
      <c r="Q2287" t="s">
        <v>38</v>
      </c>
      <c r="R2287">
        <f t="shared" si="106"/>
        <v>10</v>
      </c>
      <c r="S2287" t="str">
        <f t="shared" si="107"/>
        <v>Oct</v>
      </c>
      <c r="T2287" s="9">
        <f>VLOOKUP(O2287, Annual_Summary!A:B, 2, 0)</f>
        <v>-0.22036742088049704</v>
      </c>
    </row>
    <row r="2288" spans="1:20" x14ac:dyDescent="0.3">
      <c r="A2288" s="1">
        <v>45957</v>
      </c>
      <c r="B2288" t="s">
        <v>15</v>
      </c>
      <c r="C2288" s="3">
        <v>3066.5</v>
      </c>
      <c r="D2288" s="3">
        <v>3094.2</v>
      </c>
      <c r="E2288" s="3">
        <v>3060.2</v>
      </c>
      <c r="F2288" s="3">
        <v>3063.2</v>
      </c>
      <c r="G2288" s="3">
        <v>3083</v>
      </c>
      <c r="H2288" s="3">
        <v>3084.9</v>
      </c>
      <c r="I2288" s="3">
        <v>3083.94</v>
      </c>
      <c r="J2288" s="3">
        <v>4494.8999999999996</v>
      </c>
      <c r="K2288" s="3">
        <v>2866.6</v>
      </c>
      <c r="L2288" s="2">
        <v>1946312</v>
      </c>
      <c r="M2288" s="2">
        <v>6002314206.6000004</v>
      </c>
      <c r="N2288" s="2">
        <v>85517</v>
      </c>
      <c r="O2288" t="s">
        <v>25</v>
      </c>
      <c r="P2288" s="8">
        <f t="shared" si="105"/>
        <v>-3.3000000000001819</v>
      </c>
      <c r="Q2288" t="s">
        <v>38</v>
      </c>
      <c r="R2288">
        <f t="shared" si="106"/>
        <v>10</v>
      </c>
      <c r="S2288" t="str">
        <f t="shared" si="107"/>
        <v>Oct</v>
      </c>
      <c r="T2288" s="9">
        <f>VLOOKUP(O2288, Annual_Summary!A:B, 2, 0)</f>
        <v>-0.22036742088049704</v>
      </c>
    </row>
    <row r="2289" spans="1:20" x14ac:dyDescent="0.3">
      <c r="A2289" s="1">
        <v>45954</v>
      </c>
      <c r="B2289" t="s">
        <v>15</v>
      </c>
      <c r="C2289" s="3">
        <v>3080</v>
      </c>
      <c r="D2289" s="3">
        <v>3090</v>
      </c>
      <c r="E2289" s="3">
        <v>3058.3</v>
      </c>
      <c r="F2289" s="3">
        <v>3073.2</v>
      </c>
      <c r="G2289" s="3">
        <v>3060.6</v>
      </c>
      <c r="H2289" s="3">
        <v>3063.2</v>
      </c>
      <c r="I2289" s="3">
        <v>3073.62</v>
      </c>
      <c r="J2289" s="3">
        <v>4494.8999999999996</v>
      </c>
      <c r="K2289" s="3">
        <v>2866.6</v>
      </c>
      <c r="L2289" s="2">
        <v>2684318</v>
      </c>
      <c r="M2289" s="2">
        <v>8250573087.8000002</v>
      </c>
      <c r="N2289" s="2">
        <v>187127</v>
      </c>
      <c r="O2289" t="s">
        <v>25</v>
      </c>
      <c r="P2289" s="8">
        <f t="shared" si="105"/>
        <v>-6.8000000000001819</v>
      </c>
      <c r="Q2289" t="s">
        <v>38</v>
      </c>
      <c r="R2289">
        <f t="shared" si="106"/>
        <v>10</v>
      </c>
      <c r="S2289" t="str">
        <f t="shared" si="107"/>
        <v>Oct</v>
      </c>
      <c r="T2289" s="9">
        <f>VLOOKUP(O2289, Annual_Summary!A:B, 2, 0)</f>
        <v>-0.22036742088049704</v>
      </c>
    </row>
    <row r="2290" spans="1:20" x14ac:dyDescent="0.3">
      <c r="A2290" s="1">
        <v>45953</v>
      </c>
      <c r="B2290" t="s">
        <v>15</v>
      </c>
      <c r="C2290" s="3">
        <v>3055</v>
      </c>
      <c r="D2290" s="3">
        <v>3098</v>
      </c>
      <c r="E2290" s="3">
        <v>3036.1</v>
      </c>
      <c r="F2290" s="3">
        <v>3006.7</v>
      </c>
      <c r="G2290" s="3">
        <v>3070</v>
      </c>
      <c r="H2290" s="3">
        <v>3073.2</v>
      </c>
      <c r="I2290" s="3">
        <v>3075.63</v>
      </c>
      <c r="J2290" s="3">
        <v>4494.8999999999996</v>
      </c>
      <c r="K2290" s="3">
        <v>2866.6</v>
      </c>
      <c r="L2290" s="2">
        <v>5564758</v>
      </c>
      <c r="M2290" s="2">
        <v>17115135296</v>
      </c>
      <c r="N2290" s="2">
        <v>290229</v>
      </c>
      <c r="O2290" t="s">
        <v>25</v>
      </c>
      <c r="P2290" s="8">
        <f t="shared" si="105"/>
        <v>-48.300000000000182</v>
      </c>
      <c r="Q2290" t="s">
        <v>38</v>
      </c>
      <c r="R2290">
        <f t="shared" si="106"/>
        <v>10</v>
      </c>
      <c r="S2290" t="str">
        <f t="shared" si="107"/>
        <v>Oct</v>
      </c>
      <c r="T2290" s="9">
        <f>VLOOKUP(O2290, Annual_Summary!A:B, 2, 0)</f>
        <v>-0.22036742088049704</v>
      </c>
    </row>
    <row r="2291" spans="1:20" x14ac:dyDescent="0.3">
      <c r="A2291" s="1">
        <v>45951</v>
      </c>
      <c r="B2291" t="s">
        <v>15</v>
      </c>
      <c r="C2291" s="3">
        <v>3031.1</v>
      </c>
      <c r="D2291" s="3">
        <v>3031.8</v>
      </c>
      <c r="E2291" s="3">
        <v>2996</v>
      </c>
      <c r="F2291" s="3">
        <v>3015.2</v>
      </c>
      <c r="G2291" s="3">
        <v>3000</v>
      </c>
      <c r="H2291" s="3">
        <v>3006.7</v>
      </c>
      <c r="I2291" s="3">
        <v>3013.14</v>
      </c>
      <c r="J2291" s="3">
        <v>4494.8999999999996</v>
      </c>
      <c r="K2291" s="3">
        <v>2866.6</v>
      </c>
      <c r="L2291" s="2">
        <v>310644</v>
      </c>
      <c r="M2291" s="2">
        <v>936015414.70000005</v>
      </c>
      <c r="N2291" s="2">
        <v>29319</v>
      </c>
      <c r="O2291" t="s">
        <v>25</v>
      </c>
      <c r="P2291" s="8">
        <f t="shared" si="105"/>
        <v>-15.900000000000091</v>
      </c>
      <c r="Q2291" t="s">
        <v>38</v>
      </c>
      <c r="R2291">
        <f t="shared" si="106"/>
        <v>10</v>
      </c>
      <c r="S2291" t="str">
        <f t="shared" si="107"/>
        <v>Oct</v>
      </c>
      <c r="T2291" s="9">
        <f>VLOOKUP(O2291, Annual_Summary!A:B, 2, 0)</f>
        <v>-0.22036742088049704</v>
      </c>
    </row>
    <row r="2292" spans="1:20" x14ac:dyDescent="0.3">
      <c r="A2292" s="1">
        <v>45950</v>
      </c>
      <c r="B2292" t="s">
        <v>15</v>
      </c>
      <c r="C2292" s="3">
        <v>2985.5</v>
      </c>
      <c r="D2292" s="3">
        <v>3023</v>
      </c>
      <c r="E2292" s="3">
        <v>2978.5</v>
      </c>
      <c r="F2292" s="3">
        <v>2962.2</v>
      </c>
      <c r="G2292" s="3">
        <v>3016.3</v>
      </c>
      <c r="H2292" s="3">
        <v>3015.2</v>
      </c>
      <c r="I2292" s="3">
        <v>3007.54</v>
      </c>
      <c r="J2292" s="3">
        <v>4494.8999999999996</v>
      </c>
      <c r="K2292" s="3">
        <v>2866.6</v>
      </c>
      <c r="L2292" s="2">
        <v>3133039</v>
      </c>
      <c r="M2292" s="2">
        <v>9422754243.2999992</v>
      </c>
      <c r="N2292" s="2">
        <v>163532</v>
      </c>
      <c r="O2292" t="s">
        <v>25</v>
      </c>
      <c r="P2292" s="8">
        <f t="shared" si="105"/>
        <v>-23.300000000000182</v>
      </c>
      <c r="Q2292" t="s">
        <v>38</v>
      </c>
      <c r="R2292">
        <f t="shared" si="106"/>
        <v>10</v>
      </c>
      <c r="S2292" t="str">
        <f t="shared" si="107"/>
        <v>Oct</v>
      </c>
      <c r="T2292" s="9">
        <f>VLOOKUP(O2292, Annual_Summary!A:B, 2, 0)</f>
        <v>-0.22036742088049704</v>
      </c>
    </row>
    <row r="2293" spans="1:20" x14ac:dyDescent="0.3">
      <c r="A2293" s="1">
        <v>45947</v>
      </c>
      <c r="B2293" t="s">
        <v>15</v>
      </c>
      <c r="C2293" s="3">
        <v>2970</v>
      </c>
      <c r="D2293" s="3">
        <v>2988.8</v>
      </c>
      <c r="E2293" s="3">
        <v>2955.4</v>
      </c>
      <c r="F2293" s="3">
        <v>2970.7</v>
      </c>
      <c r="G2293" s="3">
        <v>2963</v>
      </c>
      <c r="H2293" s="3">
        <v>2962.2</v>
      </c>
      <c r="I2293" s="3">
        <v>2967.59</v>
      </c>
      <c r="J2293" s="3">
        <v>4494.8999999999996</v>
      </c>
      <c r="K2293" s="3">
        <v>2866.6</v>
      </c>
      <c r="L2293" s="2">
        <v>4374683</v>
      </c>
      <c r="M2293" s="2">
        <v>12982248748.299999</v>
      </c>
      <c r="N2293" s="2">
        <v>165312</v>
      </c>
      <c r="O2293" t="s">
        <v>25</v>
      </c>
      <c r="P2293" s="8">
        <f t="shared" si="105"/>
        <v>0.6999999999998181</v>
      </c>
      <c r="Q2293" t="s">
        <v>38</v>
      </c>
      <c r="R2293">
        <f t="shared" si="106"/>
        <v>10</v>
      </c>
      <c r="S2293" t="str">
        <f t="shared" si="107"/>
        <v>Oct</v>
      </c>
      <c r="T2293" s="9">
        <f>VLOOKUP(O2293, Annual_Summary!A:B, 2, 0)</f>
        <v>-0.22036742088049704</v>
      </c>
    </row>
    <row r="2294" spans="1:20" x14ac:dyDescent="0.3">
      <c r="A2294" s="1">
        <v>45946</v>
      </c>
      <c r="B2294" t="s">
        <v>15</v>
      </c>
      <c r="C2294" s="3">
        <v>2969.9</v>
      </c>
      <c r="D2294" s="3">
        <v>2975</v>
      </c>
      <c r="E2294" s="3">
        <v>2943.1</v>
      </c>
      <c r="F2294" s="3">
        <v>2969.8</v>
      </c>
      <c r="G2294" s="3">
        <v>2971.8</v>
      </c>
      <c r="H2294" s="3">
        <v>2970.7</v>
      </c>
      <c r="I2294" s="3">
        <v>2961.98</v>
      </c>
      <c r="J2294" s="3">
        <v>4494.8999999999996</v>
      </c>
      <c r="K2294" s="3">
        <v>2866.6</v>
      </c>
      <c r="L2294" s="2">
        <v>3251495</v>
      </c>
      <c r="M2294" s="2">
        <v>9630875594.5</v>
      </c>
      <c r="N2294" s="2">
        <v>197293</v>
      </c>
      <c r="O2294" t="s">
        <v>25</v>
      </c>
      <c r="P2294" s="8">
        <f t="shared" si="105"/>
        <v>-9.9999999999909051E-2</v>
      </c>
      <c r="Q2294" t="s">
        <v>38</v>
      </c>
      <c r="R2294">
        <f t="shared" si="106"/>
        <v>10</v>
      </c>
      <c r="S2294" t="str">
        <f t="shared" si="107"/>
        <v>Oct</v>
      </c>
      <c r="T2294" s="9">
        <f>VLOOKUP(O2294, Annual_Summary!A:B, 2, 0)</f>
        <v>-0.22036742088049704</v>
      </c>
    </row>
    <row r="2295" spans="1:20" x14ac:dyDescent="0.3">
      <c r="A2295" s="1">
        <v>45945</v>
      </c>
      <c r="B2295" t="s">
        <v>15</v>
      </c>
      <c r="C2295" s="3">
        <v>2971</v>
      </c>
      <c r="D2295" s="3">
        <v>2979.7</v>
      </c>
      <c r="E2295" s="3">
        <v>2951</v>
      </c>
      <c r="F2295" s="3">
        <v>2960.3</v>
      </c>
      <c r="G2295" s="3">
        <v>2970</v>
      </c>
      <c r="H2295" s="3">
        <v>2969.8</v>
      </c>
      <c r="I2295" s="3">
        <v>2967.01</v>
      </c>
      <c r="J2295" s="3">
        <v>4494.8999999999996</v>
      </c>
      <c r="K2295" s="3">
        <v>2866.6</v>
      </c>
      <c r="L2295" s="2">
        <v>4282226</v>
      </c>
      <c r="M2295" s="2">
        <v>12705386117.200001</v>
      </c>
      <c r="N2295" s="2">
        <v>146773</v>
      </c>
      <c r="O2295" t="s">
        <v>25</v>
      </c>
      <c r="P2295" s="8">
        <f t="shared" si="105"/>
        <v>-10.699999999999818</v>
      </c>
      <c r="Q2295" t="s">
        <v>38</v>
      </c>
      <c r="R2295">
        <f t="shared" si="106"/>
        <v>10</v>
      </c>
      <c r="S2295" t="str">
        <f t="shared" si="107"/>
        <v>Oct</v>
      </c>
      <c r="T2295" s="9">
        <f>VLOOKUP(O2295, Annual_Summary!A:B, 2, 0)</f>
        <v>-0.22036742088049704</v>
      </c>
    </row>
    <row r="2296" spans="1:20" x14ac:dyDescent="0.3">
      <c r="A2296" s="1">
        <v>45944</v>
      </c>
      <c r="B2296" t="s">
        <v>15</v>
      </c>
      <c r="C2296" s="3">
        <v>3021</v>
      </c>
      <c r="D2296" s="3">
        <v>3027.2</v>
      </c>
      <c r="E2296" s="3">
        <v>2955.5</v>
      </c>
      <c r="F2296" s="3">
        <v>3007.2</v>
      </c>
      <c r="G2296" s="3">
        <v>2960</v>
      </c>
      <c r="H2296" s="3">
        <v>2960.3</v>
      </c>
      <c r="I2296" s="3">
        <v>2976.34</v>
      </c>
      <c r="J2296" s="3">
        <v>4494.8999999999996</v>
      </c>
      <c r="K2296" s="3">
        <v>2866.6</v>
      </c>
      <c r="L2296" s="2">
        <v>3611416</v>
      </c>
      <c r="M2296" s="2">
        <v>10748794587.5</v>
      </c>
      <c r="N2296" s="2">
        <v>183673</v>
      </c>
      <c r="O2296" t="s">
        <v>25</v>
      </c>
      <c r="P2296" s="8">
        <f t="shared" si="105"/>
        <v>-13.800000000000182</v>
      </c>
      <c r="Q2296" t="s">
        <v>38</v>
      </c>
      <c r="R2296">
        <f t="shared" si="106"/>
        <v>10</v>
      </c>
      <c r="S2296" t="str">
        <f t="shared" si="107"/>
        <v>Oct</v>
      </c>
      <c r="T2296" s="9">
        <f>VLOOKUP(O2296, Annual_Summary!A:B, 2, 0)</f>
        <v>-0.22036742088049704</v>
      </c>
    </row>
    <row r="2297" spans="1:20" x14ac:dyDescent="0.3">
      <c r="A2297" s="1">
        <v>45943</v>
      </c>
      <c r="B2297" t="s">
        <v>15</v>
      </c>
      <c r="C2297" s="3">
        <v>3027</v>
      </c>
      <c r="D2297" s="3">
        <v>3035.5</v>
      </c>
      <c r="E2297" s="3">
        <v>2998.2</v>
      </c>
      <c r="F2297" s="3">
        <v>3028.3</v>
      </c>
      <c r="G2297" s="3">
        <v>3006</v>
      </c>
      <c r="H2297" s="3">
        <v>3007.2</v>
      </c>
      <c r="I2297" s="3">
        <v>3011.37</v>
      </c>
      <c r="J2297" s="3">
        <v>4494.8999999999996</v>
      </c>
      <c r="K2297" s="3">
        <v>2866.6</v>
      </c>
      <c r="L2297" s="2">
        <v>2866865</v>
      </c>
      <c r="M2297" s="2">
        <v>8633180149.1000004</v>
      </c>
      <c r="N2297" s="2">
        <v>169572</v>
      </c>
      <c r="O2297" t="s">
        <v>25</v>
      </c>
      <c r="P2297" s="8">
        <f t="shared" si="105"/>
        <v>1.3000000000001819</v>
      </c>
      <c r="Q2297" t="s">
        <v>38</v>
      </c>
      <c r="R2297">
        <f t="shared" si="106"/>
        <v>10</v>
      </c>
      <c r="S2297" t="str">
        <f t="shared" si="107"/>
        <v>Oct</v>
      </c>
      <c r="T2297" s="9">
        <f>VLOOKUP(O2297, Annual_Summary!A:B, 2, 0)</f>
        <v>-0.22036742088049704</v>
      </c>
    </row>
    <row r="2298" spans="1:20" x14ac:dyDescent="0.3">
      <c r="A2298" s="1">
        <v>45940</v>
      </c>
      <c r="B2298" t="s">
        <v>15</v>
      </c>
      <c r="C2298" s="3">
        <v>3050</v>
      </c>
      <c r="D2298" s="3">
        <v>3070</v>
      </c>
      <c r="E2298" s="3">
        <v>3006.9</v>
      </c>
      <c r="F2298" s="3">
        <v>3061.7</v>
      </c>
      <c r="G2298" s="3">
        <v>3028</v>
      </c>
      <c r="H2298" s="3">
        <v>3028.3</v>
      </c>
      <c r="I2298" s="3">
        <v>3032.16</v>
      </c>
      <c r="J2298" s="3">
        <v>4494.8999999999996</v>
      </c>
      <c r="K2298" s="3">
        <v>2866.6</v>
      </c>
      <c r="L2298" s="2">
        <v>8817365</v>
      </c>
      <c r="M2298" s="2">
        <v>26735629672.599998</v>
      </c>
      <c r="N2298" s="2">
        <v>244153</v>
      </c>
      <c r="O2298" t="s">
        <v>25</v>
      </c>
      <c r="P2298" s="8">
        <f t="shared" si="105"/>
        <v>11.699999999999818</v>
      </c>
      <c r="Q2298" t="s">
        <v>38</v>
      </c>
      <c r="R2298">
        <f t="shared" si="106"/>
        <v>10</v>
      </c>
      <c r="S2298" t="str">
        <f t="shared" si="107"/>
        <v>Oct</v>
      </c>
      <c r="T2298" s="9">
        <f>VLOOKUP(O2298, Annual_Summary!A:B, 2, 0)</f>
        <v>-0.22036742088049704</v>
      </c>
    </row>
    <row r="2299" spans="1:20" x14ac:dyDescent="0.3">
      <c r="A2299" s="1">
        <v>45939</v>
      </c>
      <c r="B2299" t="s">
        <v>15</v>
      </c>
      <c r="C2299" s="3">
        <v>3034</v>
      </c>
      <c r="D2299" s="3">
        <v>3066</v>
      </c>
      <c r="E2299" s="3">
        <v>3020</v>
      </c>
      <c r="F2299" s="3">
        <v>3027.2</v>
      </c>
      <c r="G2299" s="3">
        <v>3060.2</v>
      </c>
      <c r="H2299" s="3">
        <v>3061.7</v>
      </c>
      <c r="I2299" s="3">
        <v>3046.36</v>
      </c>
      <c r="J2299" s="3">
        <v>4494.8999999999996</v>
      </c>
      <c r="K2299" s="3">
        <v>2866.6</v>
      </c>
      <c r="L2299" s="2">
        <v>3211304</v>
      </c>
      <c r="M2299" s="2">
        <v>9782798225.6000004</v>
      </c>
      <c r="N2299" s="2">
        <v>133703</v>
      </c>
      <c r="O2299" t="s">
        <v>25</v>
      </c>
      <c r="P2299" s="8">
        <f t="shared" si="105"/>
        <v>-6.8000000000001819</v>
      </c>
      <c r="Q2299" t="s">
        <v>38</v>
      </c>
      <c r="R2299">
        <f t="shared" si="106"/>
        <v>10</v>
      </c>
      <c r="S2299" t="str">
        <f t="shared" si="107"/>
        <v>Oct</v>
      </c>
      <c r="T2299" s="9">
        <f>VLOOKUP(O2299, Annual_Summary!A:B, 2, 0)</f>
        <v>-0.22036742088049704</v>
      </c>
    </row>
    <row r="2300" spans="1:20" x14ac:dyDescent="0.3">
      <c r="A2300" s="1">
        <v>45938</v>
      </c>
      <c r="B2300" t="s">
        <v>15</v>
      </c>
      <c r="C2300" s="3">
        <v>2975</v>
      </c>
      <c r="D2300" s="3">
        <v>3043</v>
      </c>
      <c r="E2300" s="3">
        <v>2968</v>
      </c>
      <c r="F2300" s="3">
        <v>2973.7</v>
      </c>
      <c r="G2300" s="3">
        <v>3031.5</v>
      </c>
      <c r="H2300" s="3">
        <v>3027.2</v>
      </c>
      <c r="I2300" s="3">
        <v>3024.78</v>
      </c>
      <c r="J2300" s="3">
        <v>4494.8999999999996</v>
      </c>
      <c r="K2300" s="3">
        <v>2866.6</v>
      </c>
      <c r="L2300" s="2">
        <v>4121889</v>
      </c>
      <c r="M2300" s="2">
        <v>12467811108.5</v>
      </c>
      <c r="N2300" s="2">
        <v>154336</v>
      </c>
      <c r="O2300" t="s">
        <v>25</v>
      </c>
      <c r="P2300" s="8">
        <f t="shared" si="105"/>
        <v>-1.3000000000001819</v>
      </c>
      <c r="Q2300" t="s">
        <v>38</v>
      </c>
      <c r="R2300">
        <f t="shared" si="106"/>
        <v>10</v>
      </c>
      <c r="S2300" t="str">
        <f t="shared" si="107"/>
        <v>Oct</v>
      </c>
      <c r="T2300" s="9">
        <f>VLOOKUP(O2300, Annual_Summary!A:B, 2, 0)</f>
        <v>-0.22036742088049704</v>
      </c>
    </row>
    <row r="2301" spans="1:20" x14ac:dyDescent="0.3">
      <c r="A2301" s="1">
        <v>45937</v>
      </c>
      <c r="B2301" t="s">
        <v>15</v>
      </c>
      <c r="C2301" s="3">
        <v>2995</v>
      </c>
      <c r="D2301" s="3">
        <v>3004.5</v>
      </c>
      <c r="E2301" s="3">
        <v>2955.5</v>
      </c>
      <c r="F2301" s="3">
        <v>2988.4</v>
      </c>
      <c r="G2301" s="3">
        <v>2975</v>
      </c>
      <c r="H2301" s="3">
        <v>2973.7</v>
      </c>
      <c r="I2301" s="3">
        <v>2971.7</v>
      </c>
      <c r="J2301" s="3">
        <v>4494.8999999999996</v>
      </c>
      <c r="K2301" s="3">
        <v>2866.6</v>
      </c>
      <c r="L2301" s="2">
        <v>3062943</v>
      </c>
      <c r="M2301" s="2">
        <v>9102139525.6000004</v>
      </c>
      <c r="N2301" s="2">
        <v>141987</v>
      </c>
      <c r="O2301" t="s">
        <v>25</v>
      </c>
      <c r="P2301" s="8">
        <f t="shared" si="105"/>
        <v>-6.5999999999999091</v>
      </c>
      <c r="Q2301" t="s">
        <v>38</v>
      </c>
      <c r="R2301">
        <f t="shared" si="106"/>
        <v>10</v>
      </c>
      <c r="S2301" t="str">
        <f t="shared" si="107"/>
        <v>Oct</v>
      </c>
      <c r="T2301" s="9">
        <f>VLOOKUP(O2301, Annual_Summary!A:B, 2, 0)</f>
        <v>-0.22036742088049704</v>
      </c>
    </row>
    <row r="2302" spans="1:20" x14ac:dyDescent="0.3">
      <c r="A2302" s="1">
        <v>45936</v>
      </c>
      <c r="B2302" t="s">
        <v>15</v>
      </c>
      <c r="C2302" s="3">
        <v>2902</v>
      </c>
      <c r="D2302" s="3">
        <v>2993.6</v>
      </c>
      <c r="E2302" s="3">
        <v>2895.6</v>
      </c>
      <c r="F2302" s="3">
        <v>2901.9</v>
      </c>
      <c r="G2302" s="3">
        <v>2988</v>
      </c>
      <c r="H2302" s="3">
        <v>2988.4</v>
      </c>
      <c r="I2302" s="3">
        <v>2959.88</v>
      </c>
      <c r="J2302" s="3">
        <v>4494.8999999999996</v>
      </c>
      <c r="K2302" s="3">
        <v>2866.6</v>
      </c>
      <c r="L2302" s="2">
        <v>2112774</v>
      </c>
      <c r="M2302" s="2">
        <v>6253556716.3000002</v>
      </c>
      <c r="N2302" s="2">
        <v>100920</v>
      </c>
      <c r="O2302" t="s">
        <v>25</v>
      </c>
      <c r="P2302" s="8">
        <f t="shared" si="105"/>
        <v>-9.9999999999909051E-2</v>
      </c>
      <c r="Q2302" t="s">
        <v>38</v>
      </c>
      <c r="R2302">
        <f t="shared" si="106"/>
        <v>10</v>
      </c>
      <c r="S2302" t="str">
        <f t="shared" si="107"/>
        <v>Oct</v>
      </c>
      <c r="T2302" s="9">
        <f>VLOOKUP(O2302, Annual_Summary!A:B, 2, 0)</f>
        <v>-0.22036742088049704</v>
      </c>
    </row>
    <row r="2303" spans="1:20" x14ac:dyDescent="0.3">
      <c r="A2303" s="1">
        <v>45933</v>
      </c>
      <c r="B2303" t="s">
        <v>15</v>
      </c>
      <c r="C2303" s="3">
        <v>2924</v>
      </c>
      <c r="D2303" s="3">
        <v>2924</v>
      </c>
      <c r="E2303" s="3">
        <v>2891.1</v>
      </c>
      <c r="F2303" s="3">
        <v>2914.2</v>
      </c>
      <c r="G2303" s="3">
        <v>2903</v>
      </c>
      <c r="H2303" s="3">
        <v>2901.9</v>
      </c>
      <c r="I2303" s="3">
        <v>2902.27</v>
      </c>
      <c r="J2303" s="3">
        <v>4494.8999999999996</v>
      </c>
      <c r="K2303" s="3">
        <v>2866.6</v>
      </c>
      <c r="L2303" s="2">
        <v>2899519</v>
      </c>
      <c r="M2303" s="2">
        <v>8415175156.1999998</v>
      </c>
      <c r="N2303" s="2">
        <v>156466</v>
      </c>
      <c r="O2303" t="s">
        <v>25</v>
      </c>
      <c r="P2303" s="8">
        <f t="shared" si="105"/>
        <v>-9.8000000000001819</v>
      </c>
      <c r="Q2303" t="s">
        <v>38</v>
      </c>
      <c r="R2303">
        <f t="shared" si="106"/>
        <v>10</v>
      </c>
      <c r="S2303" t="str">
        <f t="shared" si="107"/>
        <v>Oct</v>
      </c>
      <c r="T2303" s="9">
        <f>VLOOKUP(O2303, Annual_Summary!A:B, 2, 0)</f>
        <v>-0.22036742088049704</v>
      </c>
    </row>
    <row r="2304" spans="1:20" x14ac:dyDescent="0.3">
      <c r="A2304" s="1">
        <v>45931</v>
      </c>
      <c r="B2304" t="s">
        <v>15</v>
      </c>
      <c r="C2304" s="3">
        <v>2891</v>
      </c>
      <c r="D2304" s="3">
        <v>2924.8</v>
      </c>
      <c r="E2304" s="3">
        <v>2866.6</v>
      </c>
      <c r="F2304" s="3">
        <v>2888.4</v>
      </c>
      <c r="G2304" s="3">
        <v>2915.1</v>
      </c>
      <c r="H2304" s="3">
        <v>2914.2</v>
      </c>
      <c r="I2304" s="3">
        <v>2897.26</v>
      </c>
      <c r="J2304" s="3">
        <v>4494.8999999999996</v>
      </c>
      <c r="K2304" s="3">
        <v>2866.6</v>
      </c>
      <c r="L2304" s="2">
        <v>1952902</v>
      </c>
      <c r="M2304" s="2">
        <v>5658070903</v>
      </c>
      <c r="N2304" s="2">
        <v>124217</v>
      </c>
      <c r="O2304" t="s">
        <v>25</v>
      </c>
      <c r="P2304" s="8">
        <f t="shared" si="105"/>
        <v>-2.5999999999999091</v>
      </c>
      <c r="Q2304" t="s">
        <v>38</v>
      </c>
      <c r="R2304">
        <f t="shared" si="106"/>
        <v>10</v>
      </c>
      <c r="S2304" t="str">
        <f t="shared" si="107"/>
        <v>Oct</v>
      </c>
      <c r="T2304" s="9">
        <f>VLOOKUP(O2304, Annual_Summary!A:B, 2, 0)</f>
        <v>-0.22036742088049704</v>
      </c>
    </row>
    <row r="2305" spans="1:20" x14ac:dyDescent="0.3">
      <c r="A2305" s="1">
        <v>45930</v>
      </c>
      <c r="B2305" t="s">
        <v>15</v>
      </c>
      <c r="C2305" s="3">
        <v>2911</v>
      </c>
      <c r="D2305" s="3">
        <v>2915.3</v>
      </c>
      <c r="E2305" s="3">
        <v>2885.1</v>
      </c>
      <c r="F2305" s="3">
        <v>2896.1</v>
      </c>
      <c r="G2305" s="3">
        <v>2891</v>
      </c>
      <c r="H2305" s="3">
        <v>2888.4</v>
      </c>
      <c r="I2305" s="3">
        <v>2895.89</v>
      </c>
      <c r="J2305" s="3">
        <v>4494.8999999999996</v>
      </c>
      <c r="K2305" s="3">
        <v>2885.1</v>
      </c>
      <c r="L2305" s="2">
        <v>2253458</v>
      </c>
      <c r="M2305" s="2">
        <v>6525755380.3999996</v>
      </c>
      <c r="N2305" s="2">
        <v>201510</v>
      </c>
      <c r="O2305" t="s">
        <v>25</v>
      </c>
      <c r="P2305" s="8">
        <f t="shared" si="105"/>
        <v>-14.900000000000091</v>
      </c>
      <c r="Q2305" t="s">
        <v>38</v>
      </c>
      <c r="R2305">
        <f t="shared" si="106"/>
        <v>9</v>
      </c>
      <c r="S2305" t="str">
        <f t="shared" si="107"/>
        <v>Sep</v>
      </c>
      <c r="T2305" s="9">
        <f>VLOOKUP(O2305, Annual_Summary!A:B, 2, 0)</f>
        <v>-0.22036742088049704</v>
      </c>
    </row>
    <row r="2306" spans="1:20" x14ac:dyDescent="0.3">
      <c r="A2306" s="1">
        <v>45929</v>
      </c>
      <c r="B2306" t="s">
        <v>15</v>
      </c>
      <c r="C2306" s="3">
        <v>2916</v>
      </c>
      <c r="D2306" s="3">
        <v>2929.3</v>
      </c>
      <c r="E2306" s="3">
        <v>2894</v>
      </c>
      <c r="F2306" s="3">
        <v>2899.1</v>
      </c>
      <c r="G2306" s="3">
        <v>2904.3</v>
      </c>
      <c r="H2306" s="3">
        <v>2896.1</v>
      </c>
      <c r="I2306" s="3">
        <v>2904.37</v>
      </c>
      <c r="J2306" s="3">
        <v>4494.8999999999996</v>
      </c>
      <c r="K2306" s="3">
        <v>2891.3</v>
      </c>
      <c r="L2306" s="2">
        <v>3110035</v>
      </c>
      <c r="M2306" s="2">
        <v>9032690025.7000008</v>
      </c>
      <c r="N2306" s="2">
        <v>179197</v>
      </c>
      <c r="O2306" t="s">
        <v>25</v>
      </c>
      <c r="P2306" s="8">
        <f t="shared" si="105"/>
        <v>-16.900000000000091</v>
      </c>
      <c r="Q2306" t="s">
        <v>38</v>
      </c>
      <c r="R2306">
        <f t="shared" si="106"/>
        <v>9</v>
      </c>
      <c r="S2306" t="str">
        <f t="shared" si="107"/>
        <v>Sep</v>
      </c>
      <c r="T2306" s="9">
        <f>VLOOKUP(O2306, Annual_Summary!A:B, 2, 0)</f>
        <v>-0.22036742088049704</v>
      </c>
    </row>
    <row r="2307" spans="1:20" x14ac:dyDescent="0.3">
      <c r="A2307" s="1">
        <v>45926</v>
      </c>
      <c r="B2307" t="s">
        <v>15</v>
      </c>
      <c r="C2307" s="3">
        <v>2941</v>
      </c>
      <c r="D2307" s="3">
        <v>2954.8</v>
      </c>
      <c r="E2307" s="3">
        <v>2891.3</v>
      </c>
      <c r="F2307" s="3">
        <v>2957.4</v>
      </c>
      <c r="G2307" s="3">
        <v>2905.4</v>
      </c>
      <c r="H2307" s="3">
        <v>2899.1</v>
      </c>
      <c r="I2307" s="3">
        <v>2915.19</v>
      </c>
      <c r="J2307" s="3">
        <v>4494.8999999999996</v>
      </c>
      <c r="K2307" s="3">
        <v>2891.3</v>
      </c>
      <c r="L2307" s="2">
        <v>3934636</v>
      </c>
      <c r="M2307" s="2">
        <v>11470204570</v>
      </c>
      <c r="N2307" s="2">
        <v>390339</v>
      </c>
      <c r="O2307" t="s">
        <v>25</v>
      </c>
      <c r="P2307" s="8">
        <f t="shared" ref="P2307:P2370" si="108">F2307-C2307</f>
        <v>16.400000000000091</v>
      </c>
      <c r="Q2307" t="s">
        <v>38</v>
      </c>
      <c r="R2307">
        <f t="shared" ref="R2307:R2370" si="109">MONTH(A2307)</f>
        <v>9</v>
      </c>
      <c r="S2307" t="str">
        <f t="shared" ref="S2307:S2370" si="110">TEXT(A2307,"mmm")</f>
        <v>Sep</v>
      </c>
      <c r="T2307" s="9">
        <f>VLOOKUP(O2307, Annual_Summary!A:B, 2, 0)</f>
        <v>-0.22036742088049704</v>
      </c>
    </row>
    <row r="2308" spans="1:20" x14ac:dyDescent="0.3">
      <c r="A2308" s="1">
        <v>45925</v>
      </c>
      <c r="B2308" t="s">
        <v>15</v>
      </c>
      <c r="C2308" s="3">
        <v>3022</v>
      </c>
      <c r="D2308" s="3">
        <v>3029.6</v>
      </c>
      <c r="E2308" s="3">
        <v>2951</v>
      </c>
      <c r="F2308" s="3">
        <v>3035.4</v>
      </c>
      <c r="G2308" s="3">
        <v>2958</v>
      </c>
      <c r="H2308" s="3">
        <v>2957.4</v>
      </c>
      <c r="I2308" s="3">
        <v>2977.56</v>
      </c>
      <c r="J2308" s="3">
        <v>4494.8999999999996</v>
      </c>
      <c r="K2308" s="3">
        <v>2951</v>
      </c>
      <c r="L2308" s="2">
        <v>4974361</v>
      </c>
      <c r="M2308" s="2">
        <v>14811452426.9</v>
      </c>
      <c r="N2308" s="2">
        <v>418858</v>
      </c>
      <c r="O2308" t="s">
        <v>25</v>
      </c>
      <c r="P2308" s="8">
        <f t="shared" si="108"/>
        <v>13.400000000000091</v>
      </c>
      <c r="Q2308" t="s">
        <v>38</v>
      </c>
      <c r="R2308">
        <f t="shared" si="109"/>
        <v>9</v>
      </c>
      <c r="S2308" t="str">
        <f t="shared" si="110"/>
        <v>Sep</v>
      </c>
      <c r="T2308" s="9">
        <f>VLOOKUP(O2308, Annual_Summary!A:B, 2, 0)</f>
        <v>-0.22036742088049704</v>
      </c>
    </row>
    <row r="2309" spans="1:20" x14ac:dyDescent="0.3">
      <c r="A2309" s="1">
        <v>45924</v>
      </c>
      <c r="B2309" t="s">
        <v>15</v>
      </c>
      <c r="C2309" s="3">
        <v>3050</v>
      </c>
      <c r="D2309" s="3">
        <v>3057</v>
      </c>
      <c r="E2309" s="3">
        <v>3033</v>
      </c>
      <c r="F2309" s="3">
        <v>3062.4</v>
      </c>
      <c r="G2309" s="3">
        <v>3036.8</v>
      </c>
      <c r="H2309" s="3">
        <v>3035.4</v>
      </c>
      <c r="I2309" s="3">
        <v>3044.04</v>
      </c>
      <c r="J2309" s="3">
        <v>4494.8999999999996</v>
      </c>
      <c r="K2309" s="3">
        <v>2991.6</v>
      </c>
      <c r="L2309" s="2">
        <v>1625714</v>
      </c>
      <c r="M2309" s="2">
        <v>4948746206.6000004</v>
      </c>
      <c r="N2309" s="2">
        <v>101133</v>
      </c>
      <c r="O2309" t="s">
        <v>25</v>
      </c>
      <c r="P2309" s="8">
        <f t="shared" si="108"/>
        <v>12.400000000000091</v>
      </c>
      <c r="Q2309" t="s">
        <v>38</v>
      </c>
      <c r="R2309">
        <f t="shared" si="109"/>
        <v>9</v>
      </c>
      <c r="S2309" t="str">
        <f t="shared" si="110"/>
        <v>Sep</v>
      </c>
      <c r="T2309" s="9">
        <f>VLOOKUP(O2309, Annual_Summary!A:B, 2, 0)</f>
        <v>-0.22036742088049704</v>
      </c>
    </row>
    <row r="2310" spans="1:20" x14ac:dyDescent="0.3">
      <c r="A2310" s="1">
        <v>45923</v>
      </c>
      <c r="B2310" t="s">
        <v>15</v>
      </c>
      <c r="C2310" s="3">
        <v>3070</v>
      </c>
      <c r="D2310" s="3">
        <v>3080.7</v>
      </c>
      <c r="E2310" s="3">
        <v>3052</v>
      </c>
      <c r="F2310" s="3">
        <v>3073.8</v>
      </c>
      <c r="G2310" s="3">
        <v>3065</v>
      </c>
      <c r="H2310" s="3">
        <v>3062.4</v>
      </c>
      <c r="I2310" s="3">
        <v>3063.85</v>
      </c>
      <c r="J2310" s="3">
        <v>4494.8999999999996</v>
      </c>
      <c r="K2310" s="3">
        <v>2991.6</v>
      </c>
      <c r="L2310" s="2">
        <v>3177741</v>
      </c>
      <c r="M2310" s="2">
        <v>9736121756.2000008</v>
      </c>
      <c r="N2310" s="2">
        <v>141198</v>
      </c>
      <c r="O2310" t="s">
        <v>25</v>
      </c>
      <c r="P2310" s="8">
        <f t="shared" si="108"/>
        <v>3.8000000000001819</v>
      </c>
      <c r="Q2310" t="s">
        <v>38</v>
      </c>
      <c r="R2310">
        <f t="shared" si="109"/>
        <v>9</v>
      </c>
      <c r="S2310" t="str">
        <f t="shared" si="110"/>
        <v>Sep</v>
      </c>
      <c r="T2310" s="9">
        <f>VLOOKUP(O2310, Annual_Summary!A:B, 2, 0)</f>
        <v>-0.22036742088049704</v>
      </c>
    </row>
    <row r="2311" spans="1:20" x14ac:dyDescent="0.3">
      <c r="A2311" s="1">
        <v>45922</v>
      </c>
      <c r="B2311" t="s">
        <v>15</v>
      </c>
      <c r="C2311" s="3">
        <v>3095</v>
      </c>
      <c r="D2311" s="3">
        <v>3106.9</v>
      </c>
      <c r="E2311" s="3">
        <v>3065</v>
      </c>
      <c r="F2311" s="3">
        <v>3169.2</v>
      </c>
      <c r="G2311" s="3">
        <v>3075.5</v>
      </c>
      <c r="H2311" s="3">
        <v>3073.8</v>
      </c>
      <c r="I2311" s="3">
        <v>3082.86</v>
      </c>
      <c r="J2311" s="3">
        <v>4494.8999999999996</v>
      </c>
      <c r="K2311" s="3">
        <v>2991.6</v>
      </c>
      <c r="L2311" s="2">
        <v>3634901</v>
      </c>
      <c r="M2311" s="2">
        <v>11205889441.1</v>
      </c>
      <c r="N2311" s="2">
        <v>321272</v>
      </c>
      <c r="O2311" t="s">
        <v>25</v>
      </c>
      <c r="P2311" s="8">
        <f t="shared" si="108"/>
        <v>74.199999999999818</v>
      </c>
      <c r="Q2311" t="s">
        <v>38</v>
      </c>
      <c r="R2311">
        <f t="shared" si="109"/>
        <v>9</v>
      </c>
      <c r="S2311" t="str">
        <f t="shared" si="110"/>
        <v>Sep</v>
      </c>
      <c r="T2311" s="9">
        <f>VLOOKUP(O2311, Annual_Summary!A:B, 2, 0)</f>
        <v>-0.22036742088049704</v>
      </c>
    </row>
    <row r="2312" spans="1:20" x14ac:dyDescent="0.3">
      <c r="A2312" s="1">
        <v>45919</v>
      </c>
      <c r="B2312" t="s">
        <v>15</v>
      </c>
      <c r="C2312" s="3">
        <v>3170</v>
      </c>
      <c r="D2312" s="3">
        <v>3180.5</v>
      </c>
      <c r="E2312" s="3">
        <v>3144</v>
      </c>
      <c r="F2312" s="3">
        <v>3176.7</v>
      </c>
      <c r="G2312" s="3">
        <v>3171</v>
      </c>
      <c r="H2312" s="3">
        <v>3169.2</v>
      </c>
      <c r="I2312" s="3">
        <v>3163.36</v>
      </c>
      <c r="J2312" s="3">
        <v>4546.05</v>
      </c>
      <c r="K2312" s="3">
        <v>2991.6</v>
      </c>
      <c r="L2312" s="2">
        <v>4901694</v>
      </c>
      <c r="M2312" s="2">
        <v>15505826514.1</v>
      </c>
      <c r="N2312" s="2">
        <v>109280</v>
      </c>
      <c r="O2312" t="s">
        <v>25</v>
      </c>
      <c r="P2312" s="8">
        <f t="shared" si="108"/>
        <v>6.6999999999998181</v>
      </c>
      <c r="Q2312" t="s">
        <v>38</v>
      </c>
      <c r="R2312">
        <f t="shared" si="109"/>
        <v>9</v>
      </c>
      <c r="S2312" t="str">
        <f t="shared" si="110"/>
        <v>Sep</v>
      </c>
      <c r="T2312" s="9">
        <f>VLOOKUP(O2312, Annual_Summary!A:B, 2, 0)</f>
        <v>-0.22036742088049704</v>
      </c>
    </row>
    <row r="2313" spans="1:20" x14ac:dyDescent="0.3">
      <c r="A2313" s="1">
        <v>45918</v>
      </c>
      <c r="B2313" t="s">
        <v>15</v>
      </c>
      <c r="C2313" s="3">
        <v>3185</v>
      </c>
      <c r="D2313" s="3">
        <v>3203</v>
      </c>
      <c r="E2313" s="3">
        <v>3161.4</v>
      </c>
      <c r="F2313" s="3">
        <v>3172.8</v>
      </c>
      <c r="G2313" s="3">
        <v>3177</v>
      </c>
      <c r="H2313" s="3">
        <v>3176.7</v>
      </c>
      <c r="I2313" s="3">
        <v>3179</v>
      </c>
      <c r="J2313" s="3">
        <v>4546.05</v>
      </c>
      <c r="K2313" s="3">
        <v>2991.6</v>
      </c>
      <c r="L2313" s="2">
        <v>2633138</v>
      </c>
      <c r="M2313" s="2">
        <v>8370738058.3999996</v>
      </c>
      <c r="N2313" s="2">
        <v>147801</v>
      </c>
      <c r="O2313" t="s">
        <v>25</v>
      </c>
      <c r="P2313" s="8">
        <f t="shared" si="108"/>
        <v>-12.199999999999818</v>
      </c>
      <c r="Q2313" t="s">
        <v>38</v>
      </c>
      <c r="R2313">
        <f t="shared" si="109"/>
        <v>9</v>
      </c>
      <c r="S2313" t="str">
        <f t="shared" si="110"/>
        <v>Sep</v>
      </c>
      <c r="T2313" s="9">
        <f>VLOOKUP(O2313, Annual_Summary!A:B, 2, 0)</f>
        <v>-0.22036742088049704</v>
      </c>
    </row>
    <row r="2314" spans="1:20" x14ac:dyDescent="0.3">
      <c r="A2314" s="1">
        <v>45917</v>
      </c>
      <c r="B2314" t="s">
        <v>15</v>
      </c>
      <c r="C2314" s="3">
        <v>3152</v>
      </c>
      <c r="D2314" s="3">
        <v>3182.4</v>
      </c>
      <c r="E2314" s="3">
        <v>3142.4</v>
      </c>
      <c r="F2314" s="3">
        <v>3145.7</v>
      </c>
      <c r="G2314" s="3">
        <v>3175</v>
      </c>
      <c r="H2314" s="3">
        <v>3172.8</v>
      </c>
      <c r="I2314" s="3">
        <v>3170.19</v>
      </c>
      <c r="J2314" s="3">
        <v>4546.05</v>
      </c>
      <c r="K2314" s="3">
        <v>2991.6</v>
      </c>
      <c r="L2314" s="2">
        <v>2418271</v>
      </c>
      <c r="M2314" s="2">
        <v>7666388043.1999998</v>
      </c>
      <c r="N2314" s="2">
        <v>100973</v>
      </c>
      <c r="O2314" t="s">
        <v>25</v>
      </c>
      <c r="P2314" s="8">
        <f t="shared" si="108"/>
        <v>-6.3000000000001819</v>
      </c>
      <c r="Q2314" t="s">
        <v>38</v>
      </c>
      <c r="R2314">
        <f t="shared" si="109"/>
        <v>9</v>
      </c>
      <c r="S2314" t="str">
        <f t="shared" si="110"/>
        <v>Sep</v>
      </c>
      <c r="T2314" s="9">
        <f>VLOOKUP(O2314, Annual_Summary!A:B, 2, 0)</f>
        <v>-0.22036742088049704</v>
      </c>
    </row>
    <row r="2315" spans="1:20" x14ac:dyDescent="0.3">
      <c r="A2315" s="1">
        <v>45916</v>
      </c>
      <c r="B2315" t="s">
        <v>15</v>
      </c>
      <c r="C2315" s="3">
        <v>3128</v>
      </c>
      <c r="D2315" s="3">
        <v>3150</v>
      </c>
      <c r="E2315" s="3">
        <v>3109.1</v>
      </c>
      <c r="F2315" s="3">
        <v>3111.9</v>
      </c>
      <c r="G2315" s="3">
        <v>3147.9</v>
      </c>
      <c r="H2315" s="3">
        <v>3145.7</v>
      </c>
      <c r="I2315" s="3">
        <v>3132.7</v>
      </c>
      <c r="J2315" s="3">
        <v>4546.05</v>
      </c>
      <c r="K2315" s="3">
        <v>2991.6</v>
      </c>
      <c r="L2315" s="2">
        <v>2573429</v>
      </c>
      <c r="M2315" s="2">
        <v>8061782019.3000002</v>
      </c>
      <c r="N2315" s="2">
        <v>96675</v>
      </c>
      <c r="O2315" t="s">
        <v>25</v>
      </c>
      <c r="P2315" s="8">
        <f t="shared" si="108"/>
        <v>-16.099999999999909</v>
      </c>
      <c r="Q2315" t="s">
        <v>38</v>
      </c>
      <c r="R2315">
        <f t="shared" si="109"/>
        <v>9</v>
      </c>
      <c r="S2315" t="str">
        <f t="shared" si="110"/>
        <v>Sep</v>
      </c>
      <c r="T2315" s="9">
        <f>VLOOKUP(O2315, Annual_Summary!A:B, 2, 0)</f>
        <v>-0.22036742088049704</v>
      </c>
    </row>
    <row r="2316" spans="1:20" x14ac:dyDescent="0.3">
      <c r="A2316" s="1">
        <v>45915</v>
      </c>
      <c r="B2316" t="s">
        <v>15</v>
      </c>
      <c r="C2316" s="3">
        <v>3134</v>
      </c>
      <c r="D2316" s="3">
        <v>3134</v>
      </c>
      <c r="E2316" s="3">
        <v>3096</v>
      </c>
      <c r="F2316" s="3">
        <v>3133.4</v>
      </c>
      <c r="G2316" s="3">
        <v>3112.5</v>
      </c>
      <c r="H2316" s="3">
        <v>3111.9</v>
      </c>
      <c r="I2316" s="3">
        <v>3108.2</v>
      </c>
      <c r="J2316" s="3">
        <v>4546.05</v>
      </c>
      <c r="K2316" s="3">
        <v>2991.6</v>
      </c>
      <c r="L2316" s="2">
        <v>1732539</v>
      </c>
      <c r="M2316" s="2">
        <v>5385083002.3000002</v>
      </c>
      <c r="N2316" s="2">
        <v>145801</v>
      </c>
      <c r="O2316" t="s">
        <v>25</v>
      </c>
      <c r="P2316" s="8">
        <f t="shared" si="108"/>
        <v>-0.59999999999990905</v>
      </c>
      <c r="Q2316" t="s">
        <v>38</v>
      </c>
      <c r="R2316">
        <f t="shared" si="109"/>
        <v>9</v>
      </c>
      <c r="S2316" t="str">
        <f t="shared" si="110"/>
        <v>Sep</v>
      </c>
      <c r="T2316" s="9">
        <f>VLOOKUP(O2316, Annual_Summary!A:B, 2, 0)</f>
        <v>-0.22036742088049704</v>
      </c>
    </row>
    <row r="2317" spans="1:20" x14ac:dyDescent="0.3">
      <c r="A2317" s="1">
        <v>45912</v>
      </c>
      <c r="B2317" t="s">
        <v>15</v>
      </c>
      <c r="C2317" s="3">
        <v>3144</v>
      </c>
      <c r="D2317" s="3">
        <v>3148.7</v>
      </c>
      <c r="E2317" s="3">
        <v>3121</v>
      </c>
      <c r="F2317" s="3">
        <v>3124.2</v>
      </c>
      <c r="G2317" s="3">
        <v>3133</v>
      </c>
      <c r="H2317" s="3">
        <v>3133.4</v>
      </c>
      <c r="I2317" s="3">
        <v>3134.12</v>
      </c>
      <c r="J2317" s="3">
        <v>4549.3500000000004</v>
      </c>
      <c r="K2317" s="3">
        <v>2991.6</v>
      </c>
      <c r="L2317" s="2">
        <v>1447167</v>
      </c>
      <c r="M2317" s="2">
        <v>4535589799.8000002</v>
      </c>
      <c r="N2317" s="2">
        <v>103589</v>
      </c>
      <c r="O2317" t="s">
        <v>25</v>
      </c>
      <c r="P2317" s="8">
        <f t="shared" si="108"/>
        <v>-19.800000000000182</v>
      </c>
      <c r="Q2317" t="s">
        <v>38</v>
      </c>
      <c r="R2317">
        <f t="shared" si="109"/>
        <v>9</v>
      </c>
      <c r="S2317" t="str">
        <f t="shared" si="110"/>
        <v>Sep</v>
      </c>
      <c r="T2317" s="9">
        <f>VLOOKUP(O2317, Annual_Summary!A:B, 2, 0)</f>
        <v>-0.22036742088049704</v>
      </c>
    </row>
    <row r="2318" spans="1:20" x14ac:dyDescent="0.3">
      <c r="A2318" s="1">
        <v>45911</v>
      </c>
      <c r="B2318" t="s">
        <v>15</v>
      </c>
      <c r="C2318" s="3">
        <v>3139</v>
      </c>
      <c r="D2318" s="3">
        <v>3139</v>
      </c>
      <c r="E2318" s="3">
        <v>3110.1</v>
      </c>
      <c r="F2318" s="3">
        <v>3110</v>
      </c>
      <c r="G2318" s="3">
        <v>3125.2</v>
      </c>
      <c r="H2318" s="3">
        <v>3124.2</v>
      </c>
      <c r="I2318" s="3">
        <v>3121.51</v>
      </c>
      <c r="J2318" s="3">
        <v>4549.3500000000004</v>
      </c>
      <c r="K2318" s="3">
        <v>2991.6</v>
      </c>
      <c r="L2318" s="2">
        <v>2263446</v>
      </c>
      <c r="M2318" s="2">
        <v>7065362076.8999996</v>
      </c>
      <c r="N2318" s="2">
        <v>126730</v>
      </c>
      <c r="O2318" t="s">
        <v>25</v>
      </c>
      <c r="P2318" s="8">
        <f t="shared" si="108"/>
        <v>-29</v>
      </c>
      <c r="Q2318" t="s">
        <v>38</v>
      </c>
      <c r="R2318">
        <f t="shared" si="109"/>
        <v>9</v>
      </c>
      <c r="S2318" t="str">
        <f t="shared" si="110"/>
        <v>Sep</v>
      </c>
      <c r="T2318" s="9">
        <f>VLOOKUP(O2318, Annual_Summary!A:B, 2, 0)</f>
        <v>-0.22036742088049704</v>
      </c>
    </row>
    <row r="2319" spans="1:20" x14ac:dyDescent="0.3">
      <c r="A2319" s="1">
        <v>45910</v>
      </c>
      <c r="B2319" t="s">
        <v>15</v>
      </c>
      <c r="C2319" s="3">
        <v>3056.4</v>
      </c>
      <c r="D2319" s="3">
        <v>3122.7</v>
      </c>
      <c r="E2319" s="3">
        <v>3053.4</v>
      </c>
      <c r="F2319" s="3">
        <v>3049.4</v>
      </c>
      <c r="G2319" s="3">
        <v>3110</v>
      </c>
      <c r="H2319" s="3">
        <v>3110</v>
      </c>
      <c r="I2319" s="3">
        <v>3104.63</v>
      </c>
      <c r="J2319" s="3">
        <v>4549.3500000000004</v>
      </c>
      <c r="K2319" s="3">
        <v>2991.6</v>
      </c>
      <c r="L2319" s="2">
        <v>2079428</v>
      </c>
      <c r="M2319" s="2">
        <v>6455861143.6999998</v>
      </c>
      <c r="N2319" s="2">
        <v>127545</v>
      </c>
      <c r="O2319" t="s">
        <v>25</v>
      </c>
      <c r="P2319" s="8">
        <f t="shared" si="108"/>
        <v>-7</v>
      </c>
      <c r="Q2319" t="s">
        <v>38</v>
      </c>
      <c r="R2319">
        <f t="shared" si="109"/>
        <v>9</v>
      </c>
      <c r="S2319" t="str">
        <f t="shared" si="110"/>
        <v>Sep</v>
      </c>
      <c r="T2319" s="9">
        <f>VLOOKUP(O2319, Annual_Summary!A:B, 2, 0)</f>
        <v>-0.22036742088049704</v>
      </c>
    </row>
    <row r="2320" spans="1:20" x14ac:dyDescent="0.3">
      <c r="A2320" s="1">
        <v>45909</v>
      </c>
      <c r="B2320" t="s">
        <v>15</v>
      </c>
      <c r="C2320" s="3">
        <v>3032.1</v>
      </c>
      <c r="D2320" s="3">
        <v>3060</v>
      </c>
      <c r="E2320" s="3">
        <v>3030.8</v>
      </c>
      <c r="F2320" s="3">
        <v>3019</v>
      </c>
      <c r="G2320" s="3">
        <v>3052</v>
      </c>
      <c r="H2320" s="3">
        <v>3049.4</v>
      </c>
      <c r="I2320" s="3">
        <v>3048.62</v>
      </c>
      <c r="J2320" s="3">
        <v>4549.3500000000004</v>
      </c>
      <c r="K2320" s="3">
        <v>2991.6</v>
      </c>
      <c r="L2320" s="2">
        <v>2489301</v>
      </c>
      <c r="M2320" s="2">
        <v>7588929067.8999996</v>
      </c>
      <c r="N2320" s="2">
        <v>164479</v>
      </c>
      <c r="O2320" t="s">
        <v>25</v>
      </c>
      <c r="P2320" s="8">
        <f t="shared" si="108"/>
        <v>-13.099999999999909</v>
      </c>
      <c r="Q2320" t="s">
        <v>38</v>
      </c>
      <c r="R2320">
        <f t="shared" si="109"/>
        <v>9</v>
      </c>
      <c r="S2320" t="str">
        <f t="shared" si="110"/>
        <v>Sep</v>
      </c>
      <c r="T2320" s="9">
        <f>VLOOKUP(O2320, Annual_Summary!A:B, 2, 0)</f>
        <v>-0.22036742088049704</v>
      </c>
    </row>
    <row r="2321" spans="1:20" x14ac:dyDescent="0.3">
      <c r="A2321" s="1">
        <v>45908</v>
      </c>
      <c r="B2321" t="s">
        <v>15</v>
      </c>
      <c r="C2321" s="3">
        <v>3050</v>
      </c>
      <c r="D2321" s="3">
        <v>3064.9</v>
      </c>
      <c r="E2321" s="3">
        <v>3016</v>
      </c>
      <c r="F2321" s="3">
        <v>3048.3</v>
      </c>
      <c r="G2321" s="3">
        <v>3023.2</v>
      </c>
      <c r="H2321" s="3">
        <v>3019</v>
      </c>
      <c r="I2321" s="3">
        <v>3028.84</v>
      </c>
      <c r="J2321" s="3">
        <v>4549.3500000000004</v>
      </c>
      <c r="K2321" s="3">
        <v>2991.6</v>
      </c>
      <c r="L2321" s="2">
        <v>2626187</v>
      </c>
      <c r="M2321" s="2">
        <v>7954291229</v>
      </c>
      <c r="N2321" s="2">
        <v>112429</v>
      </c>
      <c r="O2321" t="s">
        <v>25</v>
      </c>
      <c r="P2321" s="8">
        <f t="shared" si="108"/>
        <v>-1.6999999999998181</v>
      </c>
      <c r="Q2321" t="s">
        <v>38</v>
      </c>
      <c r="R2321">
        <f t="shared" si="109"/>
        <v>9</v>
      </c>
      <c r="S2321" t="str">
        <f t="shared" si="110"/>
        <v>Sep</v>
      </c>
      <c r="T2321" s="9">
        <f>VLOOKUP(O2321, Annual_Summary!A:B, 2, 0)</f>
        <v>-0.22036742088049704</v>
      </c>
    </row>
    <row r="2322" spans="1:20" x14ac:dyDescent="0.3">
      <c r="A2322" s="1">
        <v>45905</v>
      </c>
      <c r="B2322" t="s">
        <v>15</v>
      </c>
      <c r="C2322" s="3">
        <v>3097.1</v>
      </c>
      <c r="D2322" s="3">
        <v>3103.4</v>
      </c>
      <c r="E2322" s="3">
        <v>3028.6</v>
      </c>
      <c r="F2322" s="3">
        <v>3095.7</v>
      </c>
      <c r="G2322" s="3">
        <v>3048</v>
      </c>
      <c r="H2322" s="3">
        <v>3048.3</v>
      </c>
      <c r="I2322" s="3">
        <v>3052.1</v>
      </c>
      <c r="J2322" s="3">
        <v>4588</v>
      </c>
      <c r="K2322" s="3">
        <v>2991.6</v>
      </c>
      <c r="L2322" s="2">
        <v>2802055</v>
      </c>
      <c r="M2322" s="2">
        <v>8552162278.6000004</v>
      </c>
      <c r="N2322" s="2">
        <v>203461</v>
      </c>
      <c r="O2322" t="s">
        <v>25</v>
      </c>
      <c r="P2322" s="8">
        <f t="shared" si="108"/>
        <v>-1.4000000000000909</v>
      </c>
      <c r="Q2322" t="s">
        <v>38</v>
      </c>
      <c r="R2322">
        <f t="shared" si="109"/>
        <v>9</v>
      </c>
      <c r="S2322" t="str">
        <f t="shared" si="110"/>
        <v>Sep</v>
      </c>
      <c r="T2322" s="9">
        <f>VLOOKUP(O2322, Annual_Summary!A:B, 2, 0)</f>
        <v>-0.22036742088049704</v>
      </c>
    </row>
    <row r="2323" spans="1:20" x14ac:dyDescent="0.3">
      <c r="A2323" s="1">
        <v>45904</v>
      </c>
      <c r="B2323" t="s">
        <v>15</v>
      </c>
      <c r="C2323" s="3">
        <v>3116</v>
      </c>
      <c r="D2323" s="3">
        <v>3118</v>
      </c>
      <c r="E2323" s="3">
        <v>3090.8</v>
      </c>
      <c r="F2323" s="3">
        <v>3097.5</v>
      </c>
      <c r="G2323" s="3">
        <v>3095.8</v>
      </c>
      <c r="H2323" s="3">
        <v>3095.7</v>
      </c>
      <c r="I2323" s="3">
        <v>3101.37</v>
      </c>
      <c r="J2323" s="3">
        <v>4588</v>
      </c>
      <c r="K2323" s="3">
        <v>2991.6</v>
      </c>
      <c r="L2323" s="2">
        <v>1481391</v>
      </c>
      <c r="M2323" s="2">
        <v>4594343759.6000004</v>
      </c>
      <c r="N2323" s="2">
        <v>104731</v>
      </c>
      <c r="O2323" t="s">
        <v>25</v>
      </c>
      <c r="P2323" s="8">
        <f t="shared" si="108"/>
        <v>-18.5</v>
      </c>
      <c r="Q2323" t="s">
        <v>38</v>
      </c>
      <c r="R2323">
        <f t="shared" si="109"/>
        <v>9</v>
      </c>
      <c r="S2323" t="str">
        <f t="shared" si="110"/>
        <v>Sep</v>
      </c>
      <c r="T2323" s="9">
        <f>VLOOKUP(O2323, Annual_Summary!A:B, 2, 0)</f>
        <v>-0.22036742088049704</v>
      </c>
    </row>
    <row r="2324" spans="1:20" x14ac:dyDescent="0.3">
      <c r="A2324" s="1">
        <v>45903</v>
      </c>
      <c r="B2324" t="s">
        <v>15</v>
      </c>
      <c r="C2324" s="3">
        <v>3129.9</v>
      </c>
      <c r="D2324" s="3">
        <v>3141.9</v>
      </c>
      <c r="E2324" s="3">
        <v>3088</v>
      </c>
      <c r="F2324" s="3">
        <v>3111.5</v>
      </c>
      <c r="G2324" s="3">
        <v>3100</v>
      </c>
      <c r="H2324" s="3">
        <v>3097.5</v>
      </c>
      <c r="I2324" s="3">
        <v>3102.69</v>
      </c>
      <c r="J2324" s="3">
        <v>4588</v>
      </c>
      <c r="K2324" s="3">
        <v>2991.6</v>
      </c>
      <c r="L2324" s="2">
        <v>1799774</v>
      </c>
      <c r="M2324" s="2">
        <v>5584147665.6000004</v>
      </c>
      <c r="N2324" s="2">
        <v>106698</v>
      </c>
      <c r="O2324" t="s">
        <v>25</v>
      </c>
      <c r="P2324" s="8">
        <f t="shared" si="108"/>
        <v>-18.400000000000091</v>
      </c>
      <c r="Q2324" t="s">
        <v>38</v>
      </c>
      <c r="R2324">
        <f t="shared" si="109"/>
        <v>9</v>
      </c>
      <c r="S2324" t="str">
        <f t="shared" si="110"/>
        <v>Sep</v>
      </c>
      <c r="T2324" s="9">
        <f>VLOOKUP(O2324, Annual_Summary!A:B, 2, 0)</f>
        <v>-0.22036742088049704</v>
      </c>
    </row>
    <row r="2325" spans="1:20" x14ac:dyDescent="0.3">
      <c r="A2325" s="1">
        <v>45902</v>
      </c>
      <c r="B2325" t="s">
        <v>15</v>
      </c>
      <c r="C2325" s="3">
        <v>3121.1</v>
      </c>
      <c r="D2325" s="3">
        <v>3155</v>
      </c>
      <c r="E2325" s="3">
        <v>3103.1</v>
      </c>
      <c r="F2325" s="3">
        <v>3112.6</v>
      </c>
      <c r="G2325" s="3">
        <v>3112</v>
      </c>
      <c r="H2325" s="3">
        <v>3111.5</v>
      </c>
      <c r="I2325" s="3">
        <v>3125.54</v>
      </c>
      <c r="J2325" s="3">
        <v>4588</v>
      </c>
      <c r="K2325" s="3">
        <v>2991.6</v>
      </c>
      <c r="L2325" s="2">
        <v>2185229</v>
      </c>
      <c r="M2325" s="2">
        <v>6830018367.8999996</v>
      </c>
      <c r="N2325" s="2">
        <v>154171</v>
      </c>
      <c r="O2325" t="s">
        <v>25</v>
      </c>
      <c r="P2325" s="8">
        <f t="shared" si="108"/>
        <v>-8.5</v>
      </c>
      <c r="Q2325" t="s">
        <v>38</v>
      </c>
      <c r="R2325">
        <f t="shared" si="109"/>
        <v>9</v>
      </c>
      <c r="S2325" t="str">
        <f t="shared" si="110"/>
        <v>Sep</v>
      </c>
      <c r="T2325" s="9">
        <f>VLOOKUP(O2325, Annual_Summary!A:B, 2, 0)</f>
        <v>-0.22036742088049704</v>
      </c>
    </row>
    <row r="2326" spans="1:20" x14ac:dyDescent="0.3">
      <c r="A2326" s="1">
        <v>45901</v>
      </c>
      <c r="B2326" t="s">
        <v>15</v>
      </c>
      <c r="C2326" s="3">
        <v>3090</v>
      </c>
      <c r="D2326" s="3">
        <v>3131.1</v>
      </c>
      <c r="E2326" s="3">
        <v>3090</v>
      </c>
      <c r="F2326" s="3">
        <v>3084.7</v>
      </c>
      <c r="G2326" s="3">
        <v>3111</v>
      </c>
      <c r="H2326" s="3">
        <v>3112.6</v>
      </c>
      <c r="I2326" s="3">
        <v>3118.12</v>
      </c>
      <c r="J2326" s="3">
        <v>4588</v>
      </c>
      <c r="K2326" s="3">
        <v>2991.6</v>
      </c>
      <c r="L2326" s="2">
        <v>1246862</v>
      </c>
      <c r="M2326" s="2">
        <v>3887860373.5</v>
      </c>
      <c r="N2326" s="2">
        <v>85857</v>
      </c>
      <c r="O2326" t="s">
        <v>25</v>
      </c>
      <c r="P2326" s="8">
        <f t="shared" si="108"/>
        <v>-5.3000000000001819</v>
      </c>
      <c r="Q2326" t="s">
        <v>38</v>
      </c>
      <c r="R2326">
        <f t="shared" si="109"/>
        <v>9</v>
      </c>
      <c r="S2326" t="str">
        <f t="shared" si="110"/>
        <v>Sep</v>
      </c>
      <c r="T2326" s="9">
        <f>VLOOKUP(O2326, Annual_Summary!A:B, 2, 0)</f>
        <v>-0.22036742088049704</v>
      </c>
    </row>
    <row r="2327" spans="1:20" x14ac:dyDescent="0.3">
      <c r="A2327" s="1">
        <v>45898</v>
      </c>
      <c r="B2327" t="s">
        <v>15</v>
      </c>
      <c r="C2327" s="3">
        <v>3093</v>
      </c>
      <c r="D2327" s="3">
        <v>3115</v>
      </c>
      <c r="E2327" s="3">
        <v>3077.2</v>
      </c>
      <c r="F2327" s="3">
        <v>3093.7</v>
      </c>
      <c r="G2327" s="3">
        <v>3083.8</v>
      </c>
      <c r="H2327" s="3">
        <v>3084.7</v>
      </c>
      <c r="I2327" s="3">
        <v>3093.86</v>
      </c>
      <c r="J2327" s="3">
        <v>4592.25</v>
      </c>
      <c r="K2327" s="3">
        <v>2991.6</v>
      </c>
      <c r="L2327" s="2">
        <v>2271789</v>
      </c>
      <c r="M2327" s="2">
        <v>7028604709.3000002</v>
      </c>
      <c r="N2327" s="2">
        <v>109782</v>
      </c>
      <c r="O2327" t="s">
        <v>25</v>
      </c>
      <c r="P2327" s="8">
        <f t="shared" si="108"/>
        <v>0.6999999999998181</v>
      </c>
      <c r="Q2327" t="s">
        <v>38</v>
      </c>
      <c r="R2327">
        <f t="shared" si="109"/>
        <v>8</v>
      </c>
      <c r="S2327" t="str">
        <f t="shared" si="110"/>
        <v>Aug</v>
      </c>
      <c r="T2327" s="9">
        <f>VLOOKUP(O2327, Annual_Summary!A:B, 2, 0)</f>
        <v>-0.22036742088049704</v>
      </c>
    </row>
    <row r="2328" spans="1:20" x14ac:dyDescent="0.3">
      <c r="A2328" s="1">
        <v>45897</v>
      </c>
      <c r="B2328" t="s">
        <v>15</v>
      </c>
      <c r="C2328" s="3">
        <v>3145</v>
      </c>
      <c r="D2328" s="3">
        <v>3146.5</v>
      </c>
      <c r="E2328" s="3">
        <v>3086.5</v>
      </c>
      <c r="F2328" s="3">
        <v>3157.2</v>
      </c>
      <c r="G2328" s="3">
        <v>3098</v>
      </c>
      <c r="H2328" s="3">
        <v>3093.7</v>
      </c>
      <c r="I2328" s="3">
        <v>3110.39</v>
      </c>
      <c r="J2328" s="3">
        <v>4592.25</v>
      </c>
      <c r="K2328" s="3">
        <v>2991.6</v>
      </c>
      <c r="L2328" s="2">
        <v>3116051</v>
      </c>
      <c r="M2328" s="2">
        <v>9692121881.2999992</v>
      </c>
      <c r="N2328" s="2">
        <v>204600</v>
      </c>
      <c r="O2328" t="s">
        <v>25</v>
      </c>
      <c r="P2328" s="8">
        <f t="shared" si="108"/>
        <v>12.199999999999818</v>
      </c>
      <c r="Q2328" t="s">
        <v>38</v>
      </c>
      <c r="R2328">
        <f t="shared" si="109"/>
        <v>8</v>
      </c>
      <c r="S2328" t="str">
        <f t="shared" si="110"/>
        <v>Aug</v>
      </c>
      <c r="T2328" s="9">
        <f>VLOOKUP(O2328, Annual_Summary!A:B, 2, 0)</f>
        <v>-0.22036742088049704</v>
      </c>
    </row>
    <row r="2329" spans="1:20" x14ac:dyDescent="0.3">
      <c r="A2329" s="1">
        <v>45895</v>
      </c>
      <c r="B2329" t="s">
        <v>15</v>
      </c>
      <c r="C2329" s="3">
        <v>3129</v>
      </c>
      <c r="D2329" s="3">
        <v>3162</v>
      </c>
      <c r="E2329" s="3">
        <v>3120</v>
      </c>
      <c r="F2329" s="3">
        <v>3140.6</v>
      </c>
      <c r="G2329" s="3">
        <v>3157</v>
      </c>
      <c r="H2329" s="3">
        <v>3157.2</v>
      </c>
      <c r="I2329" s="3">
        <v>3152.41</v>
      </c>
      <c r="J2329" s="3">
        <v>4592.25</v>
      </c>
      <c r="K2329" s="3">
        <v>2991.6</v>
      </c>
      <c r="L2329" s="2">
        <v>5522097</v>
      </c>
      <c r="M2329" s="2">
        <v>17407935331</v>
      </c>
      <c r="N2329" s="2">
        <v>173962</v>
      </c>
      <c r="O2329" t="s">
        <v>25</v>
      </c>
      <c r="P2329" s="8">
        <f t="shared" si="108"/>
        <v>11.599999999999909</v>
      </c>
      <c r="Q2329" t="s">
        <v>38</v>
      </c>
      <c r="R2329">
        <f t="shared" si="109"/>
        <v>8</v>
      </c>
      <c r="S2329" t="str">
        <f t="shared" si="110"/>
        <v>Aug</v>
      </c>
      <c r="T2329" s="9">
        <f>VLOOKUP(O2329, Annual_Summary!A:B, 2, 0)</f>
        <v>-0.22036742088049704</v>
      </c>
    </row>
    <row r="2330" spans="1:20" x14ac:dyDescent="0.3">
      <c r="A2330" s="1">
        <v>45894</v>
      </c>
      <c r="B2330" t="s">
        <v>15</v>
      </c>
      <c r="C2330" s="3">
        <v>3087.3</v>
      </c>
      <c r="D2330" s="3">
        <v>3152</v>
      </c>
      <c r="E2330" s="3">
        <v>3077.1</v>
      </c>
      <c r="F2330" s="3">
        <v>3054</v>
      </c>
      <c r="G2330" s="3">
        <v>3142.1</v>
      </c>
      <c r="H2330" s="3">
        <v>3140.6</v>
      </c>
      <c r="I2330" s="3">
        <v>3133.79</v>
      </c>
      <c r="J2330" s="3">
        <v>4592.25</v>
      </c>
      <c r="K2330" s="3">
        <v>2991.6</v>
      </c>
      <c r="L2330" s="2">
        <v>3448370</v>
      </c>
      <c r="M2330" s="2">
        <v>10806464376.700001</v>
      </c>
      <c r="N2330" s="2">
        <v>200973</v>
      </c>
      <c r="O2330" t="s">
        <v>25</v>
      </c>
      <c r="P2330" s="8">
        <f t="shared" si="108"/>
        <v>-33.300000000000182</v>
      </c>
      <c r="Q2330" t="s">
        <v>38</v>
      </c>
      <c r="R2330">
        <f t="shared" si="109"/>
        <v>8</v>
      </c>
      <c r="S2330" t="str">
        <f t="shared" si="110"/>
        <v>Aug</v>
      </c>
      <c r="T2330" s="9">
        <f>VLOOKUP(O2330, Annual_Summary!A:B, 2, 0)</f>
        <v>-0.22036742088049704</v>
      </c>
    </row>
    <row r="2331" spans="1:20" x14ac:dyDescent="0.3">
      <c r="A2331" s="1">
        <v>45891</v>
      </c>
      <c r="B2331" t="s">
        <v>15</v>
      </c>
      <c r="C2331" s="3">
        <v>3086</v>
      </c>
      <c r="D2331" s="3">
        <v>3095.7</v>
      </c>
      <c r="E2331" s="3">
        <v>3050</v>
      </c>
      <c r="F2331" s="3">
        <v>3102.6</v>
      </c>
      <c r="G2331" s="3">
        <v>3054.7</v>
      </c>
      <c r="H2331" s="3">
        <v>3054</v>
      </c>
      <c r="I2331" s="3">
        <v>3068.45</v>
      </c>
      <c r="J2331" s="3">
        <v>4592.25</v>
      </c>
      <c r="K2331" s="3">
        <v>2991.6</v>
      </c>
      <c r="L2331" s="2">
        <v>1593791</v>
      </c>
      <c r="M2331" s="2">
        <v>4890462450.3000002</v>
      </c>
      <c r="N2331" s="2">
        <v>82740</v>
      </c>
      <c r="O2331" t="s">
        <v>25</v>
      </c>
      <c r="P2331" s="8">
        <f t="shared" si="108"/>
        <v>16.599999999999909</v>
      </c>
      <c r="Q2331" t="s">
        <v>38</v>
      </c>
      <c r="R2331">
        <f t="shared" si="109"/>
        <v>8</v>
      </c>
      <c r="S2331" t="str">
        <f t="shared" si="110"/>
        <v>Aug</v>
      </c>
      <c r="T2331" s="9">
        <f>VLOOKUP(O2331, Annual_Summary!A:B, 2, 0)</f>
        <v>-0.22036742088049704</v>
      </c>
    </row>
    <row r="2332" spans="1:20" x14ac:dyDescent="0.3">
      <c r="A2332" s="1">
        <v>45890</v>
      </c>
      <c r="B2332" t="s">
        <v>15</v>
      </c>
      <c r="C2332" s="3">
        <v>3130</v>
      </c>
      <c r="D2332" s="3">
        <v>3130</v>
      </c>
      <c r="E2332" s="3">
        <v>3083.1</v>
      </c>
      <c r="F2332" s="3">
        <v>3098.6</v>
      </c>
      <c r="G2332" s="3">
        <v>3100</v>
      </c>
      <c r="H2332" s="3">
        <v>3102.6</v>
      </c>
      <c r="I2332" s="3">
        <v>3107.84</v>
      </c>
      <c r="J2332" s="3">
        <v>4592.25</v>
      </c>
      <c r="K2332" s="3">
        <v>2991.6</v>
      </c>
      <c r="L2332" s="2">
        <v>3230726</v>
      </c>
      <c r="M2332" s="2">
        <v>10040586025.700001</v>
      </c>
      <c r="N2332" s="2">
        <v>119697</v>
      </c>
      <c r="O2332" t="s">
        <v>25</v>
      </c>
      <c r="P2332" s="8">
        <f t="shared" si="108"/>
        <v>-31.400000000000091</v>
      </c>
      <c r="Q2332" t="s">
        <v>38</v>
      </c>
      <c r="R2332">
        <f t="shared" si="109"/>
        <v>8</v>
      </c>
      <c r="S2332" t="str">
        <f t="shared" si="110"/>
        <v>Aug</v>
      </c>
      <c r="T2332" s="9">
        <f>VLOOKUP(O2332, Annual_Summary!A:B, 2, 0)</f>
        <v>-0.22036742088049704</v>
      </c>
    </row>
    <row r="2333" spans="1:20" x14ac:dyDescent="0.3">
      <c r="A2333" s="1">
        <v>45889</v>
      </c>
      <c r="B2333" t="s">
        <v>15</v>
      </c>
      <c r="C2333" s="3">
        <v>3010.9</v>
      </c>
      <c r="D2333" s="3">
        <v>3103.4</v>
      </c>
      <c r="E2333" s="3">
        <v>3010.9</v>
      </c>
      <c r="F2333" s="3">
        <v>3016.2</v>
      </c>
      <c r="G2333" s="3">
        <v>3094.8</v>
      </c>
      <c r="H2333" s="3">
        <v>3098.6</v>
      </c>
      <c r="I2333" s="3">
        <v>3078.21</v>
      </c>
      <c r="J2333" s="3">
        <v>4592.25</v>
      </c>
      <c r="K2333" s="3">
        <v>2991.6</v>
      </c>
      <c r="L2333" s="2">
        <v>4952358</v>
      </c>
      <c r="M2333" s="2">
        <v>15244401986.4</v>
      </c>
      <c r="N2333" s="2">
        <v>190110</v>
      </c>
      <c r="O2333" t="s">
        <v>25</v>
      </c>
      <c r="P2333" s="8">
        <f t="shared" si="108"/>
        <v>5.2999999999997272</v>
      </c>
      <c r="Q2333" t="s">
        <v>38</v>
      </c>
      <c r="R2333">
        <f t="shared" si="109"/>
        <v>8</v>
      </c>
      <c r="S2333" t="str">
        <f t="shared" si="110"/>
        <v>Aug</v>
      </c>
      <c r="T2333" s="9">
        <f>VLOOKUP(O2333, Annual_Summary!A:B, 2, 0)</f>
        <v>-0.22036742088049704</v>
      </c>
    </row>
    <row r="2334" spans="1:20" x14ac:dyDescent="0.3">
      <c r="A2334" s="1">
        <v>45888</v>
      </c>
      <c r="B2334" t="s">
        <v>15</v>
      </c>
      <c r="C2334" s="3">
        <v>3011.2</v>
      </c>
      <c r="D2334" s="3">
        <v>3025</v>
      </c>
      <c r="E2334" s="3">
        <v>3011.1</v>
      </c>
      <c r="F2334" s="3">
        <v>3011.2</v>
      </c>
      <c r="G2334" s="3">
        <v>3018</v>
      </c>
      <c r="H2334" s="3">
        <v>3016.2</v>
      </c>
      <c r="I2334" s="3">
        <v>3016.58</v>
      </c>
      <c r="J2334" s="3">
        <v>4592.25</v>
      </c>
      <c r="K2334" s="3">
        <v>2991.6</v>
      </c>
      <c r="L2334" s="2">
        <v>2650784</v>
      </c>
      <c r="M2334" s="2">
        <v>7996291836.8999996</v>
      </c>
      <c r="N2334" s="2">
        <v>119303</v>
      </c>
      <c r="O2334" t="s">
        <v>25</v>
      </c>
      <c r="P2334" s="8">
        <f t="shared" si="108"/>
        <v>0</v>
      </c>
      <c r="Q2334" t="s">
        <v>38</v>
      </c>
      <c r="R2334">
        <f t="shared" si="109"/>
        <v>8</v>
      </c>
      <c r="S2334" t="str">
        <f t="shared" si="110"/>
        <v>Aug</v>
      </c>
      <c r="T2334" s="9">
        <f>VLOOKUP(O2334, Annual_Summary!A:B, 2, 0)</f>
        <v>-0.22036742088049704</v>
      </c>
    </row>
    <row r="2335" spans="1:20" x14ac:dyDescent="0.3">
      <c r="A2335" s="1">
        <v>45887</v>
      </c>
      <c r="B2335" t="s">
        <v>15</v>
      </c>
      <c r="C2335" s="3">
        <v>3046.5</v>
      </c>
      <c r="D2335" s="3">
        <v>3049</v>
      </c>
      <c r="E2335" s="3">
        <v>3003.4</v>
      </c>
      <c r="F2335" s="3">
        <v>3022.3</v>
      </c>
      <c r="G2335" s="3">
        <v>3013</v>
      </c>
      <c r="H2335" s="3">
        <v>3011.2</v>
      </c>
      <c r="I2335" s="3">
        <v>3015.34</v>
      </c>
      <c r="J2335" s="3">
        <v>4592.25</v>
      </c>
      <c r="K2335" s="3">
        <v>2991.6</v>
      </c>
      <c r="L2335" s="2">
        <v>2945609</v>
      </c>
      <c r="M2335" s="2">
        <v>8882005616.6000004</v>
      </c>
      <c r="N2335" s="2">
        <v>137367</v>
      </c>
      <c r="O2335" t="s">
        <v>25</v>
      </c>
      <c r="P2335" s="8">
        <f t="shared" si="108"/>
        <v>-24.199999999999818</v>
      </c>
      <c r="Q2335" t="s">
        <v>38</v>
      </c>
      <c r="R2335">
        <f t="shared" si="109"/>
        <v>8</v>
      </c>
      <c r="S2335" t="str">
        <f t="shared" si="110"/>
        <v>Aug</v>
      </c>
      <c r="T2335" s="9">
        <f>VLOOKUP(O2335, Annual_Summary!A:B, 2, 0)</f>
        <v>-0.22036742088049704</v>
      </c>
    </row>
    <row r="2336" spans="1:20" x14ac:dyDescent="0.3">
      <c r="A2336" s="1">
        <v>45883</v>
      </c>
      <c r="B2336" t="s">
        <v>15</v>
      </c>
      <c r="C2336" s="3">
        <v>3034</v>
      </c>
      <c r="D2336" s="3">
        <v>3055.9</v>
      </c>
      <c r="E2336" s="3">
        <v>3019.1</v>
      </c>
      <c r="F2336" s="3">
        <v>3036.2</v>
      </c>
      <c r="G2336" s="3">
        <v>3022.5</v>
      </c>
      <c r="H2336" s="3">
        <v>3022.3</v>
      </c>
      <c r="I2336" s="3">
        <v>3032.52</v>
      </c>
      <c r="J2336" s="3">
        <v>4592.25</v>
      </c>
      <c r="K2336" s="3">
        <v>2991.6</v>
      </c>
      <c r="L2336" s="2">
        <v>3342174</v>
      </c>
      <c r="M2336" s="2">
        <v>10135212616.4</v>
      </c>
      <c r="N2336" s="2">
        <v>194661</v>
      </c>
      <c r="O2336" t="s">
        <v>25</v>
      </c>
      <c r="P2336" s="8">
        <f t="shared" si="108"/>
        <v>2.1999999999998181</v>
      </c>
      <c r="Q2336" t="s">
        <v>38</v>
      </c>
      <c r="R2336">
        <f t="shared" si="109"/>
        <v>8</v>
      </c>
      <c r="S2336" t="str">
        <f t="shared" si="110"/>
        <v>Aug</v>
      </c>
      <c r="T2336" s="9">
        <f>VLOOKUP(O2336, Annual_Summary!A:B, 2, 0)</f>
        <v>-0.22036742088049704</v>
      </c>
    </row>
    <row r="2337" spans="1:20" x14ac:dyDescent="0.3">
      <c r="A2337" s="1">
        <v>45882</v>
      </c>
      <c r="B2337" t="s">
        <v>15</v>
      </c>
      <c r="C2337" s="3">
        <v>3036.1</v>
      </c>
      <c r="D2337" s="3">
        <v>3044.4</v>
      </c>
      <c r="E2337" s="3">
        <v>3028.6</v>
      </c>
      <c r="F2337" s="3">
        <v>3035.4</v>
      </c>
      <c r="G2337" s="3">
        <v>3035</v>
      </c>
      <c r="H2337" s="3">
        <v>3036.2</v>
      </c>
      <c r="I2337" s="3">
        <v>3037.72</v>
      </c>
      <c r="J2337" s="3">
        <v>4592.25</v>
      </c>
      <c r="K2337" s="3">
        <v>2991.6</v>
      </c>
      <c r="L2337" s="2">
        <v>2148166</v>
      </c>
      <c r="M2337" s="2">
        <v>6525533464.3000002</v>
      </c>
      <c r="N2337" s="2">
        <v>117340</v>
      </c>
      <c r="O2337" t="s">
        <v>25</v>
      </c>
      <c r="P2337" s="8">
        <f t="shared" si="108"/>
        <v>-0.6999999999998181</v>
      </c>
      <c r="Q2337" t="s">
        <v>38</v>
      </c>
      <c r="R2337">
        <f t="shared" si="109"/>
        <v>8</v>
      </c>
      <c r="S2337" t="str">
        <f t="shared" si="110"/>
        <v>Aug</v>
      </c>
      <c r="T2337" s="9">
        <f>VLOOKUP(O2337, Annual_Summary!A:B, 2, 0)</f>
        <v>-0.22036742088049704</v>
      </c>
    </row>
    <row r="2338" spans="1:20" x14ac:dyDescent="0.3">
      <c r="A2338" s="1">
        <v>45881</v>
      </c>
      <c r="B2338" t="s">
        <v>15</v>
      </c>
      <c r="C2338" s="3">
        <v>3041</v>
      </c>
      <c r="D2338" s="3">
        <v>3096.4</v>
      </c>
      <c r="E2338" s="3">
        <v>3026.9</v>
      </c>
      <c r="F2338" s="3">
        <v>3040.8</v>
      </c>
      <c r="G2338" s="3">
        <v>3039.8</v>
      </c>
      <c r="H2338" s="3">
        <v>3035.4</v>
      </c>
      <c r="I2338" s="3">
        <v>3057.38</v>
      </c>
      <c r="J2338" s="3">
        <v>4592.25</v>
      </c>
      <c r="K2338" s="3">
        <v>2991.6</v>
      </c>
      <c r="L2338" s="2">
        <v>3358232</v>
      </c>
      <c r="M2338" s="2">
        <v>10267395734.799999</v>
      </c>
      <c r="N2338" s="2">
        <v>165565</v>
      </c>
      <c r="O2338" t="s">
        <v>25</v>
      </c>
      <c r="P2338" s="8">
        <f t="shared" si="108"/>
        <v>-0.1999999999998181</v>
      </c>
      <c r="Q2338" t="s">
        <v>38</v>
      </c>
      <c r="R2338">
        <f t="shared" si="109"/>
        <v>8</v>
      </c>
      <c r="S2338" t="str">
        <f t="shared" si="110"/>
        <v>Aug</v>
      </c>
      <c r="T2338" s="9">
        <f>VLOOKUP(O2338, Annual_Summary!A:B, 2, 0)</f>
        <v>-0.22036742088049704</v>
      </c>
    </row>
    <row r="2339" spans="1:20" x14ac:dyDescent="0.3">
      <c r="A2339" s="1">
        <v>45880</v>
      </c>
      <c r="B2339" t="s">
        <v>15</v>
      </c>
      <c r="C2339" s="3">
        <v>3036.4</v>
      </c>
      <c r="D2339" s="3">
        <v>3049.9</v>
      </c>
      <c r="E2339" s="3">
        <v>3021.3</v>
      </c>
      <c r="F2339" s="3">
        <v>3036.4</v>
      </c>
      <c r="G2339" s="3">
        <v>3042</v>
      </c>
      <c r="H2339" s="3">
        <v>3040.8</v>
      </c>
      <c r="I2339" s="3">
        <v>3040.5</v>
      </c>
      <c r="J2339" s="3">
        <v>4592.25</v>
      </c>
      <c r="K2339" s="3">
        <v>2991.6</v>
      </c>
      <c r="L2339" s="2">
        <v>1884215</v>
      </c>
      <c r="M2339" s="2">
        <v>5728958255.6000004</v>
      </c>
      <c r="N2339" s="2">
        <v>132617</v>
      </c>
      <c r="O2339" t="s">
        <v>25</v>
      </c>
      <c r="P2339" s="8">
        <f t="shared" si="108"/>
        <v>0</v>
      </c>
      <c r="Q2339" t="s">
        <v>38</v>
      </c>
      <c r="R2339">
        <f t="shared" si="109"/>
        <v>8</v>
      </c>
      <c r="S2339" t="str">
        <f t="shared" si="110"/>
        <v>Aug</v>
      </c>
      <c r="T2339" s="9">
        <f>VLOOKUP(O2339, Annual_Summary!A:B, 2, 0)</f>
        <v>-0.22036742088049704</v>
      </c>
    </row>
    <row r="2340" spans="1:20" x14ac:dyDescent="0.3">
      <c r="A2340" s="1">
        <v>45877</v>
      </c>
      <c r="B2340" t="s">
        <v>15</v>
      </c>
      <c r="C2340" s="3">
        <v>3048.1</v>
      </c>
      <c r="D2340" s="3">
        <v>3059.8</v>
      </c>
      <c r="E2340" s="3">
        <v>3025</v>
      </c>
      <c r="F2340" s="3">
        <v>3047</v>
      </c>
      <c r="G2340" s="3">
        <v>3031.9</v>
      </c>
      <c r="H2340" s="3">
        <v>3036.4</v>
      </c>
      <c r="I2340" s="3">
        <v>3043.58</v>
      </c>
      <c r="J2340" s="3">
        <v>4592.25</v>
      </c>
      <c r="K2340" s="3">
        <v>2991.6</v>
      </c>
      <c r="L2340" s="2">
        <v>2762140</v>
      </c>
      <c r="M2340" s="2">
        <v>8406805181</v>
      </c>
      <c r="N2340" s="2">
        <v>119961</v>
      </c>
      <c r="O2340" t="s">
        <v>25</v>
      </c>
      <c r="P2340" s="8">
        <f t="shared" si="108"/>
        <v>-1.0999999999999091</v>
      </c>
      <c r="Q2340" t="s">
        <v>38</v>
      </c>
      <c r="R2340">
        <f t="shared" si="109"/>
        <v>8</v>
      </c>
      <c r="S2340" t="str">
        <f t="shared" si="110"/>
        <v>Aug</v>
      </c>
      <c r="T2340" s="9">
        <f>VLOOKUP(O2340, Annual_Summary!A:B, 2, 0)</f>
        <v>-0.22036742088049704</v>
      </c>
    </row>
    <row r="2341" spans="1:20" x14ac:dyDescent="0.3">
      <c r="A2341" s="1">
        <v>45876</v>
      </c>
      <c r="B2341" t="s">
        <v>15</v>
      </c>
      <c r="C2341" s="3">
        <v>3016</v>
      </c>
      <c r="D2341" s="3">
        <v>3051.6</v>
      </c>
      <c r="E2341" s="3">
        <v>3010.9</v>
      </c>
      <c r="F2341" s="3">
        <v>3032.3</v>
      </c>
      <c r="G2341" s="3">
        <v>3049.1</v>
      </c>
      <c r="H2341" s="3">
        <v>3047</v>
      </c>
      <c r="I2341" s="3">
        <v>3032.09</v>
      </c>
      <c r="J2341" s="3">
        <v>4592.25</v>
      </c>
      <c r="K2341" s="3">
        <v>2991.6</v>
      </c>
      <c r="L2341" s="2">
        <v>2543076</v>
      </c>
      <c r="M2341" s="2">
        <v>7710829083.3000002</v>
      </c>
      <c r="N2341" s="2">
        <v>138156</v>
      </c>
      <c r="O2341" t="s">
        <v>25</v>
      </c>
      <c r="P2341" s="8">
        <f t="shared" si="108"/>
        <v>16.300000000000182</v>
      </c>
      <c r="Q2341" t="s">
        <v>38</v>
      </c>
      <c r="R2341">
        <f t="shared" si="109"/>
        <v>8</v>
      </c>
      <c r="S2341" t="str">
        <f t="shared" si="110"/>
        <v>Aug</v>
      </c>
      <c r="T2341" s="9">
        <f>VLOOKUP(O2341, Annual_Summary!A:B, 2, 0)</f>
        <v>-0.22036742088049704</v>
      </c>
    </row>
    <row r="2342" spans="1:20" x14ac:dyDescent="0.3">
      <c r="A2342" s="1">
        <v>45875</v>
      </c>
      <c r="B2342" t="s">
        <v>15</v>
      </c>
      <c r="C2342" s="3">
        <v>3063</v>
      </c>
      <c r="D2342" s="3">
        <v>3066.8</v>
      </c>
      <c r="E2342" s="3">
        <v>3026</v>
      </c>
      <c r="F2342" s="3">
        <v>3063.9</v>
      </c>
      <c r="G2342" s="3">
        <v>3031.6</v>
      </c>
      <c r="H2342" s="3">
        <v>3032.3</v>
      </c>
      <c r="I2342" s="3">
        <v>3037.1</v>
      </c>
      <c r="J2342" s="3">
        <v>4592.25</v>
      </c>
      <c r="K2342" s="3">
        <v>2991.6</v>
      </c>
      <c r="L2342" s="2">
        <v>1487081</v>
      </c>
      <c r="M2342" s="2">
        <v>4516412670.5</v>
      </c>
      <c r="N2342" s="2">
        <v>109992</v>
      </c>
      <c r="O2342" t="s">
        <v>25</v>
      </c>
      <c r="P2342" s="8">
        <f t="shared" si="108"/>
        <v>0.90000000000009095</v>
      </c>
      <c r="Q2342" t="s">
        <v>38</v>
      </c>
      <c r="R2342">
        <f t="shared" si="109"/>
        <v>8</v>
      </c>
      <c r="S2342" t="str">
        <f t="shared" si="110"/>
        <v>Aug</v>
      </c>
      <c r="T2342" s="9">
        <f>VLOOKUP(O2342, Annual_Summary!A:B, 2, 0)</f>
        <v>-0.22036742088049704</v>
      </c>
    </row>
    <row r="2343" spans="1:20" x14ac:dyDescent="0.3">
      <c r="A2343" s="1">
        <v>45874</v>
      </c>
      <c r="B2343" t="s">
        <v>15</v>
      </c>
      <c r="C2343" s="3">
        <v>3074.4</v>
      </c>
      <c r="D2343" s="3">
        <v>3077.5</v>
      </c>
      <c r="E2343" s="3">
        <v>3042</v>
      </c>
      <c r="F2343" s="3">
        <v>3074.4</v>
      </c>
      <c r="G2343" s="3">
        <v>3060</v>
      </c>
      <c r="H2343" s="3">
        <v>3063.9</v>
      </c>
      <c r="I2343" s="3">
        <v>3057.96</v>
      </c>
      <c r="J2343" s="3">
        <v>4592.25</v>
      </c>
      <c r="K2343" s="3">
        <v>2991.6</v>
      </c>
      <c r="L2343" s="2">
        <v>1927996</v>
      </c>
      <c r="M2343" s="2">
        <v>5895739286.3000002</v>
      </c>
      <c r="N2343" s="2">
        <v>118848</v>
      </c>
      <c r="O2343" t="s">
        <v>25</v>
      </c>
      <c r="P2343" s="8">
        <f t="shared" si="108"/>
        <v>0</v>
      </c>
      <c r="Q2343" t="s">
        <v>38</v>
      </c>
      <c r="R2343">
        <f t="shared" si="109"/>
        <v>8</v>
      </c>
      <c r="S2343" t="str">
        <f t="shared" si="110"/>
        <v>Aug</v>
      </c>
      <c r="T2343" s="9">
        <f>VLOOKUP(O2343, Annual_Summary!A:B, 2, 0)</f>
        <v>-0.22036742088049704</v>
      </c>
    </row>
    <row r="2344" spans="1:20" x14ac:dyDescent="0.3">
      <c r="A2344" s="1">
        <v>45873</v>
      </c>
      <c r="B2344" t="s">
        <v>15</v>
      </c>
      <c r="C2344" s="3">
        <v>3009.1</v>
      </c>
      <c r="D2344" s="3">
        <v>3079.4</v>
      </c>
      <c r="E2344" s="3">
        <v>2991.6</v>
      </c>
      <c r="F2344" s="3">
        <v>3003</v>
      </c>
      <c r="G2344" s="3">
        <v>3078.7</v>
      </c>
      <c r="H2344" s="3">
        <v>3074.4</v>
      </c>
      <c r="I2344" s="3">
        <v>3046.24</v>
      </c>
      <c r="J2344" s="3">
        <v>4592.25</v>
      </c>
      <c r="K2344" s="3">
        <v>2991.6</v>
      </c>
      <c r="L2344" s="2">
        <v>2519252</v>
      </c>
      <c r="M2344" s="2">
        <v>7674244863.5</v>
      </c>
      <c r="N2344" s="2">
        <v>154005</v>
      </c>
      <c r="O2344" t="s">
        <v>25</v>
      </c>
      <c r="P2344" s="8">
        <f t="shared" si="108"/>
        <v>-6.0999999999999091</v>
      </c>
      <c r="Q2344" t="s">
        <v>38</v>
      </c>
      <c r="R2344">
        <f t="shared" si="109"/>
        <v>8</v>
      </c>
      <c r="S2344" t="str">
        <f t="shared" si="110"/>
        <v>Aug</v>
      </c>
      <c r="T2344" s="9">
        <f>VLOOKUP(O2344, Annual_Summary!A:B, 2, 0)</f>
        <v>-0.22036742088049704</v>
      </c>
    </row>
    <row r="2345" spans="1:20" x14ac:dyDescent="0.3">
      <c r="A2345" s="1">
        <v>45870</v>
      </c>
      <c r="B2345" t="s">
        <v>15</v>
      </c>
      <c r="C2345" s="3">
        <v>3029.9</v>
      </c>
      <c r="D2345" s="3">
        <v>3036.8</v>
      </c>
      <c r="E2345" s="3">
        <v>3000</v>
      </c>
      <c r="F2345" s="3">
        <v>3036.8</v>
      </c>
      <c r="G2345" s="3">
        <v>3001.1</v>
      </c>
      <c r="H2345" s="3">
        <v>3003</v>
      </c>
      <c r="I2345" s="3">
        <v>3013.79</v>
      </c>
      <c r="J2345" s="3">
        <v>4592.25</v>
      </c>
      <c r="K2345" s="3">
        <v>3000</v>
      </c>
      <c r="L2345" s="2">
        <v>2053847</v>
      </c>
      <c r="M2345" s="2">
        <v>6189863144.5</v>
      </c>
      <c r="N2345" s="2">
        <v>154119</v>
      </c>
      <c r="O2345" t="s">
        <v>25</v>
      </c>
      <c r="P2345" s="8">
        <f t="shared" si="108"/>
        <v>6.9000000000000909</v>
      </c>
      <c r="Q2345" t="s">
        <v>38</v>
      </c>
      <c r="R2345">
        <f t="shared" si="109"/>
        <v>8</v>
      </c>
      <c r="S2345" t="str">
        <f t="shared" si="110"/>
        <v>Aug</v>
      </c>
      <c r="T2345" s="9">
        <f>VLOOKUP(O2345, Annual_Summary!A:B, 2, 0)</f>
        <v>-0.22036742088049704</v>
      </c>
    </row>
    <row r="2346" spans="1:20" x14ac:dyDescent="0.3">
      <c r="A2346" s="1">
        <v>45869</v>
      </c>
      <c r="B2346" t="s">
        <v>15</v>
      </c>
      <c r="C2346" s="3">
        <v>3041.7</v>
      </c>
      <c r="D2346" s="3">
        <v>3059.8</v>
      </c>
      <c r="E2346" s="3">
        <v>3015</v>
      </c>
      <c r="F2346" s="3">
        <v>3053.6</v>
      </c>
      <c r="G2346" s="3">
        <v>3033.2</v>
      </c>
      <c r="H2346" s="3">
        <v>3036.8</v>
      </c>
      <c r="I2346" s="3">
        <v>3034.36</v>
      </c>
      <c r="J2346" s="3">
        <v>4592.25</v>
      </c>
      <c r="K2346" s="3">
        <v>3015</v>
      </c>
      <c r="L2346" s="2">
        <v>2968371</v>
      </c>
      <c r="M2346" s="2">
        <v>9007105954.2999992</v>
      </c>
      <c r="N2346" s="2">
        <v>199367</v>
      </c>
      <c r="O2346" t="s">
        <v>25</v>
      </c>
      <c r="P2346" s="8">
        <f t="shared" si="108"/>
        <v>11.900000000000091</v>
      </c>
      <c r="Q2346" t="s">
        <v>38</v>
      </c>
      <c r="R2346">
        <f t="shared" si="109"/>
        <v>7</v>
      </c>
      <c r="S2346" t="str">
        <f t="shared" si="110"/>
        <v>Jul</v>
      </c>
      <c r="T2346" s="9">
        <f>VLOOKUP(O2346, Annual_Summary!A:B, 2, 0)</f>
        <v>-0.22036742088049704</v>
      </c>
    </row>
    <row r="2347" spans="1:20" x14ac:dyDescent="0.3">
      <c r="A2347" s="1">
        <v>45868</v>
      </c>
      <c r="B2347" t="s">
        <v>15</v>
      </c>
      <c r="C2347" s="3">
        <v>3060</v>
      </c>
      <c r="D2347" s="3">
        <v>3069</v>
      </c>
      <c r="E2347" s="3">
        <v>3047.2</v>
      </c>
      <c r="F2347" s="3">
        <v>3056</v>
      </c>
      <c r="G2347" s="3">
        <v>3052.1</v>
      </c>
      <c r="H2347" s="3">
        <v>3053.6</v>
      </c>
      <c r="I2347" s="3">
        <v>3058.58</v>
      </c>
      <c r="J2347" s="3">
        <v>4592.25</v>
      </c>
      <c r="K2347" s="3">
        <v>3041.2</v>
      </c>
      <c r="L2347" s="2">
        <v>2880121</v>
      </c>
      <c r="M2347" s="2">
        <v>8809078906.7999992</v>
      </c>
      <c r="N2347" s="2">
        <v>127490</v>
      </c>
      <c r="O2347" t="s">
        <v>25</v>
      </c>
      <c r="P2347" s="8">
        <f t="shared" si="108"/>
        <v>-4</v>
      </c>
      <c r="Q2347" t="s">
        <v>38</v>
      </c>
      <c r="R2347">
        <f t="shared" si="109"/>
        <v>7</v>
      </c>
      <c r="S2347" t="str">
        <f t="shared" si="110"/>
        <v>Jul</v>
      </c>
      <c r="T2347" s="9">
        <f>VLOOKUP(O2347, Annual_Summary!A:B, 2, 0)</f>
        <v>-0.22036742088049704</v>
      </c>
    </row>
    <row r="2348" spans="1:20" x14ac:dyDescent="0.3">
      <c r="A2348" s="1">
        <v>45867</v>
      </c>
      <c r="B2348" t="s">
        <v>15</v>
      </c>
      <c r="C2348" s="3">
        <v>3060</v>
      </c>
      <c r="D2348" s="3">
        <v>3074</v>
      </c>
      <c r="E2348" s="3">
        <v>3041.2</v>
      </c>
      <c r="F2348" s="3">
        <v>3079.3</v>
      </c>
      <c r="G2348" s="3">
        <v>3057</v>
      </c>
      <c r="H2348" s="3">
        <v>3056</v>
      </c>
      <c r="I2348" s="3">
        <v>3056.04</v>
      </c>
      <c r="J2348" s="3">
        <v>4592.25</v>
      </c>
      <c r="K2348" s="3">
        <v>3041.2</v>
      </c>
      <c r="L2348" s="2">
        <v>4785312</v>
      </c>
      <c r="M2348" s="2">
        <v>14624090930.700001</v>
      </c>
      <c r="N2348" s="2">
        <v>247039</v>
      </c>
      <c r="O2348" t="s">
        <v>25</v>
      </c>
      <c r="P2348" s="8">
        <f t="shared" si="108"/>
        <v>19.300000000000182</v>
      </c>
      <c r="Q2348" t="s">
        <v>38</v>
      </c>
      <c r="R2348">
        <f t="shared" si="109"/>
        <v>7</v>
      </c>
      <c r="S2348" t="str">
        <f t="shared" si="110"/>
        <v>Jul</v>
      </c>
      <c r="T2348" s="9">
        <f>VLOOKUP(O2348, Annual_Summary!A:B, 2, 0)</f>
        <v>-0.22036742088049704</v>
      </c>
    </row>
    <row r="2349" spans="1:20" x14ac:dyDescent="0.3">
      <c r="A2349" s="1">
        <v>45866</v>
      </c>
      <c r="B2349" t="s">
        <v>15</v>
      </c>
      <c r="C2349" s="3">
        <v>3110</v>
      </c>
      <c r="D2349" s="3">
        <v>3118</v>
      </c>
      <c r="E2349" s="3">
        <v>3069.9</v>
      </c>
      <c r="F2349" s="3">
        <v>3135.8</v>
      </c>
      <c r="G2349" s="3">
        <v>3085.8</v>
      </c>
      <c r="H2349" s="3">
        <v>3079.3</v>
      </c>
      <c r="I2349" s="3">
        <v>3092.56</v>
      </c>
      <c r="J2349" s="3">
        <v>4592.25</v>
      </c>
      <c r="K2349" s="3">
        <v>3056.05</v>
      </c>
      <c r="L2349" s="2">
        <v>3374473</v>
      </c>
      <c r="M2349" s="2">
        <v>10435752450</v>
      </c>
      <c r="N2349" s="2">
        <v>273133</v>
      </c>
      <c r="O2349" t="s">
        <v>25</v>
      </c>
      <c r="P2349" s="8">
        <f t="shared" si="108"/>
        <v>25.800000000000182</v>
      </c>
      <c r="Q2349" t="s">
        <v>38</v>
      </c>
      <c r="R2349">
        <f t="shared" si="109"/>
        <v>7</v>
      </c>
      <c r="S2349" t="str">
        <f t="shared" si="110"/>
        <v>Jul</v>
      </c>
      <c r="T2349" s="9">
        <f>VLOOKUP(O2349, Annual_Summary!A:B, 2, 0)</f>
        <v>-0.22036742088049704</v>
      </c>
    </row>
    <row r="2350" spans="1:20" x14ac:dyDescent="0.3">
      <c r="A2350" s="1">
        <v>45863</v>
      </c>
      <c r="B2350" t="s">
        <v>15</v>
      </c>
      <c r="C2350" s="3">
        <v>3140</v>
      </c>
      <c r="D2350" s="3">
        <v>3156.9</v>
      </c>
      <c r="E2350" s="3">
        <v>3125.6</v>
      </c>
      <c r="F2350" s="3">
        <v>3148</v>
      </c>
      <c r="G2350" s="3">
        <v>3140</v>
      </c>
      <c r="H2350" s="3">
        <v>3135.8</v>
      </c>
      <c r="I2350" s="3">
        <v>3140.77</v>
      </c>
      <c r="J2350" s="3">
        <v>4592.25</v>
      </c>
      <c r="K2350" s="3">
        <v>3056.05</v>
      </c>
      <c r="L2350" s="2">
        <v>2568917</v>
      </c>
      <c r="M2350" s="2">
        <v>8068375805.8999996</v>
      </c>
      <c r="N2350" s="2">
        <v>105704</v>
      </c>
      <c r="O2350" t="s">
        <v>25</v>
      </c>
      <c r="P2350" s="8">
        <f t="shared" si="108"/>
        <v>8</v>
      </c>
      <c r="Q2350" t="s">
        <v>38</v>
      </c>
      <c r="R2350">
        <f t="shared" si="109"/>
        <v>7</v>
      </c>
      <c r="S2350" t="str">
        <f t="shared" si="110"/>
        <v>Jul</v>
      </c>
      <c r="T2350" s="9">
        <f>VLOOKUP(O2350, Annual_Summary!A:B, 2, 0)</f>
        <v>-0.22036742088049704</v>
      </c>
    </row>
    <row r="2351" spans="1:20" x14ac:dyDescent="0.3">
      <c r="A2351" s="1">
        <v>45862</v>
      </c>
      <c r="B2351" t="s">
        <v>15</v>
      </c>
      <c r="C2351" s="3">
        <v>3165.1</v>
      </c>
      <c r="D2351" s="3">
        <v>3173.7</v>
      </c>
      <c r="E2351" s="3">
        <v>3140</v>
      </c>
      <c r="F2351" s="3">
        <v>3179.1</v>
      </c>
      <c r="G2351" s="3">
        <v>3144.9</v>
      </c>
      <c r="H2351" s="3">
        <v>3148</v>
      </c>
      <c r="I2351" s="3">
        <v>3155.37</v>
      </c>
      <c r="J2351" s="3">
        <v>4592.25</v>
      </c>
      <c r="K2351" s="3">
        <v>3056.05</v>
      </c>
      <c r="L2351" s="2">
        <v>2934778</v>
      </c>
      <c r="M2351" s="2">
        <v>9260312011.2999992</v>
      </c>
      <c r="N2351" s="2">
        <v>102612</v>
      </c>
      <c r="O2351" t="s">
        <v>25</v>
      </c>
      <c r="P2351" s="8">
        <f t="shared" si="108"/>
        <v>14</v>
      </c>
      <c r="Q2351" t="s">
        <v>38</v>
      </c>
      <c r="R2351">
        <f t="shared" si="109"/>
        <v>7</v>
      </c>
      <c r="S2351" t="str">
        <f t="shared" si="110"/>
        <v>Jul</v>
      </c>
      <c r="T2351" s="9">
        <f>VLOOKUP(O2351, Annual_Summary!A:B, 2, 0)</f>
        <v>-0.22036742088049704</v>
      </c>
    </row>
    <row r="2352" spans="1:20" x14ac:dyDescent="0.3">
      <c r="A2352" s="1">
        <v>45861</v>
      </c>
      <c r="B2352" t="s">
        <v>15</v>
      </c>
      <c r="C2352" s="3">
        <v>3159.6</v>
      </c>
      <c r="D2352" s="3">
        <v>3182</v>
      </c>
      <c r="E2352" s="3">
        <v>3157.6</v>
      </c>
      <c r="F2352" s="3">
        <v>3159.6</v>
      </c>
      <c r="G2352" s="3">
        <v>3175</v>
      </c>
      <c r="H2352" s="3">
        <v>3179.1</v>
      </c>
      <c r="I2352" s="3">
        <v>3169.59</v>
      </c>
      <c r="J2352" s="3">
        <v>4592.25</v>
      </c>
      <c r="K2352" s="3">
        <v>3056.05</v>
      </c>
      <c r="L2352" s="2">
        <v>1922875</v>
      </c>
      <c r="M2352" s="2">
        <v>6094730938.8000002</v>
      </c>
      <c r="N2352" s="2">
        <v>96628</v>
      </c>
      <c r="O2352" t="s">
        <v>25</v>
      </c>
      <c r="P2352" s="8">
        <f t="shared" si="108"/>
        <v>0</v>
      </c>
      <c r="Q2352" t="s">
        <v>38</v>
      </c>
      <c r="R2352">
        <f t="shared" si="109"/>
        <v>7</v>
      </c>
      <c r="S2352" t="str">
        <f t="shared" si="110"/>
        <v>Jul</v>
      </c>
      <c r="T2352" s="9">
        <f>VLOOKUP(O2352, Annual_Summary!A:B, 2, 0)</f>
        <v>-0.22036742088049704</v>
      </c>
    </row>
    <row r="2353" spans="1:20" x14ac:dyDescent="0.3">
      <c r="A2353" s="1">
        <v>45860</v>
      </c>
      <c r="B2353" t="s">
        <v>15</v>
      </c>
      <c r="C2353" s="3">
        <v>3159.6</v>
      </c>
      <c r="D2353" s="3">
        <v>3180.1</v>
      </c>
      <c r="E2353" s="3">
        <v>3154.6</v>
      </c>
      <c r="F2353" s="3">
        <v>3158.2</v>
      </c>
      <c r="G2353" s="3">
        <v>3164.7</v>
      </c>
      <c r="H2353" s="3">
        <v>3159.6</v>
      </c>
      <c r="I2353" s="3">
        <v>3163.54</v>
      </c>
      <c r="J2353" s="3">
        <v>4592.25</v>
      </c>
      <c r="K2353" s="3">
        <v>3056.05</v>
      </c>
      <c r="L2353" s="2">
        <v>3198036</v>
      </c>
      <c r="M2353" s="2">
        <v>10117107299.1</v>
      </c>
      <c r="N2353" s="2">
        <v>138279</v>
      </c>
      <c r="O2353" t="s">
        <v>25</v>
      </c>
      <c r="P2353" s="8">
        <f t="shared" si="108"/>
        <v>-1.4000000000000909</v>
      </c>
      <c r="Q2353" t="s">
        <v>38</v>
      </c>
      <c r="R2353">
        <f t="shared" si="109"/>
        <v>7</v>
      </c>
      <c r="S2353" t="str">
        <f t="shared" si="110"/>
        <v>Jul</v>
      </c>
      <c r="T2353" s="9">
        <f>VLOOKUP(O2353, Annual_Summary!A:B, 2, 0)</f>
        <v>-0.22036742088049704</v>
      </c>
    </row>
    <row r="2354" spans="1:20" x14ac:dyDescent="0.3">
      <c r="A2354" s="1">
        <v>45859</v>
      </c>
      <c r="B2354" t="s">
        <v>15</v>
      </c>
      <c r="C2354" s="3">
        <v>3190</v>
      </c>
      <c r="D2354" s="3">
        <v>3197.6</v>
      </c>
      <c r="E2354" s="3">
        <v>3152</v>
      </c>
      <c r="F2354" s="3">
        <v>3189.9</v>
      </c>
      <c r="G2354" s="3">
        <v>3158.9</v>
      </c>
      <c r="H2354" s="3">
        <v>3158.2</v>
      </c>
      <c r="I2354" s="3">
        <v>3162.44</v>
      </c>
      <c r="J2354" s="3">
        <v>4592.25</v>
      </c>
      <c r="K2354" s="3">
        <v>3056.05</v>
      </c>
      <c r="L2354" s="2">
        <v>3844346</v>
      </c>
      <c r="M2354" s="2">
        <v>12157519336.9</v>
      </c>
      <c r="N2354" s="2">
        <v>195683</v>
      </c>
      <c r="O2354" t="s">
        <v>25</v>
      </c>
      <c r="P2354" s="8">
        <f t="shared" si="108"/>
        <v>-9.9999999999909051E-2</v>
      </c>
      <c r="Q2354" t="s">
        <v>38</v>
      </c>
      <c r="R2354">
        <f t="shared" si="109"/>
        <v>7</v>
      </c>
      <c r="S2354" t="str">
        <f t="shared" si="110"/>
        <v>Jul</v>
      </c>
      <c r="T2354" s="9">
        <f>VLOOKUP(O2354, Annual_Summary!A:B, 2, 0)</f>
        <v>-0.22036742088049704</v>
      </c>
    </row>
    <row r="2355" spans="1:20" x14ac:dyDescent="0.3">
      <c r="A2355" s="1">
        <v>45856</v>
      </c>
      <c r="B2355" t="s">
        <v>15</v>
      </c>
      <c r="C2355" s="3">
        <v>3225</v>
      </c>
      <c r="D2355" s="3">
        <v>3228.8</v>
      </c>
      <c r="E2355" s="3">
        <v>3187</v>
      </c>
      <c r="F2355" s="3">
        <v>3209.2</v>
      </c>
      <c r="G2355" s="3">
        <v>3189.6</v>
      </c>
      <c r="H2355" s="3">
        <v>3189.9</v>
      </c>
      <c r="I2355" s="3">
        <v>3201.13</v>
      </c>
      <c r="J2355" s="3">
        <v>4592.25</v>
      </c>
      <c r="K2355" s="3">
        <v>3056.05</v>
      </c>
      <c r="L2355" s="2">
        <v>3432645</v>
      </c>
      <c r="M2355" s="2">
        <v>10988348160.4</v>
      </c>
      <c r="N2355" s="2">
        <v>195464</v>
      </c>
      <c r="O2355" t="s">
        <v>25</v>
      </c>
      <c r="P2355" s="8">
        <f t="shared" si="108"/>
        <v>-15.800000000000182</v>
      </c>
      <c r="Q2355" t="s">
        <v>38</v>
      </c>
      <c r="R2355">
        <f t="shared" si="109"/>
        <v>7</v>
      </c>
      <c r="S2355" t="str">
        <f t="shared" si="110"/>
        <v>Jul</v>
      </c>
      <c r="T2355" s="9">
        <f>VLOOKUP(O2355, Annual_Summary!A:B, 2, 0)</f>
        <v>-0.22036742088049704</v>
      </c>
    </row>
    <row r="2356" spans="1:20" x14ac:dyDescent="0.3">
      <c r="A2356" s="1">
        <v>45855</v>
      </c>
      <c r="B2356" t="s">
        <v>15</v>
      </c>
      <c r="C2356" s="3">
        <v>3224.1</v>
      </c>
      <c r="D2356" s="3">
        <v>3242</v>
      </c>
      <c r="E2356" s="3">
        <v>3204.1</v>
      </c>
      <c r="F2356" s="3">
        <v>3233.1</v>
      </c>
      <c r="G2356" s="3">
        <v>3207.7</v>
      </c>
      <c r="H2356" s="3">
        <v>3209.2</v>
      </c>
      <c r="I2356" s="3">
        <v>3220.48</v>
      </c>
      <c r="J2356" s="3">
        <v>4592.25</v>
      </c>
      <c r="K2356" s="3">
        <v>3056.05</v>
      </c>
      <c r="L2356" s="2">
        <v>2947640</v>
      </c>
      <c r="M2356" s="2">
        <v>9492807475.5</v>
      </c>
      <c r="N2356" s="2">
        <v>157207</v>
      </c>
      <c r="O2356" t="s">
        <v>25</v>
      </c>
      <c r="P2356" s="8">
        <f t="shared" si="108"/>
        <v>9</v>
      </c>
      <c r="Q2356" t="s">
        <v>38</v>
      </c>
      <c r="R2356">
        <f t="shared" si="109"/>
        <v>7</v>
      </c>
      <c r="S2356" t="str">
        <f t="shared" si="110"/>
        <v>Jul</v>
      </c>
      <c r="T2356" s="9">
        <f>VLOOKUP(O2356, Annual_Summary!A:B, 2, 0)</f>
        <v>-0.22036742088049704</v>
      </c>
    </row>
    <row r="2357" spans="1:20" x14ac:dyDescent="0.3">
      <c r="A2357" s="1">
        <v>45854</v>
      </c>
      <c r="B2357" t="s">
        <v>15</v>
      </c>
      <c r="C2357" s="3">
        <v>3227</v>
      </c>
      <c r="D2357" s="3">
        <v>3244.9</v>
      </c>
      <c r="E2357" s="3">
        <v>3220.6</v>
      </c>
      <c r="F2357" s="3">
        <v>3252.3</v>
      </c>
      <c r="G2357" s="3">
        <v>3230.9</v>
      </c>
      <c r="H2357" s="3">
        <v>3233.1</v>
      </c>
      <c r="I2357" s="3">
        <v>3235.91</v>
      </c>
      <c r="J2357" s="3">
        <v>4592.25</v>
      </c>
      <c r="K2357" s="3">
        <v>3056.05</v>
      </c>
      <c r="L2357" s="2">
        <v>2540733</v>
      </c>
      <c r="M2357" s="2">
        <v>8221586412.6000004</v>
      </c>
      <c r="N2357" s="2">
        <v>172998</v>
      </c>
      <c r="O2357" t="s">
        <v>25</v>
      </c>
      <c r="P2357" s="8">
        <f t="shared" si="108"/>
        <v>25.300000000000182</v>
      </c>
      <c r="Q2357" t="s">
        <v>38</v>
      </c>
      <c r="R2357">
        <f t="shared" si="109"/>
        <v>7</v>
      </c>
      <c r="S2357" t="str">
        <f t="shared" si="110"/>
        <v>Jul</v>
      </c>
      <c r="T2357" s="9">
        <f>VLOOKUP(O2357, Annual_Summary!A:B, 2, 0)</f>
        <v>-0.22036742088049704</v>
      </c>
    </row>
    <row r="2358" spans="1:20" x14ac:dyDescent="0.3">
      <c r="A2358" s="1">
        <v>45853</v>
      </c>
      <c r="B2358" t="s">
        <v>15</v>
      </c>
      <c r="C2358" s="3">
        <v>3206</v>
      </c>
      <c r="D2358" s="3">
        <v>3259.4</v>
      </c>
      <c r="E2358" s="3">
        <v>3206</v>
      </c>
      <c r="F2358" s="3">
        <v>3222.7</v>
      </c>
      <c r="G2358" s="3">
        <v>3252</v>
      </c>
      <c r="H2358" s="3">
        <v>3252.3</v>
      </c>
      <c r="I2358" s="3">
        <v>3243.32</v>
      </c>
      <c r="J2358" s="3">
        <v>4592.25</v>
      </c>
      <c r="K2358" s="3">
        <v>3056.05</v>
      </c>
      <c r="L2358" s="2">
        <v>2590889</v>
      </c>
      <c r="M2358" s="2">
        <v>8403081368.1000004</v>
      </c>
      <c r="N2358" s="2">
        <v>171257</v>
      </c>
      <c r="O2358" t="s">
        <v>25</v>
      </c>
      <c r="P2358" s="8">
        <f t="shared" si="108"/>
        <v>16.699999999999818</v>
      </c>
      <c r="Q2358" t="s">
        <v>38</v>
      </c>
      <c r="R2358">
        <f t="shared" si="109"/>
        <v>7</v>
      </c>
      <c r="S2358" t="str">
        <f t="shared" si="110"/>
        <v>Jul</v>
      </c>
      <c r="T2358" s="9">
        <f>VLOOKUP(O2358, Annual_Summary!A:B, 2, 0)</f>
        <v>-0.22036742088049704</v>
      </c>
    </row>
    <row r="2359" spans="1:20" x14ac:dyDescent="0.3">
      <c r="A2359" s="1">
        <v>45852</v>
      </c>
      <c r="B2359" t="s">
        <v>15</v>
      </c>
      <c r="C2359" s="3">
        <v>3266</v>
      </c>
      <c r="D2359" s="3">
        <v>3272</v>
      </c>
      <c r="E2359" s="3">
        <v>3200</v>
      </c>
      <c r="F2359" s="3">
        <v>3266</v>
      </c>
      <c r="G2359" s="3">
        <v>3227.5</v>
      </c>
      <c r="H2359" s="3">
        <v>3222.7</v>
      </c>
      <c r="I2359" s="3">
        <v>3224.72</v>
      </c>
      <c r="J2359" s="3">
        <v>4592.25</v>
      </c>
      <c r="K2359" s="3">
        <v>3056.05</v>
      </c>
      <c r="L2359" s="2">
        <v>3924009</v>
      </c>
      <c r="M2359" s="2">
        <v>12653811861.799999</v>
      </c>
      <c r="N2359" s="2">
        <v>396894</v>
      </c>
      <c r="O2359" t="s">
        <v>25</v>
      </c>
      <c r="P2359" s="8">
        <f t="shared" si="108"/>
        <v>0</v>
      </c>
      <c r="Q2359" t="s">
        <v>38</v>
      </c>
      <c r="R2359">
        <f t="shared" si="109"/>
        <v>7</v>
      </c>
      <c r="S2359" t="str">
        <f t="shared" si="110"/>
        <v>Jul</v>
      </c>
      <c r="T2359" s="9">
        <f>VLOOKUP(O2359, Annual_Summary!A:B, 2, 0)</f>
        <v>-0.22036742088049704</v>
      </c>
    </row>
    <row r="2360" spans="1:20" x14ac:dyDescent="0.3">
      <c r="A2360" s="1">
        <v>45849</v>
      </c>
      <c r="B2360" t="s">
        <v>15</v>
      </c>
      <c r="C2360" s="3">
        <v>3299.9</v>
      </c>
      <c r="D2360" s="3">
        <v>3335</v>
      </c>
      <c r="E2360" s="3">
        <v>3261.1</v>
      </c>
      <c r="F2360" s="3">
        <v>3382</v>
      </c>
      <c r="G2360" s="3">
        <v>3264.5</v>
      </c>
      <c r="H2360" s="3">
        <v>3266</v>
      </c>
      <c r="I2360" s="3">
        <v>3295.45</v>
      </c>
      <c r="J2360" s="3">
        <v>4592.25</v>
      </c>
      <c r="K2360" s="3">
        <v>3056.05</v>
      </c>
      <c r="L2360" s="2">
        <v>7635550</v>
      </c>
      <c r="M2360" s="2">
        <v>25162551686.400002</v>
      </c>
      <c r="N2360" s="2">
        <v>552284</v>
      </c>
      <c r="O2360" t="s">
        <v>25</v>
      </c>
      <c r="P2360" s="8">
        <f t="shared" si="108"/>
        <v>82.099999999999909</v>
      </c>
      <c r="Q2360" t="s">
        <v>38</v>
      </c>
      <c r="R2360">
        <f t="shared" si="109"/>
        <v>7</v>
      </c>
      <c r="S2360" t="str">
        <f t="shared" si="110"/>
        <v>Jul</v>
      </c>
      <c r="T2360" s="9">
        <f>VLOOKUP(O2360, Annual_Summary!A:B, 2, 0)</f>
        <v>-0.22036742088049704</v>
      </c>
    </row>
    <row r="2361" spans="1:20" x14ac:dyDescent="0.3">
      <c r="A2361" s="1">
        <v>45848</v>
      </c>
      <c r="B2361" t="s">
        <v>15</v>
      </c>
      <c r="C2361" s="3">
        <v>3380</v>
      </c>
      <c r="D2361" s="3">
        <v>3399</v>
      </c>
      <c r="E2361" s="3">
        <v>3356</v>
      </c>
      <c r="F2361" s="3">
        <v>3383.8</v>
      </c>
      <c r="G2361" s="3">
        <v>3395</v>
      </c>
      <c r="H2361" s="3">
        <v>3382</v>
      </c>
      <c r="I2361" s="3">
        <v>3379.02</v>
      </c>
      <c r="J2361" s="3">
        <v>4592.25</v>
      </c>
      <c r="K2361" s="3">
        <v>3056.05</v>
      </c>
      <c r="L2361" s="2">
        <v>3035012</v>
      </c>
      <c r="M2361" s="2">
        <v>10255361029.9</v>
      </c>
      <c r="N2361" s="2">
        <v>176792</v>
      </c>
      <c r="O2361" t="s">
        <v>25</v>
      </c>
      <c r="P2361" s="8">
        <f t="shared" si="108"/>
        <v>3.8000000000001819</v>
      </c>
      <c r="Q2361" t="s">
        <v>38</v>
      </c>
      <c r="R2361">
        <f t="shared" si="109"/>
        <v>7</v>
      </c>
      <c r="S2361" t="str">
        <f t="shared" si="110"/>
        <v>Jul</v>
      </c>
      <c r="T2361" s="9">
        <f>VLOOKUP(O2361, Annual_Summary!A:B, 2, 0)</f>
        <v>-0.22036742088049704</v>
      </c>
    </row>
    <row r="2362" spans="1:20" x14ac:dyDescent="0.3">
      <c r="A2362" s="1">
        <v>45847</v>
      </c>
      <c r="B2362" t="s">
        <v>15</v>
      </c>
      <c r="C2362" s="3">
        <v>3410</v>
      </c>
      <c r="D2362" s="3">
        <v>3414</v>
      </c>
      <c r="E2362" s="3">
        <v>3367</v>
      </c>
      <c r="F2362" s="3">
        <v>3406.2</v>
      </c>
      <c r="G2362" s="3">
        <v>3386</v>
      </c>
      <c r="H2362" s="3">
        <v>3383.8</v>
      </c>
      <c r="I2362" s="3">
        <v>3387.16</v>
      </c>
      <c r="J2362" s="3">
        <v>4592.25</v>
      </c>
      <c r="K2362" s="3">
        <v>3056.05</v>
      </c>
      <c r="L2362" s="2">
        <v>2034938</v>
      </c>
      <c r="M2362" s="2">
        <v>6892661354.3000002</v>
      </c>
      <c r="N2362" s="2">
        <v>191376</v>
      </c>
      <c r="O2362" t="s">
        <v>25</v>
      </c>
      <c r="P2362" s="8">
        <f t="shared" si="108"/>
        <v>-3.8000000000001819</v>
      </c>
      <c r="Q2362" t="s">
        <v>38</v>
      </c>
      <c r="R2362">
        <f t="shared" si="109"/>
        <v>7</v>
      </c>
      <c r="S2362" t="str">
        <f t="shared" si="110"/>
        <v>Jul</v>
      </c>
      <c r="T2362" s="9">
        <f>VLOOKUP(O2362, Annual_Summary!A:B, 2, 0)</f>
        <v>-0.22036742088049704</v>
      </c>
    </row>
    <row r="2363" spans="1:20" x14ac:dyDescent="0.3">
      <c r="A2363" s="1">
        <v>45846</v>
      </c>
      <c r="B2363" t="s">
        <v>15</v>
      </c>
      <c r="C2363" s="3">
        <v>3405</v>
      </c>
      <c r="D2363" s="3">
        <v>3425</v>
      </c>
      <c r="E2363" s="3">
        <v>3393.4</v>
      </c>
      <c r="F2363" s="3">
        <v>3411.7</v>
      </c>
      <c r="G2363" s="3">
        <v>3406</v>
      </c>
      <c r="H2363" s="3">
        <v>3406.2</v>
      </c>
      <c r="I2363" s="3">
        <v>3407.01</v>
      </c>
      <c r="J2363" s="3">
        <v>4592.25</v>
      </c>
      <c r="K2363" s="3">
        <v>3056.05</v>
      </c>
      <c r="L2363" s="2">
        <v>2325242</v>
      </c>
      <c r="M2363" s="2">
        <v>7922116743.6999998</v>
      </c>
      <c r="N2363" s="2">
        <v>178045</v>
      </c>
      <c r="O2363" t="s">
        <v>25</v>
      </c>
      <c r="P2363" s="8">
        <f t="shared" si="108"/>
        <v>6.6999999999998181</v>
      </c>
      <c r="Q2363" t="s">
        <v>38</v>
      </c>
      <c r="R2363">
        <f t="shared" si="109"/>
        <v>7</v>
      </c>
      <c r="S2363" t="str">
        <f t="shared" si="110"/>
        <v>Jul</v>
      </c>
      <c r="T2363" s="9">
        <f>VLOOKUP(O2363, Annual_Summary!A:B, 2, 0)</f>
        <v>-0.22036742088049704</v>
      </c>
    </row>
    <row r="2364" spans="1:20" x14ac:dyDescent="0.3">
      <c r="A2364" s="1">
        <v>45845</v>
      </c>
      <c r="B2364" t="s">
        <v>15</v>
      </c>
      <c r="C2364" s="3">
        <v>3418.3</v>
      </c>
      <c r="D2364" s="3">
        <v>3426.1</v>
      </c>
      <c r="E2364" s="3">
        <v>3408.4</v>
      </c>
      <c r="F2364" s="3">
        <v>3419.8</v>
      </c>
      <c r="G2364" s="3">
        <v>3410.6</v>
      </c>
      <c r="H2364" s="3">
        <v>3411.7</v>
      </c>
      <c r="I2364" s="3">
        <v>3417.7</v>
      </c>
      <c r="J2364" s="3">
        <v>4592.25</v>
      </c>
      <c r="K2364" s="3">
        <v>3056.05</v>
      </c>
      <c r="L2364" s="2">
        <v>1639174</v>
      </c>
      <c r="M2364" s="2">
        <v>5602206127.8000002</v>
      </c>
      <c r="N2364" s="2">
        <v>73810</v>
      </c>
      <c r="O2364" t="s">
        <v>25</v>
      </c>
      <c r="P2364" s="8">
        <f t="shared" si="108"/>
        <v>1.5</v>
      </c>
      <c r="Q2364" t="s">
        <v>38</v>
      </c>
      <c r="R2364">
        <f t="shared" si="109"/>
        <v>7</v>
      </c>
      <c r="S2364" t="str">
        <f t="shared" si="110"/>
        <v>Jul</v>
      </c>
      <c r="T2364" s="9">
        <f>VLOOKUP(O2364, Annual_Summary!A:B, 2, 0)</f>
        <v>-0.22036742088049704</v>
      </c>
    </row>
    <row r="2365" spans="1:20" x14ac:dyDescent="0.3">
      <c r="A2365" s="1">
        <v>45842</v>
      </c>
      <c r="B2365" t="s">
        <v>15</v>
      </c>
      <c r="C2365" s="3">
        <v>3408</v>
      </c>
      <c r="D2365" s="3">
        <v>3427</v>
      </c>
      <c r="E2365" s="3">
        <v>3390.1</v>
      </c>
      <c r="F2365" s="3">
        <v>3400.8</v>
      </c>
      <c r="G2365" s="3">
        <v>3420</v>
      </c>
      <c r="H2365" s="3">
        <v>3419.8</v>
      </c>
      <c r="I2365" s="3">
        <v>3413.91</v>
      </c>
      <c r="J2365" s="3">
        <v>4592.25</v>
      </c>
      <c r="K2365" s="3">
        <v>3056.05</v>
      </c>
      <c r="L2365" s="2">
        <v>1109320</v>
      </c>
      <c r="M2365" s="2">
        <v>3787117009.9000001</v>
      </c>
      <c r="N2365" s="2">
        <v>87593</v>
      </c>
      <c r="O2365" t="s">
        <v>25</v>
      </c>
      <c r="P2365" s="8">
        <f t="shared" si="108"/>
        <v>-7.1999999999998181</v>
      </c>
      <c r="Q2365" t="s">
        <v>38</v>
      </c>
      <c r="R2365">
        <f t="shared" si="109"/>
        <v>7</v>
      </c>
      <c r="S2365" t="str">
        <f t="shared" si="110"/>
        <v>Jul</v>
      </c>
      <c r="T2365" s="9">
        <f>VLOOKUP(O2365, Annual_Summary!A:B, 2, 0)</f>
        <v>-0.22036742088049704</v>
      </c>
    </row>
    <row r="2366" spans="1:20" x14ac:dyDescent="0.3">
      <c r="A2366" s="1">
        <v>45841</v>
      </c>
      <c r="B2366" t="s">
        <v>15</v>
      </c>
      <c r="C2366" s="3">
        <v>3430</v>
      </c>
      <c r="D2366" s="3">
        <v>3435.3</v>
      </c>
      <c r="E2366" s="3">
        <v>3397.6</v>
      </c>
      <c r="F2366" s="3">
        <v>3423.3</v>
      </c>
      <c r="G2366" s="3">
        <v>3400</v>
      </c>
      <c r="H2366" s="3">
        <v>3400.8</v>
      </c>
      <c r="I2366" s="3">
        <v>3414.55</v>
      </c>
      <c r="J2366" s="3">
        <v>4592.25</v>
      </c>
      <c r="K2366" s="3">
        <v>3056.05</v>
      </c>
      <c r="L2366" s="2">
        <v>2531870</v>
      </c>
      <c r="M2366" s="2">
        <v>8645207975.3999996</v>
      </c>
      <c r="N2366" s="2">
        <v>131370</v>
      </c>
      <c r="O2366" t="s">
        <v>25</v>
      </c>
      <c r="P2366" s="8">
        <f t="shared" si="108"/>
        <v>-6.6999999999998181</v>
      </c>
      <c r="Q2366" t="s">
        <v>38</v>
      </c>
      <c r="R2366">
        <f t="shared" si="109"/>
        <v>7</v>
      </c>
      <c r="S2366" t="str">
        <f t="shared" si="110"/>
        <v>Jul</v>
      </c>
      <c r="T2366" s="9">
        <f>VLOOKUP(O2366, Annual_Summary!A:B, 2, 0)</f>
        <v>-0.22036742088049704</v>
      </c>
    </row>
    <row r="2367" spans="1:20" x14ac:dyDescent="0.3">
      <c r="A2367" s="1">
        <v>45840</v>
      </c>
      <c r="B2367" t="s">
        <v>15</v>
      </c>
      <c r="C2367" s="3">
        <v>3487.2</v>
      </c>
      <c r="D2367" s="3">
        <v>3489.9</v>
      </c>
      <c r="E2367" s="3">
        <v>3420</v>
      </c>
      <c r="F2367" s="3">
        <v>3429.7</v>
      </c>
      <c r="G2367" s="3">
        <v>3423.5</v>
      </c>
      <c r="H2367" s="3">
        <v>3423.3</v>
      </c>
      <c r="I2367" s="3">
        <v>3445.44</v>
      </c>
      <c r="J2367" s="3">
        <v>4592.25</v>
      </c>
      <c r="K2367" s="3">
        <v>3056.05</v>
      </c>
      <c r="L2367" s="2">
        <v>3090585</v>
      </c>
      <c r="M2367" s="2">
        <v>10648436048.1</v>
      </c>
      <c r="N2367" s="2">
        <v>111947</v>
      </c>
      <c r="O2367" t="s">
        <v>25</v>
      </c>
      <c r="P2367" s="8">
        <f t="shared" si="108"/>
        <v>-57.5</v>
      </c>
      <c r="Q2367" t="s">
        <v>38</v>
      </c>
      <c r="R2367">
        <f t="shared" si="109"/>
        <v>7</v>
      </c>
      <c r="S2367" t="str">
        <f t="shared" si="110"/>
        <v>Jul</v>
      </c>
      <c r="T2367" s="9">
        <f>VLOOKUP(O2367, Annual_Summary!A:B, 2, 0)</f>
        <v>-0.22036742088049704</v>
      </c>
    </row>
    <row r="2368" spans="1:20" x14ac:dyDescent="0.3">
      <c r="A2368" s="1">
        <v>45839</v>
      </c>
      <c r="B2368" t="s">
        <v>15</v>
      </c>
      <c r="C2368" s="3">
        <v>3455</v>
      </c>
      <c r="D2368" s="3">
        <v>3485</v>
      </c>
      <c r="E2368" s="3">
        <v>3413.5</v>
      </c>
      <c r="F2368" s="3">
        <v>3462</v>
      </c>
      <c r="G2368" s="3">
        <v>3430</v>
      </c>
      <c r="H2368" s="3">
        <v>3429.7</v>
      </c>
      <c r="I2368" s="3">
        <v>3439.04</v>
      </c>
      <c r="J2368" s="3">
        <v>4592.25</v>
      </c>
      <c r="K2368" s="3">
        <v>3056.05</v>
      </c>
      <c r="L2368" s="2">
        <v>2375183</v>
      </c>
      <c r="M2368" s="2">
        <v>8168354151</v>
      </c>
      <c r="N2368" s="2">
        <v>125874</v>
      </c>
      <c r="O2368" t="s">
        <v>25</v>
      </c>
      <c r="P2368" s="8">
        <f t="shared" si="108"/>
        <v>7</v>
      </c>
      <c r="Q2368" t="s">
        <v>38</v>
      </c>
      <c r="R2368">
        <f t="shared" si="109"/>
        <v>7</v>
      </c>
      <c r="S2368" t="str">
        <f t="shared" si="110"/>
        <v>Jul</v>
      </c>
      <c r="T2368" s="9">
        <f>VLOOKUP(O2368, Annual_Summary!A:B, 2, 0)</f>
        <v>-0.22036742088049704</v>
      </c>
    </row>
    <row r="2369" spans="1:20" x14ac:dyDescent="0.3">
      <c r="A2369" s="1">
        <v>45838</v>
      </c>
      <c r="B2369" t="s">
        <v>15</v>
      </c>
      <c r="C2369" s="3">
        <v>3439.9</v>
      </c>
      <c r="D2369" s="3">
        <v>3464.9</v>
      </c>
      <c r="E2369" s="3">
        <v>3430</v>
      </c>
      <c r="F2369" s="3">
        <v>3441.1</v>
      </c>
      <c r="G2369" s="3">
        <v>3460</v>
      </c>
      <c r="H2369" s="3">
        <v>3462</v>
      </c>
      <c r="I2369" s="3">
        <v>3452.05</v>
      </c>
      <c r="J2369" s="3">
        <v>4592.25</v>
      </c>
      <c r="K2369" s="3">
        <v>3056.05</v>
      </c>
      <c r="L2369" s="2">
        <v>1468351</v>
      </c>
      <c r="M2369" s="2">
        <v>5068827379.1999998</v>
      </c>
      <c r="N2369" s="2">
        <v>130938</v>
      </c>
      <c r="O2369" t="s">
        <v>25</v>
      </c>
      <c r="P2369" s="8">
        <f t="shared" si="108"/>
        <v>1.1999999999998181</v>
      </c>
      <c r="Q2369" t="s">
        <v>38</v>
      </c>
      <c r="R2369">
        <f t="shared" si="109"/>
        <v>6</v>
      </c>
      <c r="S2369" t="str">
        <f t="shared" si="110"/>
        <v>Jun</v>
      </c>
      <c r="T2369" s="9">
        <f>VLOOKUP(O2369, Annual_Summary!A:B, 2, 0)</f>
        <v>-0.22036742088049704</v>
      </c>
    </row>
    <row r="2370" spans="1:20" x14ac:dyDescent="0.3">
      <c r="A2370" s="1">
        <v>45835</v>
      </c>
      <c r="B2370" t="s">
        <v>15</v>
      </c>
      <c r="C2370" s="3">
        <v>3455</v>
      </c>
      <c r="D2370" s="3">
        <v>3466.4</v>
      </c>
      <c r="E2370" s="3">
        <v>3431</v>
      </c>
      <c r="F2370" s="3">
        <v>3441.8</v>
      </c>
      <c r="G2370" s="3">
        <v>3445</v>
      </c>
      <c r="H2370" s="3">
        <v>3441.1</v>
      </c>
      <c r="I2370" s="3">
        <v>3445.16</v>
      </c>
      <c r="J2370" s="3">
        <v>4592.25</v>
      </c>
      <c r="K2370" s="3">
        <v>3056.05</v>
      </c>
      <c r="L2370" s="2">
        <v>1778433</v>
      </c>
      <c r="M2370" s="2">
        <v>6126978962.5</v>
      </c>
      <c r="N2370" s="2">
        <v>122369</v>
      </c>
      <c r="O2370" t="s">
        <v>25</v>
      </c>
      <c r="P2370" s="8">
        <f t="shared" si="108"/>
        <v>-13.199999999999818</v>
      </c>
      <c r="Q2370" t="s">
        <v>38</v>
      </c>
      <c r="R2370">
        <f t="shared" si="109"/>
        <v>6</v>
      </c>
      <c r="S2370" t="str">
        <f t="shared" si="110"/>
        <v>Jun</v>
      </c>
      <c r="T2370" s="9">
        <f>VLOOKUP(O2370, Annual_Summary!A:B, 2, 0)</f>
        <v>-0.22036742088049704</v>
      </c>
    </row>
    <row r="2371" spans="1:20" x14ac:dyDescent="0.3">
      <c r="A2371" s="1">
        <v>45834</v>
      </c>
      <c r="B2371" t="s">
        <v>15</v>
      </c>
      <c r="C2371" s="3">
        <v>3444.8</v>
      </c>
      <c r="D2371" s="3">
        <v>3451.4</v>
      </c>
      <c r="E2371" s="3">
        <v>3415.3</v>
      </c>
      <c r="F2371" s="3">
        <v>3444.8</v>
      </c>
      <c r="G2371" s="3">
        <v>3443</v>
      </c>
      <c r="H2371" s="3">
        <v>3441.8</v>
      </c>
      <c r="I2371" s="3">
        <v>3437.7</v>
      </c>
      <c r="J2371" s="3">
        <v>4592.25</v>
      </c>
      <c r="K2371" s="3">
        <v>3056.05</v>
      </c>
      <c r="L2371" s="2">
        <v>2879106</v>
      </c>
      <c r="M2371" s="2">
        <v>9897501153.8999996</v>
      </c>
      <c r="N2371" s="2">
        <v>143687</v>
      </c>
      <c r="O2371" t="s">
        <v>25</v>
      </c>
      <c r="P2371" s="8">
        <f t="shared" ref="P2371:P2434" si="111">F2371-C2371</f>
        <v>0</v>
      </c>
      <c r="Q2371" t="s">
        <v>38</v>
      </c>
      <c r="R2371">
        <f t="shared" ref="R2371:R2434" si="112">MONTH(A2371)</f>
        <v>6</v>
      </c>
      <c r="S2371" t="str">
        <f t="shared" ref="S2371:S2434" si="113">TEXT(A2371,"mmm")</f>
        <v>Jun</v>
      </c>
      <c r="T2371" s="9">
        <f>VLOOKUP(O2371, Annual_Summary!A:B, 2, 0)</f>
        <v>-0.22036742088049704</v>
      </c>
    </row>
    <row r="2372" spans="1:20" x14ac:dyDescent="0.3">
      <c r="A2372" s="1">
        <v>45833</v>
      </c>
      <c r="B2372" t="s">
        <v>15</v>
      </c>
      <c r="C2372" s="3">
        <v>3407.3</v>
      </c>
      <c r="D2372" s="3">
        <v>3450</v>
      </c>
      <c r="E2372" s="3">
        <v>3400</v>
      </c>
      <c r="F2372" s="3">
        <v>3390.4</v>
      </c>
      <c r="G2372" s="3">
        <v>3443</v>
      </c>
      <c r="H2372" s="3">
        <v>3444.8</v>
      </c>
      <c r="I2372" s="3">
        <v>3422.33</v>
      </c>
      <c r="J2372" s="3">
        <v>4592.25</v>
      </c>
      <c r="K2372" s="3">
        <v>3056.05</v>
      </c>
      <c r="L2372" s="2">
        <v>1757699</v>
      </c>
      <c r="M2372" s="2">
        <v>6015421913</v>
      </c>
      <c r="N2372" s="2">
        <v>101280</v>
      </c>
      <c r="O2372" t="s">
        <v>25</v>
      </c>
      <c r="P2372" s="8">
        <f t="shared" si="111"/>
        <v>-16.900000000000091</v>
      </c>
      <c r="Q2372" t="s">
        <v>38</v>
      </c>
      <c r="R2372">
        <f t="shared" si="112"/>
        <v>6</v>
      </c>
      <c r="S2372" t="str">
        <f t="shared" si="113"/>
        <v>Jun</v>
      </c>
      <c r="T2372" s="9">
        <f>VLOOKUP(O2372, Annual_Summary!A:B, 2, 0)</f>
        <v>-0.22036742088049704</v>
      </c>
    </row>
    <row r="2373" spans="1:20" x14ac:dyDescent="0.3">
      <c r="A2373" s="1">
        <v>45832</v>
      </c>
      <c r="B2373" t="s">
        <v>15</v>
      </c>
      <c r="C2373" s="3">
        <v>3434.6</v>
      </c>
      <c r="D2373" s="3">
        <v>3442.1</v>
      </c>
      <c r="E2373" s="3">
        <v>3382</v>
      </c>
      <c r="F2373" s="3">
        <v>3393.6</v>
      </c>
      <c r="G2373" s="3">
        <v>3392</v>
      </c>
      <c r="H2373" s="3">
        <v>3390.4</v>
      </c>
      <c r="I2373" s="3">
        <v>3408.47</v>
      </c>
      <c r="J2373" s="3">
        <v>4592.25</v>
      </c>
      <c r="K2373" s="3">
        <v>3056.05</v>
      </c>
      <c r="L2373" s="2">
        <v>3403048</v>
      </c>
      <c r="M2373" s="2">
        <v>11599175864.4</v>
      </c>
      <c r="N2373" s="2">
        <v>178183</v>
      </c>
      <c r="O2373" t="s">
        <v>25</v>
      </c>
      <c r="P2373" s="8">
        <f t="shared" si="111"/>
        <v>-41</v>
      </c>
      <c r="Q2373" t="s">
        <v>38</v>
      </c>
      <c r="R2373">
        <f t="shared" si="112"/>
        <v>6</v>
      </c>
      <c r="S2373" t="str">
        <f t="shared" si="113"/>
        <v>Jun</v>
      </c>
      <c r="T2373" s="9">
        <f>VLOOKUP(O2373, Annual_Summary!A:B, 2, 0)</f>
        <v>-0.22036742088049704</v>
      </c>
    </row>
    <row r="2374" spans="1:20" x14ac:dyDescent="0.3">
      <c r="A2374" s="1">
        <v>45831</v>
      </c>
      <c r="B2374" t="s">
        <v>15</v>
      </c>
      <c r="C2374" s="3">
        <v>3415</v>
      </c>
      <c r="D2374" s="3">
        <v>3425</v>
      </c>
      <c r="E2374" s="3">
        <v>3370</v>
      </c>
      <c r="F2374" s="3">
        <v>3435.7</v>
      </c>
      <c r="G2374" s="3">
        <v>3392</v>
      </c>
      <c r="H2374" s="3">
        <v>3393.6</v>
      </c>
      <c r="I2374" s="3">
        <v>3392.2</v>
      </c>
      <c r="J2374" s="3">
        <v>4592.25</v>
      </c>
      <c r="K2374" s="3">
        <v>3056.05</v>
      </c>
      <c r="L2374" s="2">
        <v>3123421</v>
      </c>
      <c r="M2374" s="2">
        <v>10595271627.799999</v>
      </c>
      <c r="N2374" s="2">
        <v>153401</v>
      </c>
      <c r="O2374" t="s">
        <v>25</v>
      </c>
      <c r="P2374" s="8">
        <f t="shared" si="111"/>
        <v>20.699999999999818</v>
      </c>
      <c r="Q2374" t="s">
        <v>38</v>
      </c>
      <c r="R2374">
        <f t="shared" si="112"/>
        <v>6</v>
      </c>
      <c r="S2374" t="str">
        <f t="shared" si="113"/>
        <v>Jun</v>
      </c>
      <c r="T2374" s="9">
        <f>VLOOKUP(O2374, Annual_Summary!A:B, 2, 0)</f>
        <v>-0.22036742088049704</v>
      </c>
    </row>
    <row r="2375" spans="1:20" x14ac:dyDescent="0.3">
      <c r="A2375" s="1">
        <v>45828</v>
      </c>
      <c r="B2375" t="s">
        <v>15</v>
      </c>
      <c r="C2375" s="3">
        <v>3425</v>
      </c>
      <c r="D2375" s="3">
        <v>3446.3</v>
      </c>
      <c r="E2375" s="3">
        <v>3410.9</v>
      </c>
      <c r="F2375" s="3">
        <v>3424</v>
      </c>
      <c r="G2375" s="3">
        <v>3429.1</v>
      </c>
      <c r="H2375" s="3">
        <v>3435.7</v>
      </c>
      <c r="I2375" s="3">
        <v>3432.16</v>
      </c>
      <c r="J2375" s="3">
        <v>4592.25</v>
      </c>
      <c r="K2375" s="3">
        <v>3056.05</v>
      </c>
      <c r="L2375" s="2">
        <v>2351248</v>
      </c>
      <c r="M2375" s="2">
        <v>8069855528.6999998</v>
      </c>
      <c r="N2375" s="2">
        <v>100374</v>
      </c>
      <c r="O2375" t="s">
        <v>25</v>
      </c>
      <c r="P2375" s="8">
        <f t="shared" si="111"/>
        <v>-1</v>
      </c>
      <c r="Q2375" t="s">
        <v>38</v>
      </c>
      <c r="R2375">
        <f t="shared" si="112"/>
        <v>6</v>
      </c>
      <c r="S2375" t="str">
        <f t="shared" si="113"/>
        <v>Jun</v>
      </c>
      <c r="T2375" s="9">
        <f>VLOOKUP(O2375, Annual_Summary!A:B, 2, 0)</f>
        <v>-0.22036742088049704</v>
      </c>
    </row>
    <row r="2376" spans="1:20" x14ac:dyDescent="0.3">
      <c r="A2376" s="1">
        <v>45827</v>
      </c>
      <c r="B2376" t="s">
        <v>15</v>
      </c>
      <c r="C2376" s="3">
        <v>3450</v>
      </c>
      <c r="D2376" s="3">
        <v>3451</v>
      </c>
      <c r="E2376" s="3">
        <v>3413</v>
      </c>
      <c r="F2376" s="3">
        <v>3451.4</v>
      </c>
      <c r="G2376" s="3">
        <v>3420</v>
      </c>
      <c r="H2376" s="3">
        <v>3424</v>
      </c>
      <c r="I2376" s="3">
        <v>3426.54</v>
      </c>
      <c r="J2376" s="3">
        <v>4592.25</v>
      </c>
      <c r="K2376" s="3">
        <v>3056.05</v>
      </c>
      <c r="L2376" s="2">
        <v>2672768</v>
      </c>
      <c r="M2376" s="2">
        <v>9158351862.5</v>
      </c>
      <c r="N2376" s="2">
        <v>125292</v>
      </c>
      <c r="O2376" t="s">
        <v>25</v>
      </c>
      <c r="P2376" s="8">
        <f t="shared" si="111"/>
        <v>1.4000000000000909</v>
      </c>
      <c r="Q2376" t="s">
        <v>38</v>
      </c>
      <c r="R2376">
        <f t="shared" si="112"/>
        <v>6</v>
      </c>
      <c r="S2376" t="str">
        <f t="shared" si="113"/>
        <v>Jun</v>
      </c>
      <c r="T2376" s="9">
        <f>VLOOKUP(O2376, Annual_Summary!A:B, 2, 0)</f>
        <v>-0.22036742088049704</v>
      </c>
    </row>
    <row r="2377" spans="1:20" x14ac:dyDescent="0.3">
      <c r="A2377" s="1">
        <v>45826</v>
      </c>
      <c r="B2377" t="s">
        <v>15</v>
      </c>
      <c r="C2377" s="3">
        <v>3519.1</v>
      </c>
      <c r="D2377" s="3">
        <v>3538</v>
      </c>
      <c r="E2377" s="3">
        <v>3443.1</v>
      </c>
      <c r="F2377" s="3">
        <v>3515.3</v>
      </c>
      <c r="G2377" s="3">
        <v>3455</v>
      </c>
      <c r="H2377" s="3">
        <v>3451.4</v>
      </c>
      <c r="I2377" s="3">
        <v>3483.78</v>
      </c>
      <c r="J2377" s="3">
        <v>4592.25</v>
      </c>
      <c r="K2377" s="3">
        <v>3056.05</v>
      </c>
      <c r="L2377" s="2">
        <v>2696327</v>
      </c>
      <c r="M2377" s="2">
        <v>9393397237.6000004</v>
      </c>
      <c r="N2377" s="2">
        <v>103359</v>
      </c>
      <c r="O2377" t="s">
        <v>25</v>
      </c>
      <c r="P2377" s="8">
        <f t="shared" si="111"/>
        <v>-3.7999999999997272</v>
      </c>
      <c r="Q2377" t="s">
        <v>38</v>
      </c>
      <c r="R2377">
        <f t="shared" si="112"/>
        <v>6</v>
      </c>
      <c r="S2377" t="str">
        <f t="shared" si="113"/>
        <v>Jun</v>
      </c>
      <c r="T2377" s="9">
        <f>VLOOKUP(O2377, Annual_Summary!A:B, 2, 0)</f>
        <v>-0.22036742088049704</v>
      </c>
    </row>
    <row r="2378" spans="1:20" x14ac:dyDescent="0.3">
      <c r="A2378" s="1">
        <v>45825</v>
      </c>
      <c r="B2378" t="s">
        <v>15</v>
      </c>
      <c r="C2378" s="3">
        <v>3510</v>
      </c>
      <c r="D2378" s="3">
        <v>3520</v>
      </c>
      <c r="E2378" s="3">
        <v>3488.1</v>
      </c>
      <c r="F2378" s="3">
        <v>3496.3</v>
      </c>
      <c r="G2378" s="3">
        <v>3512</v>
      </c>
      <c r="H2378" s="3">
        <v>3515.3</v>
      </c>
      <c r="I2378" s="3">
        <v>3511.25</v>
      </c>
      <c r="J2378" s="3">
        <v>4592.25</v>
      </c>
      <c r="K2378" s="3">
        <v>3056.05</v>
      </c>
      <c r="L2378" s="2">
        <v>2111940</v>
      </c>
      <c r="M2378" s="2">
        <v>7415551942.1999998</v>
      </c>
      <c r="N2378" s="2">
        <v>145498</v>
      </c>
      <c r="O2378" t="s">
        <v>25</v>
      </c>
      <c r="P2378" s="8">
        <f t="shared" si="111"/>
        <v>-13.699999999999818</v>
      </c>
      <c r="Q2378" t="s">
        <v>38</v>
      </c>
      <c r="R2378">
        <f t="shared" si="112"/>
        <v>6</v>
      </c>
      <c r="S2378" t="str">
        <f t="shared" si="113"/>
        <v>Jun</v>
      </c>
      <c r="T2378" s="9">
        <f>VLOOKUP(O2378, Annual_Summary!A:B, 2, 0)</f>
        <v>-0.22036742088049704</v>
      </c>
    </row>
    <row r="2379" spans="1:20" x14ac:dyDescent="0.3">
      <c r="A2379" s="1">
        <v>45824</v>
      </c>
      <c r="B2379" t="s">
        <v>15</v>
      </c>
      <c r="C2379" s="3">
        <v>3440</v>
      </c>
      <c r="D2379" s="3">
        <v>3509</v>
      </c>
      <c r="E2379" s="3">
        <v>3426.2</v>
      </c>
      <c r="F2379" s="3">
        <v>3445.7</v>
      </c>
      <c r="G2379" s="3">
        <v>3496.2</v>
      </c>
      <c r="H2379" s="3">
        <v>3496.3</v>
      </c>
      <c r="I2379" s="3">
        <v>3493.01</v>
      </c>
      <c r="J2379" s="3">
        <v>4592.25</v>
      </c>
      <c r="K2379" s="3">
        <v>3056.05</v>
      </c>
      <c r="L2379" s="2">
        <v>1934088</v>
      </c>
      <c r="M2379" s="2">
        <v>6755788711.1999998</v>
      </c>
      <c r="N2379" s="2">
        <v>109847</v>
      </c>
      <c r="O2379" t="s">
        <v>25</v>
      </c>
      <c r="P2379" s="8">
        <f t="shared" si="111"/>
        <v>5.6999999999998181</v>
      </c>
      <c r="Q2379" t="s">
        <v>38</v>
      </c>
      <c r="R2379">
        <f t="shared" si="112"/>
        <v>6</v>
      </c>
      <c r="S2379" t="str">
        <f t="shared" si="113"/>
        <v>Jun</v>
      </c>
      <c r="T2379" s="9">
        <f>VLOOKUP(O2379, Annual_Summary!A:B, 2, 0)</f>
        <v>-0.22036742088049704</v>
      </c>
    </row>
    <row r="2380" spans="1:20" x14ac:dyDescent="0.3">
      <c r="A2380" s="1">
        <v>45821</v>
      </c>
      <c r="B2380" t="s">
        <v>15</v>
      </c>
      <c r="C2380" s="3">
        <v>3393.2</v>
      </c>
      <c r="D2380" s="3">
        <v>3450.5</v>
      </c>
      <c r="E2380" s="3">
        <v>3393.2</v>
      </c>
      <c r="F2380" s="3">
        <v>3434.2</v>
      </c>
      <c r="G2380" s="3">
        <v>3447.4</v>
      </c>
      <c r="H2380" s="3">
        <v>3445.7</v>
      </c>
      <c r="I2380" s="3">
        <v>3436.18</v>
      </c>
      <c r="J2380" s="3">
        <v>4592.25</v>
      </c>
      <c r="K2380" s="3">
        <v>3056.05</v>
      </c>
      <c r="L2380" s="2">
        <v>2178493</v>
      </c>
      <c r="M2380" s="2">
        <v>7485689915.8999996</v>
      </c>
      <c r="N2380" s="2">
        <v>140820</v>
      </c>
      <c r="O2380" t="s">
        <v>25</v>
      </c>
      <c r="P2380" s="8">
        <f t="shared" si="111"/>
        <v>41</v>
      </c>
      <c r="Q2380" t="s">
        <v>38</v>
      </c>
      <c r="R2380">
        <f t="shared" si="112"/>
        <v>6</v>
      </c>
      <c r="S2380" t="str">
        <f t="shared" si="113"/>
        <v>Jun</v>
      </c>
      <c r="T2380" s="9">
        <f>VLOOKUP(O2380, Annual_Summary!A:B, 2, 0)</f>
        <v>-0.22036742088049704</v>
      </c>
    </row>
    <row r="2381" spans="1:20" x14ac:dyDescent="0.3">
      <c r="A2381" s="1">
        <v>45820</v>
      </c>
      <c r="B2381" t="s">
        <v>15</v>
      </c>
      <c r="C2381" s="3">
        <v>3471.9</v>
      </c>
      <c r="D2381" s="3">
        <v>3474.7</v>
      </c>
      <c r="E2381" s="3">
        <v>3423.2</v>
      </c>
      <c r="F2381" s="3">
        <v>3471.9</v>
      </c>
      <c r="G2381" s="3">
        <v>3432</v>
      </c>
      <c r="H2381" s="3">
        <v>3434.2</v>
      </c>
      <c r="I2381" s="3">
        <v>3447.13</v>
      </c>
      <c r="J2381" s="3">
        <v>4592.25</v>
      </c>
      <c r="K2381" s="3">
        <v>3056.05</v>
      </c>
      <c r="L2381" s="2">
        <v>4060134</v>
      </c>
      <c r="M2381" s="2">
        <v>13995794452.1</v>
      </c>
      <c r="N2381" s="2">
        <v>164333</v>
      </c>
      <c r="O2381" t="s">
        <v>25</v>
      </c>
      <c r="P2381" s="8">
        <f t="shared" si="111"/>
        <v>0</v>
      </c>
      <c r="Q2381" t="s">
        <v>38</v>
      </c>
      <c r="R2381">
        <f t="shared" si="112"/>
        <v>6</v>
      </c>
      <c r="S2381" t="str">
        <f t="shared" si="113"/>
        <v>Jun</v>
      </c>
      <c r="T2381" s="9">
        <f>VLOOKUP(O2381, Annual_Summary!A:B, 2, 0)</f>
        <v>-0.22036742088049704</v>
      </c>
    </row>
    <row r="2382" spans="1:20" x14ac:dyDescent="0.3">
      <c r="A2382" s="1">
        <v>45819</v>
      </c>
      <c r="B2382" t="s">
        <v>15</v>
      </c>
      <c r="C2382" s="3">
        <v>3470</v>
      </c>
      <c r="D2382" s="3">
        <v>3489</v>
      </c>
      <c r="E2382" s="3">
        <v>3449.1</v>
      </c>
      <c r="F2382" s="3">
        <v>3462.9</v>
      </c>
      <c r="G2382" s="3">
        <v>3470.8</v>
      </c>
      <c r="H2382" s="3">
        <v>3471.9</v>
      </c>
      <c r="I2382" s="3">
        <v>3471.9</v>
      </c>
      <c r="J2382" s="3">
        <v>4592.25</v>
      </c>
      <c r="K2382" s="3">
        <v>3056.05</v>
      </c>
      <c r="L2382" s="2">
        <v>2847013</v>
      </c>
      <c r="M2382" s="2">
        <v>9884549517.8999996</v>
      </c>
      <c r="N2382" s="2">
        <v>163525</v>
      </c>
      <c r="O2382" t="s">
        <v>25</v>
      </c>
      <c r="P2382" s="8">
        <f t="shared" si="111"/>
        <v>-7.0999999999999091</v>
      </c>
      <c r="Q2382" t="s">
        <v>38</v>
      </c>
      <c r="R2382">
        <f t="shared" si="112"/>
        <v>6</v>
      </c>
      <c r="S2382" t="str">
        <f t="shared" si="113"/>
        <v>Jun</v>
      </c>
      <c r="T2382" s="9">
        <f>VLOOKUP(O2382, Annual_Summary!A:B, 2, 0)</f>
        <v>-0.22036742088049704</v>
      </c>
    </row>
    <row r="2383" spans="1:20" x14ac:dyDescent="0.3">
      <c r="A2383" s="1">
        <v>45818</v>
      </c>
      <c r="B2383" t="s">
        <v>15</v>
      </c>
      <c r="C2383" s="3">
        <v>3440</v>
      </c>
      <c r="D2383" s="3">
        <v>3485.8</v>
      </c>
      <c r="E2383" s="3">
        <v>3423.2</v>
      </c>
      <c r="F2383" s="3">
        <v>3421.9</v>
      </c>
      <c r="G2383" s="3">
        <v>3461.9</v>
      </c>
      <c r="H2383" s="3">
        <v>3462.9</v>
      </c>
      <c r="I2383" s="3">
        <v>3462.61</v>
      </c>
      <c r="J2383" s="3">
        <v>4592.25</v>
      </c>
      <c r="K2383" s="3">
        <v>3056.05</v>
      </c>
      <c r="L2383" s="2">
        <v>2419874</v>
      </c>
      <c r="M2383" s="2">
        <v>8379090971.3000002</v>
      </c>
      <c r="N2383" s="2">
        <v>109195</v>
      </c>
      <c r="O2383" t="s">
        <v>25</v>
      </c>
      <c r="P2383" s="8">
        <f t="shared" si="111"/>
        <v>-18.099999999999909</v>
      </c>
      <c r="Q2383" t="s">
        <v>38</v>
      </c>
      <c r="R2383">
        <f t="shared" si="112"/>
        <v>6</v>
      </c>
      <c r="S2383" t="str">
        <f t="shared" si="113"/>
        <v>Jun</v>
      </c>
      <c r="T2383" s="9">
        <f>VLOOKUP(O2383, Annual_Summary!A:B, 2, 0)</f>
        <v>-0.22036742088049704</v>
      </c>
    </row>
    <row r="2384" spans="1:20" x14ac:dyDescent="0.3">
      <c r="A2384" s="1">
        <v>45817</v>
      </c>
      <c r="B2384" t="s">
        <v>15</v>
      </c>
      <c r="C2384" s="3">
        <v>3400</v>
      </c>
      <c r="D2384" s="3">
        <v>3434</v>
      </c>
      <c r="E2384" s="3">
        <v>3390.9</v>
      </c>
      <c r="F2384" s="3">
        <v>3384.2</v>
      </c>
      <c r="G2384" s="3">
        <v>3423</v>
      </c>
      <c r="H2384" s="3">
        <v>3421.9</v>
      </c>
      <c r="I2384" s="3">
        <v>3420.68</v>
      </c>
      <c r="J2384" s="3">
        <v>4592.25</v>
      </c>
      <c r="K2384" s="3">
        <v>3056.05</v>
      </c>
      <c r="L2384" s="2">
        <v>1718678</v>
      </c>
      <c r="M2384" s="2">
        <v>5879053289.3999996</v>
      </c>
      <c r="N2384" s="2">
        <v>73412</v>
      </c>
      <c r="O2384" t="s">
        <v>25</v>
      </c>
      <c r="P2384" s="8">
        <f t="shared" si="111"/>
        <v>-15.800000000000182</v>
      </c>
      <c r="Q2384" t="s">
        <v>38</v>
      </c>
      <c r="R2384">
        <f t="shared" si="112"/>
        <v>6</v>
      </c>
      <c r="S2384" t="str">
        <f t="shared" si="113"/>
        <v>Jun</v>
      </c>
      <c r="T2384" s="9">
        <f>VLOOKUP(O2384, Annual_Summary!A:B, 2, 0)</f>
        <v>-0.22036742088049704</v>
      </c>
    </row>
    <row r="2385" spans="1:20" x14ac:dyDescent="0.3">
      <c r="A2385" s="1">
        <v>45814</v>
      </c>
      <c r="B2385" t="s">
        <v>15</v>
      </c>
      <c r="C2385" s="3">
        <v>3371.1</v>
      </c>
      <c r="D2385" s="3">
        <v>3390.9</v>
      </c>
      <c r="E2385" s="3">
        <v>3358.7</v>
      </c>
      <c r="F2385" s="3">
        <v>3371.1</v>
      </c>
      <c r="G2385" s="3">
        <v>3388</v>
      </c>
      <c r="H2385" s="3">
        <v>3384.2</v>
      </c>
      <c r="I2385" s="3">
        <v>3376.59</v>
      </c>
      <c r="J2385" s="3">
        <v>4592.25</v>
      </c>
      <c r="K2385" s="3">
        <v>3056.05</v>
      </c>
      <c r="L2385" s="2">
        <v>2070390</v>
      </c>
      <c r="M2385" s="2">
        <v>6990855288.3999996</v>
      </c>
      <c r="N2385" s="2">
        <v>94941</v>
      </c>
      <c r="O2385" t="s">
        <v>25</v>
      </c>
      <c r="P2385" s="8">
        <f t="shared" si="111"/>
        <v>0</v>
      </c>
      <c r="Q2385" t="s">
        <v>38</v>
      </c>
      <c r="R2385">
        <f t="shared" si="112"/>
        <v>6</v>
      </c>
      <c r="S2385" t="str">
        <f t="shared" si="113"/>
        <v>Jun</v>
      </c>
      <c r="T2385" s="9">
        <f>VLOOKUP(O2385, Annual_Summary!A:B, 2, 0)</f>
        <v>-0.22036742088049704</v>
      </c>
    </row>
    <row r="2386" spans="1:20" x14ac:dyDescent="0.3">
      <c r="A2386" s="1">
        <v>45813</v>
      </c>
      <c r="B2386" t="s">
        <v>15</v>
      </c>
      <c r="C2386" s="3">
        <v>3409</v>
      </c>
      <c r="D2386" s="3">
        <v>3409</v>
      </c>
      <c r="E2386" s="3">
        <v>3363.7</v>
      </c>
      <c r="F2386" s="3">
        <v>3380.9</v>
      </c>
      <c r="G2386" s="3">
        <v>3374</v>
      </c>
      <c r="H2386" s="3">
        <v>3371.1</v>
      </c>
      <c r="I2386" s="3">
        <v>3380.39</v>
      </c>
      <c r="J2386" s="3">
        <v>4592.25</v>
      </c>
      <c r="K2386" s="3">
        <v>3056.05</v>
      </c>
      <c r="L2386" s="2">
        <v>3584683</v>
      </c>
      <c r="M2386" s="2">
        <v>12117623680</v>
      </c>
      <c r="N2386" s="2">
        <v>129913</v>
      </c>
      <c r="O2386" t="s">
        <v>25</v>
      </c>
      <c r="P2386" s="8">
        <f t="shared" si="111"/>
        <v>-28.099999999999909</v>
      </c>
      <c r="Q2386" t="s">
        <v>38</v>
      </c>
      <c r="R2386">
        <f t="shared" si="112"/>
        <v>6</v>
      </c>
      <c r="S2386" t="str">
        <f t="shared" si="113"/>
        <v>Jun</v>
      </c>
      <c r="T2386" s="9">
        <f>VLOOKUP(O2386, Annual_Summary!A:B, 2, 0)</f>
        <v>-0.22036742088049704</v>
      </c>
    </row>
    <row r="2387" spans="1:20" x14ac:dyDescent="0.3">
      <c r="A2387" s="1">
        <v>45812</v>
      </c>
      <c r="B2387" t="s">
        <v>15</v>
      </c>
      <c r="C2387" s="3">
        <v>3389</v>
      </c>
      <c r="D2387" s="3">
        <v>3394.8</v>
      </c>
      <c r="E2387" s="3">
        <v>3370</v>
      </c>
      <c r="F2387" s="3">
        <v>3405.2</v>
      </c>
      <c r="G2387" s="3">
        <v>3381</v>
      </c>
      <c r="H2387" s="3">
        <v>3380.9</v>
      </c>
      <c r="I2387" s="3">
        <v>3382.86</v>
      </c>
      <c r="J2387" s="3">
        <v>4592.25</v>
      </c>
      <c r="K2387" s="3">
        <v>3056.05</v>
      </c>
      <c r="L2387" s="2">
        <v>2544807</v>
      </c>
      <c r="M2387" s="2">
        <v>8608717239.6000004</v>
      </c>
      <c r="N2387" s="2">
        <v>185107</v>
      </c>
      <c r="O2387" t="s">
        <v>25</v>
      </c>
      <c r="P2387" s="8">
        <f t="shared" si="111"/>
        <v>16.199999999999818</v>
      </c>
      <c r="Q2387" t="s">
        <v>38</v>
      </c>
      <c r="R2387">
        <f t="shared" si="112"/>
        <v>6</v>
      </c>
      <c r="S2387" t="str">
        <f t="shared" si="113"/>
        <v>Jun</v>
      </c>
      <c r="T2387" s="9">
        <f>VLOOKUP(O2387, Annual_Summary!A:B, 2, 0)</f>
        <v>-0.22036742088049704</v>
      </c>
    </row>
    <row r="2388" spans="1:20" x14ac:dyDescent="0.3">
      <c r="A2388" s="1">
        <v>45811</v>
      </c>
      <c r="B2388" t="s">
        <v>15</v>
      </c>
      <c r="C2388" s="3">
        <v>3446</v>
      </c>
      <c r="D2388" s="3">
        <v>3473.5</v>
      </c>
      <c r="E2388" s="3">
        <v>3400.5</v>
      </c>
      <c r="F2388" s="3">
        <v>3449.8</v>
      </c>
      <c r="G2388" s="3">
        <v>3411.4</v>
      </c>
      <c r="H2388" s="3">
        <v>3405.2</v>
      </c>
      <c r="I2388" s="3">
        <v>3418.44</v>
      </c>
      <c r="J2388" s="3">
        <v>4592.25</v>
      </c>
      <c r="K2388" s="3">
        <v>3056.05</v>
      </c>
      <c r="L2388" s="2">
        <v>2848125</v>
      </c>
      <c r="M2388" s="2">
        <v>9736154029.7999992</v>
      </c>
      <c r="N2388" s="2">
        <v>195278</v>
      </c>
      <c r="O2388" t="s">
        <v>25</v>
      </c>
      <c r="P2388" s="8">
        <f t="shared" si="111"/>
        <v>3.8000000000001819</v>
      </c>
      <c r="Q2388" t="s">
        <v>38</v>
      </c>
      <c r="R2388">
        <f t="shared" si="112"/>
        <v>6</v>
      </c>
      <c r="S2388" t="str">
        <f t="shared" si="113"/>
        <v>Jun</v>
      </c>
      <c r="T2388" s="9">
        <f>VLOOKUP(O2388, Annual_Summary!A:B, 2, 0)</f>
        <v>-0.22036742088049704</v>
      </c>
    </row>
    <row r="2389" spans="1:20" x14ac:dyDescent="0.3">
      <c r="A2389" s="1">
        <v>45810</v>
      </c>
      <c r="B2389" t="s">
        <v>15</v>
      </c>
      <c r="C2389" s="3">
        <v>3450</v>
      </c>
      <c r="D2389" s="3">
        <v>3460</v>
      </c>
      <c r="E2389" s="3">
        <v>3418.6</v>
      </c>
      <c r="F2389" s="3">
        <v>3463.4</v>
      </c>
      <c r="G2389" s="3">
        <v>3445.8</v>
      </c>
      <c r="H2389" s="3">
        <v>3449.8</v>
      </c>
      <c r="I2389" s="3">
        <v>3441.46</v>
      </c>
      <c r="J2389" s="3">
        <v>4592.25</v>
      </c>
      <c r="K2389" s="3">
        <v>3056.05</v>
      </c>
      <c r="L2389" s="2">
        <v>1877585</v>
      </c>
      <c r="M2389" s="2">
        <v>6461635240.3000002</v>
      </c>
      <c r="N2389" s="2">
        <v>105414</v>
      </c>
      <c r="O2389" t="s">
        <v>25</v>
      </c>
      <c r="P2389" s="8">
        <f t="shared" si="111"/>
        <v>13.400000000000091</v>
      </c>
      <c r="Q2389" t="s">
        <v>38</v>
      </c>
      <c r="R2389">
        <f t="shared" si="112"/>
        <v>6</v>
      </c>
      <c r="S2389" t="str">
        <f t="shared" si="113"/>
        <v>Jun</v>
      </c>
      <c r="T2389" s="9">
        <f>VLOOKUP(O2389, Annual_Summary!A:B, 2, 0)</f>
        <v>-0.22036742088049704</v>
      </c>
    </row>
    <row r="2390" spans="1:20" x14ac:dyDescent="0.3">
      <c r="A2390" s="1">
        <v>45807</v>
      </c>
      <c r="B2390" t="s">
        <v>15</v>
      </c>
      <c r="C2390" s="3">
        <v>3490</v>
      </c>
      <c r="D2390" s="3">
        <v>3506.7</v>
      </c>
      <c r="E2390" s="3">
        <v>3453.1</v>
      </c>
      <c r="F2390" s="3">
        <v>3498.1</v>
      </c>
      <c r="G2390" s="3">
        <v>3460</v>
      </c>
      <c r="H2390" s="3">
        <v>3463.4</v>
      </c>
      <c r="I2390" s="3">
        <v>3473.8</v>
      </c>
      <c r="J2390" s="3">
        <v>4592.25</v>
      </c>
      <c r="K2390" s="3">
        <v>3056.05</v>
      </c>
      <c r="L2390" s="2">
        <v>3404365</v>
      </c>
      <c r="M2390" s="2">
        <v>11826074213.6</v>
      </c>
      <c r="N2390" s="2">
        <v>104081</v>
      </c>
      <c r="O2390" t="s">
        <v>25</v>
      </c>
      <c r="P2390" s="8">
        <f t="shared" si="111"/>
        <v>8.0999999999999091</v>
      </c>
      <c r="Q2390" t="s">
        <v>38</v>
      </c>
      <c r="R2390">
        <f t="shared" si="112"/>
        <v>5</v>
      </c>
      <c r="S2390" t="str">
        <f t="shared" si="113"/>
        <v>May</v>
      </c>
      <c r="T2390" s="9">
        <f>VLOOKUP(O2390, Annual_Summary!A:B, 2, 0)</f>
        <v>-0.22036742088049704</v>
      </c>
    </row>
    <row r="2391" spans="1:20" x14ac:dyDescent="0.3">
      <c r="A2391" s="1">
        <v>45806</v>
      </c>
      <c r="B2391" t="s">
        <v>15</v>
      </c>
      <c r="C2391" s="3">
        <v>3504.7</v>
      </c>
      <c r="D2391" s="3">
        <v>3532.5</v>
      </c>
      <c r="E2391" s="3">
        <v>3486.5</v>
      </c>
      <c r="F2391" s="3">
        <v>3497.7</v>
      </c>
      <c r="G2391" s="3">
        <v>3494</v>
      </c>
      <c r="H2391" s="3">
        <v>3498.1</v>
      </c>
      <c r="I2391" s="3">
        <v>3500.24</v>
      </c>
      <c r="J2391" s="3">
        <v>4592.25</v>
      </c>
      <c r="K2391" s="3">
        <v>3056.05</v>
      </c>
      <c r="L2391" s="2">
        <v>3188072</v>
      </c>
      <c r="M2391" s="2">
        <v>11159021439.9</v>
      </c>
      <c r="N2391" s="2">
        <v>146463</v>
      </c>
      <c r="O2391" t="s">
        <v>25</v>
      </c>
      <c r="P2391" s="8">
        <f t="shared" si="111"/>
        <v>-7</v>
      </c>
      <c r="Q2391" t="s">
        <v>38</v>
      </c>
      <c r="R2391">
        <f t="shared" si="112"/>
        <v>5</v>
      </c>
      <c r="S2391" t="str">
        <f t="shared" si="113"/>
        <v>May</v>
      </c>
      <c r="T2391" s="9">
        <f>VLOOKUP(O2391, Annual_Summary!A:B, 2, 0)</f>
        <v>-0.22036742088049704</v>
      </c>
    </row>
    <row r="2392" spans="1:20" x14ac:dyDescent="0.3">
      <c r="A2392" s="1">
        <v>45805</v>
      </c>
      <c r="B2392" t="s">
        <v>15</v>
      </c>
      <c r="C2392" s="3">
        <v>3520</v>
      </c>
      <c r="D2392" s="3">
        <v>3529</v>
      </c>
      <c r="E2392" s="3">
        <v>3493</v>
      </c>
      <c r="F2392" s="3">
        <v>3498.7</v>
      </c>
      <c r="G2392" s="3">
        <v>3500.1</v>
      </c>
      <c r="H2392" s="3">
        <v>3497.7</v>
      </c>
      <c r="I2392" s="3">
        <v>3501.32</v>
      </c>
      <c r="J2392" s="3">
        <v>4592.25</v>
      </c>
      <c r="K2392" s="3">
        <v>3056.05</v>
      </c>
      <c r="L2392" s="2">
        <v>1222933</v>
      </c>
      <c r="M2392" s="2">
        <v>4281880586.5999999</v>
      </c>
      <c r="N2392" s="2">
        <v>80594</v>
      </c>
      <c r="O2392" t="s">
        <v>25</v>
      </c>
      <c r="P2392" s="8">
        <f t="shared" si="111"/>
        <v>-21.300000000000182</v>
      </c>
      <c r="Q2392" t="s">
        <v>38</v>
      </c>
      <c r="R2392">
        <f t="shared" si="112"/>
        <v>5</v>
      </c>
      <c r="S2392" t="str">
        <f t="shared" si="113"/>
        <v>May</v>
      </c>
      <c r="T2392" s="9">
        <f>VLOOKUP(O2392, Annual_Summary!A:B, 2, 0)</f>
        <v>-0.22036742088049704</v>
      </c>
    </row>
    <row r="2393" spans="1:20" x14ac:dyDescent="0.3">
      <c r="A2393" s="1">
        <v>45804</v>
      </c>
      <c r="B2393" t="s">
        <v>15</v>
      </c>
      <c r="C2393" s="3">
        <v>3532</v>
      </c>
      <c r="D2393" s="3">
        <v>3540</v>
      </c>
      <c r="E2393" s="3">
        <v>3483.1</v>
      </c>
      <c r="F2393" s="3">
        <v>3537.3</v>
      </c>
      <c r="G2393" s="3">
        <v>3501</v>
      </c>
      <c r="H2393" s="3">
        <v>3498.7</v>
      </c>
      <c r="I2393" s="3">
        <v>3500.34</v>
      </c>
      <c r="J2393" s="3">
        <v>4592.25</v>
      </c>
      <c r="K2393" s="3">
        <v>3056.05</v>
      </c>
      <c r="L2393" s="2">
        <v>2467680</v>
      </c>
      <c r="M2393" s="2">
        <v>8637718829.7000008</v>
      </c>
      <c r="N2393" s="2">
        <v>165908</v>
      </c>
      <c r="O2393" t="s">
        <v>25</v>
      </c>
      <c r="P2393" s="8">
        <f t="shared" si="111"/>
        <v>5.3000000000001819</v>
      </c>
      <c r="Q2393" t="s">
        <v>38</v>
      </c>
      <c r="R2393">
        <f t="shared" si="112"/>
        <v>5</v>
      </c>
      <c r="S2393" t="str">
        <f t="shared" si="113"/>
        <v>May</v>
      </c>
      <c r="T2393" s="9">
        <f>VLOOKUP(O2393, Annual_Summary!A:B, 2, 0)</f>
        <v>-0.22036742088049704</v>
      </c>
    </row>
    <row r="2394" spans="1:20" x14ac:dyDescent="0.3">
      <c r="A2394" s="1">
        <v>45803</v>
      </c>
      <c r="B2394" t="s">
        <v>15</v>
      </c>
      <c r="C2394" s="3">
        <v>3521</v>
      </c>
      <c r="D2394" s="3">
        <v>3545</v>
      </c>
      <c r="E2394" s="3">
        <v>3510.1</v>
      </c>
      <c r="F2394" s="3">
        <v>3514.6</v>
      </c>
      <c r="G2394" s="3">
        <v>3538</v>
      </c>
      <c r="H2394" s="3">
        <v>3537.3</v>
      </c>
      <c r="I2394" s="3">
        <v>3536.37</v>
      </c>
      <c r="J2394" s="3">
        <v>4592.25</v>
      </c>
      <c r="K2394" s="3">
        <v>3056.05</v>
      </c>
      <c r="L2394" s="2">
        <v>967470</v>
      </c>
      <c r="M2394" s="2">
        <v>3421330419.5</v>
      </c>
      <c r="N2394" s="2">
        <v>67043</v>
      </c>
      <c r="O2394" t="s">
        <v>25</v>
      </c>
      <c r="P2394" s="8">
        <f t="shared" si="111"/>
        <v>-6.4000000000000909</v>
      </c>
      <c r="Q2394" t="s">
        <v>38</v>
      </c>
      <c r="R2394">
        <f t="shared" si="112"/>
        <v>5</v>
      </c>
      <c r="S2394" t="str">
        <f t="shared" si="113"/>
        <v>May</v>
      </c>
      <c r="T2394" s="9">
        <f>VLOOKUP(O2394, Annual_Summary!A:B, 2, 0)</f>
        <v>-0.22036742088049704</v>
      </c>
    </row>
    <row r="2395" spans="1:20" x14ac:dyDescent="0.3">
      <c r="A2395" s="1">
        <v>45800</v>
      </c>
      <c r="B2395" t="s">
        <v>15</v>
      </c>
      <c r="C2395" s="3">
        <v>3477</v>
      </c>
      <c r="D2395" s="3">
        <v>3535</v>
      </c>
      <c r="E2395" s="3">
        <v>3465.6</v>
      </c>
      <c r="F2395" s="3">
        <v>3477</v>
      </c>
      <c r="G2395" s="3">
        <v>3508</v>
      </c>
      <c r="H2395" s="3">
        <v>3514.6</v>
      </c>
      <c r="I2395" s="3">
        <v>3511.99</v>
      </c>
      <c r="J2395" s="3">
        <v>4592.25</v>
      </c>
      <c r="K2395" s="3">
        <v>3056.05</v>
      </c>
      <c r="L2395" s="2">
        <v>1274331</v>
      </c>
      <c r="M2395" s="2">
        <v>4475440377.3999996</v>
      </c>
      <c r="N2395" s="2">
        <v>71383</v>
      </c>
      <c r="O2395" t="s">
        <v>25</v>
      </c>
      <c r="P2395" s="8">
        <f t="shared" si="111"/>
        <v>0</v>
      </c>
      <c r="Q2395" t="s">
        <v>38</v>
      </c>
      <c r="R2395">
        <f t="shared" si="112"/>
        <v>5</v>
      </c>
      <c r="S2395" t="str">
        <f t="shared" si="113"/>
        <v>May</v>
      </c>
      <c r="T2395" s="9">
        <f>VLOOKUP(O2395, Annual_Summary!A:B, 2, 0)</f>
        <v>-0.22036742088049704</v>
      </c>
    </row>
    <row r="2396" spans="1:20" x14ac:dyDescent="0.3">
      <c r="A2396" s="1">
        <v>45799</v>
      </c>
      <c r="B2396" t="s">
        <v>15</v>
      </c>
      <c r="C2396" s="3">
        <v>3495</v>
      </c>
      <c r="D2396" s="3">
        <v>3497.8</v>
      </c>
      <c r="E2396" s="3">
        <v>3451.3</v>
      </c>
      <c r="F2396" s="3">
        <v>3525.8</v>
      </c>
      <c r="G2396" s="3">
        <v>3483.4</v>
      </c>
      <c r="H2396" s="3">
        <v>3477</v>
      </c>
      <c r="I2396" s="3">
        <v>3473.54</v>
      </c>
      <c r="J2396" s="3">
        <v>4592.25</v>
      </c>
      <c r="K2396" s="3">
        <v>3056.05</v>
      </c>
      <c r="L2396" s="2">
        <v>2034383</v>
      </c>
      <c r="M2396" s="2">
        <v>7066503817.8000002</v>
      </c>
      <c r="N2396" s="2">
        <v>138574</v>
      </c>
      <c r="O2396" t="s">
        <v>25</v>
      </c>
      <c r="P2396" s="8">
        <f t="shared" si="111"/>
        <v>30.800000000000182</v>
      </c>
      <c r="Q2396" t="s">
        <v>38</v>
      </c>
      <c r="R2396">
        <f t="shared" si="112"/>
        <v>5</v>
      </c>
      <c r="S2396" t="str">
        <f t="shared" si="113"/>
        <v>May</v>
      </c>
      <c r="T2396" s="9">
        <f>VLOOKUP(O2396, Annual_Summary!A:B, 2, 0)</f>
        <v>-0.22036742088049704</v>
      </c>
    </row>
    <row r="2397" spans="1:20" x14ac:dyDescent="0.3">
      <c r="A2397" s="1">
        <v>45798</v>
      </c>
      <c r="B2397" t="s">
        <v>15</v>
      </c>
      <c r="C2397" s="3">
        <v>3508</v>
      </c>
      <c r="D2397" s="3">
        <v>3537</v>
      </c>
      <c r="E2397" s="3">
        <v>3498.3</v>
      </c>
      <c r="F2397" s="3">
        <v>3498.3</v>
      </c>
      <c r="G2397" s="3">
        <v>3521.1</v>
      </c>
      <c r="H2397" s="3">
        <v>3525.8</v>
      </c>
      <c r="I2397" s="3">
        <v>3523.98</v>
      </c>
      <c r="J2397" s="3">
        <v>4592.25</v>
      </c>
      <c r="K2397" s="3">
        <v>3056.05</v>
      </c>
      <c r="L2397" s="2">
        <v>1440153</v>
      </c>
      <c r="M2397" s="2">
        <v>5075075089.3000002</v>
      </c>
      <c r="N2397" s="2">
        <v>72782</v>
      </c>
      <c r="O2397" t="s">
        <v>25</v>
      </c>
      <c r="P2397" s="8">
        <f t="shared" si="111"/>
        <v>-9.6999999999998181</v>
      </c>
      <c r="Q2397" t="s">
        <v>38</v>
      </c>
      <c r="R2397">
        <f t="shared" si="112"/>
        <v>5</v>
      </c>
      <c r="S2397" t="str">
        <f t="shared" si="113"/>
        <v>May</v>
      </c>
      <c r="T2397" s="9">
        <f>VLOOKUP(O2397, Annual_Summary!A:B, 2, 0)</f>
        <v>-0.22036742088049704</v>
      </c>
    </row>
    <row r="2398" spans="1:20" x14ac:dyDescent="0.3">
      <c r="A2398" s="1">
        <v>45797</v>
      </c>
      <c r="B2398" t="s">
        <v>15</v>
      </c>
      <c r="C2398" s="3">
        <v>3531.8</v>
      </c>
      <c r="D2398" s="3">
        <v>3558</v>
      </c>
      <c r="E2398" s="3">
        <v>3494</v>
      </c>
      <c r="F2398" s="3">
        <v>3518.8</v>
      </c>
      <c r="G2398" s="3">
        <v>3503</v>
      </c>
      <c r="H2398" s="3">
        <v>3498.3</v>
      </c>
      <c r="I2398" s="3">
        <v>3515.81</v>
      </c>
      <c r="J2398" s="3">
        <v>4592.25</v>
      </c>
      <c r="K2398" s="3">
        <v>3056.05</v>
      </c>
      <c r="L2398" s="2">
        <v>2038374</v>
      </c>
      <c r="M2398" s="2">
        <v>7166541410.8999996</v>
      </c>
      <c r="N2398" s="2">
        <v>138343</v>
      </c>
      <c r="O2398" t="s">
        <v>25</v>
      </c>
      <c r="P2398" s="8">
        <f t="shared" si="111"/>
        <v>-13</v>
      </c>
      <c r="Q2398" t="s">
        <v>38</v>
      </c>
      <c r="R2398">
        <f t="shared" si="112"/>
        <v>5</v>
      </c>
      <c r="S2398" t="str">
        <f t="shared" si="113"/>
        <v>May</v>
      </c>
      <c r="T2398" s="9">
        <f>VLOOKUP(O2398, Annual_Summary!A:B, 2, 0)</f>
        <v>-0.22036742088049704</v>
      </c>
    </row>
    <row r="2399" spans="1:20" x14ac:dyDescent="0.3">
      <c r="A2399" s="1">
        <v>45796</v>
      </c>
      <c r="B2399" t="s">
        <v>15</v>
      </c>
      <c r="C2399" s="3">
        <v>3550</v>
      </c>
      <c r="D2399" s="3">
        <v>3550</v>
      </c>
      <c r="E2399" s="3">
        <v>3503.7</v>
      </c>
      <c r="F2399" s="3">
        <v>3561.3</v>
      </c>
      <c r="G2399" s="3">
        <v>3518</v>
      </c>
      <c r="H2399" s="3">
        <v>3518.8</v>
      </c>
      <c r="I2399" s="3">
        <v>3522.37</v>
      </c>
      <c r="J2399" s="3">
        <v>4592.25</v>
      </c>
      <c r="K2399" s="3">
        <v>3056.05</v>
      </c>
      <c r="L2399" s="2">
        <v>2537377</v>
      </c>
      <c r="M2399" s="2">
        <v>8937585448.7999992</v>
      </c>
      <c r="N2399" s="2">
        <v>129050</v>
      </c>
      <c r="O2399" t="s">
        <v>25</v>
      </c>
      <c r="P2399" s="8">
        <f t="shared" si="111"/>
        <v>11.300000000000182</v>
      </c>
      <c r="Q2399" t="s">
        <v>38</v>
      </c>
      <c r="R2399">
        <f t="shared" si="112"/>
        <v>5</v>
      </c>
      <c r="S2399" t="str">
        <f t="shared" si="113"/>
        <v>May</v>
      </c>
      <c r="T2399" s="9">
        <f>VLOOKUP(O2399, Annual_Summary!A:B, 2, 0)</f>
        <v>-0.22036742088049704</v>
      </c>
    </row>
    <row r="2400" spans="1:20" x14ac:dyDescent="0.3">
      <c r="A2400" s="1">
        <v>45793</v>
      </c>
      <c r="B2400" t="s">
        <v>15</v>
      </c>
      <c r="C2400" s="3">
        <v>3593.9</v>
      </c>
      <c r="D2400" s="3">
        <v>3593.9</v>
      </c>
      <c r="E2400" s="3">
        <v>3546.1</v>
      </c>
      <c r="F2400" s="3">
        <v>3579.9</v>
      </c>
      <c r="G2400" s="3">
        <v>3561.3</v>
      </c>
      <c r="H2400" s="3">
        <v>3561.3</v>
      </c>
      <c r="I2400" s="3">
        <v>3559.81</v>
      </c>
      <c r="J2400" s="3">
        <v>4592.25</v>
      </c>
      <c r="K2400" s="3">
        <v>3056.05</v>
      </c>
      <c r="L2400" s="2">
        <v>1666727</v>
      </c>
      <c r="M2400" s="2">
        <v>5933224873.8000002</v>
      </c>
      <c r="N2400" s="2">
        <v>117749</v>
      </c>
      <c r="O2400" t="s">
        <v>25</v>
      </c>
      <c r="P2400" s="8">
        <f t="shared" si="111"/>
        <v>-14</v>
      </c>
      <c r="Q2400" t="s">
        <v>38</v>
      </c>
      <c r="R2400">
        <f t="shared" si="112"/>
        <v>5</v>
      </c>
      <c r="S2400" t="str">
        <f t="shared" si="113"/>
        <v>May</v>
      </c>
      <c r="T2400" s="9">
        <f>VLOOKUP(O2400, Annual_Summary!A:B, 2, 0)</f>
        <v>-0.22036742088049704</v>
      </c>
    </row>
    <row r="2401" spans="1:20" x14ac:dyDescent="0.3">
      <c r="A2401" s="1">
        <v>45792</v>
      </c>
      <c r="B2401" t="s">
        <v>15</v>
      </c>
      <c r="C2401" s="3">
        <v>3564</v>
      </c>
      <c r="D2401" s="3">
        <v>3600</v>
      </c>
      <c r="E2401" s="3">
        <v>3514.1</v>
      </c>
      <c r="F2401" s="3">
        <v>3548.7</v>
      </c>
      <c r="G2401" s="3">
        <v>3576.5</v>
      </c>
      <c r="H2401" s="3">
        <v>3579.9</v>
      </c>
      <c r="I2401" s="3">
        <v>3565.55</v>
      </c>
      <c r="J2401" s="3">
        <v>4592.25</v>
      </c>
      <c r="K2401" s="3">
        <v>3056.05</v>
      </c>
      <c r="L2401" s="2">
        <v>3548330</v>
      </c>
      <c r="M2401" s="2">
        <v>12651735793</v>
      </c>
      <c r="N2401" s="2">
        <v>172937</v>
      </c>
      <c r="O2401" t="s">
        <v>25</v>
      </c>
      <c r="P2401" s="8">
        <f t="shared" si="111"/>
        <v>-15.300000000000182</v>
      </c>
      <c r="Q2401" t="s">
        <v>38</v>
      </c>
      <c r="R2401">
        <f t="shared" si="112"/>
        <v>5</v>
      </c>
      <c r="S2401" t="str">
        <f t="shared" si="113"/>
        <v>May</v>
      </c>
      <c r="T2401" s="9">
        <f>VLOOKUP(O2401, Annual_Summary!A:B, 2, 0)</f>
        <v>-0.22036742088049704</v>
      </c>
    </row>
    <row r="2402" spans="1:20" x14ac:dyDescent="0.3">
      <c r="A2402" s="1">
        <v>45791</v>
      </c>
      <c r="B2402" t="s">
        <v>15</v>
      </c>
      <c r="C2402" s="3">
        <v>3521</v>
      </c>
      <c r="D2402" s="3">
        <v>3561</v>
      </c>
      <c r="E2402" s="3">
        <v>3508.6</v>
      </c>
      <c r="F2402" s="3">
        <v>3515</v>
      </c>
      <c r="G2402" s="3">
        <v>3547</v>
      </c>
      <c r="H2402" s="3">
        <v>3548.7</v>
      </c>
      <c r="I2402" s="3">
        <v>3543.04</v>
      </c>
      <c r="J2402" s="3">
        <v>4592.25</v>
      </c>
      <c r="K2402" s="3">
        <v>3056.05</v>
      </c>
      <c r="L2402" s="2">
        <v>2119499</v>
      </c>
      <c r="M2402" s="2">
        <v>7509459955.3000002</v>
      </c>
      <c r="N2402" s="2">
        <v>136543</v>
      </c>
      <c r="O2402" t="s">
        <v>25</v>
      </c>
      <c r="P2402" s="8">
        <f t="shared" si="111"/>
        <v>-6</v>
      </c>
      <c r="Q2402" t="s">
        <v>38</v>
      </c>
      <c r="R2402">
        <f t="shared" si="112"/>
        <v>5</v>
      </c>
      <c r="S2402" t="str">
        <f t="shared" si="113"/>
        <v>May</v>
      </c>
      <c r="T2402" s="9">
        <f>VLOOKUP(O2402, Annual_Summary!A:B, 2, 0)</f>
        <v>-0.22036742088049704</v>
      </c>
    </row>
    <row r="2403" spans="1:20" x14ac:dyDescent="0.3">
      <c r="A2403" s="1">
        <v>45790</v>
      </c>
      <c r="B2403" t="s">
        <v>15</v>
      </c>
      <c r="C2403" s="3">
        <v>3620.4</v>
      </c>
      <c r="D2403" s="3">
        <v>3623</v>
      </c>
      <c r="E2403" s="3">
        <v>3510.5</v>
      </c>
      <c r="F2403" s="3">
        <v>3620.4</v>
      </c>
      <c r="G2403" s="3">
        <v>3518</v>
      </c>
      <c r="H2403" s="3">
        <v>3515</v>
      </c>
      <c r="I2403" s="3">
        <v>3541.51</v>
      </c>
      <c r="J2403" s="3">
        <v>4592.25</v>
      </c>
      <c r="K2403" s="3">
        <v>3056.05</v>
      </c>
      <c r="L2403" s="2">
        <v>3062887</v>
      </c>
      <c r="M2403" s="2">
        <v>10847250162.200001</v>
      </c>
      <c r="N2403" s="2">
        <v>221289</v>
      </c>
      <c r="O2403" t="s">
        <v>25</v>
      </c>
      <c r="P2403" s="8">
        <f t="shared" si="111"/>
        <v>0</v>
      </c>
      <c r="Q2403" t="s">
        <v>38</v>
      </c>
      <c r="R2403">
        <f t="shared" si="112"/>
        <v>5</v>
      </c>
      <c r="S2403" t="str">
        <f t="shared" si="113"/>
        <v>May</v>
      </c>
      <c r="T2403" s="9">
        <f>VLOOKUP(O2403, Annual_Summary!A:B, 2, 0)</f>
        <v>-0.22036742088049704</v>
      </c>
    </row>
    <row r="2404" spans="1:20" x14ac:dyDescent="0.3">
      <c r="A2404" s="1">
        <v>45789</v>
      </c>
      <c r="B2404" t="s">
        <v>15</v>
      </c>
      <c r="C2404" s="3">
        <v>3505</v>
      </c>
      <c r="D2404" s="3">
        <v>3630.5</v>
      </c>
      <c r="E2404" s="3">
        <v>3502.2</v>
      </c>
      <c r="F2404" s="3">
        <v>3440.3</v>
      </c>
      <c r="G2404" s="3">
        <v>3626.5</v>
      </c>
      <c r="H2404" s="3">
        <v>3620.4</v>
      </c>
      <c r="I2404" s="3">
        <v>3577.93</v>
      </c>
      <c r="J2404" s="3">
        <v>4592.25</v>
      </c>
      <c r="K2404" s="3">
        <v>3056.05</v>
      </c>
      <c r="L2404" s="2">
        <v>2228678</v>
      </c>
      <c r="M2404" s="2">
        <v>7974051782.1000004</v>
      </c>
      <c r="N2404" s="2">
        <v>146104</v>
      </c>
      <c r="O2404" t="s">
        <v>25</v>
      </c>
      <c r="P2404" s="8">
        <f t="shared" si="111"/>
        <v>-64.699999999999818</v>
      </c>
      <c r="Q2404" t="s">
        <v>38</v>
      </c>
      <c r="R2404">
        <f t="shared" si="112"/>
        <v>5</v>
      </c>
      <c r="S2404" t="str">
        <f t="shared" si="113"/>
        <v>May</v>
      </c>
      <c r="T2404" s="9">
        <f>VLOOKUP(O2404, Annual_Summary!A:B, 2, 0)</f>
        <v>-0.22036742088049704</v>
      </c>
    </row>
    <row r="2405" spans="1:20" x14ac:dyDescent="0.3">
      <c r="A2405" s="1">
        <v>45786</v>
      </c>
      <c r="B2405" t="s">
        <v>15</v>
      </c>
      <c r="C2405" s="3">
        <v>3399</v>
      </c>
      <c r="D2405" s="3">
        <v>3446.2</v>
      </c>
      <c r="E2405" s="3">
        <v>3398.1</v>
      </c>
      <c r="F2405" s="3">
        <v>3448.9</v>
      </c>
      <c r="G2405" s="3">
        <v>3439.9</v>
      </c>
      <c r="H2405" s="3">
        <v>3440.3</v>
      </c>
      <c r="I2405" s="3">
        <v>3428.44</v>
      </c>
      <c r="J2405" s="3">
        <v>4592.25</v>
      </c>
      <c r="K2405" s="3">
        <v>3056.05</v>
      </c>
      <c r="L2405" s="2">
        <v>2531757</v>
      </c>
      <c r="M2405" s="2">
        <v>8679986664.6000004</v>
      </c>
      <c r="N2405" s="2">
        <v>151453</v>
      </c>
      <c r="O2405" t="s">
        <v>25</v>
      </c>
      <c r="P2405" s="8">
        <f t="shared" si="111"/>
        <v>49.900000000000091</v>
      </c>
      <c r="Q2405" t="s">
        <v>38</v>
      </c>
      <c r="R2405">
        <f t="shared" si="112"/>
        <v>5</v>
      </c>
      <c r="S2405" t="str">
        <f t="shared" si="113"/>
        <v>May</v>
      </c>
      <c r="T2405" s="9">
        <f>VLOOKUP(O2405, Annual_Summary!A:B, 2, 0)</f>
        <v>-0.22036742088049704</v>
      </c>
    </row>
    <row r="2406" spans="1:20" x14ac:dyDescent="0.3">
      <c r="A2406" s="1">
        <v>45785</v>
      </c>
      <c r="B2406" t="s">
        <v>15</v>
      </c>
      <c r="C2406" s="3">
        <v>3448</v>
      </c>
      <c r="D2406" s="3">
        <v>3477</v>
      </c>
      <c r="E2406" s="3">
        <v>3428.7</v>
      </c>
      <c r="F2406" s="3">
        <v>3445.1</v>
      </c>
      <c r="G2406" s="3">
        <v>3434.2</v>
      </c>
      <c r="H2406" s="3">
        <v>3448.9</v>
      </c>
      <c r="I2406" s="3">
        <v>3451.58</v>
      </c>
      <c r="J2406" s="3">
        <v>4592.25</v>
      </c>
      <c r="K2406" s="3">
        <v>3056.05</v>
      </c>
      <c r="L2406" s="2">
        <v>2543591</v>
      </c>
      <c r="M2406" s="2">
        <v>8779405820.3999996</v>
      </c>
      <c r="N2406" s="2">
        <v>116139</v>
      </c>
      <c r="O2406" t="s">
        <v>25</v>
      </c>
      <c r="P2406" s="8">
        <f t="shared" si="111"/>
        <v>-2.9000000000000909</v>
      </c>
      <c r="Q2406" t="s">
        <v>38</v>
      </c>
      <c r="R2406">
        <f t="shared" si="112"/>
        <v>5</v>
      </c>
      <c r="S2406" t="str">
        <f t="shared" si="113"/>
        <v>May</v>
      </c>
      <c r="T2406" s="9">
        <f>VLOOKUP(O2406, Annual_Summary!A:B, 2, 0)</f>
        <v>-0.22036742088049704</v>
      </c>
    </row>
    <row r="2407" spans="1:20" x14ac:dyDescent="0.3">
      <c r="A2407" s="1">
        <v>45784</v>
      </c>
      <c r="B2407" t="s">
        <v>15</v>
      </c>
      <c r="C2407" s="3">
        <v>3420.6</v>
      </c>
      <c r="D2407" s="3">
        <v>3459.5</v>
      </c>
      <c r="E2407" s="3">
        <v>3420.6</v>
      </c>
      <c r="F2407" s="3">
        <v>3460</v>
      </c>
      <c r="G2407" s="3">
        <v>3448</v>
      </c>
      <c r="H2407" s="3">
        <v>3445.1</v>
      </c>
      <c r="I2407" s="3">
        <v>3442.07</v>
      </c>
      <c r="J2407" s="3">
        <v>4592.25</v>
      </c>
      <c r="K2407" s="3">
        <v>3056.05</v>
      </c>
      <c r="L2407" s="2">
        <v>1477128</v>
      </c>
      <c r="M2407" s="2">
        <v>5084383270.5</v>
      </c>
      <c r="N2407" s="2">
        <v>89334</v>
      </c>
      <c r="O2407" t="s">
        <v>25</v>
      </c>
      <c r="P2407" s="8">
        <f t="shared" si="111"/>
        <v>39.400000000000091</v>
      </c>
      <c r="Q2407" t="s">
        <v>38</v>
      </c>
      <c r="R2407">
        <f t="shared" si="112"/>
        <v>5</v>
      </c>
      <c r="S2407" t="str">
        <f t="shared" si="113"/>
        <v>May</v>
      </c>
      <c r="T2407" s="9">
        <f>VLOOKUP(O2407, Annual_Summary!A:B, 2, 0)</f>
        <v>-0.22036742088049704</v>
      </c>
    </row>
    <row r="2408" spans="1:20" x14ac:dyDescent="0.3">
      <c r="A2408" s="1">
        <v>45783</v>
      </c>
      <c r="B2408" t="s">
        <v>15</v>
      </c>
      <c r="C2408" s="3">
        <v>3460</v>
      </c>
      <c r="D2408" s="3">
        <v>3473</v>
      </c>
      <c r="E2408" s="3">
        <v>3437</v>
      </c>
      <c r="F2408" s="3">
        <v>3454.3</v>
      </c>
      <c r="G2408" s="3">
        <v>3451.6</v>
      </c>
      <c r="H2408" s="3">
        <v>3460</v>
      </c>
      <c r="I2408" s="3">
        <v>3458.05</v>
      </c>
      <c r="J2408" s="3">
        <v>4592.25</v>
      </c>
      <c r="K2408" s="3">
        <v>3056.05</v>
      </c>
      <c r="L2408" s="2">
        <v>1324763</v>
      </c>
      <c r="M2408" s="2">
        <v>4581101196.3000002</v>
      </c>
      <c r="N2408" s="2">
        <v>65526</v>
      </c>
      <c r="O2408" t="s">
        <v>25</v>
      </c>
      <c r="P2408" s="8">
        <f t="shared" si="111"/>
        <v>-5.6999999999998181</v>
      </c>
      <c r="Q2408" t="s">
        <v>38</v>
      </c>
      <c r="R2408">
        <f t="shared" si="112"/>
        <v>5</v>
      </c>
      <c r="S2408" t="str">
        <f t="shared" si="113"/>
        <v>May</v>
      </c>
      <c r="T2408" s="9">
        <f>VLOOKUP(O2408, Annual_Summary!A:B, 2, 0)</f>
        <v>-0.22036742088049704</v>
      </c>
    </row>
    <row r="2409" spans="1:20" x14ac:dyDescent="0.3">
      <c r="A2409" s="1">
        <v>45782</v>
      </c>
      <c r="B2409" t="s">
        <v>15</v>
      </c>
      <c r="C2409" s="3">
        <v>3450</v>
      </c>
      <c r="D2409" s="3">
        <v>3504.5</v>
      </c>
      <c r="E2409" s="3">
        <v>3446.4</v>
      </c>
      <c r="F2409" s="3">
        <v>3444.7</v>
      </c>
      <c r="G2409" s="3">
        <v>3454.6</v>
      </c>
      <c r="H2409" s="3">
        <v>3454.3</v>
      </c>
      <c r="I2409" s="3">
        <v>3466.59</v>
      </c>
      <c r="J2409" s="3">
        <v>4592.25</v>
      </c>
      <c r="K2409" s="3">
        <v>3056.05</v>
      </c>
      <c r="L2409" s="2">
        <v>1284443</v>
      </c>
      <c r="M2409" s="2">
        <v>4452637028.6999998</v>
      </c>
      <c r="N2409" s="2">
        <v>96657</v>
      </c>
      <c r="O2409" t="s">
        <v>25</v>
      </c>
      <c r="P2409" s="8">
        <f t="shared" si="111"/>
        <v>-5.3000000000001819</v>
      </c>
      <c r="Q2409" t="s">
        <v>38</v>
      </c>
      <c r="R2409">
        <f t="shared" si="112"/>
        <v>5</v>
      </c>
      <c r="S2409" t="str">
        <f t="shared" si="113"/>
        <v>May</v>
      </c>
      <c r="T2409" s="9">
        <f>VLOOKUP(O2409, Annual_Summary!A:B, 2, 0)</f>
        <v>-0.22036742088049704</v>
      </c>
    </row>
    <row r="2410" spans="1:20" x14ac:dyDescent="0.3">
      <c r="A2410" s="1">
        <v>45779</v>
      </c>
      <c r="B2410" t="s">
        <v>15</v>
      </c>
      <c r="C2410" s="3">
        <v>3472</v>
      </c>
      <c r="D2410" s="3">
        <v>3491.5</v>
      </c>
      <c r="E2410" s="3">
        <v>3420</v>
      </c>
      <c r="F2410" s="3">
        <v>3453.7</v>
      </c>
      <c r="G2410" s="3">
        <v>3438</v>
      </c>
      <c r="H2410" s="3">
        <v>3444.7</v>
      </c>
      <c r="I2410" s="3">
        <v>3450.76</v>
      </c>
      <c r="J2410" s="3">
        <v>4592.25</v>
      </c>
      <c r="K2410" s="3">
        <v>3056.05</v>
      </c>
      <c r="L2410" s="2">
        <v>2115624</v>
      </c>
      <c r="M2410" s="2">
        <v>7300505304.3000002</v>
      </c>
      <c r="N2410" s="2">
        <v>124212</v>
      </c>
      <c r="O2410" t="s">
        <v>25</v>
      </c>
      <c r="P2410" s="8">
        <f t="shared" si="111"/>
        <v>-18.300000000000182</v>
      </c>
      <c r="Q2410" t="s">
        <v>38</v>
      </c>
      <c r="R2410">
        <f t="shared" si="112"/>
        <v>5</v>
      </c>
      <c r="S2410" t="str">
        <f t="shared" si="113"/>
        <v>May</v>
      </c>
      <c r="T2410" s="9">
        <f>VLOOKUP(O2410, Annual_Summary!A:B, 2, 0)</f>
        <v>-0.22036742088049704</v>
      </c>
    </row>
    <row r="2411" spans="1:20" x14ac:dyDescent="0.3">
      <c r="A2411" s="1">
        <v>45777</v>
      </c>
      <c r="B2411" t="s">
        <v>15</v>
      </c>
      <c r="C2411" s="3">
        <v>3472</v>
      </c>
      <c r="D2411" s="3">
        <v>3509.9</v>
      </c>
      <c r="E2411" s="3">
        <v>3366</v>
      </c>
      <c r="F2411" s="3">
        <v>3472.5</v>
      </c>
      <c r="G2411" s="3">
        <v>3431.8</v>
      </c>
      <c r="H2411" s="3">
        <v>3453.7</v>
      </c>
      <c r="I2411" s="3">
        <v>3464.02</v>
      </c>
      <c r="J2411" s="3">
        <v>4592.25</v>
      </c>
      <c r="K2411" s="3">
        <v>3056.05</v>
      </c>
      <c r="L2411" s="2">
        <v>2809332</v>
      </c>
      <c r="M2411" s="2">
        <v>9731586389.2999992</v>
      </c>
      <c r="N2411" s="2">
        <v>129048</v>
      </c>
      <c r="O2411" t="s">
        <v>25</v>
      </c>
      <c r="P2411" s="8">
        <f t="shared" si="111"/>
        <v>0.5</v>
      </c>
      <c r="Q2411" t="s">
        <v>38</v>
      </c>
      <c r="R2411">
        <f t="shared" si="112"/>
        <v>4</v>
      </c>
      <c r="S2411" t="str">
        <f t="shared" si="113"/>
        <v>Apr</v>
      </c>
      <c r="T2411" s="9">
        <f>VLOOKUP(O2411, Annual_Summary!A:B, 2, 0)</f>
        <v>-0.22036742088049704</v>
      </c>
    </row>
    <row r="2412" spans="1:20" x14ac:dyDescent="0.3">
      <c r="A2412" s="1">
        <v>45776</v>
      </c>
      <c r="B2412" t="s">
        <v>15</v>
      </c>
      <c r="C2412" s="3">
        <v>3455</v>
      </c>
      <c r="D2412" s="3">
        <v>3495</v>
      </c>
      <c r="E2412" s="3">
        <v>3430.4</v>
      </c>
      <c r="F2412" s="3">
        <v>3443.5</v>
      </c>
      <c r="G2412" s="3">
        <v>3473</v>
      </c>
      <c r="H2412" s="3">
        <v>3472.5</v>
      </c>
      <c r="I2412" s="3">
        <v>3470.18</v>
      </c>
      <c r="J2412" s="3">
        <v>4592.25</v>
      </c>
      <c r="K2412" s="3">
        <v>3056.05</v>
      </c>
      <c r="L2412" s="2">
        <v>1578332</v>
      </c>
      <c r="M2412" s="2">
        <v>5477091995.8000002</v>
      </c>
      <c r="N2412" s="2">
        <v>95060</v>
      </c>
      <c r="O2412" t="s">
        <v>25</v>
      </c>
      <c r="P2412" s="8">
        <f t="shared" si="111"/>
        <v>-11.5</v>
      </c>
      <c r="Q2412" t="s">
        <v>38</v>
      </c>
      <c r="R2412">
        <f t="shared" si="112"/>
        <v>4</v>
      </c>
      <c r="S2412" t="str">
        <f t="shared" si="113"/>
        <v>Apr</v>
      </c>
      <c r="T2412" s="9">
        <f>VLOOKUP(O2412, Annual_Summary!A:B, 2, 0)</f>
        <v>-0.22036742088049704</v>
      </c>
    </row>
    <row r="2413" spans="1:20" x14ac:dyDescent="0.3">
      <c r="A2413" s="1">
        <v>45775</v>
      </c>
      <c r="B2413" t="s">
        <v>15</v>
      </c>
      <c r="C2413" s="3">
        <v>3435</v>
      </c>
      <c r="D2413" s="3">
        <v>3457.8</v>
      </c>
      <c r="E2413" s="3">
        <v>3405</v>
      </c>
      <c r="F2413" s="3">
        <v>3448</v>
      </c>
      <c r="G2413" s="3">
        <v>3441</v>
      </c>
      <c r="H2413" s="3">
        <v>3443.5</v>
      </c>
      <c r="I2413" s="3">
        <v>3438.58</v>
      </c>
      <c r="J2413" s="3">
        <v>4592.25</v>
      </c>
      <c r="K2413" s="3">
        <v>3056.05</v>
      </c>
      <c r="L2413" s="2">
        <v>1593296</v>
      </c>
      <c r="M2413" s="2">
        <v>5478682188.5</v>
      </c>
      <c r="N2413" s="2">
        <v>94204</v>
      </c>
      <c r="O2413" t="s">
        <v>25</v>
      </c>
      <c r="P2413" s="8">
        <f t="shared" si="111"/>
        <v>13</v>
      </c>
      <c r="Q2413" t="s">
        <v>38</v>
      </c>
      <c r="R2413">
        <f t="shared" si="112"/>
        <v>4</v>
      </c>
      <c r="S2413" t="str">
        <f t="shared" si="113"/>
        <v>Apr</v>
      </c>
      <c r="T2413" s="9">
        <f>VLOOKUP(O2413, Annual_Summary!A:B, 2, 0)</f>
        <v>-0.22036742088049704</v>
      </c>
    </row>
    <row r="2414" spans="1:20" x14ac:dyDescent="0.3">
      <c r="A2414" s="1">
        <v>45772</v>
      </c>
      <c r="B2414" t="s">
        <v>15</v>
      </c>
      <c r="C2414" s="3">
        <v>3420</v>
      </c>
      <c r="D2414" s="3">
        <v>3477.8</v>
      </c>
      <c r="E2414" s="3">
        <v>3405</v>
      </c>
      <c r="F2414" s="3">
        <v>3401.6</v>
      </c>
      <c r="G2414" s="3">
        <v>3434</v>
      </c>
      <c r="H2414" s="3">
        <v>3448</v>
      </c>
      <c r="I2414" s="3">
        <v>3442.01</v>
      </c>
      <c r="J2414" s="3">
        <v>4592.25</v>
      </c>
      <c r="K2414" s="3">
        <v>3056.05</v>
      </c>
      <c r="L2414" s="2">
        <v>2742991</v>
      </c>
      <c r="M2414" s="2">
        <v>9441414787.6000004</v>
      </c>
      <c r="N2414" s="2">
        <v>151400</v>
      </c>
      <c r="O2414" t="s">
        <v>25</v>
      </c>
      <c r="P2414" s="8">
        <f t="shared" si="111"/>
        <v>-18.400000000000091</v>
      </c>
      <c r="Q2414" t="s">
        <v>38</v>
      </c>
      <c r="R2414">
        <f t="shared" si="112"/>
        <v>4</v>
      </c>
      <c r="S2414" t="str">
        <f t="shared" si="113"/>
        <v>Apr</v>
      </c>
      <c r="T2414" s="9">
        <f>VLOOKUP(O2414, Annual_Summary!A:B, 2, 0)</f>
        <v>-0.22036742088049704</v>
      </c>
    </row>
    <row r="2415" spans="1:20" x14ac:dyDescent="0.3">
      <c r="A2415" s="1">
        <v>45771</v>
      </c>
      <c r="B2415" t="s">
        <v>15</v>
      </c>
      <c r="C2415" s="3">
        <v>3401.1</v>
      </c>
      <c r="D2415" s="3">
        <v>3412.5</v>
      </c>
      <c r="E2415" s="3">
        <v>3387.7</v>
      </c>
      <c r="F2415" s="3">
        <v>3413</v>
      </c>
      <c r="G2415" s="3">
        <v>3406</v>
      </c>
      <c r="H2415" s="3">
        <v>3401.6</v>
      </c>
      <c r="I2415" s="3">
        <v>3398.95</v>
      </c>
      <c r="J2415" s="3">
        <v>4592.25</v>
      </c>
      <c r="K2415" s="3">
        <v>3056.05</v>
      </c>
      <c r="L2415" s="2">
        <v>2252175</v>
      </c>
      <c r="M2415" s="2">
        <v>7655036870.6999998</v>
      </c>
      <c r="N2415" s="2">
        <v>158061</v>
      </c>
      <c r="O2415" t="s">
        <v>25</v>
      </c>
      <c r="P2415" s="8">
        <f t="shared" si="111"/>
        <v>11.900000000000091</v>
      </c>
      <c r="Q2415" t="s">
        <v>38</v>
      </c>
      <c r="R2415">
        <f t="shared" si="112"/>
        <v>4</v>
      </c>
      <c r="S2415" t="str">
        <f t="shared" si="113"/>
        <v>Apr</v>
      </c>
      <c r="T2415" s="9">
        <f>VLOOKUP(O2415, Annual_Summary!A:B, 2, 0)</f>
        <v>-0.22036742088049704</v>
      </c>
    </row>
    <row r="2416" spans="1:20" x14ac:dyDescent="0.3">
      <c r="A2416" s="1">
        <v>45770</v>
      </c>
      <c r="B2416" t="s">
        <v>15</v>
      </c>
      <c r="C2416" s="3">
        <v>3365</v>
      </c>
      <c r="D2416" s="3">
        <v>3420.9</v>
      </c>
      <c r="E2416" s="3">
        <v>3337.3</v>
      </c>
      <c r="F2416" s="3">
        <v>3314.4</v>
      </c>
      <c r="G2416" s="3">
        <v>3405</v>
      </c>
      <c r="H2416" s="3">
        <v>3413</v>
      </c>
      <c r="I2416" s="3">
        <v>3398.75</v>
      </c>
      <c r="J2416" s="3">
        <v>4592.25</v>
      </c>
      <c r="K2416" s="3">
        <v>3056.05</v>
      </c>
      <c r="L2416" s="2">
        <v>3543923</v>
      </c>
      <c r="M2416" s="2">
        <v>12044899557.299999</v>
      </c>
      <c r="N2416" s="2">
        <v>164989</v>
      </c>
      <c r="O2416" t="s">
        <v>25</v>
      </c>
      <c r="P2416" s="8">
        <f t="shared" si="111"/>
        <v>-50.599999999999909</v>
      </c>
      <c r="Q2416" t="s">
        <v>38</v>
      </c>
      <c r="R2416">
        <f t="shared" si="112"/>
        <v>4</v>
      </c>
      <c r="S2416" t="str">
        <f t="shared" si="113"/>
        <v>Apr</v>
      </c>
      <c r="T2416" s="9">
        <f>VLOOKUP(O2416, Annual_Summary!A:B, 2, 0)</f>
        <v>-0.22036742088049704</v>
      </c>
    </row>
    <row r="2417" spans="1:20" x14ac:dyDescent="0.3">
      <c r="A2417" s="1">
        <v>45769</v>
      </c>
      <c r="B2417" t="s">
        <v>15</v>
      </c>
      <c r="C2417" s="3">
        <v>3322.6</v>
      </c>
      <c r="D2417" s="3">
        <v>3333.9</v>
      </c>
      <c r="E2417" s="3">
        <v>3295</v>
      </c>
      <c r="F2417" s="3">
        <v>3321.6</v>
      </c>
      <c r="G2417" s="3">
        <v>3312.5</v>
      </c>
      <c r="H2417" s="3">
        <v>3314.4</v>
      </c>
      <c r="I2417" s="3">
        <v>3315.22</v>
      </c>
      <c r="J2417" s="3">
        <v>4592.25</v>
      </c>
      <c r="K2417" s="3">
        <v>3056.05</v>
      </c>
      <c r="L2417" s="2">
        <v>2710498</v>
      </c>
      <c r="M2417" s="2">
        <v>8985899446.7000008</v>
      </c>
      <c r="N2417" s="2">
        <v>151282</v>
      </c>
      <c r="O2417" t="s">
        <v>25</v>
      </c>
      <c r="P2417" s="8">
        <f t="shared" si="111"/>
        <v>-1</v>
      </c>
      <c r="Q2417" t="s">
        <v>38</v>
      </c>
      <c r="R2417">
        <f t="shared" si="112"/>
        <v>4</v>
      </c>
      <c r="S2417" t="str">
        <f t="shared" si="113"/>
        <v>Apr</v>
      </c>
      <c r="T2417" s="9">
        <f>VLOOKUP(O2417, Annual_Summary!A:B, 2, 0)</f>
        <v>-0.22036742088049704</v>
      </c>
    </row>
    <row r="2418" spans="1:20" x14ac:dyDescent="0.3">
      <c r="A2418" s="1">
        <v>45768</v>
      </c>
      <c r="B2418" t="s">
        <v>15</v>
      </c>
      <c r="C2418" s="3">
        <v>3290.1</v>
      </c>
      <c r="D2418" s="3">
        <v>3354</v>
      </c>
      <c r="E2418" s="3">
        <v>3284.1</v>
      </c>
      <c r="F2418" s="3">
        <v>3298.9</v>
      </c>
      <c r="G2418" s="3">
        <v>3319</v>
      </c>
      <c r="H2418" s="3">
        <v>3321.6</v>
      </c>
      <c r="I2418" s="3">
        <v>3325.96</v>
      </c>
      <c r="J2418" s="3">
        <v>4592.25</v>
      </c>
      <c r="K2418" s="3">
        <v>3056.05</v>
      </c>
      <c r="L2418" s="2">
        <v>2432946</v>
      </c>
      <c r="M2418" s="2">
        <v>8091878392.8000002</v>
      </c>
      <c r="N2418" s="2">
        <v>127748</v>
      </c>
      <c r="O2418" t="s">
        <v>25</v>
      </c>
      <c r="P2418" s="8">
        <f t="shared" si="111"/>
        <v>8.8000000000001819</v>
      </c>
      <c r="Q2418" t="s">
        <v>38</v>
      </c>
      <c r="R2418">
        <f t="shared" si="112"/>
        <v>4</v>
      </c>
      <c r="S2418" t="str">
        <f t="shared" si="113"/>
        <v>Apr</v>
      </c>
      <c r="T2418" s="9">
        <f>VLOOKUP(O2418, Annual_Summary!A:B, 2, 0)</f>
        <v>-0.22036742088049704</v>
      </c>
    </row>
    <row r="2419" spans="1:20" x14ac:dyDescent="0.3">
      <c r="A2419" s="1">
        <v>45764</v>
      </c>
      <c r="B2419" t="s">
        <v>15</v>
      </c>
      <c r="C2419" s="3">
        <v>3245.5</v>
      </c>
      <c r="D2419" s="3">
        <v>3303.6</v>
      </c>
      <c r="E2419" s="3">
        <v>3218</v>
      </c>
      <c r="F2419" s="3">
        <v>3273.8</v>
      </c>
      <c r="G2419" s="3">
        <v>3297.4</v>
      </c>
      <c r="H2419" s="3">
        <v>3298.9</v>
      </c>
      <c r="I2419" s="3">
        <v>3262.86</v>
      </c>
      <c r="J2419" s="3">
        <v>4592.25</v>
      </c>
      <c r="K2419" s="3">
        <v>3056.05</v>
      </c>
      <c r="L2419" s="2">
        <v>2932346</v>
      </c>
      <c r="M2419" s="2">
        <v>9567836127.7000008</v>
      </c>
      <c r="N2419" s="2">
        <v>183984</v>
      </c>
      <c r="O2419" t="s">
        <v>25</v>
      </c>
      <c r="P2419" s="8">
        <f t="shared" si="111"/>
        <v>28.300000000000182</v>
      </c>
      <c r="Q2419" t="s">
        <v>38</v>
      </c>
      <c r="R2419">
        <f t="shared" si="112"/>
        <v>4</v>
      </c>
      <c r="S2419" t="str">
        <f t="shared" si="113"/>
        <v>Apr</v>
      </c>
      <c r="T2419" s="9">
        <f>VLOOKUP(O2419, Annual_Summary!A:B, 2, 0)</f>
        <v>-0.22036742088049704</v>
      </c>
    </row>
    <row r="2420" spans="1:20" x14ac:dyDescent="0.3">
      <c r="A2420" s="1">
        <v>45763</v>
      </c>
      <c r="B2420" t="s">
        <v>15</v>
      </c>
      <c r="C2420" s="3">
        <v>3248.2</v>
      </c>
      <c r="D2420" s="3">
        <v>3278.1</v>
      </c>
      <c r="E2420" s="3">
        <v>3229</v>
      </c>
      <c r="F2420" s="3">
        <v>3248.2</v>
      </c>
      <c r="G2420" s="3">
        <v>3274</v>
      </c>
      <c r="H2420" s="3">
        <v>3273.8</v>
      </c>
      <c r="I2420" s="3">
        <v>3260.92</v>
      </c>
      <c r="J2420" s="3">
        <v>4592.25</v>
      </c>
      <c r="K2420" s="3">
        <v>3056.05</v>
      </c>
      <c r="L2420" s="2">
        <v>2384391</v>
      </c>
      <c r="M2420" s="2">
        <v>7775304840.8999996</v>
      </c>
      <c r="N2420" s="2">
        <v>131199</v>
      </c>
      <c r="O2420" t="s">
        <v>25</v>
      </c>
      <c r="P2420" s="8">
        <f t="shared" si="111"/>
        <v>0</v>
      </c>
      <c r="Q2420" t="s">
        <v>38</v>
      </c>
      <c r="R2420">
        <f t="shared" si="112"/>
        <v>4</v>
      </c>
      <c r="S2420" t="str">
        <f t="shared" si="113"/>
        <v>Apr</v>
      </c>
      <c r="T2420" s="9">
        <f>VLOOKUP(O2420, Annual_Summary!A:B, 2, 0)</f>
        <v>-0.22036742088049704</v>
      </c>
    </row>
    <row r="2421" spans="1:20" x14ac:dyDescent="0.3">
      <c r="A2421" s="1">
        <v>45762</v>
      </c>
      <c r="B2421" t="s">
        <v>15</v>
      </c>
      <c r="C2421" s="3">
        <v>3314.4</v>
      </c>
      <c r="D2421" s="3">
        <v>3314.4</v>
      </c>
      <c r="E2421" s="3">
        <v>3238.6</v>
      </c>
      <c r="F2421" s="3">
        <v>3231.5</v>
      </c>
      <c r="G2421" s="3">
        <v>3255</v>
      </c>
      <c r="H2421" s="3">
        <v>3248.2</v>
      </c>
      <c r="I2421" s="3">
        <v>3257.87</v>
      </c>
      <c r="J2421" s="3">
        <v>4592.25</v>
      </c>
      <c r="K2421" s="3">
        <v>3056.05</v>
      </c>
      <c r="L2421" s="2">
        <v>3512160</v>
      </c>
      <c r="M2421" s="2">
        <v>11442174035.700001</v>
      </c>
      <c r="N2421" s="2">
        <v>166106</v>
      </c>
      <c r="O2421" t="s">
        <v>25</v>
      </c>
      <c r="P2421" s="8">
        <f t="shared" si="111"/>
        <v>-82.900000000000091</v>
      </c>
      <c r="Q2421" t="s">
        <v>38</v>
      </c>
      <c r="R2421">
        <f t="shared" si="112"/>
        <v>4</v>
      </c>
      <c r="S2421" t="str">
        <f t="shared" si="113"/>
        <v>Apr</v>
      </c>
      <c r="T2421" s="9">
        <f>VLOOKUP(O2421, Annual_Summary!A:B, 2, 0)</f>
        <v>-0.22036742088049704</v>
      </c>
    </row>
    <row r="2422" spans="1:20" x14ac:dyDescent="0.3">
      <c r="A2422" s="1">
        <v>45758</v>
      </c>
      <c r="B2422" t="s">
        <v>15</v>
      </c>
      <c r="C2422" s="3">
        <v>3289.55</v>
      </c>
      <c r="D2422" s="3">
        <v>3298.95</v>
      </c>
      <c r="E2422" s="3">
        <v>3206</v>
      </c>
      <c r="F2422" s="3">
        <v>3246.6</v>
      </c>
      <c r="G2422" s="3">
        <v>3238</v>
      </c>
      <c r="H2422" s="3">
        <v>3231.5</v>
      </c>
      <c r="I2422" s="3">
        <v>3243.04</v>
      </c>
      <c r="J2422" s="3">
        <v>4592.25</v>
      </c>
      <c r="K2422" s="3">
        <v>3056.05</v>
      </c>
      <c r="L2422" s="2">
        <v>7108961</v>
      </c>
      <c r="M2422" s="2">
        <v>23054618625.450001</v>
      </c>
      <c r="N2422" s="2">
        <v>354463</v>
      </c>
      <c r="O2422" t="s">
        <v>25</v>
      </c>
      <c r="P2422" s="8">
        <f t="shared" si="111"/>
        <v>-42.950000000000273</v>
      </c>
      <c r="Q2422" t="s">
        <v>38</v>
      </c>
      <c r="R2422">
        <f t="shared" si="112"/>
        <v>4</v>
      </c>
      <c r="S2422" t="str">
        <f t="shared" si="113"/>
        <v>Apr</v>
      </c>
      <c r="T2422" s="9">
        <f>VLOOKUP(O2422, Annual_Summary!A:B, 2, 0)</f>
        <v>-0.22036742088049704</v>
      </c>
    </row>
    <row r="2423" spans="1:20" x14ac:dyDescent="0.3">
      <c r="A2423" s="1">
        <v>45756</v>
      </c>
      <c r="B2423" t="s">
        <v>15</v>
      </c>
      <c r="C2423" s="3">
        <v>3260.55</v>
      </c>
      <c r="D2423" s="3">
        <v>3270</v>
      </c>
      <c r="E2423" s="3">
        <v>3212.05</v>
      </c>
      <c r="F2423" s="3">
        <v>3292.95</v>
      </c>
      <c r="G2423" s="3">
        <v>3239</v>
      </c>
      <c r="H2423" s="3">
        <v>3246.6</v>
      </c>
      <c r="I2423" s="3">
        <v>3248.58</v>
      </c>
      <c r="J2423" s="3">
        <v>4592.25</v>
      </c>
      <c r="K2423" s="3">
        <v>3056.05</v>
      </c>
      <c r="L2423" s="2">
        <v>2990265</v>
      </c>
      <c r="M2423" s="2">
        <v>9714105049.5</v>
      </c>
      <c r="N2423" s="2">
        <v>184251</v>
      </c>
      <c r="O2423" t="s">
        <v>25</v>
      </c>
      <c r="P2423" s="8">
        <f t="shared" si="111"/>
        <v>32.399999999999636</v>
      </c>
      <c r="Q2423" t="s">
        <v>38</v>
      </c>
      <c r="R2423">
        <f t="shared" si="112"/>
        <v>4</v>
      </c>
      <c r="S2423" t="str">
        <f t="shared" si="113"/>
        <v>Apr</v>
      </c>
      <c r="T2423" s="9">
        <f>VLOOKUP(O2423, Annual_Summary!A:B, 2, 0)</f>
        <v>-0.22036742088049704</v>
      </c>
    </row>
    <row r="2424" spans="1:20" x14ac:dyDescent="0.3">
      <c r="A2424" s="1">
        <v>45755</v>
      </c>
      <c r="B2424" t="s">
        <v>15</v>
      </c>
      <c r="C2424" s="3">
        <v>3302.05</v>
      </c>
      <c r="D2424" s="3">
        <v>3349</v>
      </c>
      <c r="E2424" s="3">
        <v>3255.3</v>
      </c>
      <c r="F2424" s="3">
        <v>3274.05</v>
      </c>
      <c r="G2424" s="3">
        <v>3292.8</v>
      </c>
      <c r="H2424" s="3">
        <v>3292.95</v>
      </c>
      <c r="I2424" s="3">
        <v>3296.22</v>
      </c>
      <c r="J2424" s="3">
        <v>4592.25</v>
      </c>
      <c r="K2424" s="3">
        <v>3056.05</v>
      </c>
      <c r="L2424" s="2">
        <v>5557558</v>
      </c>
      <c r="M2424" s="2">
        <v>18318927917.450001</v>
      </c>
      <c r="N2424" s="2">
        <v>236248</v>
      </c>
      <c r="O2424" t="s">
        <v>25</v>
      </c>
      <c r="P2424" s="8">
        <f t="shared" si="111"/>
        <v>-28</v>
      </c>
      <c r="Q2424" t="s">
        <v>38</v>
      </c>
      <c r="R2424">
        <f t="shared" si="112"/>
        <v>4</v>
      </c>
      <c r="S2424" t="str">
        <f t="shared" si="113"/>
        <v>Apr</v>
      </c>
      <c r="T2424" s="9">
        <f>VLOOKUP(O2424, Annual_Summary!A:B, 2, 0)</f>
        <v>-0.22036742088049704</v>
      </c>
    </row>
    <row r="2425" spans="1:20" x14ac:dyDescent="0.3">
      <c r="A2425" s="1">
        <v>45754</v>
      </c>
      <c r="B2425" t="s">
        <v>15</v>
      </c>
      <c r="C2425" s="3">
        <v>3100</v>
      </c>
      <c r="D2425" s="3">
        <v>3291.4</v>
      </c>
      <c r="E2425" s="3">
        <v>3056.05</v>
      </c>
      <c r="F2425" s="3">
        <v>3299.4</v>
      </c>
      <c r="G2425" s="3">
        <v>3285</v>
      </c>
      <c r="H2425" s="3">
        <v>3274.05</v>
      </c>
      <c r="I2425" s="3">
        <v>3167.51</v>
      </c>
      <c r="J2425" s="3">
        <v>4592.25</v>
      </c>
      <c r="K2425" s="3">
        <v>3056.05</v>
      </c>
      <c r="L2425" s="2">
        <v>6623955</v>
      </c>
      <c r="M2425" s="2">
        <v>20981463559.099998</v>
      </c>
      <c r="N2425" s="2">
        <v>386019</v>
      </c>
      <c r="O2425" t="s">
        <v>25</v>
      </c>
      <c r="P2425" s="8">
        <f t="shared" si="111"/>
        <v>199.40000000000009</v>
      </c>
      <c r="Q2425" t="s">
        <v>38</v>
      </c>
      <c r="R2425">
        <f t="shared" si="112"/>
        <v>4</v>
      </c>
      <c r="S2425" t="str">
        <f t="shared" si="113"/>
        <v>Apr</v>
      </c>
      <c r="T2425" s="9">
        <f>VLOOKUP(O2425, Annual_Summary!A:B, 2, 0)</f>
        <v>-0.22036742088049704</v>
      </c>
    </row>
    <row r="2426" spans="1:20" x14ac:dyDescent="0.3">
      <c r="A2426" s="1">
        <v>45751</v>
      </c>
      <c r="B2426" t="s">
        <v>15</v>
      </c>
      <c r="C2426" s="3">
        <v>3362.6</v>
      </c>
      <c r="D2426" s="3">
        <v>3399.65</v>
      </c>
      <c r="E2426" s="3">
        <v>3295.5</v>
      </c>
      <c r="F2426" s="3">
        <v>3403.15</v>
      </c>
      <c r="G2426" s="3">
        <v>3304.85</v>
      </c>
      <c r="H2426" s="3">
        <v>3299.4</v>
      </c>
      <c r="I2426" s="3">
        <v>3318.1</v>
      </c>
      <c r="J2426" s="3">
        <v>4592.25</v>
      </c>
      <c r="K2426" s="3">
        <v>3295.5</v>
      </c>
      <c r="L2426" s="2">
        <v>5317367</v>
      </c>
      <c r="M2426" s="2">
        <v>17643541008.049999</v>
      </c>
      <c r="N2426" s="2">
        <v>216133</v>
      </c>
      <c r="O2426" t="s">
        <v>25</v>
      </c>
      <c r="P2426" s="8">
        <f t="shared" si="111"/>
        <v>40.550000000000182</v>
      </c>
      <c r="Q2426" t="s">
        <v>38</v>
      </c>
      <c r="R2426">
        <f t="shared" si="112"/>
        <v>4</v>
      </c>
      <c r="S2426" t="str">
        <f t="shared" si="113"/>
        <v>Apr</v>
      </c>
      <c r="T2426" s="9">
        <f>VLOOKUP(O2426, Annual_Summary!A:B, 2, 0)</f>
        <v>-0.22036742088049704</v>
      </c>
    </row>
    <row r="2427" spans="1:20" x14ac:dyDescent="0.3">
      <c r="A2427" s="1">
        <v>45750</v>
      </c>
      <c r="B2427" t="s">
        <v>15</v>
      </c>
      <c r="C2427" s="3">
        <v>3491</v>
      </c>
      <c r="D2427" s="3">
        <v>3502</v>
      </c>
      <c r="E2427" s="3">
        <v>3396.15</v>
      </c>
      <c r="F2427" s="3">
        <v>3543.95</v>
      </c>
      <c r="G2427" s="3">
        <v>3403.3</v>
      </c>
      <c r="H2427" s="3">
        <v>3403.15</v>
      </c>
      <c r="I2427" s="3">
        <v>3422.75</v>
      </c>
      <c r="J2427" s="3">
        <v>4592.25</v>
      </c>
      <c r="K2427" s="3">
        <v>3396.15</v>
      </c>
      <c r="L2427" s="2">
        <v>4537821</v>
      </c>
      <c r="M2427" s="2">
        <v>15531809156.15</v>
      </c>
      <c r="N2427" s="2">
        <v>248807</v>
      </c>
      <c r="O2427" t="s">
        <v>25</v>
      </c>
      <c r="P2427" s="8">
        <f t="shared" si="111"/>
        <v>52.949999999999818</v>
      </c>
      <c r="Q2427" t="s">
        <v>38</v>
      </c>
      <c r="R2427">
        <f t="shared" si="112"/>
        <v>4</v>
      </c>
      <c r="S2427" t="str">
        <f t="shared" si="113"/>
        <v>Apr</v>
      </c>
      <c r="T2427" s="9">
        <f>VLOOKUP(O2427, Annual_Summary!A:B, 2, 0)</f>
        <v>-0.22036742088049704</v>
      </c>
    </row>
    <row r="2428" spans="1:20" x14ac:dyDescent="0.3">
      <c r="A2428" s="1">
        <v>45749</v>
      </c>
      <c r="B2428" t="s">
        <v>15</v>
      </c>
      <c r="C2428" s="3">
        <v>3544</v>
      </c>
      <c r="D2428" s="3">
        <v>3564.1</v>
      </c>
      <c r="E2428" s="3">
        <v>3530.05</v>
      </c>
      <c r="F2428" s="3">
        <v>3550.8</v>
      </c>
      <c r="G2428" s="3">
        <v>3545</v>
      </c>
      <c r="H2428" s="3">
        <v>3543.95</v>
      </c>
      <c r="I2428" s="3">
        <v>3547.15</v>
      </c>
      <c r="J2428" s="3">
        <v>4592.25</v>
      </c>
      <c r="K2428" s="3">
        <v>3457</v>
      </c>
      <c r="L2428" s="2">
        <v>1764313</v>
      </c>
      <c r="M2428" s="2">
        <v>6258290323.8000002</v>
      </c>
      <c r="N2428" s="2">
        <v>80651</v>
      </c>
      <c r="O2428" t="s">
        <v>25</v>
      </c>
      <c r="P2428" s="8">
        <f t="shared" si="111"/>
        <v>6.8000000000001819</v>
      </c>
      <c r="Q2428" t="s">
        <v>38</v>
      </c>
      <c r="R2428">
        <f t="shared" si="112"/>
        <v>4</v>
      </c>
      <c r="S2428" t="str">
        <f t="shared" si="113"/>
        <v>Apr</v>
      </c>
      <c r="T2428" s="9">
        <f>VLOOKUP(O2428, Annual_Summary!A:B, 2, 0)</f>
        <v>-0.22036742088049704</v>
      </c>
    </row>
    <row r="2429" spans="1:20" x14ac:dyDescent="0.3">
      <c r="A2429" s="1">
        <v>45748</v>
      </c>
      <c r="B2429" t="s">
        <v>15</v>
      </c>
      <c r="C2429" s="3">
        <v>3572.7</v>
      </c>
      <c r="D2429" s="3">
        <v>3584</v>
      </c>
      <c r="E2429" s="3">
        <v>3525</v>
      </c>
      <c r="F2429" s="3">
        <v>3606.15</v>
      </c>
      <c r="G2429" s="3">
        <v>3556.45</v>
      </c>
      <c r="H2429" s="3">
        <v>3550.8</v>
      </c>
      <c r="I2429" s="3">
        <v>3548.01</v>
      </c>
      <c r="J2429" s="3">
        <v>4592.25</v>
      </c>
      <c r="K2429" s="3">
        <v>3457</v>
      </c>
      <c r="L2429" s="2">
        <v>2618493</v>
      </c>
      <c r="M2429" s="2">
        <v>9290445221.3999996</v>
      </c>
      <c r="N2429" s="2">
        <v>167344</v>
      </c>
      <c r="O2429" t="s">
        <v>25</v>
      </c>
      <c r="P2429" s="8">
        <f t="shared" si="111"/>
        <v>33.450000000000273</v>
      </c>
      <c r="Q2429" t="s">
        <v>38</v>
      </c>
      <c r="R2429">
        <f t="shared" si="112"/>
        <v>4</v>
      </c>
      <c r="S2429" t="str">
        <f t="shared" si="113"/>
        <v>Apr</v>
      </c>
      <c r="T2429" s="9">
        <f>VLOOKUP(O2429, Annual_Summary!A:B, 2, 0)</f>
        <v>-0.22036742088049704</v>
      </c>
    </row>
    <row r="2430" spans="1:20" x14ac:dyDescent="0.3">
      <c r="A2430" s="1">
        <v>45744</v>
      </c>
      <c r="B2430" t="s">
        <v>15</v>
      </c>
      <c r="C2430" s="3">
        <v>3651</v>
      </c>
      <c r="D2430" s="3">
        <v>3660.95</v>
      </c>
      <c r="E2430" s="3">
        <v>3591.9</v>
      </c>
      <c r="F2430" s="3">
        <v>3651.2</v>
      </c>
      <c r="G2430" s="3">
        <v>3604</v>
      </c>
      <c r="H2430" s="3">
        <v>3606.15</v>
      </c>
      <c r="I2430" s="3">
        <v>3613.75</v>
      </c>
      <c r="J2430" s="3">
        <v>4592.25</v>
      </c>
      <c r="K2430" s="3">
        <v>3457</v>
      </c>
      <c r="L2430" s="2">
        <v>2051919</v>
      </c>
      <c r="M2430" s="2">
        <v>7415124946.3999996</v>
      </c>
      <c r="N2430" s="2">
        <v>129740</v>
      </c>
      <c r="O2430" t="s">
        <v>25</v>
      </c>
      <c r="P2430" s="8">
        <f t="shared" si="111"/>
        <v>0.1999999999998181</v>
      </c>
      <c r="Q2430" t="s">
        <v>38</v>
      </c>
      <c r="R2430">
        <f t="shared" si="112"/>
        <v>3</v>
      </c>
      <c r="S2430" t="str">
        <f t="shared" si="113"/>
        <v>Mar</v>
      </c>
      <c r="T2430" s="9">
        <f>VLOOKUP(O2430, Annual_Summary!A:B, 2, 0)</f>
        <v>-0.22036742088049704</v>
      </c>
    </row>
    <row r="2431" spans="1:20" x14ac:dyDescent="0.3">
      <c r="A2431" s="1">
        <v>45743</v>
      </c>
      <c r="B2431" t="s">
        <v>15</v>
      </c>
      <c r="C2431" s="3">
        <v>3614.85</v>
      </c>
      <c r="D2431" s="3">
        <v>3663</v>
      </c>
      <c r="E2431" s="3">
        <v>3610.5</v>
      </c>
      <c r="F2431" s="3">
        <v>3635.8</v>
      </c>
      <c r="G2431" s="3">
        <v>3645</v>
      </c>
      <c r="H2431" s="3">
        <v>3651.2</v>
      </c>
      <c r="I2431" s="3">
        <v>3649.02</v>
      </c>
      <c r="J2431" s="3">
        <v>4592.25</v>
      </c>
      <c r="K2431" s="3">
        <v>3457</v>
      </c>
      <c r="L2431" s="2">
        <v>2528474</v>
      </c>
      <c r="M2431" s="2">
        <v>9226448354.4500008</v>
      </c>
      <c r="N2431" s="2">
        <v>125080</v>
      </c>
      <c r="O2431" t="s">
        <v>25</v>
      </c>
      <c r="P2431" s="8">
        <f t="shared" si="111"/>
        <v>20.950000000000273</v>
      </c>
      <c r="Q2431" t="s">
        <v>38</v>
      </c>
      <c r="R2431">
        <f t="shared" si="112"/>
        <v>3</v>
      </c>
      <c r="S2431" t="str">
        <f t="shared" si="113"/>
        <v>Mar</v>
      </c>
      <c r="T2431" s="9">
        <f>VLOOKUP(O2431, Annual_Summary!A:B, 2, 0)</f>
        <v>-0.22036742088049704</v>
      </c>
    </row>
    <row r="2432" spans="1:20" x14ac:dyDescent="0.3">
      <c r="A2432" s="1">
        <v>45742</v>
      </c>
      <c r="B2432" t="s">
        <v>15</v>
      </c>
      <c r="C2432" s="3">
        <v>3647.75</v>
      </c>
      <c r="D2432" s="3">
        <v>3680.5</v>
      </c>
      <c r="E2432" s="3">
        <v>3625.85</v>
      </c>
      <c r="F2432" s="3">
        <v>3657.75</v>
      </c>
      <c r="G2432" s="3">
        <v>3630.55</v>
      </c>
      <c r="H2432" s="3">
        <v>3635.8</v>
      </c>
      <c r="I2432" s="3">
        <v>3656.16</v>
      </c>
      <c r="J2432" s="3">
        <v>4592.25</v>
      </c>
      <c r="K2432" s="3">
        <v>3457</v>
      </c>
      <c r="L2432" s="2">
        <v>1734499</v>
      </c>
      <c r="M2432" s="2">
        <v>6341597992.3999996</v>
      </c>
      <c r="N2432" s="2">
        <v>141204</v>
      </c>
      <c r="O2432" t="s">
        <v>25</v>
      </c>
      <c r="P2432" s="8">
        <f t="shared" si="111"/>
        <v>10</v>
      </c>
      <c r="Q2432" t="s">
        <v>38</v>
      </c>
      <c r="R2432">
        <f t="shared" si="112"/>
        <v>3</v>
      </c>
      <c r="S2432" t="str">
        <f t="shared" si="113"/>
        <v>Mar</v>
      </c>
      <c r="T2432" s="9">
        <f>VLOOKUP(O2432, Annual_Summary!A:B, 2, 0)</f>
        <v>-0.22036742088049704</v>
      </c>
    </row>
    <row r="2433" spans="1:20" x14ac:dyDescent="0.3">
      <c r="A2433" s="1">
        <v>45741</v>
      </c>
      <c r="B2433" t="s">
        <v>15</v>
      </c>
      <c r="C2433" s="3">
        <v>3645</v>
      </c>
      <c r="D2433" s="3">
        <v>3710</v>
      </c>
      <c r="E2433" s="3">
        <v>3638</v>
      </c>
      <c r="F2433" s="3">
        <v>3628.95</v>
      </c>
      <c r="G2433" s="3">
        <v>3641</v>
      </c>
      <c r="H2433" s="3">
        <v>3657.75</v>
      </c>
      <c r="I2433" s="3">
        <v>3673.54</v>
      </c>
      <c r="J2433" s="3">
        <v>4592.25</v>
      </c>
      <c r="K2433" s="3">
        <v>3457</v>
      </c>
      <c r="L2433" s="2">
        <v>3135390</v>
      </c>
      <c r="M2433" s="2">
        <v>11517985340.799999</v>
      </c>
      <c r="N2433" s="2">
        <v>181313</v>
      </c>
      <c r="O2433" t="s">
        <v>25</v>
      </c>
      <c r="P2433" s="8">
        <f t="shared" si="111"/>
        <v>-16.050000000000182</v>
      </c>
      <c r="Q2433" t="s">
        <v>38</v>
      </c>
      <c r="R2433">
        <f t="shared" si="112"/>
        <v>3</v>
      </c>
      <c r="S2433" t="str">
        <f t="shared" si="113"/>
        <v>Mar</v>
      </c>
      <c r="T2433" s="9">
        <f>VLOOKUP(O2433, Annual_Summary!A:B, 2, 0)</f>
        <v>-0.22036742088049704</v>
      </c>
    </row>
    <row r="2434" spans="1:20" x14ac:dyDescent="0.3">
      <c r="A2434" s="1">
        <v>45740</v>
      </c>
      <c r="B2434" t="s">
        <v>15</v>
      </c>
      <c r="C2434" s="3">
        <v>3600</v>
      </c>
      <c r="D2434" s="3">
        <v>3649.75</v>
      </c>
      <c r="E2434" s="3">
        <v>3566.6</v>
      </c>
      <c r="F2434" s="3">
        <v>3578.1</v>
      </c>
      <c r="G2434" s="3">
        <v>3633</v>
      </c>
      <c r="H2434" s="3">
        <v>3628.95</v>
      </c>
      <c r="I2434" s="3">
        <v>3615.19</v>
      </c>
      <c r="J2434" s="3">
        <v>4592.25</v>
      </c>
      <c r="K2434" s="3">
        <v>3457</v>
      </c>
      <c r="L2434" s="2">
        <v>1834751</v>
      </c>
      <c r="M2434" s="2">
        <v>6632970557.6999998</v>
      </c>
      <c r="N2434" s="2">
        <v>107825</v>
      </c>
      <c r="O2434" t="s">
        <v>25</v>
      </c>
      <c r="P2434" s="8">
        <f t="shared" si="111"/>
        <v>-21.900000000000091</v>
      </c>
      <c r="Q2434" t="s">
        <v>38</v>
      </c>
      <c r="R2434">
        <f t="shared" si="112"/>
        <v>3</v>
      </c>
      <c r="S2434" t="str">
        <f t="shared" si="113"/>
        <v>Mar</v>
      </c>
      <c r="T2434" s="9">
        <f>VLOOKUP(O2434, Annual_Summary!A:B, 2, 0)</f>
        <v>-0.22036742088049704</v>
      </c>
    </row>
    <row r="2435" spans="1:20" x14ac:dyDescent="0.3">
      <c r="A2435" s="1">
        <v>45737</v>
      </c>
      <c r="B2435" t="s">
        <v>15</v>
      </c>
      <c r="C2435" s="3">
        <v>3475</v>
      </c>
      <c r="D2435" s="3">
        <v>3616.25</v>
      </c>
      <c r="E2435" s="3">
        <v>3465</v>
      </c>
      <c r="F2435" s="3">
        <v>3563.15</v>
      </c>
      <c r="G2435" s="3">
        <v>3578</v>
      </c>
      <c r="H2435" s="3">
        <v>3578.1</v>
      </c>
      <c r="I2435" s="3">
        <v>3561.68</v>
      </c>
      <c r="J2435" s="3">
        <v>4592.25</v>
      </c>
      <c r="K2435" s="3">
        <v>3457</v>
      </c>
      <c r="L2435" s="2">
        <v>4161925</v>
      </c>
      <c r="M2435" s="2">
        <v>14823464307.85</v>
      </c>
      <c r="N2435" s="2">
        <v>188951</v>
      </c>
      <c r="O2435" t="s">
        <v>25</v>
      </c>
      <c r="P2435" s="8">
        <f t="shared" ref="P2435:P2491" si="114">F2435-C2435</f>
        <v>88.150000000000091</v>
      </c>
      <c r="Q2435" t="s">
        <v>38</v>
      </c>
      <c r="R2435">
        <f t="shared" ref="R2435:R2491" si="115">MONTH(A2435)</f>
        <v>3</v>
      </c>
      <c r="S2435" t="str">
        <f t="shared" ref="S2435:S2491" si="116">TEXT(A2435,"mmm")</f>
        <v>Mar</v>
      </c>
      <c r="T2435" s="9">
        <f>VLOOKUP(O2435, Annual_Summary!A:B, 2, 0)</f>
        <v>-0.22036742088049704</v>
      </c>
    </row>
    <row r="2436" spans="1:20" x14ac:dyDescent="0.3">
      <c r="A2436" s="1">
        <v>45736</v>
      </c>
      <c r="B2436" t="s">
        <v>15</v>
      </c>
      <c r="C2436" s="3">
        <v>3512</v>
      </c>
      <c r="D2436" s="3">
        <v>3578.95</v>
      </c>
      <c r="E2436" s="3">
        <v>3512</v>
      </c>
      <c r="F2436" s="3">
        <v>3497.1</v>
      </c>
      <c r="G2436" s="3">
        <v>3556.5</v>
      </c>
      <c r="H2436" s="3">
        <v>3563.15</v>
      </c>
      <c r="I2436" s="3">
        <v>3559.81</v>
      </c>
      <c r="J2436" s="3">
        <v>4592.25</v>
      </c>
      <c r="K2436" s="3">
        <v>3457</v>
      </c>
      <c r="L2436" s="2">
        <v>2845192</v>
      </c>
      <c r="M2436" s="2">
        <v>10128343015.65</v>
      </c>
      <c r="N2436" s="2">
        <v>156792</v>
      </c>
      <c r="O2436" t="s">
        <v>25</v>
      </c>
      <c r="P2436" s="8">
        <f t="shared" si="114"/>
        <v>-14.900000000000091</v>
      </c>
      <c r="Q2436" t="s">
        <v>38</v>
      </c>
      <c r="R2436">
        <f t="shared" si="115"/>
        <v>3</v>
      </c>
      <c r="S2436" t="str">
        <f t="shared" si="116"/>
        <v>Mar</v>
      </c>
      <c r="T2436" s="9">
        <f>VLOOKUP(O2436, Annual_Summary!A:B, 2, 0)</f>
        <v>-0.22036742088049704</v>
      </c>
    </row>
    <row r="2437" spans="1:20" x14ac:dyDescent="0.3">
      <c r="A2437" s="1">
        <v>45735</v>
      </c>
      <c r="B2437" t="s">
        <v>15</v>
      </c>
      <c r="C2437" s="3">
        <v>3547</v>
      </c>
      <c r="D2437" s="3">
        <v>3547</v>
      </c>
      <c r="E2437" s="3">
        <v>3462.75</v>
      </c>
      <c r="F2437" s="3">
        <v>3552.45</v>
      </c>
      <c r="G2437" s="3">
        <v>3505</v>
      </c>
      <c r="H2437" s="3">
        <v>3497.1</v>
      </c>
      <c r="I2437" s="3">
        <v>3484.81</v>
      </c>
      <c r="J2437" s="3">
        <v>4592.25</v>
      </c>
      <c r="K2437" s="3">
        <v>3457</v>
      </c>
      <c r="L2437" s="2">
        <v>3051244</v>
      </c>
      <c r="M2437" s="2">
        <v>10632994898.700001</v>
      </c>
      <c r="N2437" s="2">
        <v>181144</v>
      </c>
      <c r="O2437" t="s">
        <v>25</v>
      </c>
      <c r="P2437" s="8">
        <f t="shared" si="114"/>
        <v>5.4499999999998181</v>
      </c>
      <c r="Q2437" t="s">
        <v>38</v>
      </c>
      <c r="R2437">
        <f t="shared" si="115"/>
        <v>3</v>
      </c>
      <c r="S2437" t="str">
        <f t="shared" si="116"/>
        <v>Mar</v>
      </c>
      <c r="T2437" s="9">
        <f>VLOOKUP(O2437, Annual_Summary!A:B, 2, 0)</f>
        <v>-0.22036742088049704</v>
      </c>
    </row>
    <row r="2438" spans="1:20" x14ac:dyDescent="0.3">
      <c r="A2438" s="1">
        <v>45734</v>
      </c>
      <c r="B2438" t="s">
        <v>15</v>
      </c>
      <c r="C2438" s="3">
        <v>3502.35</v>
      </c>
      <c r="D2438" s="3">
        <v>3556.95</v>
      </c>
      <c r="E2438" s="3">
        <v>3478.45</v>
      </c>
      <c r="F2438" s="3">
        <v>3497.7</v>
      </c>
      <c r="G2438" s="3">
        <v>3545.65</v>
      </c>
      <c r="H2438" s="3">
        <v>3552.45</v>
      </c>
      <c r="I2438" s="3">
        <v>3530.44</v>
      </c>
      <c r="J2438" s="3">
        <v>4592.25</v>
      </c>
      <c r="K2438" s="3">
        <v>3457</v>
      </c>
      <c r="L2438" s="2">
        <v>3069109</v>
      </c>
      <c r="M2438" s="2">
        <v>10835299304.9</v>
      </c>
      <c r="N2438" s="2">
        <v>139204</v>
      </c>
      <c r="O2438" t="s">
        <v>25</v>
      </c>
      <c r="P2438" s="8">
        <f t="shared" si="114"/>
        <v>-4.6500000000000909</v>
      </c>
      <c r="Q2438" t="s">
        <v>38</v>
      </c>
      <c r="R2438">
        <f t="shared" si="115"/>
        <v>3</v>
      </c>
      <c r="S2438" t="str">
        <f t="shared" si="116"/>
        <v>Mar</v>
      </c>
      <c r="T2438" s="9">
        <f>VLOOKUP(O2438, Annual_Summary!A:B, 2, 0)</f>
        <v>-0.22036742088049704</v>
      </c>
    </row>
    <row r="2439" spans="1:20" x14ac:dyDescent="0.3">
      <c r="A2439" s="1">
        <v>45733</v>
      </c>
      <c r="B2439" t="s">
        <v>15</v>
      </c>
      <c r="C2439" s="3">
        <v>3489</v>
      </c>
      <c r="D2439" s="3">
        <v>3530.45</v>
      </c>
      <c r="E2439" s="3">
        <v>3477.35</v>
      </c>
      <c r="F2439" s="3">
        <v>3511.05</v>
      </c>
      <c r="G2439" s="3">
        <v>3499.9</v>
      </c>
      <c r="H2439" s="3">
        <v>3497.7</v>
      </c>
      <c r="I2439" s="3">
        <v>3496.62</v>
      </c>
      <c r="J2439" s="3">
        <v>4592.25</v>
      </c>
      <c r="K2439" s="3">
        <v>3457</v>
      </c>
      <c r="L2439" s="2">
        <v>2690906</v>
      </c>
      <c r="M2439" s="2">
        <v>9409068295.75</v>
      </c>
      <c r="N2439" s="2">
        <v>171510</v>
      </c>
      <c r="O2439" t="s">
        <v>25</v>
      </c>
      <c r="P2439" s="8">
        <f t="shared" si="114"/>
        <v>22.050000000000182</v>
      </c>
      <c r="Q2439" t="s">
        <v>38</v>
      </c>
      <c r="R2439">
        <f t="shared" si="115"/>
        <v>3</v>
      </c>
      <c r="S2439" t="str">
        <f t="shared" si="116"/>
        <v>Mar</v>
      </c>
      <c r="T2439" s="9">
        <f>VLOOKUP(O2439, Annual_Summary!A:B, 2, 0)</f>
        <v>-0.22036742088049704</v>
      </c>
    </row>
    <row r="2440" spans="1:20" x14ac:dyDescent="0.3">
      <c r="A2440" s="1">
        <v>45729</v>
      </c>
      <c r="B2440" t="s">
        <v>15</v>
      </c>
      <c r="C2440" s="3">
        <v>3502.3</v>
      </c>
      <c r="D2440" s="3">
        <v>3524.3</v>
      </c>
      <c r="E2440" s="3">
        <v>3484.1</v>
      </c>
      <c r="F2440" s="3">
        <v>3506.2</v>
      </c>
      <c r="G2440" s="3">
        <v>3509.05</v>
      </c>
      <c r="H2440" s="3">
        <v>3511.05</v>
      </c>
      <c r="I2440" s="3">
        <v>3504.71</v>
      </c>
      <c r="J2440" s="3">
        <v>4592.25</v>
      </c>
      <c r="K2440" s="3">
        <v>3457</v>
      </c>
      <c r="L2440" s="2">
        <v>1693004</v>
      </c>
      <c r="M2440" s="2">
        <v>5933491139.4499998</v>
      </c>
      <c r="N2440" s="2">
        <v>98963</v>
      </c>
      <c r="O2440" t="s">
        <v>25</v>
      </c>
      <c r="P2440" s="8">
        <f t="shared" si="114"/>
        <v>3.8999999999996362</v>
      </c>
      <c r="Q2440" t="s">
        <v>38</v>
      </c>
      <c r="R2440">
        <f t="shared" si="115"/>
        <v>3</v>
      </c>
      <c r="S2440" t="str">
        <f t="shared" si="116"/>
        <v>Mar</v>
      </c>
      <c r="T2440" s="9">
        <f>VLOOKUP(O2440, Annual_Summary!A:B, 2, 0)</f>
        <v>-0.22036742088049704</v>
      </c>
    </row>
    <row r="2441" spans="1:20" x14ac:dyDescent="0.3">
      <c r="A2441" s="1">
        <v>45728</v>
      </c>
      <c r="B2441" t="s">
        <v>15</v>
      </c>
      <c r="C2441" s="3">
        <v>3565</v>
      </c>
      <c r="D2441" s="3">
        <v>3569.25</v>
      </c>
      <c r="E2441" s="3">
        <v>3486.85</v>
      </c>
      <c r="F2441" s="3">
        <v>3575.3</v>
      </c>
      <c r="G2441" s="3">
        <v>3507.8</v>
      </c>
      <c r="H2441" s="3">
        <v>3506.2</v>
      </c>
      <c r="I2441" s="3">
        <v>3504.81</v>
      </c>
      <c r="J2441" s="3">
        <v>4592.25</v>
      </c>
      <c r="K2441" s="3">
        <v>3457</v>
      </c>
      <c r="L2441" s="2">
        <v>3174167</v>
      </c>
      <c r="M2441" s="2">
        <v>11124852701.549999</v>
      </c>
      <c r="N2441" s="2">
        <v>175588</v>
      </c>
      <c r="O2441" t="s">
        <v>25</v>
      </c>
      <c r="P2441" s="8">
        <f t="shared" si="114"/>
        <v>10.300000000000182</v>
      </c>
      <c r="Q2441" t="s">
        <v>38</v>
      </c>
      <c r="R2441">
        <f t="shared" si="115"/>
        <v>3</v>
      </c>
      <c r="S2441" t="str">
        <f t="shared" si="116"/>
        <v>Mar</v>
      </c>
      <c r="T2441" s="9">
        <f>VLOOKUP(O2441, Annual_Summary!A:B, 2, 0)</f>
        <v>-0.22036742088049704</v>
      </c>
    </row>
    <row r="2442" spans="1:20" x14ac:dyDescent="0.3">
      <c r="A2442" s="1">
        <v>45727</v>
      </c>
      <c r="B2442" t="s">
        <v>15</v>
      </c>
      <c r="C2442" s="3">
        <v>3558</v>
      </c>
      <c r="D2442" s="3">
        <v>3588.75</v>
      </c>
      <c r="E2442" s="3">
        <v>3537.65</v>
      </c>
      <c r="F2442" s="3">
        <v>3589.65</v>
      </c>
      <c r="G2442" s="3">
        <v>3585</v>
      </c>
      <c r="H2442" s="3">
        <v>3575.3</v>
      </c>
      <c r="I2442" s="3">
        <v>3567.93</v>
      </c>
      <c r="J2442" s="3">
        <v>4592.25</v>
      </c>
      <c r="K2442" s="3">
        <v>3457</v>
      </c>
      <c r="L2442" s="2">
        <v>1995450</v>
      </c>
      <c r="M2442" s="2">
        <v>7119617263.5500002</v>
      </c>
      <c r="N2442" s="2">
        <v>142820</v>
      </c>
      <c r="O2442" t="s">
        <v>25</v>
      </c>
      <c r="P2442" s="8">
        <f t="shared" si="114"/>
        <v>31.650000000000091</v>
      </c>
      <c r="Q2442" t="s">
        <v>38</v>
      </c>
      <c r="R2442">
        <f t="shared" si="115"/>
        <v>3</v>
      </c>
      <c r="S2442" t="str">
        <f t="shared" si="116"/>
        <v>Mar</v>
      </c>
      <c r="T2442" s="9">
        <f>VLOOKUP(O2442, Annual_Summary!A:B, 2, 0)</f>
        <v>-0.22036742088049704</v>
      </c>
    </row>
    <row r="2443" spans="1:20" x14ac:dyDescent="0.3">
      <c r="A2443" s="1">
        <v>45726</v>
      </c>
      <c r="B2443" t="s">
        <v>15</v>
      </c>
      <c r="C2443" s="3">
        <v>3606.5</v>
      </c>
      <c r="D2443" s="3">
        <v>3622.1</v>
      </c>
      <c r="E2443" s="3">
        <v>3582.6</v>
      </c>
      <c r="F2443" s="3">
        <v>3611.2</v>
      </c>
      <c r="G2443" s="3">
        <v>3589</v>
      </c>
      <c r="H2443" s="3">
        <v>3589.65</v>
      </c>
      <c r="I2443" s="3">
        <v>3602.11</v>
      </c>
      <c r="J2443" s="3">
        <v>4592.25</v>
      </c>
      <c r="K2443" s="3">
        <v>3457</v>
      </c>
      <c r="L2443" s="2">
        <v>1004626</v>
      </c>
      <c r="M2443" s="2">
        <v>3618776661.3000002</v>
      </c>
      <c r="N2443" s="2">
        <v>75981</v>
      </c>
      <c r="O2443" t="s">
        <v>25</v>
      </c>
      <c r="P2443" s="8">
        <f t="shared" si="114"/>
        <v>4.6999999999998181</v>
      </c>
      <c r="Q2443" t="s">
        <v>38</v>
      </c>
      <c r="R2443">
        <f t="shared" si="115"/>
        <v>3</v>
      </c>
      <c r="S2443" t="str">
        <f t="shared" si="116"/>
        <v>Mar</v>
      </c>
      <c r="T2443" s="9">
        <f>VLOOKUP(O2443, Annual_Summary!A:B, 2, 0)</f>
        <v>-0.22036742088049704</v>
      </c>
    </row>
    <row r="2444" spans="1:20" x14ac:dyDescent="0.3">
      <c r="A2444" s="1">
        <v>45723</v>
      </c>
      <c r="B2444" t="s">
        <v>15</v>
      </c>
      <c r="C2444" s="3">
        <v>3600</v>
      </c>
      <c r="D2444" s="3">
        <v>3625</v>
      </c>
      <c r="E2444" s="3">
        <v>3574.4</v>
      </c>
      <c r="F2444" s="3">
        <v>3601.6</v>
      </c>
      <c r="G2444" s="3">
        <v>3602</v>
      </c>
      <c r="H2444" s="3">
        <v>3611.2</v>
      </c>
      <c r="I2444" s="3">
        <v>3605.34</v>
      </c>
      <c r="J2444" s="3">
        <v>4592.25</v>
      </c>
      <c r="K2444" s="3">
        <v>3457</v>
      </c>
      <c r="L2444" s="2">
        <v>2051315</v>
      </c>
      <c r="M2444" s="2">
        <v>7395690221.3500004</v>
      </c>
      <c r="N2444" s="2">
        <v>131372</v>
      </c>
      <c r="O2444" t="s">
        <v>25</v>
      </c>
      <c r="P2444" s="8">
        <f t="shared" si="114"/>
        <v>1.5999999999999091</v>
      </c>
      <c r="Q2444" t="s">
        <v>38</v>
      </c>
      <c r="R2444">
        <f t="shared" si="115"/>
        <v>3</v>
      </c>
      <c r="S2444" t="str">
        <f t="shared" si="116"/>
        <v>Mar</v>
      </c>
      <c r="T2444" s="9">
        <f>VLOOKUP(O2444, Annual_Summary!A:B, 2, 0)</f>
        <v>-0.22036742088049704</v>
      </c>
    </row>
    <row r="2445" spans="1:20" x14ac:dyDescent="0.3">
      <c r="A2445" s="1">
        <v>45722</v>
      </c>
      <c r="B2445" t="s">
        <v>15</v>
      </c>
      <c r="C2445" s="3">
        <v>3557</v>
      </c>
      <c r="D2445" s="3">
        <v>3609.45</v>
      </c>
      <c r="E2445" s="3">
        <v>3536.1</v>
      </c>
      <c r="F2445" s="3">
        <v>3547.05</v>
      </c>
      <c r="G2445" s="3">
        <v>3592.1</v>
      </c>
      <c r="H2445" s="3">
        <v>3601.6</v>
      </c>
      <c r="I2445" s="3">
        <v>3571.61</v>
      </c>
      <c r="J2445" s="3">
        <v>4592.25</v>
      </c>
      <c r="K2445" s="3">
        <v>3457</v>
      </c>
      <c r="L2445" s="2">
        <v>2786513</v>
      </c>
      <c r="M2445" s="2">
        <v>9952339476.2000008</v>
      </c>
      <c r="N2445" s="2">
        <v>201910</v>
      </c>
      <c r="O2445" t="s">
        <v>25</v>
      </c>
      <c r="P2445" s="8">
        <f t="shared" si="114"/>
        <v>-9.9499999999998181</v>
      </c>
      <c r="Q2445" t="s">
        <v>38</v>
      </c>
      <c r="R2445">
        <f t="shared" si="115"/>
        <v>3</v>
      </c>
      <c r="S2445" t="str">
        <f t="shared" si="116"/>
        <v>Mar</v>
      </c>
      <c r="T2445" s="9">
        <f>VLOOKUP(O2445, Annual_Summary!A:B, 2, 0)</f>
        <v>-0.22036742088049704</v>
      </c>
    </row>
    <row r="2446" spans="1:20" x14ac:dyDescent="0.3">
      <c r="A2446" s="1">
        <v>45721</v>
      </c>
      <c r="B2446" t="s">
        <v>15</v>
      </c>
      <c r="C2446" s="3">
        <v>3520.85</v>
      </c>
      <c r="D2446" s="3">
        <v>3600.35</v>
      </c>
      <c r="E2446" s="3">
        <v>3520.85</v>
      </c>
      <c r="F2446" s="3">
        <v>3532.05</v>
      </c>
      <c r="G2446" s="3">
        <v>3557</v>
      </c>
      <c r="H2446" s="3">
        <v>3547.05</v>
      </c>
      <c r="I2446" s="3">
        <v>3561.68</v>
      </c>
      <c r="J2446" s="3">
        <v>4592.25</v>
      </c>
      <c r="K2446" s="3">
        <v>3457</v>
      </c>
      <c r="L2446" s="2">
        <v>2501894</v>
      </c>
      <c r="M2446" s="2">
        <v>8910937236.5499992</v>
      </c>
      <c r="N2446" s="2">
        <v>145336</v>
      </c>
      <c r="O2446" t="s">
        <v>25</v>
      </c>
      <c r="P2446" s="8">
        <f t="shared" si="114"/>
        <v>11.200000000000273</v>
      </c>
      <c r="Q2446" t="s">
        <v>38</v>
      </c>
      <c r="R2446">
        <f t="shared" si="115"/>
        <v>3</v>
      </c>
      <c r="S2446" t="str">
        <f t="shared" si="116"/>
        <v>Mar</v>
      </c>
      <c r="T2446" s="9">
        <f>VLOOKUP(O2446, Annual_Summary!A:B, 2, 0)</f>
        <v>-0.22036742088049704</v>
      </c>
    </row>
    <row r="2447" spans="1:20" x14ac:dyDescent="0.3">
      <c r="A2447" s="1">
        <v>45720</v>
      </c>
      <c r="B2447" t="s">
        <v>15</v>
      </c>
      <c r="C2447" s="3">
        <v>3474</v>
      </c>
      <c r="D2447" s="3">
        <v>3551</v>
      </c>
      <c r="E2447" s="3">
        <v>3464.3</v>
      </c>
      <c r="F2447" s="3">
        <v>3493.05</v>
      </c>
      <c r="G2447" s="3">
        <v>3533</v>
      </c>
      <c r="H2447" s="3">
        <v>3532.05</v>
      </c>
      <c r="I2447" s="3">
        <v>3518.16</v>
      </c>
      <c r="J2447" s="3">
        <v>4592.25</v>
      </c>
      <c r="K2447" s="3">
        <v>3457</v>
      </c>
      <c r="L2447" s="2">
        <v>2797737</v>
      </c>
      <c r="M2447" s="2">
        <v>9842880030.2999992</v>
      </c>
      <c r="N2447" s="2">
        <v>157084</v>
      </c>
      <c r="O2447" t="s">
        <v>25</v>
      </c>
      <c r="P2447" s="8">
        <f t="shared" si="114"/>
        <v>19.050000000000182</v>
      </c>
      <c r="Q2447" t="s">
        <v>38</v>
      </c>
      <c r="R2447">
        <f t="shared" si="115"/>
        <v>3</v>
      </c>
      <c r="S2447" t="str">
        <f t="shared" si="116"/>
        <v>Mar</v>
      </c>
      <c r="T2447" s="9">
        <f>VLOOKUP(O2447, Annual_Summary!A:B, 2, 0)</f>
        <v>-0.22036742088049704</v>
      </c>
    </row>
    <row r="2448" spans="1:20" x14ac:dyDescent="0.3">
      <c r="A2448" s="1">
        <v>45719</v>
      </c>
      <c r="B2448" t="s">
        <v>15</v>
      </c>
      <c r="C2448" s="3">
        <v>3485</v>
      </c>
      <c r="D2448" s="3">
        <v>3523.25</v>
      </c>
      <c r="E2448" s="3">
        <v>3476.15</v>
      </c>
      <c r="F2448" s="3">
        <v>3483.25</v>
      </c>
      <c r="G2448" s="3">
        <v>3506</v>
      </c>
      <c r="H2448" s="3">
        <v>3493.05</v>
      </c>
      <c r="I2448" s="3">
        <v>3497.97</v>
      </c>
      <c r="J2448" s="3">
        <v>4592.25</v>
      </c>
      <c r="K2448" s="3">
        <v>3457</v>
      </c>
      <c r="L2448" s="2">
        <v>4990439</v>
      </c>
      <c r="M2448" s="2">
        <v>17456399246.200001</v>
      </c>
      <c r="N2448" s="2">
        <v>248034</v>
      </c>
      <c r="O2448" t="s">
        <v>25</v>
      </c>
      <c r="P2448" s="8">
        <f t="shared" si="114"/>
        <v>-1.75</v>
      </c>
      <c r="Q2448" t="s">
        <v>38</v>
      </c>
      <c r="R2448">
        <f t="shared" si="115"/>
        <v>3</v>
      </c>
      <c r="S2448" t="str">
        <f t="shared" si="116"/>
        <v>Mar</v>
      </c>
      <c r="T2448" s="9">
        <f>VLOOKUP(O2448, Annual_Summary!A:B, 2, 0)</f>
        <v>-0.22036742088049704</v>
      </c>
    </row>
    <row r="2449" spans="1:20" x14ac:dyDescent="0.3">
      <c r="A2449" s="1">
        <v>45716</v>
      </c>
      <c r="B2449" t="s">
        <v>15</v>
      </c>
      <c r="C2449" s="3">
        <v>3584.95</v>
      </c>
      <c r="D2449" s="3">
        <v>3600</v>
      </c>
      <c r="E2449" s="3">
        <v>3457</v>
      </c>
      <c r="F2449" s="3">
        <v>3612.55</v>
      </c>
      <c r="G2449" s="3">
        <v>3478</v>
      </c>
      <c r="H2449" s="3">
        <v>3483.25</v>
      </c>
      <c r="I2449" s="3">
        <v>3491.8</v>
      </c>
      <c r="J2449" s="3">
        <v>4592.25</v>
      </c>
      <c r="K2449" s="3">
        <v>3457</v>
      </c>
      <c r="L2449" s="2">
        <v>7085018</v>
      </c>
      <c r="M2449" s="2">
        <v>24739464379.849998</v>
      </c>
      <c r="N2449" s="2">
        <v>340110</v>
      </c>
      <c r="O2449" t="s">
        <v>25</v>
      </c>
      <c r="P2449" s="8">
        <f t="shared" si="114"/>
        <v>27.600000000000364</v>
      </c>
      <c r="Q2449" t="s">
        <v>38</v>
      </c>
      <c r="R2449">
        <f t="shared" si="115"/>
        <v>2</v>
      </c>
      <c r="S2449" t="str">
        <f t="shared" si="116"/>
        <v>Feb</v>
      </c>
      <c r="T2449" s="9">
        <f>VLOOKUP(O2449, Annual_Summary!A:B, 2, 0)</f>
        <v>-0.22036742088049704</v>
      </c>
    </row>
    <row r="2450" spans="1:20" x14ac:dyDescent="0.3">
      <c r="A2450" s="1">
        <v>45715</v>
      </c>
      <c r="B2450" t="s">
        <v>15</v>
      </c>
      <c r="C2450" s="3">
        <v>3611.7</v>
      </c>
      <c r="D2450" s="3">
        <v>3638</v>
      </c>
      <c r="E2450" s="3">
        <v>3600.7</v>
      </c>
      <c r="F2450" s="3">
        <v>3629.55</v>
      </c>
      <c r="G2450" s="3">
        <v>3608.05</v>
      </c>
      <c r="H2450" s="3">
        <v>3612.55</v>
      </c>
      <c r="I2450" s="3">
        <v>3613.5</v>
      </c>
      <c r="J2450" s="3">
        <v>4592.25</v>
      </c>
      <c r="K2450" s="3">
        <v>3591.5</v>
      </c>
      <c r="L2450" s="2">
        <v>3823856</v>
      </c>
      <c r="M2450" s="2">
        <v>13817496735.799999</v>
      </c>
      <c r="N2450" s="2">
        <v>212465</v>
      </c>
      <c r="O2450" t="s">
        <v>25</v>
      </c>
      <c r="P2450" s="8">
        <f t="shared" si="114"/>
        <v>17.850000000000364</v>
      </c>
      <c r="Q2450" t="s">
        <v>38</v>
      </c>
      <c r="R2450">
        <f t="shared" si="115"/>
        <v>2</v>
      </c>
      <c r="S2450" t="str">
        <f t="shared" si="116"/>
        <v>Feb</v>
      </c>
      <c r="T2450" s="9">
        <f>VLOOKUP(O2450, Annual_Summary!A:B, 2, 0)</f>
        <v>-0.22036742088049704</v>
      </c>
    </row>
    <row r="2451" spans="1:20" x14ac:dyDescent="0.3">
      <c r="A2451" s="1">
        <v>45713</v>
      </c>
      <c r="B2451" t="s">
        <v>15</v>
      </c>
      <c r="C2451" s="3">
        <v>3625</v>
      </c>
      <c r="D2451" s="3">
        <v>3658</v>
      </c>
      <c r="E2451" s="3">
        <v>3621.25</v>
      </c>
      <c r="F2451" s="3">
        <v>3675.6</v>
      </c>
      <c r="G2451" s="3">
        <v>3627</v>
      </c>
      <c r="H2451" s="3">
        <v>3629.55</v>
      </c>
      <c r="I2451" s="3">
        <v>3638.67</v>
      </c>
      <c r="J2451" s="3">
        <v>4592.25</v>
      </c>
      <c r="K2451" s="3">
        <v>3591.5</v>
      </c>
      <c r="L2451" s="2">
        <v>4101954</v>
      </c>
      <c r="M2451" s="2">
        <v>14925647967.549999</v>
      </c>
      <c r="N2451" s="2">
        <v>198489</v>
      </c>
      <c r="O2451" t="s">
        <v>25</v>
      </c>
      <c r="P2451" s="8">
        <f t="shared" si="114"/>
        <v>50.599999999999909</v>
      </c>
      <c r="Q2451" t="s">
        <v>38</v>
      </c>
      <c r="R2451">
        <f t="shared" si="115"/>
        <v>2</v>
      </c>
      <c r="S2451" t="str">
        <f t="shared" si="116"/>
        <v>Feb</v>
      </c>
      <c r="T2451" s="9">
        <f>VLOOKUP(O2451, Annual_Summary!A:B, 2, 0)</f>
        <v>-0.22036742088049704</v>
      </c>
    </row>
    <row r="2452" spans="1:20" x14ac:dyDescent="0.3">
      <c r="A2452" s="1">
        <v>45712</v>
      </c>
      <c r="B2452" t="s">
        <v>15</v>
      </c>
      <c r="C2452" s="3">
        <v>3743.15</v>
      </c>
      <c r="D2452" s="3">
        <v>3763.2</v>
      </c>
      <c r="E2452" s="3">
        <v>3670</v>
      </c>
      <c r="F2452" s="3">
        <v>3786</v>
      </c>
      <c r="G2452" s="3">
        <v>3671</v>
      </c>
      <c r="H2452" s="3">
        <v>3675.6</v>
      </c>
      <c r="I2452" s="3">
        <v>3701.2</v>
      </c>
      <c r="J2452" s="3">
        <v>4592.25</v>
      </c>
      <c r="K2452" s="3">
        <v>3591.5</v>
      </c>
      <c r="L2452" s="2">
        <v>2508516</v>
      </c>
      <c r="M2452" s="2">
        <v>9284523845.2000008</v>
      </c>
      <c r="N2452" s="2">
        <v>172279</v>
      </c>
      <c r="O2452" t="s">
        <v>25</v>
      </c>
      <c r="P2452" s="8">
        <f t="shared" si="114"/>
        <v>42.849999999999909</v>
      </c>
      <c r="Q2452" t="s">
        <v>38</v>
      </c>
      <c r="R2452">
        <f t="shared" si="115"/>
        <v>2</v>
      </c>
      <c r="S2452" t="str">
        <f t="shared" si="116"/>
        <v>Feb</v>
      </c>
      <c r="T2452" s="9">
        <f>VLOOKUP(O2452, Annual_Summary!A:B, 2, 0)</f>
        <v>-0.22036742088049704</v>
      </c>
    </row>
    <row r="2453" spans="1:20" x14ac:dyDescent="0.3">
      <c r="A2453" s="1">
        <v>45709</v>
      </c>
      <c r="B2453" t="s">
        <v>15</v>
      </c>
      <c r="C2453" s="3">
        <v>3776.1</v>
      </c>
      <c r="D2453" s="3">
        <v>3817</v>
      </c>
      <c r="E2453" s="3">
        <v>3775</v>
      </c>
      <c r="F2453" s="3">
        <v>3779.4</v>
      </c>
      <c r="G2453" s="3">
        <v>3789.9</v>
      </c>
      <c r="H2453" s="3">
        <v>3786</v>
      </c>
      <c r="I2453" s="3">
        <v>3792.04</v>
      </c>
      <c r="J2453" s="3">
        <v>4592.25</v>
      </c>
      <c r="K2453" s="3">
        <v>3591.5</v>
      </c>
      <c r="L2453" s="2">
        <v>1833931</v>
      </c>
      <c r="M2453" s="2">
        <v>6954338537.8000002</v>
      </c>
      <c r="N2453" s="2">
        <v>125392</v>
      </c>
      <c r="O2453" t="s">
        <v>25</v>
      </c>
      <c r="P2453" s="8">
        <f t="shared" si="114"/>
        <v>3.3000000000001819</v>
      </c>
      <c r="Q2453" t="s">
        <v>38</v>
      </c>
      <c r="R2453">
        <f t="shared" si="115"/>
        <v>2</v>
      </c>
      <c r="S2453" t="str">
        <f t="shared" si="116"/>
        <v>Feb</v>
      </c>
      <c r="T2453" s="9">
        <f>VLOOKUP(O2453, Annual_Summary!A:B, 2, 0)</f>
        <v>-0.22036742088049704</v>
      </c>
    </row>
    <row r="2454" spans="1:20" x14ac:dyDescent="0.3">
      <c r="A2454" s="1">
        <v>45708</v>
      </c>
      <c r="B2454" t="s">
        <v>15</v>
      </c>
      <c r="C2454" s="3">
        <v>3761.5</v>
      </c>
      <c r="D2454" s="3">
        <v>3788</v>
      </c>
      <c r="E2454" s="3">
        <v>3751.3</v>
      </c>
      <c r="F2454" s="3">
        <v>3784.1</v>
      </c>
      <c r="G2454" s="3">
        <v>3788</v>
      </c>
      <c r="H2454" s="3">
        <v>3779.4</v>
      </c>
      <c r="I2454" s="3">
        <v>3772.99</v>
      </c>
      <c r="J2454" s="3">
        <v>4592.25</v>
      </c>
      <c r="K2454" s="3">
        <v>3591.5</v>
      </c>
      <c r="L2454" s="2">
        <v>2888572</v>
      </c>
      <c r="M2454" s="2">
        <v>10898564437.85</v>
      </c>
      <c r="N2454" s="2">
        <v>184053</v>
      </c>
      <c r="O2454" t="s">
        <v>25</v>
      </c>
      <c r="P2454" s="8">
        <f t="shared" si="114"/>
        <v>22.599999999999909</v>
      </c>
      <c r="Q2454" t="s">
        <v>38</v>
      </c>
      <c r="R2454">
        <f t="shared" si="115"/>
        <v>2</v>
      </c>
      <c r="S2454" t="str">
        <f t="shared" si="116"/>
        <v>Feb</v>
      </c>
      <c r="T2454" s="9">
        <f>VLOOKUP(O2454, Annual_Summary!A:B, 2, 0)</f>
        <v>-0.22036742088049704</v>
      </c>
    </row>
    <row r="2455" spans="1:20" x14ac:dyDescent="0.3">
      <c r="A2455" s="1">
        <v>45707</v>
      </c>
      <c r="B2455" t="s">
        <v>15</v>
      </c>
      <c r="C2455" s="3">
        <v>3872.2</v>
      </c>
      <c r="D2455" s="3">
        <v>3874.95</v>
      </c>
      <c r="E2455" s="3">
        <v>3768.15</v>
      </c>
      <c r="F2455" s="3">
        <v>3873.2</v>
      </c>
      <c r="G2455" s="3">
        <v>3785</v>
      </c>
      <c r="H2455" s="3">
        <v>3784.1</v>
      </c>
      <c r="I2455" s="3">
        <v>3796.48</v>
      </c>
      <c r="J2455" s="3">
        <v>4592.25</v>
      </c>
      <c r="K2455" s="3">
        <v>3591.5</v>
      </c>
      <c r="L2455" s="2">
        <v>4366672</v>
      </c>
      <c r="M2455" s="2">
        <v>16578004180.700001</v>
      </c>
      <c r="N2455" s="2">
        <v>229923</v>
      </c>
      <c r="O2455" t="s">
        <v>25</v>
      </c>
      <c r="P2455" s="8">
        <f t="shared" si="114"/>
        <v>1</v>
      </c>
      <c r="Q2455" t="s">
        <v>38</v>
      </c>
      <c r="R2455">
        <f t="shared" si="115"/>
        <v>2</v>
      </c>
      <c r="S2455" t="str">
        <f t="shared" si="116"/>
        <v>Feb</v>
      </c>
      <c r="T2455" s="9">
        <f>VLOOKUP(O2455, Annual_Summary!A:B, 2, 0)</f>
        <v>-0.22036742088049704</v>
      </c>
    </row>
    <row r="2456" spans="1:20" x14ac:dyDescent="0.3">
      <c r="A2456" s="1">
        <v>45706</v>
      </c>
      <c r="B2456" t="s">
        <v>15</v>
      </c>
      <c r="C2456" s="3">
        <v>3898.4</v>
      </c>
      <c r="D2456" s="3">
        <v>3924.4</v>
      </c>
      <c r="E2456" s="3">
        <v>3864.5</v>
      </c>
      <c r="F2456" s="3">
        <v>3904.5</v>
      </c>
      <c r="G2456" s="3">
        <v>3873</v>
      </c>
      <c r="H2456" s="3">
        <v>3873.2</v>
      </c>
      <c r="I2456" s="3">
        <v>3891.66</v>
      </c>
      <c r="J2456" s="3">
        <v>4592.25</v>
      </c>
      <c r="K2456" s="3">
        <v>3591.5</v>
      </c>
      <c r="L2456" s="2">
        <v>2149879</v>
      </c>
      <c r="M2456" s="2">
        <v>8366596747.5500002</v>
      </c>
      <c r="N2456" s="2">
        <v>135773</v>
      </c>
      <c r="O2456" t="s">
        <v>25</v>
      </c>
      <c r="P2456" s="8">
        <f t="shared" si="114"/>
        <v>6.0999999999999091</v>
      </c>
      <c r="Q2456" t="s">
        <v>38</v>
      </c>
      <c r="R2456">
        <f t="shared" si="115"/>
        <v>2</v>
      </c>
      <c r="S2456" t="str">
        <f t="shared" si="116"/>
        <v>Feb</v>
      </c>
      <c r="T2456" s="9">
        <f>VLOOKUP(O2456, Annual_Summary!A:B, 2, 0)</f>
        <v>-0.22036742088049704</v>
      </c>
    </row>
    <row r="2457" spans="1:20" x14ac:dyDescent="0.3">
      <c r="A2457" s="1">
        <v>45705</v>
      </c>
      <c r="B2457" t="s">
        <v>15</v>
      </c>
      <c r="C2457" s="3">
        <v>3856.5</v>
      </c>
      <c r="D2457" s="3">
        <v>3934</v>
      </c>
      <c r="E2457" s="3">
        <v>3856.2</v>
      </c>
      <c r="F2457" s="3">
        <v>3934.85</v>
      </c>
      <c r="G2457" s="3">
        <v>3908</v>
      </c>
      <c r="H2457" s="3">
        <v>3904.5</v>
      </c>
      <c r="I2457" s="3">
        <v>3911.78</v>
      </c>
      <c r="J2457" s="3">
        <v>4592.25</v>
      </c>
      <c r="K2457" s="3">
        <v>3591.5</v>
      </c>
      <c r="L2457" s="2">
        <v>1799806</v>
      </c>
      <c r="M2457" s="2">
        <v>7040439519.8000002</v>
      </c>
      <c r="N2457" s="2">
        <v>168626</v>
      </c>
      <c r="O2457" t="s">
        <v>25</v>
      </c>
      <c r="P2457" s="8">
        <f t="shared" si="114"/>
        <v>78.349999999999909</v>
      </c>
      <c r="Q2457" t="s">
        <v>38</v>
      </c>
      <c r="R2457">
        <f t="shared" si="115"/>
        <v>2</v>
      </c>
      <c r="S2457" t="str">
        <f t="shared" si="116"/>
        <v>Feb</v>
      </c>
      <c r="T2457" s="9">
        <f>VLOOKUP(O2457, Annual_Summary!A:B, 2, 0)</f>
        <v>-0.22036742088049704</v>
      </c>
    </row>
    <row r="2458" spans="1:20" x14ac:dyDescent="0.3">
      <c r="A2458" s="1">
        <v>45702</v>
      </c>
      <c r="B2458" t="s">
        <v>15</v>
      </c>
      <c r="C2458" s="3">
        <v>3925</v>
      </c>
      <c r="D2458" s="3">
        <v>3948</v>
      </c>
      <c r="E2458" s="3">
        <v>3900</v>
      </c>
      <c r="F2458" s="3">
        <v>3910.15</v>
      </c>
      <c r="G2458" s="3">
        <v>3928</v>
      </c>
      <c r="H2458" s="3">
        <v>3934.85</v>
      </c>
      <c r="I2458" s="3">
        <v>3921.57</v>
      </c>
      <c r="J2458" s="3">
        <v>4592.25</v>
      </c>
      <c r="K2458" s="3">
        <v>3591.5</v>
      </c>
      <c r="L2458" s="2">
        <v>1681975</v>
      </c>
      <c r="M2458" s="2">
        <v>6595986554.0500002</v>
      </c>
      <c r="N2458" s="2">
        <v>163805</v>
      </c>
      <c r="O2458" t="s">
        <v>25</v>
      </c>
      <c r="P2458" s="8">
        <f t="shared" si="114"/>
        <v>-14.849999999999909</v>
      </c>
      <c r="Q2458" t="s">
        <v>38</v>
      </c>
      <c r="R2458">
        <f t="shared" si="115"/>
        <v>2</v>
      </c>
      <c r="S2458" t="str">
        <f t="shared" si="116"/>
        <v>Feb</v>
      </c>
      <c r="T2458" s="9">
        <f>VLOOKUP(O2458, Annual_Summary!A:B, 2, 0)</f>
        <v>-0.22036742088049704</v>
      </c>
    </row>
    <row r="2459" spans="1:20" x14ac:dyDescent="0.3">
      <c r="A2459" s="1">
        <v>45701</v>
      </c>
      <c r="B2459" t="s">
        <v>15</v>
      </c>
      <c r="C2459" s="3">
        <v>3968</v>
      </c>
      <c r="D2459" s="3">
        <v>3984.45</v>
      </c>
      <c r="E2459" s="3">
        <v>3902.25</v>
      </c>
      <c r="F2459" s="3">
        <v>3950.15</v>
      </c>
      <c r="G2459" s="3">
        <v>3920</v>
      </c>
      <c r="H2459" s="3">
        <v>3910.15</v>
      </c>
      <c r="I2459" s="3">
        <v>3930.8</v>
      </c>
      <c r="J2459" s="3">
        <v>4592.25</v>
      </c>
      <c r="K2459" s="3">
        <v>3591.5</v>
      </c>
      <c r="L2459" s="2">
        <v>2277310</v>
      </c>
      <c r="M2459" s="2">
        <v>8951639767.6000004</v>
      </c>
      <c r="N2459" s="2">
        <v>163030</v>
      </c>
      <c r="O2459" t="s">
        <v>25</v>
      </c>
      <c r="P2459" s="8">
        <f t="shared" si="114"/>
        <v>-17.849999999999909</v>
      </c>
      <c r="Q2459" t="s">
        <v>38</v>
      </c>
      <c r="R2459">
        <f t="shared" si="115"/>
        <v>2</v>
      </c>
      <c r="S2459" t="str">
        <f t="shared" si="116"/>
        <v>Feb</v>
      </c>
      <c r="T2459" s="9">
        <f>VLOOKUP(O2459, Annual_Summary!A:B, 2, 0)</f>
        <v>-0.22036742088049704</v>
      </c>
    </row>
    <row r="2460" spans="1:20" x14ac:dyDescent="0.3">
      <c r="A2460" s="1">
        <v>45700</v>
      </c>
      <c r="B2460" t="s">
        <v>15</v>
      </c>
      <c r="C2460" s="3">
        <v>3971.1</v>
      </c>
      <c r="D2460" s="3">
        <v>4021.75</v>
      </c>
      <c r="E2460" s="3">
        <v>3940.15</v>
      </c>
      <c r="F2460" s="3">
        <v>3963.55</v>
      </c>
      <c r="G2460" s="3">
        <v>3956.25</v>
      </c>
      <c r="H2460" s="3">
        <v>3950.15</v>
      </c>
      <c r="I2460" s="3">
        <v>3978.32</v>
      </c>
      <c r="J2460" s="3">
        <v>4592.25</v>
      </c>
      <c r="K2460" s="3">
        <v>3591.5</v>
      </c>
      <c r="L2460" s="2">
        <v>1678002</v>
      </c>
      <c r="M2460" s="2">
        <v>6675628781.9499998</v>
      </c>
      <c r="N2460" s="2">
        <v>128576</v>
      </c>
      <c r="O2460" t="s">
        <v>25</v>
      </c>
      <c r="P2460" s="8">
        <f t="shared" si="114"/>
        <v>-7.5499999999997272</v>
      </c>
      <c r="Q2460" t="s">
        <v>38</v>
      </c>
      <c r="R2460">
        <f t="shared" si="115"/>
        <v>2</v>
      </c>
      <c r="S2460" t="str">
        <f t="shared" si="116"/>
        <v>Feb</v>
      </c>
      <c r="T2460" s="9">
        <f>VLOOKUP(O2460, Annual_Summary!A:B, 2, 0)</f>
        <v>-0.22036742088049704</v>
      </c>
    </row>
    <row r="2461" spans="1:20" x14ac:dyDescent="0.3">
      <c r="A2461" s="1">
        <v>45699</v>
      </c>
      <c r="B2461" t="s">
        <v>15</v>
      </c>
      <c r="C2461" s="3">
        <v>4018.4</v>
      </c>
      <c r="D2461" s="3">
        <v>4040</v>
      </c>
      <c r="E2461" s="3">
        <v>3955</v>
      </c>
      <c r="F2461" s="3">
        <v>4036.95</v>
      </c>
      <c r="G2461" s="3">
        <v>3967</v>
      </c>
      <c r="H2461" s="3">
        <v>3963.55</v>
      </c>
      <c r="I2461" s="3">
        <v>3989.58</v>
      </c>
      <c r="J2461" s="3">
        <v>4592.25</v>
      </c>
      <c r="K2461" s="3">
        <v>3591.5</v>
      </c>
      <c r="L2461" s="2">
        <v>1810908</v>
      </c>
      <c r="M2461" s="2">
        <v>7224758107.0500002</v>
      </c>
      <c r="N2461" s="2">
        <v>121478</v>
      </c>
      <c r="O2461" t="s">
        <v>25</v>
      </c>
      <c r="P2461" s="8">
        <f t="shared" si="114"/>
        <v>18.549999999999727</v>
      </c>
      <c r="Q2461" t="s">
        <v>38</v>
      </c>
      <c r="R2461">
        <f t="shared" si="115"/>
        <v>2</v>
      </c>
      <c r="S2461" t="str">
        <f t="shared" si="116"/>
        <v>Feb</v>
      </c>
      <c r="T2461" s="9">
        <f>VLOOKUP(O2461, Annual_Summary!A:B, 2, 0)</f>
        <v>-0.22036742088049704</v>
      </c>
    </row>
    <row r="2462" spans="1:20" x14ac:dyDescent="0.3">
      <c r="A2462" s="1">
        <v>45698</v>
      </c>
      <c r="B2462" t="s">
        <v>15</v>
      </c>
      <c r="C2462" s="3">
        <v>4040</v>
      </c>
      <c r="D2462" s="3">
        <v>4052</v>
      </c>
      <c r="E2462" s="3">
        <v>4014.35</v>
      </c>
      <c r="F2462" s="3">
        <v>4029.4</v>
      </c>
      <c r="G2462" s="3">
        <v>4034</v>
      </c>
      <c r="H2462" s="3">
        <v>4036.95</v>
      </c>
      <c r="I2462" s="3">
        <v>4035.26</v>
      </c>
      <c r="J2462" s="3">
        <v>4592.25</v>
      </c>
      <c r="K2462" s="3">
        <v>3591.5</v>
      </c>
      <c r="L2462" s="2">
        <v>1339511</v>
      </c>
      <c r="M2462" s="2">
        <v>5405279190.4499998</v>
      </c>
      <c r="N2462" s="2">
        <v>133697</v>
      </c>
      <c r="O2462" t="s">
        <v>25</v>
      </c>
      <c r="P2462" s="8">
        <f t="shared" si="114"/>
        <v>-10.599999999999909</v>
      </c>
      <c r="Q2462" t="s">
        <v>38</v>
      </c>
      <c r="R2462">
        <f t="shared" si="115"/>
        <v>2</v>
      </c>
      <c r="S2462" t="str">
        <f t="shared" si="116"/>
        <v>Feb</v>
      </c>
      <c r="T2462" s="9">
        <f>VLOOKUP(O2462, Annual_Summary!A:B, 2, 0)</f>
        <v>-0.22036742088049704</v>
      </c>
    </row>
    <row r="2463" spans="1:20" x14ac:dyDescent="0.3">
      <c r="A2463" s="1">
        <v>45695</v>
      </c>
      <c r="B2463" t="s">
        <v>15</v>
      </c>
      <c r="C2463" s="3">
        <v>4090</v>
      </c>
      <c r="D2463" s="3">
        <v>4090</v>
      </c>
      <c r="E2463" s="3">
        <v>4008</v>
      </c>
      <c r="F2463" s="3">
        <v>4082.75</v>
      </c>
      <c r="G2463" s="3">
        <v>4032</v>
      </c>
      <c r="H2463" s="3">
        <v>4029.4</v>
      </c>
      <c r="I2463" s="3">
        <v>4033.06</v>
      </c>
      <c r="J2463" s="3">
        <v>4592.25</v>
      </c>
      <c r="K2463" s="3">
        <v>3591.5</v>
      </c>
      <c r="L2463" s="2">
        <v>1548940</v>
      </c>
      <c r="M2463" s="2">
        <v>6246965406.3999996</v>
      </c>
      <c r="N2463" s="2">
        <v>177110</v>
      </c>
      <c r="O2463" t="s">
        <v>25</v>
      </c>
      <c r="P2463" s="8">
        <f t="shared" si="114"/>
        <v>-7.25</v>
      </c>
      <c r="Q2463" t="s">
        <v>38</v>
      </c>
      <c r="R2463">
        <f t="shared" si="115"/>
        <v>2</v>
      </c>
      <c r="S2463" t="str">
        <f t="shared" si="116"/>
        <v>Feb</v>
      </c>
      <c r="T2463" s="9">
        <f>VLOOKUP(O2463, Annual_Summary!A:B, 2, 0)</f>
        <v>-0.22036742088049704</v>
      </c>
    </row>
    <row r="2464" spans="1:20" x14ac:dyDescent="0.3">
      <c r="A2464" s="1">
        <v>45694</v>
      </c>
      <c r="B2464" t="s">
        <v>15</v>
      </c>
      <c r="C2464" s="3">
        <v>4105.3999999999996</v>
      </c>
      <c r="D2464" s="3">
        <v>4139.5</v>
      </c>
      <c r="E2464" s="3">
        <v>4051.55</v>
      </c>
      <c r="F2464" s="3">
        <v>4091.1</v>
      </c>
      <c r="G2464" s="3">
        <v>4087</v>
      </c>
      <c r="H2464" s="3">
        <v>4082.75</v>
      </c>
      <c r="I2464" s="3">
        <v>4080.65</v>
      </c>
      <c r="J2464" s="3">
        <v>4592.25</v>
      </c>
      <c r="K2464" s="3">
        <v>3591.5</v>
      </c>
      <c r="L2464" s="2">
        <v>2284536</v>
      </c>
      <c r="M2464" s="2">
        <v>9322389842.5</v>
      </c>
      <c r="N2464" s="2">
        <v>183903</v>
      </c>
      <c r="O2464" t="s">
        <v>25</v>
      </c>
      <c r="P2464" s="8">
        <f t="shared" si="114"/>
        <v>-14.299999999999727</v>
      </c>
      <c r="Q2464" t="s">
        <v>38</v>
      </c>
      <c r="R2464">
        <f t="shared" si="115"/>
        <v>2</v>
      </c>
      <c r="S2464" t="str">
        <f t="shared" si="116"/>
        <v>Feb</v>
      </c>
      <c r="T2464" s="9">
        <f>VLOOKUP(O2464, Annual_Summary!A:B, 2, 0)</f>
        <v>-0.22036742088049704</v>
      </c>
    </row>
    <row r="2465" spans="1:20" x14ac:dyDescent="0.3">
      <c r="A2465" s="1">
        <v>45693</v>
      </c>
      <c r="B2465" t="s">
        <v>15</v>
      </c>
      <c r="C2465" s="3">
        <v>4150</v>
      </c>
      <c r="D2465" s="3">
        <v>4150</v>
      </c>
      <c r="E2465" s="3">
        <v>4076</v>
      </c>
      <c r="F2465" s="3">
        <v>4107.05</v>
      </c>
      <c r="G2465" s="3">
        <v>4086</v>
      </c>
      <c r="H2465" s="3">
        <v>4091.1</v>
      </c>
      <c r="I2465" s="3">
        <v>4096.29</v>
      </c>
      <c r="J2465" s="3">
        <v>4592.25</v>
      </c>
      <c r="K2465" s="3">
        <v>3591.5</v>
      </c>
      <c r="L2465" s="2">
        <v>1693912</v>
      </c>
      <c r="M2465" s="2">
        <v>6938752665.75</v>
      </c>
      <c r="N2465" s="2">
        <v>130235</v>
      </c>
      <c r="O2465" t="s">
        <v>25</v>
      </c>
      <c r="P2465" s="8">
        <f t="shared" si="114"/>
        <v>-42.949999999999818</v>
      </c>
      <c r="Q2465" t="s">
        <v>38</v>
      </c>
      <c r="R2465">
        <f t="shared" si="115"/>
        <v>2</v>
      </c>
      <c r="S2465" t="str">
        <f t="shared" si="116"/>
        <v>Feb</v>
      </c>
      <c r="T2465" s="9">
        <f>VLOOKUP(O2465, Annual_Summary!A:B, 2, 0)</f>
        <v>-0.22036742088049704</v>
      </c>
    </row>
    <row r="2466" spans="1:20" x14ac:dyDescent="0.3">
      <c r="A2466" s="1">
        <v>45692</v>
      </c>
      <c r="B2466" t="s">
        <v>15</v>
      </c>
      <c r="C2466" s="3">
        <v>4083.7</v>
      </c>
      <c r="D2466" s="3">
        <v>4118.8500000000004</v>
      </c>
      <c r="E2466" s="3">
        <v>4066.05</v>
      </c>
      <c r="F2466" s="3">
        <v>4068.65</v>
      </c>
      <c r="G2466" s="3">
        <v>4105.1499999999996</v>
      </c>
      <c r="H2466" s="3">
        <v>4107.05</v>
      </c>
      <c r="I2466" s="3">
        <v>4098</v>
      </c>
      <c r="J2466" s="3">
        <v>4592.25</v>
      </c>
      <c r="K2466" s="3">
        <v>3591.5</v>
      </c>
      <c r="L2466" s="2">
        <v>2547132</v>
      </c>
      <c r="M2466" s="2">
        <v>10438141551.799999</v>
      </c>
      <c r="N2466" s="2">
        <v>141942</v>
      </c>
      <c r="O2466" t="s">
        <v>25</v>
      </c>
      <c r="P2466" s="8">
        <f t="shared" si="114"/>
        <v>-15.049999999999727</v>
      </c>
      <c r="Q2466" t="s">
        <v>38</v>
      </c>
      <c r="R2466">
        <f t="shared" si="115"/>
        <v>2</v>
      </c>
      <c r="S2466" t="str">
        <f t="shared" si="116"/>
        <v>Feb</v>
      </c>
      <c r="T2466" s="9">
        <f>VLOOKUP(O2466, Annual_Summary!A:B, 2, 0)</f>
        <v>-0.22036742088049704</v>
      </c>
    </row>
    <row r="2467" spans="1:20" x14ac:dyDescent="0.3">
      <c r="A2467" s="1">
        <v>45691</v>
      </c>
      <c r="B2467" t="s">
        <v>15</v>
      </c>
      <c r="C2467" s="3">
        <v>4030.9</v>
      </c>
      <c r="D2467" s="3">
        <v>4077</v>
      </c>
      <c r="E2467" s="3">
        <v>3998.7</v>
      </c>
      <c r="F2467" s="3">
        <v>4073.15</v>
      </c>
      <c r="G2467" s="3">
        <v>4064</v>
      </c>
      <c r="H2467" s="3">
        <v>4068.65</v>
      </c>
      <c r="I2467" s="3">
        <v>4045.97</v>
      </c>
      <c r="J2467" s="3">
        <v>4592.25</v>
      </c>
      <c r="K2467" s="3">
        <v>3591.5</v>
      </c>
      <c r="L2467" s="2">
        <v>1265713</v>
      </c>
      <c r="M2467" s="2">
        <v>5121041211</v>
      </c>
      <c r="N2467" s="2">
        <v>155134</v>
      </c>
      <c r="O2467" t="s">
        <v>25</v>
      </c>
      <c r="P2467" s="8">
        <f t="shared" si="114"/>
        <v>42.25</v>
      </c>
      <c r="Q2467" t="s">
        <v>38</v>
      </c>
      <c r="R2467">
        <f t="shared" si="115"/>
        <v>2</v>
      </c>
      <c r="S2467" t="str">
        <f t="shared" si="116"/>
        <v>Feb</v>
      </c>
      <c r="T2467" s="9">
        <f>VLOOKUP(O2467, Annual_Summary!A:B, 2, 0)</f>
        <v>-0.22036742088049704</v>
      </c>
    </row>
    <row r="2468" spans="1:20" x14ac:dyDescent="0.3">
      <c r="A2468" s="1">
        <v>45689</v>
      </c>
      <c r="B2468" t="s">
        <v>15</v>
      </c>
      <c r="C2468" s="3">
        <v>4113</v>
      </c>
      <c r="D2468" s="3">
        <v>4135.8999999999996</v>
      </c>
      <c r="E2468" s="3">
        <v>4056</v>
      </c>
      <c r="F2468" s="3">
        <v>4112.3999999999996</v>
      </c>
      <c r="G2468" s="3">
        <v>4073</v>
      </c>
      <c r="H2468" s="3">
        <v>4073.15</v>
      </c>
      <c r="I2468" s="3">
        <v>4082.48</v>
      </c>
      <c r="J2468" s="3">
        <v>4592.25</v>
      </c>
      <c r="K2468" s="3">
        <v>3591.5</v>
      </c>
      <c r="L2468" s="2">
        <v>437172</v>
      </c>
      <c r="M2468" s="2">
        <v>1784747121.0999999</v>
      </c>
      <c r="N2468" s="2">
        <v>49186</v>
      </c>
      <c r="O2468" t="s">
        <v>25</v>
      </c>
      <c r="P2468" s="8">
        <f t="shared" si="114"/>
        <v>-0.6000000000003638</v>
      </c>
      <c r="Q2468" t="s">
        <v>38</v>
      </c>
      <c r="R2468">
        <f t="shared" si="115"/>
        <v>2</v>
      </c>
      <c r="S2468" t="str">
        <f t="shared" si="116"/>
        <v>Feb</v>
      </c>
      <c r="T2468" s="9">
        <f>VLOOKUP(O2468, Annual_Summary!A:B, 2, 0)</f>
        <v>-0.22036742088049704</v>
      </c>
    </row>
    <row r="2469" spans="1:20" x14ac:dyDescent="0.3">
      <c r="A2469" s="1">
        <v>45688</v>
      </c>
      <c r="B2469" t="s">
        <v>15</v>
      </c>
      <c r="C2469" s="3">
        <v>4110</v>
      </c>
      <c r="D2469" s="3">
        <v>4128.45</v>
      </c>
      <c r="E2469" s="3">
        <v>4085.25</v>
      </c>
      <c r="F2469" s="3">
        <v>4100.05</v>
      </c>
      <c r="G2469" s="3">
        <v>4114.1499999999996</v>
      </c>
      <c r="H2469" s="3">
        <v>4112.3999999999996</v>
      </c>
      <c r="I2469" s="3">
        <v>4106.05</v>
      </c>
      <c r="J2469" s="3">
        <v>4592.25</v>
      </c>
      <c r="K2469" s="3">
        <v>3591.5</v>
      </c>
      <c r="L2469" s="2">
        <v>1492943</v>
      </c>
      <c r="M2469" s="2">
        <v>6130103902.1999998</v>
      </c>
      <c r="N2469" s="2">
        <v>121858</v>
      </c>
      <c r="O2469" t="s">
        <v>25</v>
      </c>
      <c r="P2469" s="8">
        <f t="shared" si="114"/>
        <v>-9.9499999999998181</v>
      </c>
      <c r="Q2469" t="s">
        <v>38</v>
      </c>
      <c r="R2469">
        <f t="shared" si="115"/>
        <v>1</v>
      </c>
      <c r="S2469" t="str">
        <f t="shared" si="116"/>
        <v>Jan</v>
      </c>
      <c r="T2469" s="9">
        <f>VLOOKUP(O2469, Annual_Summary!A:B, 2, 0)</f>
        <v>-0.22036742088049704</v>
      </c>
    </row>
    <row r="2470" spans="1:20" x14ac:dyDescent="0.3">
      <c r="A2470" s="1">
        <v>45687</v>
      </c>
      <c r="B2470" t="s">
        <v>15</v>
      </c>
      <c r="C2470" s="3">
        <v>4099.8999999999996</v>
      </c>
      <c r="D2470" s="3">
        <v>4129.8999999999996</v>
      </c>
      <c r="E2470" s="3">
        <v>4058.5</v>
      </c>
      <c r="F2470" s="3">
        <v>4099.8</v>
      </c>
      <c r="G2470" s="3">
        <v>4100</v>
      </c>
      <c r="H2470" s="3">
        <v>4100.05</v>
      </c>
      <c r="I2470" s="3">
        <v>4098.87</v>
      </c>
      <c r="J2470" s="3">
        <v>4592.25</v>
      </c>
      <c r="K2470" s="3">
        <v>3591.5</v>
      </c>
      <c r="L2470" s="2">
        <v>1531251</v>
      </c>
      <c r="M2470" s="2">
        <v>6276404777.8999996</v>
      </c>
      <c r="N2470" s="2">
        <v>97767</v>
      </c>
      <c r="O2470" t="s">
        <v>25</v>
      </c>
      <c r="P2470" s="8">
        <f t="shared" si="114"/>
        <v>-9.9999999999454303E-2</v>
      </c>
      <c r="Q2470" t="s">
        <v>38</v>
      </c>
      <c r="R2470">
        <f t="shared" si="115"/>
        <v>1</v>
      </c>
      <c r="S2470" t="str">
        <f t="shared" si="116"/>
        <v>Jan</v>
      </c>
      <c r="T2470" s="9">
        <f>VLOOKUP(O2470, Annual_Summary!A:B, 2, 0)</f>
        <v>-0.22036742088049704</v>
      </c>
    </row>
    <row r="2471" spans="1:20" x14ac:dyDescent="0.3">
      <c r="A2471" s="1">
        <v>45686</v>
      </c>
      <c r="B2471" t="s">
        <v>15</v>
      </c>
      <c r="C2471" s="3">
        <v>4054</v>
      </c>
      <c r="D2471" s="3">
        <v>4107.8500000000004</v>
      </c>
      <c r="E2471" s="3">
        <v>4054</v>
      </c>
      <c r="F2471" s="3">
        <v>4040.3</v>
      </c>
      <c r="G2471" s="3">
        <v>4105</v>
      </c>
      <c r="H2471" s="3">
        <v>4099.8</v>
      </c>
      <c r="I2471" s="3">
        <v>4091.12</v>
      </c>
      <c r="J2471" s="3">
        <v>4592.25</v>
      </c>
      <c r="K2471" s="3">
        <v>3591.5</v>
      </c>
      <c r="L2471" s="2">
        <v>1217089</v>
      </c>
      <c r="M2471" s="2">
        <v>4979253773</v>
      </c>
      <c r="N2471" s="2">
        <v>108284</v>
      </c>
      <c r="O2471" t="s">
        <v>25</v>
      </c>
      <c r="P2471" s="8">
        <f t="shared" si="114"/>
        <v>-13.699999999999818</v>
      </c>
      <c r="Q2471" t="s">
        <v>38</v>
      </c>
      <c r="R2471">
        <f t="shared" si="115"/>
        <v>1</v>
      </c>
      <c r="S2471" t="str">
        <f t="shared" si="116"/>
        <v>Jan</v>
      </c>
      <c r="T2471" s="9">
        <f>VLOOKUP(O2471, Annual_Summary!A:B, 2, 0)</f>
        <v>-0.22036742088049704</v>
      </c>
    </row>
    <row r="2472" spans="1:20" x14ac:dyDescent="0.3">
      <c r="A2472" s="1">
        <v>45685</v>
      </c>
      <c r="B2472" t="s">
        <v>15</v>
      </c>
      <c r="C2472" s="3">
        <v>4070.8</v>
      </c>
      <c r="D2472" s="3">
        <v>4102</v>
      </c>
      <c r="E2472" s="3">
        <v>4028.3</v>
      </c>
      <c r="F2472" s="3">
        <v>4065.15</v>
      </c>
      <c r="G2472" s="3">
        <v>4040</v>
      </c>
      <c r="H2472" s="3">
        <v>4040.3</v>
      </c>
      <c r="I2472" s="3">
        <v>4057.3</v>
      </c>
      <c r="J2472" s="3">
        <v>4592.25</v>
      </c>
      <c r="K2472" s="3">
        <v>3591.5</v>
      </c>
      <c r="L2472" s="2">
        <v>2468272</v>
      </c>
      <c r="M2472" s="2">
        <v>10014514674.15</v>
      </c>
      <c r="N2472" s="2">
        <v>150121</v>
      </c>
      <c r="O2472" t="s">
        <v>25</v>
      </c>
      <c r="P2472" s="8">
        <f t="shared" si="114"/>
        <v>-5.6500000000000909</v>
      </c>
      <c r="Q2472" t="s">
        <v>38</v>
      </c>
      <c r="R2472">
        <f t="shared" si="115"/>
        <v>1</v>
      </c>
      <c r="S2472" t="str">
        <f t="shared" si="116"/>
        <v>Jan</v>
      </c>
      <c r="T2472" s="9">
        <f>VLOOKUP(O2472, Annual_Summary!A:B, 2, 0)</f>
        <v>-0.22036742088049704</v>
      </c>
    </row>
    <row r="2473" spans="1:20" x14ac:dyDescent="0.3">
      <c r="A2473" s="1">
        <v>45684</v>
      </c>
      <c r="B2473" t="s">
        <v>15</v>
      </c>
      <c r="C2473" s="3">
        <v>4102</v>
      </c>
      <c r="D2473" s="3">
        <v>4156.3500000000004</v>
      </c>
      <c r="E2473" s="3">
        <v>4041.05</v>
      </c>
      <c r="F2473" s="3">
        <v>4152.3500000000004</v>
      </c>
      <c r="G2473" s="3">
        <v>4067</v>
      </c>
      <c r="H2473" s="3">
        <v>4065.15</v>
      </c>
      <c r="I2473" s="3">
        <v>4088.62</v>
      </c>
      <c r="J2473" s="3">
        <v>4592.25</v>
      </c>
      <c r="K2473" s="3">
        <v>3591.5</v>
      </c>
      <c r="L2473" s="2">
        <v>1551782</v>
      </c>
      <c r="M2473" s="2">
        <v>6344644149.25</v>
      </c>
      <c r="N2473" s="2">
        <v>143859</v>
      </c>
      <c r="O2473" t="s">
        <v>25</v>
      </c>
      <c r="P2473" s="8">
        <f t="shared" si="114"/>
        <v>50.350000000000364</v>
      </c>
      <c r="Q2473" t="s">
        <v>38</v>
      </c>
      <c r="R2473">
        <f t="shared" si="115"/>
        <v>1</v>
      </c>
      <c r="S2473" t="str">
        <f t="shared" si="116"/>
        <v>Jan</v>
      </c>
      <c r="T2473" s="9">
        <f>VLOOKUP(O2473, Annual_Summary!A:B, 2, 0)</f>
        <v>-0.22036742088049704</v>
      </c>
    </row>
    <row r="2474" spans="1:20" x14ac:dyDescent="0.3">
      <c r="A2474" s="1">
        <v>45681</v>
      </c>
      <c r="B2474" t="s">
        <v>15</v>
      </c>
      <c r="C2474" s="3">
        <v>4104</v>
      </c>
      <c r="D2474" s="3">
        <v>4178</v>
      </c>
      <c r="E2474" s="3">
        <v>4104</v>
      </c>
      <c r="F2474" s="3">
        <v>4145.45</v>
      </c>
      <c r="G2474" s="3">
        <v>4153.1000000000004</v>
      </c>
      <c r="H2474" s="3">
        <v>4152.3500000000004</v>
      </c>
      <c r="I2474" s="3">
        <v>4155.62</v>
      </c>
      <c r="J2474" s="3">
        <v>4592.25</v>
      </c>
      <c r="K2474" s="3">
        <v>3591.5</v>
      </c>
      <c r="L2474" s="2">
        <v>1910099</v>
      </c>
      <c r="M2474" s="2">
        <v>7937640859.1999998</v>
      </c>
      <c r="N2474" s="2">
        <v>99760</v>
      </c>
      <c r="O2474" t="s">
        <v>25</v>
      </c>
      <c r="P2474" s="8">
        <f t="shared" si="114"/>
        <v>41.449999999999818</v>
      </c>
      <c r="Q2474" t="s">
        <v>38</v>
      </c>
      <c r="R2474">
        <f t="shared" si="115"/>
        <v>1</v>
      </c>
      <c r="S2474" t="str">
        <f t="shared" si="116"/>
        <v>Jan</v>
      </c>
      <c r="T2474" s="9">
        <f>VLOOKUP(O2474, Annual_Summary!A:B, 2, 0)</f>
        <v>-0.22036742088049704</v>
      </c>
    </row>
    <row r="2475" spans="1:20" x14ac:dyDescent="0.3">
      <c r="A2475" s="1">
        <v>45680</v>
      </c>
      <c r="B2475" t="s">
        <v>15</v>
      </c>
      <c r="C2475" s="3">
        <v>4168</v>
      </c>
      <c r="D2475" s="3">
        <v>4191.3500000000004</v>
      </c>
      <c r="E2475" s="3">
        <v>4140.05</v>
      </c>
      <c r="F2475" s="3">
        <v>4156.6000000000004</v>
      </c>
      <c r="G2475" s="3">
        <v>4148</v>
      </c>
      <c r="H2475" s="3">
        <v>4145.45</v>
      </c>
      <c r="I2475" s="3">
        <v>4161.12</v>
      </c>
      <c r="J2475" s="3">
        <v>4592.25</v>
      </c>
      <c r="K2475" s="3">
        <v>3591.5</v>
      </c>
      <c r="L2475" s="2">
        <v>1822998</v>
      </c>
      <c r="M2475" s="2">
        <v>7585718475.3999996</v>
      </c>
      <c r="N2475" s="2">
        <v>139860</v>
      </c>
      <c r="O2475" t="s">
        <v>25</v>
      </c>
      <c r="P2475" s="8">
        <f t="shared" si="114"/>
        <v>-11.399999999999636</v>
      </c>
      <c r="Q2475" t="s">
        <v>38</v>
      </c>
      <c r="R2475">
        <f t="shared" si="115"/>
        <v>1</v>
      </c>
      <c r="S2475" t="str">
        <f t="shared" si="116"/>
        <v>Jan</v>
      </c>
      <c r="T2475" s="9">
        <f>VLOOKUP(O2475, Annual_Summary!A:B, 2, 0)</f>
        <v>-0.22036742088049704</v>
      </c>
    </row>
    <row r="2476" spans="1:20" x14ac:dyDescent="0.3">
      <c r="A2476" s="1">
        <v>45679</v>
      </c>
      <c r="B2476" t="s">
        <v>15</v>
      </c>
      <c r="C2476" s="3">
        <v>4050</v>
      </c>
      <c r="D2476" s="3">
        <v>4163.1499999999996</v>
      </c>
      <c r="E2476" s="3">
        <v>4044.2</v>
      </c>
      <c r="F2476" s="3">
        <v>4035.85</v>
      </c>
      <c r="G2476" s="3">
        <v>4152</v>
      </c>
      <c r="H2476" s="3">
        <v>4156.6000000000004</v>
      </c>
      <c r="I2476" s="3">
        <v>4132.4799999999996</v>
      </c>
      <c r="J2476" s="3">
        <v>4592.25</v>
      </c>
      <c r="K2476" s="3">
        <v>3591.5</v>
      </c>
      <c r="L2476" s="2">
        <v>2409223</v>
      </c>
      <c r="M2476" s="2">
        <v>9956065096.7000008</v>
      </c>
      <c r="N2476" s="2">
        <v>153702</v>
      </c>
      <c r="O2476" t="s">
        <v>25</v>
      </c>
      <c r="P2476" s="8">
        <f t="shared" si="114"/>
        <v>-14.150000000000091</v>
      </c>
      <c r="Q2476" t="s">
        <v>38</v>
      </c>
      <c r="R2476">
        <f t="shared" si="115"/>
        <v>1</v>
      </c>
      <c r="S2476" t="str">
        <f t="shared" si="116"/>
        <v>Jan</v>
      </c>
      <c r="T2476" s="9">
        <f>VLOOKUP(O2476, Annual_Summary!A:B, 2, 0)</f>
        <v>-0.22036742088049704</v>
      </c>
    </row>
    <row r="2477" spans="1:20" x14ac:dyDescent="0.3">
      <c r="A2477" s="1">
        <v>45678</v>
      </c>
      <c r="B2477" t="s">
        <v>15</v>
      </c>
      <c r="C2477" s="3">
        <v>4095.3</v>
      </c>
      <c r="D2477" s="3">
        <v>4111</v>
      </c>
      <c r="E2477" s="3">
        <v>4030</v>
      </c>
      <c r="F2477" s="3">
        <v>4077.8</v>
      </c>
      <c r="G2477" s="3">
        <v>4038</v>
      </c>
      <c r="H2477" s="3">
        <v>4035.85</v>
      </c>
      <c r="I2477" s="3">
        <v>4065.27</v>
      </c>
      <c r="J2477" s="3">
        <v>4592.25</v>
      </c>
      <c r="K2477" s="3">
        <v>3591.5</v>
      </c>
      <c r="L2477" s="2">
        <v>1971591</v>
      </c>
      <c r="M2477" s="2">
        <v>8015045148</v>
      </c>
      <c r="N2477" s="2">
        <v>148666</v>
      </c>
      <c r="O2477" t="s">
        <v>25</v>
      </c>
      <c r="P2477" s="8">
        <f t="shared" si="114"/>
        <v>-17.5</v>
      </c>
      <c r="Q2477" t="s">
        <v>38</v>
      </c>
      <c r="R2477">
        <f t="shared" si="115"/>
        <v>1</v>
      </c>
      <c r="S2477" t="str">
        <f t="shared" si="116"/>
        <v>Jan</v>
      </c>
      <c r="T2477" s="9">
        <f>VLOOKUP(O2477, Annual_Summary!A:B, 2, 0)</f>
        <v>-0.22036742088049704</v>
      </c>
    </row>
    <row r="2478" spans="1:20" x14ac:dyDescent="0.3">
      <c r="A2478" s="1">
        <v>45677</v>
      </c>
      <c r="B2478" t="s">
        <v>15</v>
      </c>
      <c r="C2478" s="3">
        <v>4145.8</v>
      </c>
      <c r="D2478" s="3">
        <v>4145.8</v>
      </c>
      <c r="E2478" s="3">
        <v>4068.1</v>
      </c>
      <c r="F2478" s="3">
        <v>4124.3</v>
      </c>
      <c r="G2478" s="3">
        <v>4080</v>
      </c>
      <c r="H2478" s="3">
        <v>4077.8</v>
      </c>
      <c r="I2478" s="3">
        <v>4085.51</v>
      </c>
      <c r="J2478" s="3">
        <v>4592.25</v>
      </c>
      <c r="K2478" s="3">
        <v>3591.5</v>
      </c>
      <c r="L2478" s="2">
        <v>1287799</v>
      </c>
      <c r="M2478" s="2">
        <v>5261320398.8000002</v>
      </c>
      <c r="N2478" s="2">
        <v>148489</v>
      </c>
      <c r="O2478" t="s">
        <v>25</v>
      </c>
      <c r="P2478" s="8">
        <f t="shared" si="114"/>
        <v>-21.5</v>
      </c>
      <c r="Q2478" t="s">
        <v>38</v>
      </c>
      <c r="R2478">
        <f t="shared" si="115"/>
        <v>1</v>
      </c>
      <c r="S2478" t="str">
        <f t="shared" si="116"/>
        <v>Jan</v>
      </c>
      <c r="T2478" s="9">
        <f>VLOOKUP(O2478, Annual_Summary!A:B, 2, 0)</f>
        <v>-0.22036742088049704</v>
      </c>
    </row>
    <row r="2479" spans="1:20" x14ac:dyDescent="0.3">
      <c r="A2479" s="1">
        <v>45674</v>
      </c>
      <c r="B2479" t="s">
        <v>15</v>
      </c>
      <c r="C2479" s="3">
        <v>4159.8999999999996</v>
      </c>
      <c r="D2479" s="3">
        <v>4160.6000000000004</v>
      </c>
      <c r="E2479" s="3">
        <v>4100.05</v>
      </c>
      <c r="F2479" s="3">
        <v>4206.3</v>
      </c>
      <c r="G2479" s="3">
        <v>4130</v>
      </c>
      <c r="H2479" s="3">
        <v>4124.3</v>
      </c>
      <c r="I2479" s="3">
        <v>4132.6000000000004</v>
      </c>
      <c r="J2479" s="3">
        <v>4592.25</v>
      </c>
      <c r="K2479" s="3">
        <v>3591.5</v>
      </c>
      <c r="L2479" s="2">
        <v>1761466</v>
      </c>
      <c r="M2479" s="2">
        <v>7279436408.25</v>
      </c>
      <c r="N2479" s="2">
        <v>157671</v>
      </c>
      <c r="O2479" t="s">
        <v>25</v>
      </c>
      <c r="P2479" s="8">
        <f t="shared" si="114"/>
        <v>46.400000000000546</v>
      </c>
      <c r="Q2479" t="s">
        <v>38</v>
      </c>
      <c r="R2479">
        <f t="shared" si="115"/>
        <v>1</v>
      </c>
      <c r="S2479" t="str">
        <f t="shared" si="116"/>
        <v>Jan</v>
      </c>
      <c r="T2479" s="9">
        <f>VLOOKUP(O2479, Annual_Summary!A:B, 2, 0)</f>
        <v>-0.22036742088049704</v>
      </c>
    </row>
    <row r="2480" spans="1:20" x14ac:dyDescent="0.3">
      <c r="A2480" s="1">
        <v>45673</v>
      </c>
      <c r="B2480" t="s">
        <v>15</v>
      </c>
      <c r="C2480" s="3">
        <v>4260</v>
      </c>
      <c r="D2480" s="3">
        <v>4294</v>
      </c>
      <c r="E2480" s="3">
        <v>4191.8500000000004</v>
      </c>
      <c r="F2480" s="3">
        <v>4249.6000000000004</v>
      </c>
      <c r="G2480" s="3">
        <v>4215</v>
      </c>
      <c r="H2480" s="3">
        <v>4206.3</v>
      </c>
      <c r="I2480" s="3">
        <v>4212.91</v>
      </c>
      <c r="J2480" s="3">
        <v>4592.25</v>
      </c>
      <c r="K2480" s="3">
        <v>3591.5</v>
      </c>
      <c r="L2480" s="2">
        <v>2637705</v>
      </c>
      <c r="M2480" s="2">
        <v>11112418871.4</v>
      </c>
      <c r="N2480" s="2">
        <v>176306</v>
      </c>
      <c r="O2480" t="s">
        <v>25</v>
      </c>
      <c r="P2480" s="8">
        <f t="shared" si="114"/>
        <v>-10.399999999999636</v>
      </c>
      <c r="Q2480" t="s">
        <v>38</v>
      </c>
      <c r="R2480">
        <f t="shared" si="115"/>
        <v>1</v>
      </c>
      <c r="S2480" t="str">
        <f t="shared" si="116"/>
        <v>Jan</v>
      </c>
      <c r="T2480" s="9">
        <f>VLOOKUP(O2480, Annual_Summary!A:B, 2, 0)</f>
        <v>-0.22036742088049704</v>
      </c>
    </row>
    <row r="2481" spans="1:20" x14ac:dyDescent="0.3">
      <c r="A2481" s="1">
        <v>45672</v>
      </c>
      <c r="B2481" t="s">
        <v>15</v>
      </c>
      <c r="C2481" s="3">
        <v>4218</v>
      </c>
      <c r="D2481" s="3">
        <v>4256.45</v>
      </c>
      <c r="E2481" s="3">
        <v>4207.45</v>
      </c>
      <c r="F2481" s="3">
        <v>4233.05</v>
      </c>
      <c r="G2481" s="3">
        <v>4255.3999999999996</v>
      </c>
      <c r="H2481" s="3">
        <v>4249.6000000000004</v>
      </c>
      <c r="I2481" s="3">
        <v>4229.68</v>
      </c>
      <c r="J2481" s="3">
        <v>4592.25</v>
      </c>
      <c r="K2481" s="3">
        <v>3591.5</v>
      </c>
      <c r="L2481" s="2">
        <v>1653474</v>
      </c>
      <c r="M2481" s="2">
        <v>6993667215.6000004</v>
      </c>
      <c r="N2481" s="2">
        <v>130857</v>
      </c>
      <c r="O2481" t="s">
        <v>25</v>
      </c>
      <c r="P2481" s="8">
        <f t="shared" si="114"/>
        <v>15.050000000000182</v>
      </c>
      <c r="Q2481" t="s">
        <v>38</v>
      </c>
      <c r="R2481">
        <f t="shared" si="115"/>
        <v>1</v>
      </c>
      <c r="S2481" t="str">
        <f t="shared" si="116"/>
        <v>Jan</v>
      </c>
      <c r="T2481" s="9">
        <f>VLOOKUP(O2481, Annual_Summary!A:B, 2, 0)</f>
        <v>-0.22036742088049704</v>
      </c>
    </row>
    <row r="2482" spans="1:20" x14ac:dyDescent="0.3">
      <c r="A2482" s="1">
        <v>45671</v>
      </c>
      <c r="B2482" t="s">
        <v>15</v>
      </c>
      <c r="C2482" s="3">
        <v>4302</v>
      </c>
      <c r="D2482" s="3">
        <v>4313.8999999999996</v>
      </c>
      <c r="E2482" s="3">
        <v>4219.05</v>
      </c>
      <c r="F2482" s="3">
        <v>4291.1000000000004</v>
      </c>
      <c r="G2482" s="3">
        <v>4241.1499999999996</v>
      </c>
      <c r="H2482" s="3">
        <v>4233.05</v>
      </c>
      <c r="I2482" s="3">
        <v>4252.0600000000004</v>
      </c>
      <c r="J2482" s="3">
        <v>4592.25</v>
      </c>
      <c r="K2482" s="3">
        <v>3591.5</v>
      </c>
      <c r="L2482" s="2">
        <v>3441709</v>
      </c>
      <c r="M2482" s="2">
        <v>14634369218.5</v>
      </c>
      <c r="N2482" s="2">
        <v>180842</v>
      </c>
      <c r="O2482" t="s">
        <v>25</v>
      </c>
      <c r="P2482" s="8">
        <f t="shared" si="114"/>
        <v>-10.899999999999636</v>
      </c>
      <c r="Q2482" t="s">
        <v>38</v>
      </c>
      <c r="R2482">
        <f t="shared" si="115"/>
        <v>1</v>
      </c>
      <c r="S2482" t="str">
        <f t="shared" si="116"/>
        <v>Jan</v>
      </c>
      <c r="T2482" s="9">
        <f>VLOOKUP(O2482, Annual_Summary!A:B, 2, 0)</f>
        <v>-0.22036742088049704</v>
      </c>
    </row>
    <row r="2483" spans="1:20" x14ac:dyDescent="0.3">
      <c r="A2483" s="1">
        <v>45670</v>
      </c>
      <c r="B2483" t="s">
        <v>15</v>
      </c>
      <c r="C2483" s="3">
        <v>4245</v>
      </c>
      <c r="D2483" s="3">
        <v>4322.95</v>
      </c>
      <c r="E2483" s="3">
        <v>4227.3999999999996</v>
      </c>
      <c r="F2483" s="3">
        <v>4265.6499999999996</v>
      </c>
      <c r="G2483" s="3">
        <v>4299</v>
      </c>
      <c r="H2483" s="3">
        <v>4291.1000000000004</v>
      </c>
      <c r="I2483" s="3">
        <v>4294.04</v>
      </c>
      <c r="J2483" s="3">
        <v>4592.25</v>
      </c>
      <c r="K2483" s="3">
        <v>3591.5</v>
      </c>
      <c r="L2483" s="2">
        <v>4003771</v>
      </c>
      <c r="M2483" s="2">
        <v>17192353666.25</v>
      </c>
      <c r="N2483" s="2">
        <v>270932</v>
      </c>
      <c r="O2483" t="s">
        <v>25</v>
      </c>
      <c r="P2483" s="8">
        <f t="shared" si="114"/>
        <v>20.649999999999636</v>
      </c>
      <c r="Q2483" t="s">
        <v>38</v>
      </c>
      <c r="R2483">
        <f t="shared" si="115"/>
        <v>1</v>
      </c>
      <c r="S2483" t="str">
        <f t="shared" si="116"/>
        <v>Jan</v>
      </c>
      <c r="T2483" s="9">
        <f>VLOOKUP(O2483, Annual_Summary!A:B, 2, 0)</f>
        <v>-0.22036742088049704</v>
      </c>
    </row>
    <row r="2484" spans="1:20" x14ac:dyDescent="0.3">
      <c r="A2484" s="1">
        <v>45667</v>
      </c>
      <c r="B2484" t="s">
        <v>15</v>
      </c>
      <c r="C2484" s="3">
        <v>4200</v>
      </c>
      <c r="D2484" s="3">
        <v>4297</v>
      </c>
      <c r="E2484" s="3">
        <v>4170</v>
      </c>
      <c r="F2484" s="3">
        <v>4038.85</v>
      </c>
      <c r="G2484" s="3">
        <v>4265</v>
      </c>
      <c r="H2484" s="3">
        <v>4265.6499999999996</v>
      </c>
      <c r="I2484" s="3">
        <v>4240.63</v>
      </c>
      <c r="J2484" s="3">
        <v>4592.25</v>
      </c>
      <c r="K2484" s="3">
        <v>3591.5</v>
      </c>
      <c r="L2484" s="2">
        <v>7894300</v>
      </c>
      <c r="M2484" s="2">
        <v>33476809439.650002</v>
      </c>
      <c r="N2484" s="2">
        <v>436975</v>
      </c>
      <c r="O2484" t="s">
        <v>25</v>
      </c>
      <c r="P2484" s="8">
        <f t="shared" si="114"/>
        <v>-161.15000000000009</v>
      </c>
      <c r="Q2484" t="s">
        <v>38</v>
      </c>
      <c r="R2484">
        <f t="shared" si="115"/>
        <v>1</v>
      </c>
      <c r="S2484" t="str">
        <f t="shared" si="116"/>
        <v>Jan</v>
      </c>
      <c r="T2484" s="9">
        <f>VLOOKUP(O2484, Annual_Summary!A:B, 2, 0)</f>
        <v>-0.22036742088049704</v>
      </c>
    </row>
    <row r="2485" spans="1:20" x14ac:dyDescent="0.3">
      <c r="A2485" s="1">
        <v>45666</v>
      </c>
      <c r="B2485" t="s">
        <v>15</v>
      </c>
      <c r="C2485" s="3">
        <v>4101</v>
      </c>
      <c r="D2485" s="3">
        <v>4137.75</v>
      </c>
      <c r="E2485" s="3">
        <v>4025.3</v>
      </c>
      <c r="F2485" s="3">
        <v>4108.3999999999996</v>
      </c>
      <c r="G2485" s="3">
        <v>4044</v>
      </c>
      <c r="H2485" s="3">
        <v>4038.85</v>
      </c>
      <c r="I2485" s="3">
        <v>4073.67</v>
      </c>
      <c r="J2485" s="3">
        <v>4592.25</v>
      </c>
      <c r="K2485" s="3">
        <v>3591.5</v>
      </c>
      <c r="L2485" s="2">
        <v>2392472</v>
      </c>
      <c r="M2485" s="2">
        <v>9746149398.3500004</v>
      </c>
      <c r="N2485" s="2">
        <v>183446</v>
      </c>
      <c r="O2485" t="s">
        <v>25</v>
      </c>
      <c r="P2485" s="8">
        <f t="shared" si="114"/>
        <v>7.3999999999996362</v>
      </c>
      <c r="Q2485" t="s">
        <v>38</v>
      </c>
      <c r="R2485">
        <f t="shared" si="115"/>
        <v>1</v>
      </c>
      <c r="S2485" t="str">
        <f t="shared" si="116"/>
        <v>Jan</v>
      </c>
      <c r="T2485" s="9">
        <f>VLOOKUP(O2485, Annual_Summary!A:B, 2, 0)</f>
        <v>-0.22036742088049704</v>
      </c>
    </row>
    <row r="2486" spans="1:20" x14ac:dyDescent="0.3">
      <c r="A2486" s="1">
        <v>45665</v>
      </c>
      <c r="B2486" t="s">
        <v>15</v>
      </c>
      <c r="C2486" s="3">
        <v>4034.9</v>
      </c>
      <c r="D2486" s="3">
        <v>4126</v>
      </c>
      <c r="E2486" s="3">
        <v>4017.75</v>
      </c>
      <c r="F2486" s="3">
        <v>4028.3</v>
      </c>
      <c r="G2486" s="3">
        <v>4095.05</v>
      </c>
      <c r="H2486" s="3">
        <v>4108.3999999999996</v>
      </c>
      <c r="I2486" s="3">
        <v>4056.18</v>
      </c>
      <c r="J2486" s="3">
        <v>4592.25</v>
      </c>
      <c r="K2486" s="3">
        <v>3591.5</v>
      </c>
      <c r="L2486" s="2">
        <v>2181277</v>
      </c>
      <c r="M2486" s="2">
        <v>8847652251.5</v>
      </c>
      <c r="N2486" s="2">
        <v>180073</v>
      </c>
      <c r="O2486" t="s">
        <v>25</v>
      </c>
      <c r="P2486" s="8">
        <f t="shared" si="114"/>
        <v>-6.5999999999999091</v>
      </c>
      <c r="Q2486" t="s">
        <v>38</v>
      </c>
      <c r="R2486">
        <f t="shared" si="115"/>
        <v>1</v>
      </c>
      <c r="S2486" t="str">
        <f t="shared" si="116"/>
        <v>Jan</v>
      </c>
      <c r="T2486" s="9">
        <f>VLOOKUP(O2486, Annual_Summary!A:B, 2, 0)</f>
        <v>-0.22036742088049704</v>
      </c>
    </row>
    <row r="2487" spans="1:20" x14ac:dyDescent="0.3">
      <c r="A2487" s="1">
        <v>45664</v>
      </c>
      <c r="B2487" t="s">
        <v>15</v>
      </c>
      <c r="C2487" s="3">
        <v>4114.95</v>
      </c>
      <c r="D2487" s="3">
        <v>4140.3500000000004</v>
      </c>
      <c r="E2487" s="3">
        <v>4011.55</v>
      </c>
      <c r="F2487" s="3">
        <v>4095</v>
      </c>
      <c r="G2487" s="3">
        <v>4031</v>
      </c>
      <c r="H2487" s="3">
        <v>4028.3</v>
      </c>
      <c r="I2487" s="3">
        <v>4045.86</v>
      </c>
      <c r="J2487" s="3">
        <v>4592.25</v>
      </c>
      <c r="K2487" s="3">
        <v>3591.5</v>
      </c>
      <c r="L2487" s="2">
        <v>2669054</v>
      </c>
      <c r="M2487" s="2">
        <v>10798629271.200001</v>
      </c>
      <c r="N2487" s="2">
        <v>177825</v>
      </c>
      <c r="O2487" t="s">
        <v>25</v>
      </c>
      <c r="P2487" s="8">
        <f t="shared" si="114"/>
        <v>-19.949999999999818</v>
      </c>
      <c r="Q2487" t="s">
        <v>38</v>
      </c>
      <c r="R2487">
        <f t="shared" si="115"/>
        <v>1</v>
      </c>
      <c r="S2487" t="str">
        <f t="shared" si="116"/>
        <v>Jan</v>
      </c>
      <c r="T2487" s="9">
        <f>VLOOKUP(O2487, Annual_Summary!A:B, 2, 0)</f>
        <v>-0.22036742088049704</v>
      </c>
    </row>
    <row r="2488" spans="1:20" x14ac:dyDescent="0.3">
      <c r="A2488" s="1">
        <v>45663</v>
      </c>
      <c r="B2488" t="s">
        <v>15</v>
      </c>
      <c r="C2488" s="3">
        <v>4105.5</v>
      </c>
      <c r="D2488" s="3">
        <v>4149.6499999999996</v>
      </c>
      <c r="E2488" s="3">
        <v>4066.4</v>
      </c>
      <c r="F2488" s="3">
        <v>4099.8999999999996</v>
      </c>
      <c r="G2488" s="3">
        <v>4090</v>
      </c>
      <c r="H2488" s="3">
        <v>4095</v>
      </c>
      <c r="I2488" s="3">
        <v>4107.1400000000003</v>
      </c>
      <c r="J2488" s="3">
        <v>4592.25</v>
      </c>
      <c r="K2488" s="3">
        <v>3591.5</v>
      </c>
      <c r="L2488" s="2">
        <v>2085593</v>
      </c>
      <c r="M2488" s="2">
        <v>8565822653.6999998</v>
      </c>
      <c r="N2488" s="2">
        <v>158660</v>
      </c>
      <c r="O2488" t="s">
        <v>25</v>
      </c>
      <c r="P2488" s="8">
        <f t="shared" si="114"/>
        <v>-5.6000000000003638</v>
      </c>
      <c r="Q2488" t="s">
        <v>38</v>
      </c>
      <c r="R2488">
        <f t="shared" si="115"/>
        <v>1</v>
      </c>
      <c r="S2488" t="str">
        <f t="shared" si="116"/>
        <v>Jan</v>
      </c>
      <c r="T2488" s="9">
        <f>VLOOKUP(O2488, Annual_Summary!A:B, 2, 0)</f>
        <v>-0.22036742088049704</v>
      </c>
    </row>
    <row r="2489" spans="1:20" x14ac:dyDescent="0.3">
      <c r="A2489" s="1">
        <v>45660</v>
      </c>
      <c r="B2489" t="s">
        <v>15</v>
      </c>
      <c r="C2489" s="3">
        <v>4179.95</v>
      </c>
      <c r="D2489" s="3">
        <v>4179.95</v>
      </c>
      <c r="E2489" s="3">
        <v>4092.3</v>
      </c>
      <c r="F2489" s="3">
        <v>4175.75</v>
      </c>
      <c r="G2489" s="3">
        <v>4097</v>
      </c>
      <c r="H2489" s="3">
        <v>4099.8999999999996</v>
      </c>
      <c r="I2489" s="3">
        <v>4114.17</v>
      </c>
      <c r="J2489" s="3">
        <v>4592.25</v>
      </c>
      <c r="K2489" s="3">
        <v>3591.5</v>
      </c>
      <c r="L2489" s="2">
        <v>1791953</v>
      </c>
      <c r="M2489" s="2">
        <v>7372404407.8500004</v>
      </c>
      <c r="N2489" s="2">
        <v>125354</v>
      </c>
      <c r="O2489" t="s">
        <v>25</v>
      </c>
      <c r="P2489" s="8">
        <f t="shared" si="114"/>
        <v>-4.1999999999998181</v>
      </c>
      <c r="Q2489" t="s">
        <v>38</v>
      </c>
      <c r="R2489">
        <f t="shared" si="115"/>
        <v>1</v>
      </c>
      <c r="S2489" t="str">
        <f t="shared" si="116"/>
        <v>Jan</v>
      </c>
      <c r="T2489" s="9">
        <f>VLOOKUP(O2489, Annual_Summary!A:B, 2, 0)</f>
        <v>-0.22036742088049704</v>
      </c>
    </row>
    <row r="2490" spans="1:20" x14ac:dyDescent="0.3">
      <c r="A2490" s="1">
        <v>45659</v>
      </c>
      <c r="B2490" t="s">
        <v>15</v>
      </c>
      <c r="C2490" s="3">
        <v>4120</v>
      </c>
      <c r="D2490" s="3">
        <v>4183</v>
      </c>
      <c r="E2490" s="3">
        <v>4096.95</v>
      </c>
      <c r="F2490" s="3">
        <v>4112.45</v>
      </c>
      <c r="G2490" s="3">
        <v>4166</v>
      </c>
      <c r="H2490" s="3">
        <v>4175.75</v>
      </c>
      <c r="I2490" s="3">
        <v>4159.7700000000004</v>
      </c>
      <c r="J2490" s="3">
        <v>4592.25</v>
      </c>
      <c r="K2490" s="3">
        <v>3591.5</v>
      </c>
      <c r="L2490" s="2">
        <v>1720835</v>
      </c>
      <c r="M2490" s="2">
        <v>7158273705.25</v>
      </c>
      <c r="N2490" s="2">
        <v>124549</v>
      </c>
      <c r="O2490" t="s">
        <v>25</v>
      </c>
      <c r="P2490" s="8">
        <f t="shared" si="114"/>
        <v>-7.5500000000001819</v>
      </c>
      <c r="Q2490" t="s">
        <v>38</v>
      </c>
      <c r="R2490">
        <f t="shared" si="115"/>
        <v>1</v>
      </c>
      <c r="S2490" t="str">
        <f t="shared" si="116"/>
        <v>Jan</v>
      </c>
      <c r="T2490" s="9">
        <f>VLOOKUP(O2490, Annual_Summary!A:B, 2, 0)</f>
        <v>-0.22036742088049704</v>
      </c>
    </row>
    <row r="2491" spans="1:20" x14ac:dyDescent="0.3">
      <c r="A2491" s="1">
        <v>45658</v>
      </c>
      <c r="B2491" t="s">
        <v>15</v>
      </c>
      <c r="C2491" s="3">
        <v>4094.4</v>
      </c>
      <c r="D2491" s="3">
        <v>4134</v>
      </c>
      <c r="E2491" s="3">
        <v>4085.45</v>
      </c>
      <c r="F2491" s="3">
        <v>4094.8</v>
      </c>
      <c r="G2491" s="3">
        <v>4112</v>
      </c>
      <c r="H2491" s="3">
        <v>4112.45</v>
      </c>
      <c r="I2491" s="3">
        <v>4112.75</v>
      </c>
      <c r="J2491" s="3">
        <v>4592.25</v>
      </c>
      <c r="K2491" s="3">
        <v>3591.5</v>
      </c>
      <c r="L2491" s="2">
        <v>763161</v>
      </c>
      <c r="M2491" s="2">
        <v>3138692117.1500001</v>
      </c>
      <c r="N2491" s="2">
        <v>99498</v>
      </c>
      <c r="O2491" t="s">
        <v>25</v>
      </c>
      <c r="P2491" s="8">
        <f t="shared" si="114"/>
        <v>0.40000000000009095</v>
      </c>
      <c r="Q2491" t="s">
        <v>38</v>
      </c>
      <c r="R2491">
        <f t="shared" si="115"/>
        <v>1</v>
      </c>
      <c r="S2491" t="str">
        <f t="shared" si="116"/>
        <v>Jan</v>
      </c>
      <c r="T2491" s="9">
        <f>VLOOKUP(O2491, Annual_Summary!A:B, 2, 0)</f>
        <v>-0.22036742088049704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D8AB2-1E64-405F-A486-8BDA60E50A19}">
  <dimension ref="A1:F11"/>
  <sheetViews>
    <sheetView workbookViewId="0">
      <selection activeCell="C2" sqref="C2"/>
    </sheetView>
  </sheetViews>
  <sheetFormatPr defaultRowHeight="14.4" x14ac:dyDescent="0.3"/>
  <cols>
    <col min="1" max="1" width="12.44140625" bestFit="1" customWidth="1"/>
    <col min="2" max="3" width="9.6640625" bestFit="1" customWidth="1"/>
    <col min="4" max="4" width="14.6640625" bestFit="1" customWidth="1"/>
  </cols>
  <sheetData>
    <row r="1" spans="1:6" x14ac:dyDescent="0.3">
      <c r="A1" t="s">
        <v>27</v>
      </c>
      <c r="B1" t="s">
        <v>28</v>
      </c>
      <c r="C1" t="s">
        <v>29</v>
      </c>
      <c r="D1" t="s">
        <v>30</v>
      </c>
    </row>
    <row r="2" spans="1:6" x14ac:dyDescent="0.3">
      <c r="A2" t="str" cm="1">
        <f t="array" ref="A2:A11">_xlfn.UNIQUE(Raw_Data_Analysis!$O$2:$O$2491)</f>
        <v>BHARTIAIRTEL</v>
      </c>
      <c r="B2" cm="1">
        <f t="array" ref="B2">INDEX(_xlfn._xlws.SORT(_xlfn._xlws.FILTER(_xlfn.HSTACK(Raw_Data_Analysis!A:A, Raw_Data_Analysis!H:H), Raw_Data_Analysis!O:O=A2), 1, 1), 1, 2)</f>
        <v>1595.7</v>
      </c>
      <c r="C2" cm="1">
        <f t="array" ref="C2">INDEX(_xlfn._xlws.SORT(_xlfn._xlws.FILTER(_xlfn.HSTACK(Raw_Data_Analysis!A:A, Raw_Data_Analysis!H:H), Raw_Data_Analysis!O:O=A2), 1, -1), 1, 2)</f>
        <v>2105.6</v>
      </c>
      <c r="D2" s="9">
        <f t="shared" ref="D2:D11" si="0">(C2 - B2) / B2</f>
        <v>0.31954628062919088</v>
      </c>
      <c r="F2">
        <f>AVERAGE(B2:B11)</f>
        <v>1738.95</v>
      </c>
    </row>
    <row r="3" spans="1:6" x14ac:dyDescent="0.3">
      <c r="A3" t="str">
        <v>HCLTECH</v>
      </c>
      <c r="B3" cm="1">
        <f t="array" ref="B3">INDEX(_xlfn._xlws.SORT(_xlfn._xlws.FILTER(_xlfn.HSTACK(Raw_Data_Analysis!A:A, Raw_Data_Analysis!H:H), Raw_Data_Analysis!O:O=A3), 1, 1), 1, 2)</f>
        <v>1911.95</v>
      </c>
      <c r="C3" cm="1">
        <f t="array" ref="C3">INDEX(_xlfn._xlws.SORT(_xlfn._xlws.FILTER(_xlfn.HSTACK(Raw_Data_Analysis!A:A, Raw_Data_Analysis!H:H), Raw_Data_Analysis!O:O=A3), 1, -1), 1, 2)</f>
        <v>1623.3</v>
      </c>
      <c r="D3" s="9">
        <f t="shared" si="0"/>
        <v>-0.15097152122178931</v>
      </c>
    </row>
    <row r="4" spans="1:6" x14ac:dyDescent="0.3">
      <c r="A4" t="str">
        <v>HDFCBANK</v>
      </c>
      <c r="B4" cm="1">
        <f t="array" ref="B4">INDEX(_xlfn._xlws.SORT(_xlfn._xlws.FILTER(_xlfn.HSTACK(Raw_Data_Analysis!A:A, Raw_Data_Analysis!H:H), Raw_Data_Analysis!O:O=A4), 1, 1), 1, 2)</f>
        <v>1782.75</v>
      </c>
      <c r="C4" cm="1">
        <f t="array" ref="C4">INDEX(_xlfn._xlws.SORT(_xlfn._xlws.FILTER(_xlfn.HSTACK(Raw_Data_Analysis!A:A, Raw_Data_Analysis!H:H), Raw_Data_Analysis!O:O=A4), 1, -1), 1, 2)</f>
        <v>991.2</v>
      </c>
      <c r="D4" s="9">
        <f t="shared" si="0"/>
        <v>-0.4440050483803113</v>
      </c>
    </row>
    <row r="5" spans="1:6" x14ac:dyDescent="0.3">
      <c r="A5" t="str">
        <v>HINDUNILVR</v>
      </c>
      <c r="B5" cm="1">
        <f t="array" ref="B5">INDEX(_xlfn._xlws.SORT(_xlfn._xlws.FILTER(_xlfn.HSTACK(Raw_Data_Analysis!A:A, Raw_Data_Analysis!H:H), Raw_Data_Analysis!O:O=A5), 1, 1), 1, 2)</f>
        <v>2322.1</v>
      </c>
      <c r="C5" cm="1">
        <f t="array" ref="C5">INDEX(_xlfn._xlws.SORT(_xlfn._xlws.FILTER(_xlfn.HSTACK(Raw_Data_Analysis!A:A, Raw_Data_Analysis!H:H), Raw_Data_Analysis!O:O=A5), 1, -1), 1, 2)</f>
        <v>2315.9</v>
      </c>
      <c r="D5" s="9">
        <f t="shared" si="0"/>
        <v>-2.6699969854871962E-3</v>
      </c>
    </row>
    <row r="6" spans="1:6" x14ac:dyDescent="0.3">
      <c r="A6" t="str">
        <v>ICICIBANK</v>
      </c>
      <c r="B6" cm="1">
        <f t="array" ref="B6">INDEX(_xlfn._xlws.SORT(_xlfn._xlws.FILTER(_xlfn.HSTACK(Raw_Data_Analysis!A:A, Raw_Data_Analysis!H:H), Raw_Data_Analysis!O:O=A6), 1, 1), 1, 2)</f>
        <v>1283.6500000000001</v>
      </c>
      <c r="C6" cm="1">
        <f t="array" ref="C6">INDEX(_xlfn._xlws.SORT(_xlfn._xlws.FILTER(_xlfn.HSTACK(Raw_Data_Analysis!A:A, Raw_Data_Analysis!H:H), Raw_Data_Analysis!O:O=A6), 1, -1), 1, 2)</f>
        <v>1342.9</v>
      </c>
      <c r="D6" s="9">
        <f t="shared" si="0"/>
        <v>4.6157441670237213E-2</v>
      </c>
    </row>
    <row r="7" spans="1:6" x14ac:dyDescent="0.3">
      <c r="A7" t="str">
        <v>INFY</v>
      </c>
      <c r="B7" cm="1">
        <f t="array" ref="B7">INDEX(_xlfn._xlws.SORT(_xlfn._xlws.FILTER(_xlfn.HSTACK(Raw_Data_Analysis!A:A, Raw_Data_Analysis!H:H), Raw_Data_Analysis!O:O=A7), 1, 1), 1, 2)</f>
        <v>1882.5</v>
      </c>
      <c r="C7" cm="1">
        <f t="array" ref="C7">INDEX(_xlfn._xlws.SORT(_xlfn._xlws.FILTER(_xlfn.HSTACK(Raw_Data_Analysis!A:A, Raw_Data_Analysis!H:H), Raw_Data_Analysis!O:O=A7), 1, -1), 1, 2)</f>
        <v>1615.4</v>
      </c>
      <c r="D7" s="9">
        <f t="shared" si="0"/>
        <v>-0.14188579017264272</v>
      </c>
    </row>
    <row r="8" spans="1:6" x14ac:dyDescent="0.3">
      <c r="A8" t="str">
        <v>ITC</v>
      </c>
      <c r="B8" cm="1">
        <f t="array" ref="B8">INDEX(_xlfn._xlws.SORT(_xlfn._xlws.FILTER(_xlfn.HSTACK(Raw_Data_Analysis!A:A, Raw_Data_Analysis!H:H), Raw_Data_Analysis!O:O=A8), 1, 1), 1, 2)</f>
        <v>483.95</v>
      </c>
      <c r="C8" cm="1">
        <f t="array" ref="C8">INDEX(_xlfn._xlws.SORT(_xlfn._xlws.FILTER(_xlfn.HSTACK(Raw_Data_Analysis!A:A, Raw_Data_Analysis!H:H), Raw_Data_Analysis!O:O=A8), 1, -1), 1, 2)</f>
        <v>403</v>
      </c>
      <c r="D8" s="9">
        <f t="shared" si="0"/>
        <v>-0.16726934600681886</v>
      </c>
    </row>
    <row r="9" spans="1:6" x14ac:dyDescent="0.3">
      <c r="A9" t="str">
        <v>RELIANCE</v>
      </c>
      <c r="B9" cm="1">
        <f t="array" ref="B9">INDEX(_xlfn._xlws.SORT(_xlfn._xlws.FILTER(_xlfn.HSTACK(Raw_Data_Analysis!A:A, Raw_Data_Analysis!H:H), Raw_Data_Analysis!O:O=A9), 1, 1), 1, 2)</f>
        <v>1221.25</v>
      </c>
      <c r="C9" cm="1">
        <f t="array" ref="C9">INDEX(_xlfn._xlws.SORT(_xlfn._xlws.FILTER(_xlfn.HSTACK(Raw_Data_Analysis!A:A, Raw_Data_Analysis!H:H), Raw_Data_Analysis!O:O=A9), 1, -1), 1, 2)</f>
        <v>1570.4</v>
      </c>
      <c r="D9" s="9">
        <f t="shared" si="0"/>
        <v>0.2858955987717503</v>
      </c>
    </row>
    <row r="10" spans="1:6" x14ac:dyDescent="0.3">
      <c r="A10" t="str">
        <v>SBIN</v>
      </c>
      <c r="B10" cm="1">
        <f t="array" ref="B10">INDEX(_xlfn._xlws.SORT(_xlfn._xlws.FILTER(_xlfn.HSTACK(Raw_Data_Analysis!A:A, Raw_Data_Analysis!H:H), Raw_Data_Analysis!O:O=A10), 1, 1), 1, 2)</f>
        <v>793.2</v>
      </c>
      <c r="C10" cm="1">
        <f t="array" ref="C10">INDEX(_xlfn._xlws.SORT(_xlfn._xlws.FILTER(_xlfn.HSTACK(Raw_Data_Analysis!A:A, Raw_Data_Analysis!H:H), Raw_Data_Analysis!O:O=A10), 1, -1), 1, 2)</f>
        <v>982.2</v>
      </c>
      <c r="D10" s="9">
        <f t="shared" si="0"/>
        <v>0.23827534039334342</v>
      </c>
    </row>
    <row r="11" spans="1:6" x14ac:dyDescent="0.3">
      <c r="A11" t="str">
        <v>TCS</v>
      </c>
      <c r="B11" cm="1">
        <f t="array" ref="B11">INDEX(_xlfn._xlws.SORT(_xlfn._xlws.FILTER(_xlfn.HSTACK(Raw_Data_Analysis!A:A, Raw_Data_Analysis!H:H), Raw_Data_Analysis!O:O=A11), 1, 1), 1, 2)</f>
        <v>4112.45</v>
      </c>
      <c r="C11" cm="1">
        <f t="array" ref="C11">INDEX(_xlfn._xlws.SORT(_xlfn._xlws.FILTER(_xlfn.HSTACK(Raw_Data_Analysis!A:A, Raw_Data_Analysis!H:H), Raw_Data_Analysis!O:O=A11), 1, -1), 1, 2)</f>
        <v>3206.2</v>
      </c>
      <c r="D11" s="9">
        <f t="shared" si="0"/>
        <v>-0.22036742088049704</v>
      </c>
    </row>
  </sheetData>
  <sortState xmlns:xlrd2="http://schemas.microsoft.com/office/spreadsheetml/2017/richdata2" ref="D2:D11">
    <sortCondition ref="D2:D1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71F3E-F4B5-4A43-8C66-9C0D731105A2}">
  <dimension ref="A1:R13"/>
  <sheetViews>
    <sheetView showGridLines="0" tabSelected="1" workbookViewId="0">
      <selection activeCell="C1" sqref="C1:N1"/>
    </sheetView>
  </sheetViews>
  <sheetFormatPr defaultRowHeight="14.4" x14ac:dyDescent="0.3"/>
  <cols>
    <col min="1" max="1" width="13.77734375" bestFit="1" customWidth="1"/>
    <col min="2" max="4" width="14.109375" bestFit="1" customWidth="1"/>
    <col min="18" max="18" width="0" hidden="1" customWidth="1"/>
  </cols>
  <sheetData>
    <row r="1" spans="1:18" ht="21" x14ac:dyDescent="0.4">
      <c r="C1" s="15" t="s">
        <v>33</v>
      </c>
      <c r="D1" s="15"/>
      <c r="E1" s="15"/>
      <c r="F1" s="15"/>
      <c r="G1" s="15"/>
      <c r="H1" s="15"/>
      <c r="I1" s="15"/>
      <c r="J1" s="15"/>
      <c r="K1" s="15"/>
      <c r="L1" s="15"/>
      <c r="M1" s="15"/>
      <c r="N1" s="15"/>
    </row>
    <row r="3" spans="1:18" x14ac:dyDescent="0.3">
      <c r="A3" s="6" t="s">
        <v>32</v>
      </c>
      <c r="B3" t="s">
        <v>31</v>
      </c>
      <c r="R3" s="11">
        <f>AVERAGE(B4:B13)</f>
        <v>-2.3729446218302457E-2</v>
      </c>
    </row>
    <row r="4" spans="1:18" x14ac:dyDescent="0.3">
      <c r="A4" s="7" t="s">
        <v>16</v>
      </c>
      <c r="B4" s="10">
        <v>0.31954628062919088</v>
      </c>
      <c r="R4" t="str">
        <f>INDEX(A4:A13, MATCH(MAX(B4:B13), B4:B13, 0))</f>
        <v>BHARTIAIRTEL</v>
      </c>
    </row>
    <row r="5" spans="1:18" ht="15" x14ac:dyDescent="0.35">
      <c r="A5" s="7" t="s">
        <v>23</v>
      </c>
      <c r="B5" s="10">
        <v>0.2858955987717503</v>
      </c>
      <c r="R5" s="12" t="str">
        <f>INDEX(A4:A13, MATCH(MIN(B4:B13), B4:B13, 0))</f>
        <v>HDFCBANK</v>
      </c>
    </row>
    <row r="6" spans="1:18" x14ac:dyDescent="0.3">
      <c r="A6" s="7" t="s">
        <v>24</v>
      </c>
      <c r="B6" s="10">
        <v>0.23827534039334342</v>
      </c>
    </row>
    <row r="7" spans="1:18" x14ac:dyDescent="0.3">
      <c r="A7" s="7" t="s">
        <v>20</v>
      </c>
      <c r="B7" s="10">
        <v>4.6157441670237213E-2</v>
      </c>
    </row>
    <row r="8" spans="1:18" x14ac:dyDescent="0.3">
      <c r="A8" s="7" t="s">
        <v>19</v>
      </c>
      <c r="B8" s="10">
        <v>-2.6699969854871962E-3</v>
      </c>
    </row>
    <row r="9" spans="1:18" x14ac:dyDescent="0.3">
      <c r="A9" s="7" t="s">
        <v>21</v>
      </c>
      <c r="B9" s="10">
        <v>-0.14188579017264272</v>
      </c>
    </row>
    <row r="10" spans="1:18" x14ac:dyDescent="0.3">
      <c r="A10" s="7" t="s">
        <v>17</v>
      </c>
      <c r="B10" s="10">
        <v>-0.15097152122178931</v>
      </c>
    </row>
    <row r="11" spans="1:18" x14ac:dyDescent="0.3">
      <c r="A11" s="7" t="s">
        <v>22</v>
      </c>
      <c r="B11" s="10">
        <v>-0.16726934600681886</v>
      </c>
    </row>
    <row r="12" spans="1:18" x14ac:dyDescent="0.3">
      <c r="A12" s="7" t="s">
        <v>25</v>
      </c>
      <c r="B12" s="10">
        <v>-0.22036742088049704</v>
      </c>
    </row>
    <row r="13" spans="1:18" x14ac:dyDescent="0.3">
      <c r="A13" s="7" t="s">
        <v>18</v>
      </c>
      <c r="B13" s="10">
        <v>-0.4440050483803113</v>
      </c>
    </row>
  </sheetData>
  <mergeCells count="1">
    <mergeCell ref="C1:N1"/>
  </mergeCells>
  <conditionalFormatting pivot="1" sqref="B4:B13">
    <cfRule type="colorScale" priority="1">
      <colorScale>
        <cfvo type="min"/>
        <cfvo type="percentile" val="50"/>
        <cfvo type="max"/>
        <color rgb="FFF8696B"/>
        <color rgb="FFFCFCFF"/>
        <color rgb="FF00B050"/>
      </colorScale>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D9821-2124-4E35-9316-061745E87922}">
  <dimension ref="D1:AB18"/>
  <sheetViews>
    <sheetView showGridLines="0" zoomScale="90" zoomScaleNormal="90" workbookViewId="0">
      <selection activeCell="Z1" sqref="Z1:AB1048576"/>
    </sheetView>
  </sheetViews>
  <sheetFormatPr defaultRowHeight="14.4" x14ac:dyDescent="0.3"/>
  <cols>
    <col min="4" max="4" width="13.5546875" hidden="1" customWidth="1"/>
    <col min="5" max="5" width="28.88671875" style="9" hidden="1" customWidth="1"/>
    <col min="6" max="6" width="0" hidden="1" customWidth="1"/>
    <col min="20" max="20" width="8.88671875" customWidth="1"/>
    <col min="26" max="26" width="13.21875" style="3" hidden="1" customWidth="1"/>
    <col min="27" max="27" width="12.44140625" style="3" hidden="1" customWidth="1"/>
    <col min="28" max="28" width="19.6640625" style="16" hidden="1" customWidth="1"/>
  </cols>
  <sheetData>
    <row r="1" spans="4:28" ht="21" x14ac:dyDescent="0.4">
      <c r="G1" s="15" t="s">
        <v>61</v>
      </c>
      <c r="H1" s="15"/>
      <c r="I1" s="15"/>
      <c r="J1" s="15"/>
      <c r="K1" s="15"/>
      <c r="L1" s="15"/>
      <c r="M1" s="15"/>
      <c r="N1" s="15"/>
      <c r="O1" s="15"/>
      <c r="P1" s="15"/>
      <c r="Q1" s="15"/>
      <c r="R1" s="15"/>
      <c r="S1" s="15"/>
    </row>
    <row r="2" spans="4:28" x14ac:dyDescent="0.3">
      <c r="Z2" t="s">
        <v>59</v>
      </c>
      <c r="AA2" t="s">
        <v>60</v>
      </c>
      <c r="AB2" s="2" t="s">
        <v>58</v>
      </c>
    </row>
    <row r="3" spans="4:28" x14ac:dyDescent="0.3">
      <c r="D3" s="6" t="s">
        <v>42</v>
      </c>
      <c r="E3" t="s">
        <v>44</v>
      </c>
      <c r="Z3" s="17">
        <v>4592.25</v>
      </c>
      <c r="AA3" s="17">
        <v>390.15</v>
      </c>
      <c r="AB3" s="18">
        <v>20595148825</v>
      </c>
    </row>
    <row r="4" spans="4:28" x14ac:dyDescent="0.3">
      <c r="D4" s="7" t="s">
        <v>39</v>
      </c>
      <c r="E4" s="10">
        <v>-5.3190755438911143E-2</v>
      </c>
    </row>
    <row r="5" spans="4:28" x14ac:dyDescent="0.3">
      <c r="D5" s="13" t="s">
        <v>18</v>
      </c>
      <c r="E5" s="10">
        <v>-0.44400504838030891</v>
      </c>
    </row>
    <row r="6" spans="4:28" x14ac:dyDescent="0.3">
      <c r="D6" s="13" t="s">
        <v>20</v>
      </c>
      <c r="E6" s="10">
        <v>4.6157441670237269E-2</v>
      </c>
    </row>
    <row r="7" spans="4:28" x14ac:dyDescent="0.3">
      <c r="D7" s="13" t="s">
        <v>24</v>
      </c>
      <c r="E7" s="10">
        <v>0.2382753403933435</v>
      </c>
    </row>
    <row r="8" spans="4:28" x14ac:dyDescent="0.3">
      <c r="D8" s="7" t="s">
        <v>40</v>
      </c>
      <c r="E8" s="10">
        <v>-8.4969671496153032E-2</v>
      </c>
    </row>
    <row r="9" spans="4:28" x14ac:dyDescent="0.3">
      <c r="D9" s="13" t="s">
        <v>19</v>
      </c>
      <c r="E9" s="10">
        <v>-2.6699969854871992E-3</v>
      </c>
    </row>
    <row r="10" spans="4:28" x14ac:dyDescent="0.3">
      <c r="D10" s="13" t="s">
        <v>22</v>
      </c>
      <c r="E10" s="10">
        <v>-0.16726934600681886</v>
      </c>
    </row>
    <row r="11" spans="4:28" x14ac:dyDescent="0.3">
      <c r="D11" s="7" t="s">
        <v>38</v>
      </c>
      <c r="E11" s="10">
        <v>-0.17107491075830794</v>
      </c>
    </row>
    <row r="12" spans="4:28" x14ac:dyDescent="0.3">
      <c r="D12" s="13" t="s">
        <v>17</v>
      </c>
      <c r="E12" s="10">
        <v>-0.15097152122178897</v>
      </c>
    </row>
    <row r="13" spans="4:28" x14ac:dyDescent="0.3">
      <c r="D13" s="13" t="s">
        <v>21</v>
      </c>
      <c r="E13" s="10">
        <v>-0.14188579017264336</v>
      </c>
    </row>
    <row r="14" spans="4:28" x14ac:dyDescent="0.3">
      <c r="D14" s="13" t="s">
        <v>25</v>
      </c>
      <c r="E14" s="10">
        <v>-0.22036742088049782</v>
      </c>
    </row>
    <row r="15" spans="4:28" x14ac:dyDescent="0.3">
      <c r="D15" s="7" t="s">
        <v>41</v>
      </c>
      <c r="E15" s="10">
        <v>0.2858955987717503</v>
      </c>
    </row>
    <row r="16" spans="4:28" x14ac:dyDescent="0.3">
      <c r="D16" s="13" t="s">
        <v>23</v>
      </c>
      <c r="E16" s="10">
        <v>0.2858955987717503</v>
      </c>
    </row>
    <row r="17" spans="4:5" x14ac:dyDescent="0.3">
      <c r="D17" s="7" t="s">
        <v>37</v>
      </c>
      <c r="E17" s="10">
        <v>0.31954628062919149</v>
      </c>
    </row>
    <row r="18" spans="4:5" x14ac:dyDescent="0.3">
      <c r="D18" s="13" t="s">
        <v>16</v>
      </c>
      <c r="E18" s="10">
        <v>0.31954628062919149</v>
      </c>
    </row>
  </sheetData>
  <mergeCells count="1">
    <mergeCell ref="G1:S1"/>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BB0F6-829F-4AD9-9113-16B34264F52F}">
  <dimension ref="A3:B15"/>
  <sheetViews>
    <sheetView workbookViewId="0">
      <selection activeCell="N7" sqref="N7"/>
    </sheetView>
  </sheetViews>
  <sheetFormatPr defaultRowHeight="14.4" x14ac:dyDescent="0.3"/>
  <cols>
    <col min="1" max="1" width="12.44140625" bestFit="1" customWidth="1"/>
    <col min="2" max="2" width="12.33203125" style="3" bestFit="1" customWidth="1"/>
  </cols>
  <sheetData>
    <row r="3" spans="1:2" x14ac:dyDescent="0.3">
      <c r="A3" s="6" t="s">
        <v>42</v>
      </c>
      <c r="B3" t="s">
        <v>57</v>
      </c>
    </row>
    <row r="4" spans="1:2" x14ac:dyDescent="0.3">
      <c r="A4" s="7" t="s">
        <v>45</v>
      </c>
      <c r="B4" s="14">
        <v>1724.8723913043491</v>
      </c>
    </row>
    <row r="5" spans="1:2" x14ac:dyDescent="0.3">
      <c r="A5" s="7" t="s">
        <v>46</v>
      </c>
      <c r="B5" s="14">
        <v>1674.8617499999998</v>
      </c>
    </row>
    <row r="6" spans="1:2" x14ac:dyDescent="0.3">
      <c r="A6" s="7" t="s">
        <v>47</v>
      </c>
      <c r="B6" s="14">
        <v>1606.6784210526312</v>
      </c>
    </row>
    <row r="7" spans="1:2" x14ac:dyDescent="0.3">
      <c r="A7" s="7" t="s">
        <v>48</v>
      </c>
      <c r="B7" s="14">
        <v>1612.8544736842107</v>
      </c>
    </row>
    <row r="8" spans="1:2" x14ac:dyDescent="0.3">
      <c r="A8" s="7" t="s">
        <v>49</v>
      </c>
      <c r="B8" s="14">
        <v>1691.5302380952373</v>
      </c>
    </row>
    <row r="9" spans="1:2" x14ac:dyDescent="0.3">
      <c r="A9" s="7" t="s">
        <v>50</v>
      </c>
      <c r="B9" s="14">
        <v>1700.9876190476189</v>
      </c>
    </row>
    <row r="10" spans="1:2" x14ac:dyDescent="0.3">
      <c r="A10" s="7" t="s">
        <v>51</v>
      </c>
      <c r="B10" s="14">
        <v>1695.6249999999998</v>
      </c>
    </row>
    <row r="11" spans="1:2" x14ac:dyDescent="0.3">
      <c r="A11" s="7" t="s">
        <v>52</v>
      </c>
      <c r="B11" s="14">
        <v>1635.2436842105278</v>
      </c>
    </row>
    <row r="12" spans="1:2" x14ac:dyDescent="0.3">
      <c r="A12" s="7" t="s">
        <v>53</v>
      </c>
      <c r="B12" s="14">
        <v>1549.3004545454553</v>
      </c>
    </row>
    <row r="13" spans="1:2" x14ac:dyDescent="0.3">
      <c r="A13" s="7" t="s">
        <v>54</v>
      </c>
      <c r="B13" s="14">
        <v>1559.6716666666666</v>
      </c>
    </row>
    <row r="14" spans="1:2" x14ac:dyDescent="0.3">
      <c r="A14" s="7" t="s">
        <v>55</v>
      </c>
      <c r="B14" s="14">
        <v>1599.2868421052628</v>
      </c>
    </row>
    <row r="15" spans="1:2" x14ac:dyDescent="0.3">
      <c r="A15" s="7" t="s">
        <v>56</v>
      </c>
      <c r="B15" s="14">
        <v>1620.6597727272731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Raw_Data_Analysis</vt:lpstr>
      <vt:lpstr>Raw_data_annual_summary</vt:lpstr>
      <vt:lpstr>Annual_Summary_data</vt:lpstr>
      <vt:lpstr>Annual_Summary</vt:lpstr>
      <vt:lpstr>sector_analysis</vt:lpstr>
      <vt:lpstr>monthly_closing_value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 p k</dc:creator>
  <cp:lastModifiedBy>Vaishnav p k</cp:lastModifiedBy>
  <dcterms:created xsi:type="dcterms:W3CDTF">2026-01-07T16:14:18Z</dcterms:created>
  <dcterms:modified xsi:type="dcterms:W3CDTF">2026-01-07T22:46:01Z</dcterms:modified>
</cp:coreProperties>
</file>